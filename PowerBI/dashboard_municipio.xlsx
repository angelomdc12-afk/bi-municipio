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13.xml"/>
  <Override ContentType="application/vnd.openxmlformats-officedocument.drawingml.chart+xml" PartName="/xl/charts/chart4.xml"/>
  <Override ContentType="application/vnd.openxmlformats-officedocument.drawingml.chart+xml" PartName="/xl/charts/chart2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2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DICADORES UPA LUZIÂNIA" sheetId="1" r:id="rId5"/>
    <sheet state="visible" name="INDICADORES UPA JARDIM INGÁ" sheetId="2" r:id="rId6"/>
    <sheet state="visible" name="INDICADORES HMJI" sheetId="3" r:id="rId7"/>
    <sheet state="visible" name="INDICADORES ATENÇÃO SECUNDÁRIA" sheetId="4" r:id="rId8"/>
    <sheet state="visible" name="INDICADORES SAÚDE MENTAL" sheetId="5" r:id="rId9"/>
    <sheet state="visible" name="INDICADORES ATENÇÃO PRIMÁRIA" sheetId="6" r:id="rId10"/>
    <sheet state="hidden" name="Planilha1" sheetId="7" r:id="rId11"/>
    <sheet state="hidden" name="1.TRIMESTRE" sheetId="8" r:id="rId12"/>
  </sheets>
  <definedNames/>
  <calcPr/>
</workbook>
</file>

<file path=xl/sharedStrings.xml><?xml version="1.0" encoding="utf-8"?>
<sst xmlns="http://schemas.openxmlformats.org/spreadsheetml/2006/main" count="882" uniqueCount="217">
  <si>
    <t>UPA DE LUZIÂNIA - UPA II</t>
  </si>
  <si>
    <t>MARÇO.26</t>
  </si>
  <si>
    <t>ABRIL.26</t>
  </si>
  <si>
    <t>MAIO.26</t>
  </si>
  <si>
    <t>JUNHO.26</t>
  </si>
  <si>
    <t>JULHO.26</t>
  </si>
  <si>
    <t>AGOSTO.26</t>
  </si>
  <si>
    <t>SETEMBRO.26</t>
  </si>
  <si>
    <t>OUTUBRO.26</t>
  </si>
  <si>
    <t>NOVEMBRO.26</t>
  </si>
  <si>
    <t>DEZEMBRO.26</t>
  </si>
  <si>
    <t>JANEIRO.27</t>
  </si>
  <si>
    <t>FEVEREIRO.27</t>
  </si>
  <si>
    <t>TOTAL</t>
  </si>
  <si>
    <t>PACIENTES RECEPCIONADOS</t>
  </si>
  <si>
    <t>MÉDIA DIÁRIA</t>
  </si>
  <si>
    <t>ATENDIMENTOS MÉDICOS</t>
  </si>
  <si>
    <t>META</t>
  </si>
  <si>
    <t>ATENDIMENTOS POR CLASSIFICAÇÃO DE RISCO</t>
  </si>
  <si>
    <t>NÃO URGENTE (AZUL)</t>
  </si>
  <si>
    <t>POUCO URGENTE (VERDE)</t>
  </si>
  <si>
    <t>URGENTE (AMARELO)</t>
  </si>
  <si>
    <t>MUITO URGENTE (LARANJA)</t>
  </si>
  <si>
    <t>EMERGÊNCIA (VERMELHO)</t>
  </si>
  <si>
    <t>Não informado</t>
  </si>
  <si>
    <t>TOTAL DE ATENDIMENTOS POR CLASSIFICAÇÃO DE RISCO</t>
  </si>
  <si>
    <t>PERCENTUAL DE ATENDIMENTOS POR CLASSIFICAÇÃO DE RISCOS</t>
  </si>
  <si>
    <t>Não Informado</t>
  </si>
  <si>
    <t>TEMPO DE ESPERA PARA CLASSIFICAÇÃO DE RISCO</t>
  </si>
  <si>
    <t>MÉDIA GERAL</t>
  </si>
  <si>
    <t>TEMPO MÉDIO DE ESPERA DE ATENDIMENTO MÉDICO POR CLASSIFICAÇÃO DE RISCO</t>
  </si>
  <si>
    <t>TEMPO DE PERMANÊNCIA DE PACIENTES INTERNADOS</t>
  </si>
  <si>
    <t>TEMPO MÉDIO DE PERMANÊNCIA GERAL</t>
  </si>
  <si>
    <t>TEMPO DE PERMANÊNCIA DE PACIENTES SEM INTERNAÇÃO</t>
  </si>
  <si>
    <t>TEMPO MÉDIO DE PERMANÊNCIA ATENDIMENTOS DE PORTA</t>
  </si>
  <si>
    <t>TRANSFERÊNCIAS (REMOÇÕES)</t>
  </si>
  <si>
    <t>PERCENTUAL DE TRANSFERÊNCIAS PACIENTES INTERNADOS POR USA</t>
  </si>
  <si>
    <t>EXAMES INTERNOS</t>
  </si>
  <si>
    <t>RAIO-X</t>
  </si>
  <si>
    <t>PATOLOGIA CLINICA</t>
  </si>
  <si>
    <t>ELETROCARDIOGRAMA</t>
  </si>
  <si>
    <t xml:space="preserve">ATENDIMENTOS DIVIDIDOS POR FAIXA ETARIA </t>
  </si>
  <si>
    <t>&lt; 1 ANO</t>
  </si>
  <si>
    <t>1 - 4 ANOS</t>
  </si>
  <si>
    <t>5 - 9 ANOS</t>
  </si>
  <si>
    <t>10 - 14 ANOS</t>
  </si>
  <si>
    <t>15 - 19 ANOS</t>
  </si>
  <si>
    <t>20 - 39 ANOS</t>
  </si>
  <si>
    <t>40 - 49 ANOS</t>
  </si>
  <si>
    <t>50 - 59 ANOS</t>
  </si>
  <si>
    <t>60 OU MAIS</t>
  </si>
  <si>
    <t>ATENDIMENTOS DE  PACIENTES</t>
  </si>
  <si>
    <t>DA CIDADE</t>
  </si>
  <si>
    <t>DE OUTRAS CIDADES</t>
  </si>
  <si>
    <t>ÓBITOS</t>
  </si>
  <si>
    <t>UPA JARDIM INGÁ - UPA I</t>
  </si>
  <si>
    <t>INDICADOR</t>
  </si>
  <si>
    <t>HMJI</t>
  </si>
  <si>
    <t>PACIENTES CLÍNICOS ATENDIDOS</t>
  </si>
  <si>
    <t>CIRURGIA GERAL</t>
  </si>
  <si>
    <t>CONSULTAS ESPECIALIZADAS</t>
  </si>
  <si>
    <t>UROLOGIA</t>
  </si>
  <si>
    <t>GINECOLOGIA</t>
  </si>
  <si>
    <t>MAMOGRAFIAS</t>
  </si>
  <si>
    <t>ULTRASOM</t>
  </si>
  <si>
    <t>CIRURGIAS GRANDES</t>
  </si>
  <si>
    <t>PROCEDIMENTOS CIRÚRGICOS</t>
  </si>
  <si>
    <t>BIÓPSIAS</t>
  </si>
  <si>
    <t>VASECTOMIAS</t>
  </si>
  <si>
    <t>PEQUENAS CIRURGIAS</t>
  </si>
  <si>
    <t>RAQUIANESTESIA</t>
  </si>
  <si>
    <t>ANESTESIAS</t>
  </si>
  <si>
    <t>ANESTESIA GERAL</t>
  </si>
  <si>
    <t xml:space="preserve">BLOQUEIO </t>
  </si>
  <si>
    <t>ANESTESIA LOCAL</t>
  </si>
  <si>
    <t>ATENÇÃO SECUNDÁRIA</t>
  </si>
  <si>
    <t>CONSULTAS ESPECIALIZADAS (CAIS)</t>
  </si>
  <si>
    <t>DERMATOLOGICAS</t>
  </si>
  <si>
    <t>CLÍNICA MÉDICA</t>
  </si>
  <si>
    <t>ORTOPÉDICAS</t>
  </si>
  <si>
    <t>CARDIOLOGICAS</t>
  </si>
  <si>
    <t>UROLOGICAS</t>
  </si>
  <si>
    <t>OFTAMOLOGICAS</t>
  </si>
  <si>
    <t>FISIOTERAPIA</t>
  </si>
  <si>
    <t>NUTRIÇÃO</t>
  </si>
  <si>
    <t>CONSULTAS ESPECIALIZADAS (MATERNO INFANTIL)</t>
  </si>
  <si>
    <t>PEDIATRICAS</t>
  </si>
  <si>
    <t>NEUROPED</t>
  </si>
  <si>
    <t>GENICOLOGICAS</t>
  </si>
  <si>
    <t>GINECOLOGICAS ONCOLÓGICA</t>
  </si>
  <si>
    <t>ALTO RISCO</t>
  </si>
  <si>
    <t>PSICOLOGICA</t>
  </si>
  <si>
    <t>CONSULTAS ESPECIALIZADAS (FARMÁCIA CENTRAL)</t>
  </si>
  <si>
    <t>SAÚDE MENTAL</t>
  </si>
  <si>
    <t>CONSULTAS ESPECIALIZADAS (CAPS II)</t>
  </si>
  <si>
    <t>PSIQUIATRICA</t>
  </si>
  <si>
    <t>ASSISTENTE SOCIAL</t>
  </si>
  <si>
    <t>CONSULTAS ESPECIALIZADAS (CAPS AD III)</t>
  </si>
  <si>
    <t>CONSULTAS ESPECIALIZADAS (CLÍNICA PSICOLOGIA)</t>
  </si>
  <si>
    <t>CONSULTAS/TERAPIAS</t>
  </si>
  <si>
    <t>ATENÇÃO PRIMÁRIA</t>
  </si>
  <si>
    <t>CONSULTAS MÉDICAS</t>
  </si>
  <si>
    <t>PRÉ-NATAL</t>
  </si>
  <si>
    <t>PRÉ-NATAL ALTO RISCO</t>
  </si>
  <si>
    <t>PUERPERAL</t>
  </si>
  <si>
    <t>RENOVAÇÕES DE RECEITAS</t>
  </si>
  <si>
    <t>CRESCIMENTO E DESENVOLVIMENTO</t>
  </si>
  <si>
    <t>NÍVEL SUPERIOR (EXCETO MÉDICO)</t>
  </si>
  <si>
    <t>ACOLHIMENTOS</t>
  </si>
  <si>
    <t>CURATIVOS</t>
  </si>
  <si>
    <t>CONSULTAS</t>
  </si>
  <si>
    <t>Análise Quantitativa do Trimestre</t>
  </si>
  <si>
    <t>MÊS</t>
  </si>
  <si>
    <t>Pontuação Atingida</t>
  </si>
  <si>
    <t>Meta</t>
  </si>
  <si>
    <t>ABRIL</t>
  </si>
  <si>
    <t>MAIO</t>
  </si>
  <si>
    <t>JUNHO</t>
  </si>
  <si>
    <t>Percentual de Desistência de Atendimento Médico</t>
  </si>
  <si>
    <t>Descrição</t>
  </si>
  <si>
    <t>Valor</t>
  </si>
  <si>
    <t>Consultas Realizadas no Trimestre</t>
  </si>
  <si>
    <t>Meta Trimestral</t>
  </si>
  <si>
    <t>Atendimento Assistência Social</t>
  </si>
  <si>
    <t>Quadro Geral</t>
  </si>
  <si>
    <t>Equipe Médica</t>
  </si>
  <si>
    <t>Total de Notificações</t>
  </si>
  <si>
    <t>Percentual de Preenchimento Correto</t>
  </si>
  <si>
    <t>Item</t>
  </si>
  <si>
    <t>Forma de avaliação / memória de cálculo</t>
  </si>
  <si>
    <t>JANEIRO</t>
  </si>
  <si>
    <t>FEVEREIRO</t>
  </si>
  <si>
    <t>MARÇO</t>
  </si>
  <si>
    <t>MÉDIA TRIMESTRAL</t>
  </si>
  <si>
    <t>Taxa de satisfação do usuário</t>
  </si>
  <si>
    <t>≥ 80%</t>
  </si>
  <si>
    <t>Consultas Realizadas</t>
  </si>
  <si>
    <t>Pontuação</t>
  </si>
  <si>
    <t>Taxa de usuários classificados como risco VERMELHO com tempo máximo de espera de 5 minutos para atendimento médico.</t>
  </si>
  <si>
    <t>≥ 95%</t>
  </si>
  <si>
    <t>Média no tempo de espera para atendimento médico no eixo VERMELHO</t>
  </si>
  <si>
    <t>≤ 5min</t>
  </si>
  <si>
    <t>Taxa de usuários classificados como risco LARANJA com tempo máximo de espera de 10 minutos para atendimento médico.</t>
  </si>
  <si>
    <t>≥ 85%</t>
  </si>
  <si>
    <t>Média no tempo de espera para atendimento médico no eixo LARANJA</t>
  </si>
  <si>
    <t>≤ 10min</t>
  </si>
  <si>
    <t>Taxa de usuários classificados como risco AMARELO com tempo máximo de espera de 60 minutos para atendimento médico.</t>
  </si>
  <si>
    <t>≥ 90%</t>
  </si>
  <si>
    <t>Média no tempo de espera para atendimento médico no eixo AMARELO</t>
  </si>
  <si>
    <t>≤ 60min</t>
  </si>
  <si>
    <t>Taxa de usuários classificados como risco VERDE com tempo máximo de espera de 120 minutos para atendimento médico.</t>
  </si>
  <si>
    <t>Média no tempo de espera para atendimento médico no eixo VERDE</t>
  </si>
  <si>
    <t>≤ 120min</t>
  </si>
  <si>
    <t>Taxa de usuários classificados como risco AZUL com tempo máximo de espera de 240 minutos para atendimento médico.</t>
  </si>
  <si>
    <t>Média no tempo de espera para atendimento médico no eixo AZUL</t>
  </si>
  <si>
    <t>≤ 240min</t>
  </si>
  <si>
    <t>Realizar 100% a Classificação de Risco dos pacientes que procuram atendimentos de urgência e emergência.</t>
  </si>
  <si>
    <t>Média no tempo de espera para Classificação de riscos</t>
  </si>
  <si>
    <t>Percentual de desistência de atendimento médico</t>
  </si>
  <si>
    <t>≤ 5%</t>
  </si>
  <si>
    <t>Número de Consultas Médicas mensais</t>
  </si>
  <si>
    <t>≥ 8.000</t>
  </si>
  <si>
    <t>Registro em CLM ou CLP</t>
  </si>
  <si>
    <t>Atendimento assistência social</t>
  </si>
  <si>
    <t>Capacitação quadro geral</t>
  </si>
  <si>
    <t>≥ 2 horas</t>
  </si>
  <si>
    <t>Capacitação equipe médica</t>
  </si>
  <si>
    <t>≥80%</t>
  </si>
  <si>
    <t>Reuniões das comissões implantadas</t>
  </si>
  <si>
    <t>Notificações compulsórias</t>
  </si>
  <si>
    <t>Preenchimento Correto SINAN</t>
  </si>
  <si>
    <t>Ok</t>
  </si>
  <si>
    <t>Relatório de transferências de pacientes</t>
  </si>
  <si>
    <t>Apresentação de relatório</t>
  </si>
  <si>
    <t>Garantir a rastreabilidade de todos os insumos e medicamentos prescritos para os pacientes da unidade.</t>
  </si>
  <si>
    <t>Sistema de Gestão</t>
  </si>
  <si>
    <t>Total</t>
  </si>
  <si>
    <t>COMISSÃO</t>
  </si>
  <si>
    <t>Data da Reunião Ref. Dez/24</t>
  </si>
  <si>
    <t>Data da Reunião Ref. Jan/25</t>
  </si>
  <si>
    <t>Data da Reunião Ref. Fev/25</t>
  </si>
  <si>
    <t>Análise e Revisão de Prontuários</t>
  </si>
  <si>
    <t>Controle de Infecção Pré-hospitalar</t>
  </si>
  <si>
    <t>Educação Permanente</t>
  </si>
  <si>
    <t>Farmácia e Terapêutica</t>
  </si>
  <si>
    <t>Gerenciamento de Resíduos e Perfurocortantes</t>
  </si>
  <si>
    <t>Padronização de Documentos</t>
  </si>
  <si>
    <t>Qualidade e Segurança do Paciente</t>
  </si>
  <si>
    <t>Revisão de Óbitos</t>
  </si>
  <si>
    <t>Ética Médica*</t>
  </si>
  <si>
    <t>Em fase de instituição</t>
  </si>
  <si>
    <t>Ética de Enfermagem*</t>
  </si>
  <si>
    <t>* Etapas para instauração das Comissões de Ética estão sendo executadas</t>
  </si>
  <si>
    <t>UNIDADE DE DESTINO</t>
  </si>
  <si>
    <t>QTD</t>
  </si>
  <si>
    <t xml:space="preserve">  PFP PENITENCIARIA FEMININA DO PARANA</t>
  </si>
  <si>
    <t xml:space="preserve">  PEP I PENITENCIARIA ESTADUAL DE PIRAQUARA</t>
  </si>
  <si>
    <t xml:space="preserve">  HOSPITAL DE CLINICAS</t>
  </si>
  <si>
    <t xml:space="preserve">  SAMU BRAVO - PIRAQUARA</t>
  </si>
  <si>
    <t xml:space="preserve">  HPM - HOSPITAL DA POLICIA MILITAR</t>
  </si>
  <si>
    <t xml:space="preserve">  HOSPITAL DO ROCIO CENTRAL ( VELHO)</t>
  </si>
  <si>
    <t xml:space="preserve">  HOSPITAL SAO VICENTE BATEL</t>
  </si>
  <si>
    <t xml:space="preserve">  HOSPITAL OSVALDO CRUZ</t>
  </si>
  <si>
    <t xml:space="preserve">  PCE PENITENCIARIA CENTRAL DO ESTADO</t>
  </si>
  <si>
    <t xml:space="preserve">  HOSPITAL REGIONAL DA LAPA DE SAO SE</t>
  </si>
  <si>
    <t xml:space="preserve">  HOSPITAL MUNICIPAL DE ARAUCARIA IND</t>
  </si>
  <si>
    <t xml:space="preserve">  HOSPITAL NOSSA SENHORA DO ROCIO</t>
  </si>
  <si>
    <t xml:space="preserve">  HOSPITAL ANGELINA CARON</t>
  </si>
  <si>
    <t xml:space="preserve">  HOSPITAL E MATERNIDADE DE PINHAIS</t>
  </si>
  <si>
    <t xml:space="preserve">  HOSPITAL SANTA CASA</t>
  </si>
  <si>
    <t xml:space="preserve">  HOSPITAL INFANTIL PEQUENO PRINCIPE</t>
  </si>
  <si>
    <t xml:space="preserve">  HEC HOSPITAL EVANGELICO DE CURITIBA</t>
  </si>
  <si>
    <t xml:space="preserve">  HMSJP - HOSPITAL MUNICIPAL SAO JOSE</t>
  </si>
  <si>
    <t xml:space="preserve">  UBS TREINAMENTO</t>
  </si>
  <si>
    <t xml:space="preserve">  HOSPITAL UNIVERSITARIO CAJURU</t>
  </si>
  <si>
    <t xml:space="preserve">  HOSPITAL UNIVERSITARIO EVANGELICO D</t>
  </si>
  <si>
    <t xml:space="preserve">  HOSPITAL DO TRABALHADOR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</si>
</sst>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6.0"/>
      <color theme="1"/>
      <name val="Aptos Narrow"/>
    </font>
    <font>
      <sz val="11.0"/>
      <color theme="1"/>
      <name val="Aptos Narrow"/>
    </font>
    <font>
      <b/>
      <sz val="11.0"/>
      <color theme="0"/>
      <name val="Aptos Narrow"/>
    </font>
    <font/>
    <font>
      <b/>
      <sz val="11.0"/>
      <color theme="1"/>
      <name val="Aptos Narrow"/>
    </font>
    <font>
      <color theme="1"/>
      <name val="Aptos Narrow"/>
      <scheme val="minor"/>
    </font>
    <font>
      <b/>
      <sz val="10.0"/>
      <color theme="0"/>
      <name val="Times New Roman"/>
    </font>
    <font>
      <b/>
      <sz val="9.0"/>
      <color theme="1"/>
      <name val="Times New Roman"/>
    </font>
    <font>
      <sz val="11.0"/>
      <color theme="1"/>
      <name val="Times New Roman"/>
    </font>
    <font>
      <b/>
      <sz val="11.0"/>
      <color theme="0"/>
      <name val="Times New Roman"/>
    </font>
    <font>
      <b/>
      <sz val="11.0"/>
      <color rgb="FFFFFFFF"/>
      <name val="Calibri"/>
    </font>
    <font>
      <sz val="11.0"/>
      <color rgb="FF000000"/>
      <name val="Calibri"/>
    </font>
    <font>
      <i/>
      <sz val="11.0"/>
      <color rgb="FF000000"/>
      <name val="Calibri"/>
    </font>
    <font>
      <sz val="10.0"/>
      <color rgb="FF000000"/>
      <name val="Arial"/>
    </font>
    <font>
      <sz val="7.0"/>
      <color rgb="FF000000"/>
      <name val="Arial"/>
    </font>
  </fonts>
  <fills count="17">
    <fill>
      <patternFill patternType="none"/>
    </fill>
    <fill>
      <patternFill patternType="lightGray"/>
    </fill>
    <fill>
      <patternFill patternType="solid">
        <fgColor rgb="FF0F4861"/>
        <bgColor rgb="FF0F4861"/>
      </patternFill>
    </fill>
    <fill>
      <patternFill patternType="solid">
        <fgColor rgb="FFDBE9F7"/>
        <bgColor rgb="FFDBE9F7"/>
      </patternFill>
    </fill>
    <fill>
      <patternFill patternType="solid">
        <fgColor rgb="FFFFFF00"/>
        <bgColor rgb="FFFFFF00"/>
      </patternFill>
    </fill>
    <fill>
      <patternFill patternType="solid">
        <fgColor rgb="FF002060"/>
        <bgColor rgb="FF002060"/>
      </patternFill>
    </fill>
    <fill>
      <patternFill patternType="solid">
        <fgColor rgb="FF00FF00"/>
        <bgColor rgb="FF00FF00"/>
      </patternFill>
    </fill>
    <fill>
      <patternFill patternType="solid">
        <fgColor rgb="FFDD5A09"/>
        <bgColor rgb="FFDD5A09"/>
      </patternFill>
    </fill>
    <fill>
      <patternFill patternType="solid">
        <fgColor rgb="FFFF0000"/>
        <bgColor rgb="FFFF0000"/>
      </patternFill>
    </fill>
    <fill>
      <patternFill patternType="solid">
        <fgColor rgb="FFBFBFBF"/>
        <bgColor rgb="FFBFBFBF"/>
      </patternFill>
    </fill>
    <fill>
      <patternFill patternType="solid">
        <fgColor rgb="FFFFFF65"/>
        <bgColor rgb="FFFFFF65"/>
      </patternFill>
    </fill>
    <fill>
      <patternFill patternType="solid">
        <fgColor theme="1"/>
        <bgColor theme="1"/>
      </patternFill>
    </fill>
    <fill>
      <patternFill patternType="solid">
        <fgColor rgb="FF4D94D8"/>
        <bgColor rgb="FF4D94D8"/>
      </patternFill>
    </fill>
    <fill>
      <patternFill patternType="solid">
        <fgColor rgb="FFEEF5FC"/>
        <bgColor rgb="FFEEF5FC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D3D3D3"/>
        <bgColor rgb="FFD3D3D3"/>
      </patternFill>
    </fill>
  </fills>
  <borders count="19">
    <border/>
    <border>
      <left/>
      <right/>
      <top/>
      <bottom/>
    </border>
    <border>
      <left/>
      <top/>
      <bottom/>
    </border>
    <border>
      <right/>
      <top/>
      <bottom/>
    </border>
    <border>
      <left/>
      <right/>
      <top/>
    </border>
    <border>
      <left/>
      <right/>
    </border>
    <border>
      <left/>
      <right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top style="medium">
        <color rgb="FF000000"/>
      </top>
    </border>
    <border>
      <top/>
      <bottom/>
    </border>
    <border>
      <bottom style="medium">
        <color rgb="FF000000"/>
      </bottom>
    </border>
    <border>
      <top style="thin">
        <color rgb="FFAEABAB"/>
      </top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1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1" fillId="2" fontId="3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ont="1">
      <alignment horizontal="center" vertical="center"/>
    </xf>
    <xf borderId="2" fillId="2" fontId="3" numFmtId="0" xfId="0" applyAlignment="1" applyBorder="1" applyFont="1">
      <alignment horizontal="center" shrinkToFit="0" vertical="center" wrapText="1"/>
    </xf>
    <xf borderId="3" fillId="0" fontId="4" numFmtId="0" xfId="0" applyBorder="1" applyFont="1"/>
    <xf borderId="2" fillId="3" fontId="5" numFmtId="0" xfId="0" applyAlignment="1" applyBorder="1" applyFill="1" applyFont="1">
      <alignment horizontal="left" shrinkToFit="0" vertical="center" wrapText="1"/>
    </xf>
    <xf borderId="1" fillId="3" fontId="2" numFmtId="3" xfId="0" applyAlignment="1" applyBorder="1" applyFont="1" applyNumberFormat="1">
      <alignment horizontal="center" vertical="center"/>
    </xf>
    <xf borderId="1" fillId="3" fontId="5" numFmtId="3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0" fillId="0" fontId="2" numFmtId="3" xfId="0" applyAlignment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2" fillId="4" fontId="5" numFmtId="0" xfId="0" applyAlignment="1" applyBorder="1" applyFill="1" applyFont="1">
      <alignment horizontal="left" shrinkToFit="0" vertical="center" wrapText="1"/>
    </xf>
    <xf borderId="1" fillId="4" fontId="2" numFmtId="3" xfId="0" applyAlignment="1" applyBorder="1" applyFont="1" applyNumberFormat="1">
      <alignment horizontal="center" vertical="center"/>
    </xf>
    <xf borderId="1" fillId="4" fontId="5" numFmtId="3" xfId="0" applyAlignment="1" applyBorder="1" applyFont="1" applyNumberFormat="1">
      <alignment horizontal="center" vertical="center"/>
    </xf>
    <xf borderId="1" fillId="4" fontId="2" numFmtId="0" xfId="0" applyAlignment="1" applyBorder="1" applyFont="1">
      <alignment horizontal="center" vertical="center"/>
    </xf>
    <xf borderId="0" fillId="0" fontId="5" numFmtId="10" xfId="0" applyAlignment="1" applyFont="1" applyNumberFormat="1">
      <alignment horizontal="center" vertical="center"/>
    </xf>
    <xf borderId="4" fillId="3" fontId="5" numFmtId="0" xfId="0" applyAlignment="1" applyBorder="1" applyFont="1">
      <alignment horizontal="left" shrinkToFit="0" vertical="center" wrapText="1"/>
    </xf>
    <xf borderId="1" fillId="5" fontId="5" numFmtId="0" xfId="0" applyAlignment="1" applyBorder="1" applyFill="1" applyFont="1">
      <alignment horizontal="left" shrinkToFit="0" vertical="center" wrapText="1"/>
    </xf>
    <xf borderId="5" fillId="0" fontId="4" numFmtId="0" xfId="0" applyBorder="1" applyFont="1"/>
    <xf borderId="1" fillId="6" fontId="5" numFmtId="0" xfId="0" applyAlignment="1" applyBorder="1" applyFill="1" applyFont="1">
      <alignment horizontal="left" shrinkToFit="0" vertical="center" wrapText="1"/>
    </xf>
    <xf borderId="1" fillId="4" fontId="5" numFmtId="0" xfId="0" applyAlignment="1" applyBorder="1" applyFont="1">
      <alignment horizontal="left" shrinkToFit="0" vertical="center" wrapText="1"/>
    </xf>
    <xf borderId="1" fillId="7" fontId="5" numFmtId="0" xfId="0" applyAlignment="1" applyBorder="1" applyFill="1" applyFont="1">
      <alignment horizontal="left" shrinkToFit="0" vertical="center" wrapText="1"/>
    </xf>
    <xf borderId="1" fillId="8" fontId="5" numFmtId="0" xfId="0" applyAlignment="1" applyBorder="1" applyFill="1" applyFont="1">
      <alignment horizontal="left" shrinkToFit="0" vertical="center" wrapText="1"/>
    </xf>
    <xf borderId="1" fillId="9" fontId="5" numFmtId="0" xfId="0" applyAlignment="1" applyBorder="1" applyFill="1" applyFont="1">
      <alignment horizontal="left" shrinkToFit="0" vertical="center" wrapText="1"/>
    </xf>
    <xf borderId="6" fillId="0" fontId="4" numFmtId="0" xfId="0" applyBorder="1" applyFont="1"/>
    <xf borderId="1" fillId="10" fontId="5" numFmtId="0" xfId="0" applyAlignment="1" applyBorder="1" applyFill="1" applyFont="1">
      <alignment horizontal="left" shrinkToFit="0" vertical="center" wrapText="1"/>
    </xf>
    <xf borderId="1" fillId="3" fontId="2" numFmtId="10" xfId="0" applyAlignment="1" applyBorder="1" applyFont="1" applyNumberFormat="1">
      <alignment horizontal="center" vertical="center"/>
    </xf>
    <xf borderId="1" fillId="3" fontId="5" numFmtId="10" xfId="0" applyAlignment="1" applyBorder="1" applyFont="1" applyNumberFormat="1">
      <alignment horizontal="center" vertical="center"/>
    </xf>
    <xf borderId="1" fillId="3" fontId="5" numFmtId="46" xfId="0" applyAlignment="1" applyBorder="1" applyFont="1" applyNumberFormat="1">
      <alignment horizontal="center" vertical="center"/>
    </xf>
    <xf borderId="1" fillId="4" fontId="2" numFmtId="21" xfId="0" applyAlignment="1" applyBorder="1" applyFont="1" applyNumberFormat="1">
      <alignment horizontal="center" vertical="center"/>
    </xf>
    <xf borderId="1" fillId="4" fontId="5" numFmtId="0" xfId="0" applyAlignment="1" applyBorder="1" applyFont="1">
      <alignment horizontal="center" vertical="center"/>
    </xf>
    <xf borderId="1" fillId="3" fontId="5" numFmtId="21" xfId="0" applyAlignment="1" applyBorder="1" applyFont="1" applyNumberFormat="1">
      <alignment horizontal="center" vertical="center"/>
    </xf>
    <xf borderId="0" fillId="0" fontId="5" numFmtId="46" xfId="0" applyAlignment="1" applyFont="1" applyNumberFormat="1">
      <alignment horizontal="center" vertical="center"/>
    </xf>
    <xf borderId="1" fillId="3" fontId="5" numFmtId="0" xfId="0" applyAlignment="1" applyBorder="1" applyFont="1">
      <alignment shrinkToFit="0" vertical="center" wrapText="1"/>
    </xf>
    <xf borderId="1" fillId="3" fontId="2" numFmtId="0" xfId="0" applyAlignment="1" applyBorder="1" applyFont="1">
      <alignment horizontal="center"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left" shrinkToFit="0" vertical="center" wrapText="1"/>
    </xf>
    <xf borderId="1" fillId="3" fontId="5" numFmtId="0" xfId="0" applyAlignment="1" applyBorder="1" applyFont="1">
      <alignment horizontal="left" vertical="center"/>
    </xf>
    <xf borderId="1" fillId="3" fontId="5" numFmtId="0" xfId="0" applyAlignment="1" applyBorder="1" applyFont="1">
      <alignment horizontal="center" vertical="center"/>
    </xf>
    <xf borderId="1" fillId="11" fontId="2" numFmtId="0" xfId="0" applyAlignment="1" applyBorder="1" applyFill="1" applyFont="1">
      <alignment shrinkToFit="0" vertical="center" wrapText="1"/>
    </xf>
    <xf borderId="1" fillId="11" fontId="2" numFmtId="0" xfId="0" applyAlignment="1" applyBorder="1" applyFont="1">
      <alignment horizontal="center" vertical="center"/>
    </xf>
    <xf borderId="1" fillId="2" fontId="3" numFmtId="0" xfId="0" applyAlignment="1" applyBorder="1" applyFont="1">
      <alignment shrinkToFit="0" vertical="center" wrapText="1"/>
    </xf>
    <xf borderId="4" fillId="3" fontId="5" numFmtId="0" xfId="0" applyAlignment="1" applyBorder="1" applyFont="1">
      <alignment horizontal="center" shrinkToFit="0" vertical="center" wrapText="1"/>
    </xf>
    <xf borderId="1" fillId="3" fontId="5" numFmtId="0" xfId="0" applyAlignment="1" applyBorder="1" applyFont="1">
      <alignment horizontal="center" shrinkToFit="0" vertical="center" wrapText="1"/>
    </xf>
    <xf borderId="0" fillId="0" fontId="6" numFmtId="0" xfId="0" applyFont="1"/>
    <xf borderId="0" fillId="0" fontId="2" numFmtId="10" xfId="0" applyFont="1" applyNumberFormat="1"/>
    <xf borderId="0" fillId="0" fontId="2" numFmtId="9" xfId="0" applyFont="1" applyNumberFormat="1"/>
    <xf borderId="0" fillId="0" fontId="2" numFmtId="3" xfId="0" applyFont="1" applyNumberFormat="1"/>
    <xf borderId="1" fillId="3" fontId="2" numFmtId="21" xfId="0" applyAlignment="1" applyBorder="1" applyFont="1" applyNumberFormat="1">
      <alignment horizontal="center" vertical="center"/>
    </xf>
    <xf borderId="0" fillId="0" fontId="2" numFmtId="21" xfId="0" applyFont="1" applyNumberFormat="1"/>
    <xf borderId="1" fillId="3" fontId="2" numFmtId="9" xfId="0" applyAlignment="1" applyBorder="1" applyFont="1" applyNumberFormat="1">
      <alignment horizontal="center" vertical="center"/>
    </xf>
    <xf borderId="7" fillId="12" fontId="7" numFmtId="0" xfId="0" applyAlignment="1" applyBorder="1" applyFill="1" applyFont="1">
      <alignment horizontal="center" shrinkToFit="0" vertical="center" wrapText="1"/>
    </xf>
    <xf borderId="8" fillId="12" fontId="7" numFmtId="0" xfId="0" applyAlignment="1" applyBorder="1" applyFont="1">
      <alignment horizontal="center" shrinkToFit="0" vertical="center" wrapText="1"/>
    </xf>
    <xf borderId="9" fillId="0" fontId="4" numFmtId="0" xfId="0" applyBorder="1" applyFont="1"/>
    <xf borderId="7" fillId="12" fontId="7" numFmtId="49" xfId="0" applyAlignment="1" applyBorder="1" applyFont="1" applyNumberFormat="1">
      <alignment horizontal="center" shrinkToFit="0" vertical="center" wrapText="1"/>
    </xf>
    <xf borderId="7" fillId="12" fontId="7" numFmtId="22" xfId="0" applyAlignment="1" applyBorder="1" applyFont="1" applyNumberFormat="1">
      <alignment horizontal="center" shrinkToFit="0" vertical="center" wrapText="1"/>
    </xf>
    <xf borderId="10" fillId="13" fontId="8" numFmtId="0" xfId="0" applyAlignment="1" applyBorder="1" applyFill="1" applyFont="1">
      <alignment horizontal="center" shrinkToFit="0" vertical="center" wrapText="1"/>
    </xf>
    <xf borderId="7" fillId="13" fontId="8" numFmtId="0" xfId="0" applyAlignment="1" applyBorder="1" applyFont="1">
      <alignment horizontal="center" shrinkToFit="0" vertical="center" wrapText="1"/>
    </xf>
    <xf borderId="7" fillId="13" fontId="9" numFmtId="9" xfId="0" applyAlignment="1" applyBorder="1" applyFont="1" applyNumberFormat="1">
      <alignment horizontal="center" vertical="center"/>
    </xf>
    <xf borderId="7" fillId="12" fontId="10" numFmtId="9" xfId="0" applyAlignment="1" applyBorder="1" applyFont="1" applyNumberFormat="1">
      <alignment horizontal="center" vertical="center"/>
    </xf>
    <xf borderId="11" fillId="0" fontId="4" numFmtId="0" xfId="0" applyBorder="1" applyFont="1"/>
    <xf borderId="7" fillId="13" fontId="9" numFmtId="3" xfId="0" applyAlignment="1" applyBorder="1" applyFont="1" applyNumberFormat="1">
      <alignment horizontal="center" vertical="center"/>
    </xf>
    <xf borderId="7" fillId="12" fontId="10" numFmtId="3" xfId="0" applyAlignment="1" applyBorder="1" applyFont="1" applyNumberFormat="1">
      <alignment horizontal="center" vertical="center"/>
    </xf>
    <xf borderId="10" fillId="3" fontId="8" numFmtId="0" xfId="0" applyAlignment="1" applyBorder="1" applyFont="1">
      <alignment horizontal="center" shrinkToFit="0" vertical="center" wrapText="1"/>
    </xf>
    <xf borderId="7" fillId="3" fontId="8" numFmtId="0" xfId="0" applyAlignment="1" applyBorder="1" applyFont="1">
      <alignment horizontal="center" shrinkToFit="0" vertical="center" wrapText="1"/>
    </xf>
    <xf borderId="7" fillId="3" fontId="9" numFmtId="9" xfId="0" applyAlignment="1" applyBorder="1" applyFont="1" applyNumberFormat="1">
      <alignment horizontal="center" shrinkToFit="0" vertical="center" wrapText="1"/>
    </xf>
    <xf borderId="7" fillId="3" fontId="9" numFmtId="3" xfId="0" applyAlignment="1" applyBorder="1" applyFont="1" applyNumberFormat="1">
      <alignment horizontal="center" shrinkToFit="0" vertical="center" wrapText="1"/>
    </xf>
    <xf borderId="7" fillId="13" fontId="9" numFmtId="46" xfId="0" applyAlignment="1" applyBorder="1" applyFont="1" applyNumberFormat="1">
      <alignment horizontal="center" shrinkToFit="0" vertical="center" wrapText="1"/>
    </xf>
    <xf borderId="7" fillId="12" fontId="10" numFmtId="46" xfId="0" applyAlignment="1" applyBorder="1" applyFont="1" applyNumberFormat="1">
      <alignment horizontal="center" vertical="center"/>
    </xf>
    <xf borderId="7" fillId="13" fontId="9" numFmtId="3" xfId="0" applyAlignment="1" applyBorder="1" applyFont="1" applyNumberFormat="1">
      <alignment horizontal="center" shrinkToFit="0" vertical="center" wrapText="1"/>
    </xf>
    <xf borderId="7" fillId="3" fontId="9" numFmtId="9" xfId="0" applyAlignment="1" applyBorder="1" applyFont="1" applyNumberFormat="1">
      <alignment horizontal="center" vertical="center"/>
    </xf>
    <xf borderId="7" fillId="3" fontId="9" numFmtId="3" xfId="0" applyAlignment="1" applyBorder="1" applyFont="1" applyNumberFormat="1">
      <alignment horizontal="center" vertical="center"/>
    </xf>
    <xf borderId="7" fillId="13" fontId="9" numFmtId="46" xfId="0" applyAlignment="1" applyBorder="1" applyFont="1" applyNumberFormat="1">
      <alignment horizontal="center" vertical="center"/>
    </xf>
    <xf borderId="7" fillId="3" fontId="8" numFmtId="9" xfId="0" applyAlignment="1" applyBorder="1" applyFont="1" applyNumberFormat="1">
      <alignment horizontal="center" shrinkToFit="0" vertical="center" wrapText="1"/>
    </xf>
    <xf borderId="7" fillId="13" fontId="9" numFmtId="0" xfId="0" applyAlignment="1" applyBorder="1" applyFont="1">
      <alignment horizontal="center" vertical="center"/>
    </xf>
    <xf borderId="7" fillId="3" fontId="9" numFmtId="10" xfId="0" applyAlignment="1" applyBorder="1" applyFont="1" applyNumberFormat="1">
      <alignment horizontal="center" vertical="center"/>
    </xf>
    <xf borderId="7" fillId="12" fontId="10" numFmtId="10" xfId="0" applyAlignment="1" applyBorder="1" applyFont="1" applyNumberFormat="1">
      <alignment horizontal="center" vertical="center"/>
    </xf>
    <xf borderId="7" fillId="3" fontId="9" numFmtId="0" xfId="0" applyAlignment="1" applyBorder="1" applyFont="1">
      <alignment horizontal="center" vertical="center"/>
    </xf>
    <xf borderId="7" fillId="13" fontId="8" numFmtId="9" xfId="0" applyAlignment="1" applyBorder="1" applyFont="1" applyNumberFormat="1">
      <alignment horizontal="center" shrinkToFit="0" vertical="center" wrapText="1"/>
    </xf>
    <xf borderId="7" fillId="13" fontId="9" numFmtId="9" xfId="0" applyAlignment="1" applyBorder="1" applyFont="1" applyNumberFormat="1">
      <alignment horizontal="center" shrinkToFit="0" vertical="center" wrapText="1"/>
    </xf>
    <xf borderId="7" fillId="13" fontId="9" numFmtId="0" xfId="0" applyAlignment="1" applyBorder="1" applyFont="1">
      <alignment horizontal="center" shrinkToFit="0" vertical="center" wrapText="1"/>
    </xf>
    <xf borderId="7" fillId="3" fontId="9" numFmtId="21" xfId="0" applyAlignment="1" applyBorder="1" applyFont="1" applyNumberFormat="1">
      <alignment horizontal="center" shrinkToFit="0" vertical="center" wrapText="1"/>
    </xf>
    <xf borderId="7" fillId="12" fontId="10" numFmtId="21" xfId="0" applyAlignment="1" applyBorder="1" applyFont="1" applyNumberFormat="1">
      <alignment horizontal="center" shrinkToFit="0" vertical="center" wrapText="1"/>
    </xf>
    <xf borderId="7" fillId="3" fontId="9" numFmtId="0" xfId="0" applyAlignment="1" applyBorder="1" applyFont="1">
      <alignment horizontal="center" shrinkToFit="0" vertical="center" wrapText="1"/>
    </xf>
    <xf borderId="7" fillId="12" fontId="10" numFmtId="0" xfId="0" applyAlignment="1" applyBorder="1" applyFont="1">
      <alignment horizontal="center" vertical="center"/>
    </xf>
    <xf borderId="7" fillId="12" fontId="10" numFmtId="0" xfId="0" applyAlignment="1" applyBorder="1" applyFont="1">
      <alignment horizontal="center" shrinkToFit="0" vertical="center" wrapText="1"/>
    </xf>
    <xf borderId="8" fillId="12" fontId="10" numFmtId="0" xfId="0" applyAlignment="1" applyBorder="1" applyFont="1">
      <alignment horizontal="center" shrinkToFit="0" vertical="center" wrapText="1"/>
    </xf>
    <xf borderId="12" fillId="0" fontId="4" numFmtId="0" xfId="0" applyBorder="1" applyFont="1"/>
    <xf borderId="7" fillId="12" fontId="10" numFmtId="3" xfId="0" applyAlignment="1" applyBorder="1" applyFont="1" applyNumberFormat="1">
      <alignment horizontal="center" shrinkToFit="0" vertical="center" wrapText="1"/>
    </xf>
    <xf borderId="13" fillId="14" fontId="11" numFmtId="0" xfId="0" applyAlignment="1" applyBorder="1" applyFill="1" applyFont="1">
      <alignment horizontal="center" vertical="center"/>
    </xf>
    <xf borderId="13" fillId="14" fontId="11" numFmtId="0" xfId="0" applyAlignment="1" applyBorder="1" applyFont="1">
      <alignment horizontal="center" shrinkToFit="0" vertical="center" wrapText="1"/>
    </xf>
    <xf borderId="1" fillId="15" fontId="12" numFmtId="0" xfId="0" applyAlignment="1" applyBorder="1" applyFill="1" applyFont="1">
      <alignment vertical="center"/>
    </xf>
    <xf borderId="14" fillId="0" fontId="12" numFmtId="0" xfId="0" applyAlignment="1" applyBorder="1" applyFont="1">
      <alignment horizontal="center" shrinkToFit="0" vertical="center" wrapText="1"/>
    </xf>
    <xf borderId="14" fillId="0" fontId="12" numFmtId="14" xfId="0" applyAlignment="1" applyBorder="1" applyFont="1" applyNumberFormat="1">
      <alignment horizontal="center" vertical="center"/>
    </xf>
    <xf borderId="14" fillId="0" fontId="12" numFmtId="17" xfId="0" applyAlignment="1" applyBorder="1" applyFont="1" applyNumberFormat="1">
      <alignment horizontal="center" shrinkToFit="0" vertical="center" wrapText="1"/>
    </xf>
    <xf borderId="0" fillId="0" fontId="12" numFmtId="0" xfId="0" applyAlignment="1" applyFont="1">
      <alignment vertical="center"/>
    </xf>
    <xf borderId="2" fillId="15" fontId="13" numFmtId="0" xfId="0" applyAlignment="1" applyBorder="1" applyFont="1">
      <alignment horizontal="center" vertical="center"/>
    </xf>
    <xf borderId="15" fillId="0" fontId="4" numFmtId="0" xfId="0" applyBorder="1" applyFont="1"/>
    <xf borderId="16" fillId="0" fontId="12" numFmtId="0" xfId="0" applyAlignment="1" applyBorder="1" applyFont="1">
      <alignment vertical="center"/>
    </xf>
    <xf borderId="16" fillId="0" fontId="13" numFmtId="0" xfId="0" applyAlignment="1" applyBorder="1" applyFont="1">
      <alignment horizontal="center" vertical="center"/>
    </xf>
    <xf borderId="16" fillId="0" fontId="4" numFmtId="0" xfId="0" applyBorder="1" applyFont="1"/>
    <xf borderId="14" fillId="0" fontId="13" numFmtId="0" xfId="0" applyAlignment="1" applyBorder="1" applyFont="1">
      <alignment horizontal="left" vertical="center"/>
    </xf>
    <xf borderId="14" fillId="0" fontId="4" numFmtId="0" xfId="0" applyBorder="1" applyFont="1"/>
    <xf borderId="0" fillId="0" fontId="14" numFmtId="0" xfId="0" applyFont="1"/>
    <xf borderId="17" fillId="0" fontId="15" numFmtId="0" xfId="0" applyAlignment="1" applyBorder="1" applyFont="1">
      <alignment vertical="center"/>
    </xf>
    <xf borderId="17" fillId="0" fontId="15" numFmtId="0" xfId="0" applyAlignment="1" applyBorder="1" applyFont="1">
      <alignment horizontal="center" vertical="center"/>
    </xf>
    <xf borderId="1" fillId="16" fontId="15" numFmtId="0" xfId="0" applyAlignment="1" applyBorder="1" applyFill="1" applyFont="1">
      <alignment vertical="center"/>
    </xf>
    <xf borderId="1" fillId="16" fontId="15" numFmtId="0" xfId="0" applyAlignment="1" applyBorder="1" applyFont="1">
      <alignment horizontal="center" vertical="center"/>
    </xf>
    <xf borderId="0" fillId="0" fontId="15" numFmtId="0" xfId="0" applyAlignment="1" applyFont="1">
      <alignment vertical="center"/>
    </xf>
    <xf borderId="0" fillId="0" fontId="15" numFmtId="0" xfId="0" applyAlignment="1" applyFont="1">
      <alignment horizontal="center" vertical="center"/>
    </xf>
    <xf borderId="18" fillId="0" fontId="15" numFmtId="0" xfId="0" applyAlignment="1" applyBorder="1" applyFont="1">
      <alignment vertical="center"/>
    </xf>
    <xf borderId="18" fillId="0" fontId="1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400">
                <a:solidFill>
                  <a:srgbClr val="757575"/>
                </a:solidFill>
                <a:latin typeface="Times New Roman"/>
              </a:defRPr>
            </a:pPr>
            <a:r>
              <a:rPr b="1" i="0" sz="1400">
                <a:solidFill>
                  <a:srgbClr val="757575"/>
                </a:solidFill>
                <a:latin typeface="Times New Roman"/>
              </a:rPr>
              <a:t>Análise Quantitativa do Trimestre - Abril a Junho/2025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Pontuação Atingida</c:v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 i="0" sz="1200">
                    <a:latin typeface="Times New Roman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Planilha1!$A$3:$A$5</c:f>
            </c:strRef>
          </c:cat>
          <c:val>
            <c:numRef>
              <c:f>Planilha1!$B$3:$B$5</c:f>
              <c:numCache/>
            </c:numRef>
          </c:val>
        </c:ser>
        <c:axId val="843885775"/>
        <c:axId val="1701705768"/>
      </c:barChart>
      <c:lineChart>
        <c:varyColors val="0"/>
        <c:ser>
          <c:idx val="1"/>
          <c:order val="1"/>
          <c:tx>
            <c:v>Meta</c:v>
          </c:tx>
          <c:spPr>
            <a:ln cmpd="sng" w="28575">
              <a:solidFill>
                <a:srgbClr val="FF0000">
                  <a:alpha val="100000"/>
                </a:srgbClr>
              </a:solidFill>
              <a:prstDash val="dash"/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numFmt formatCode="General" sourceLinked="1"/>
              <c:txPr>
                <a:bodyPr/>
                <a:lstStyle/>
                <a:p>
                  <a:pPr lvl="0">
                    <a:defRPr b="1" i="0" sz="1200">
                      <a:solidFill>
                        <a:srgbClr val="FF0000"/>
                      </a:solidFill>
                      <a:latin typeface="Times New Roman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 b="0" i="0" sz="1200">
                    <a:latin typeface="Times New Roman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Planilha1!$A$3:$A$5</c:f>
            </c:strRef>
          </c:cat>
          <c:val>
            <c:numRef>
              <c:f>Planilha1!$C$3:$C$5</c:f>
              <c:numCache/>
            </c:numRef>
          </c:val>
          <c:smooth val="0"/>
        </c:ser>
        <c:axId val="843885775"/>
        <c:axId val="1701705768"/>
      </c:lineChart>
      <c:catAx>
        <c:axId val="8438857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1200">
                <a:solidFill>
                  <a:srgbClr val="000000"/>
                </a:solidFill>
                <a:latin typeface="Times New Roman"/>
              </a:defRPr>
            </a:pPr>
          </a:p>
        </c:txPr>
        <c:crossAx val="1701705768"/>
      </c:catAx>
      <c:valAx>
        <c:axId val="170170576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3885775"/>
      </c:valAx>
    </c:plotArea>
    <c:legend>
      <c:legendPos val="b"/>
      <c:overlay val="0"/>
      <c:txPr>
        <a:bodyPr/>
        <a:lstStyle/>
        <a:p>
          <a:pPr lvl="0">
            <a:defRPr b="0" i="0" sz="1200">
              <a:solidFill>
                <a:srgbClr val="1A1A1A"/>
              </a:solidFill>
              <a:latin typeface="Times New Roman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bar"/>
        <c:ser>
          <c:idx val="0"/>
          <c:order val="0"/>
          <c:tx>
            <c:v>Percentual de Desistência de Atendimento Médico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 i="0" sz="900">
                    <a:latin typeface="Times New Roman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val>
            <c:numRef>
              <c:f>Planilha1!$B$10</c:f>
              <c:numCache/>
            </c:numRef>
          </c:val>
        </c:ser>
        <c:ser>
          <c:idx val="1"/>
          <c:order val="1"/>
          <c:tx>
            <c:v>Meta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 i="0" sz="900">
                    <a:latin typeface="Times New Roman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val>
            <c:numRef>
              <c:f>Planilha1!$B$11</c:f>
              <c:numCache/>
            </c:numRef>
          </c:val>
        </c:ser>
        <c:axId val="796347152"/>
        <c:axId val="2138663688"/>
      </c:barChart>
      <c:catAx>
        <c:axId val="79634715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8663688"/>
      </c:catAx>
      <c:valAx>
        <c:axId val="21386636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6347152"/>
        <c:crosses val="max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Times New Roman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Times New Roman"/>
              </a:defRPr>
            </a:pPr>
            <a:r>
              <a:rPr b="1" i="0" sz="1600">
                <a:solidFill>
                  <a:srgbClr val="757575"/>
                </a:solidFill>
                <a:latin typeface="Times New Roman"/>
              </a:rPr>
              <a:t>Consultas Realizadas no Trimestre x Meta Trimestral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Valor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 i="0" sz="900">
                    <a:latin typeface="Times New Roman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Planilha1!$A$25:$A$26</c:f>
            </c:strRef>
          </c:cat>
          <c:val>
            <c:numRef>
              <c:f>Planilha1!$B$25:$B$26</c:f>
              <c:numCache/>
            </c:numRef>
          </c:val>
        </c:ser>
        <c:axId val="711021855"/>
        <c:axId val="1438115559"/>
      </c:barChart>
      <c:catAx>
        <c:axId val="7110218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Times New Roman"/>
              </a:defRPr>
            </a:pPr>
          </a:p>
        </c:txPr>
        <c:crossAx val="1438115559"/>
      </c:catAx>
      <c:valAx>
        <c:axId val="143811555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1021855"/>
      </c:valAx>
    </c:plotArea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Atendimento Assistência Social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 i="0" sz="1100">
                    <a:latin typeface="Times New Roman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Planilha1!$B$30:$D$30</c:f>
            </c:strRef>
          </c:cat>
          <c:val>
            <c:numRef>
              <c:f>Planilha1!$B$31:$D$31</c:f>
              <c:numCache/>
            </c:numRef>
          </c:val>
        </c:ser>
        <c:axId val="1650162587"/>
        <c:axId val="1882436893"/>
      </c:barChart>
      <c:catAx>
        <c:axId val="16501625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Times New Roman"/>
              </a:defRPr>
            </a:pPr>
          </a:p>
        </c:txPr>
        <c:crossAx val="1882436893"/>
      </c:catAx>
      <c:valAx>
        <c:axId val="188243689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0162587"/>
      </c:valAx>
    </c:plotArea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Quadro Geral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 i="0" sz="1200">
                    <a:latin typeface="Times New Roman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Planilha1!$B$33:$D$33</c:f>
            </c:strRef>
          </c:cat>
          <c:val>
            <c:numRef>
              <c:f>Planilha1!$B$34:$D$34</c:f>
              <c:numCache/>
            </c:numRef>
          </c:val>
        </c:ser>
        <c:axId val="2135695242"/>
        <c:axId val="432773480"/>
      </c:barChart>
      <c:lineChart>
        <c:varyColors val="0"/>
        <c:ser>
          <c:idx val="1"/>
          <c:order val="1"/>
          <c:tx>
            <c:v>Meta</c:v>
          </c:tx>
          <c:spPr>
            <a:ln cmpd="sng" w="28575">
              <a:solidFill>
                <a:srgbClr val="FF0000">
                  <a:alpha val="100000"/>
                </a:srgbClr>
              </a:solidFill>
              <a:prstDash val="dash"/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numFmt formatCode="General" sourceLinked="1"/>
              <c:txPr>
                <a:bodyPr/>
                <a:lstStyle/>
                <a:p>
                  <a:pPr lvl="0">
                    <a:defRPr b="1" i="0" sz="1200">
                      <a:solidFill>
                        <a:srgbClr val="FF0000"/>
                      </a:solidFill>
                      <a:latin typeface="Times New Roman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 b="0" i="0" sz="1200">
                    <a:latin typeface="Times New Roman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Planilha1!$B$33:$D$33</c:f>
            </c:strRef>
          </c:cat>
          <c:val>
            <c:numRef>
              <c:f>Planilha1!$B$35:$D$35</c:f>
              <c:numCache/>
            </c:numRef>
          </c:val>
          <c:smooth val="0"/>
        </c:ser>
        <c:axId val="2135695242"/>
        <c:axId val="432773480"/>
      </c:lineChart>
      <c:catAx>
        <c:axId val="21356952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1200">
                <a:solidFill>
                  <a:srgbClr val="000000"/>
                </a:solidFill>
                <a:latin typeface="Times New Roman"/>
              </a:defRPr>
            </a:pPr>
          </a:p>
        </c:txPr>
        <c:crossAx val="432773480"/>
      </c:catAx>
      <c:valAx>
        <c:axId val="43277348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5695242"/>
      </c:valAx>
    </c:plotArea>
    <c:legend>
      <c:legendPos val="b"/>
      <c:overlay val="0"/>
      <c:txPr>
        <a:bodyPr/>
        <a:lstStyle/>
        <a:p>
          <a:pPr lvl="0">
            <a:defRPr b="0" i="0" sz="1200">
              <a:solidFill>
                <a:srgbClr val="1A1A1A"/>
              </a:solidFill>
              <a:latin typeface="Times New Roman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400">
                <a:solidFill>
                  <a:srgbClr val="757575"/>
                </a:solidFill>
                <a:latin typeface="Times New Roman"/>
              </a:defRPr>
            </a:pPr>
            <a:r>
              <a:rPr b="1" i="0" sz="1400">
                <a:solidFill>
                  <a:srgbClr val="757575"/>
                </a:solidFill>
                <a:latin typeface="Times New Roman"/>
              </a:rPr>
              <a:t>Equipe Médica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Equipe Médica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 i="0" sz="1200">
                    <a:latin typeface="Times New Roman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Planilha1!$B$38:$D$38</c:f>
            </c:strRef>
          </c:cat>
          <c:val>
            <c:numRef>
              <c:f>Planilha1!$B$39:$D$39</c:f>
              <c:numCache/>
            </c:numRef>
          </c:val>
        </c:ser>
        <c:axId val="934581667"/>
        <c:axId val="1874112342"/>
      </c:barChart>
      <c:lineChart>
        <c:varyColors val="0"/>
        <c:ser>
          <c:idx val="1"/>
          <c:order val="1"/>
          <c:tx>
            <c:v>Meta</c:v>
          </c:tx>
          <c:spPr>
            <a:ln cmpd="sng" w="28575">
              <a:solidFill>
                <a:srgbClr val="FF0000">
                  <a:alpha val="100000"/>
                </a:srgbClr>
              </a:solidFill>
              <a:prstDash val="dash"/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 b="1" i="0" sz="1200">
                    <a:solidFill>
                      <a:srgbClr val="FF0000"/>
                    </a:solidFill>
                    <a:latin typeface="Times New Roman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Planilha1!$B$38:$D$38</c:f>
            </c:strRef>
          </c:cat>
          <c:val>
            <c:numRef>
              <c:f>Planilha1!$B$40:$D$40</c:f>
              <c:numCache/>
            </c:numRef>
          </c:val>
          <c:smooth val="0"/>
        </c:ser>
        <c:axId val="934581667"/>
        <c:axId val="1874112342"/>
      </c:lineChart>
      <c:catAx>
        <c:axId val="9345816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1200">
                <a:solidFill>
                  <a:srgbClr val="000000"/>
                </a:solidFill>
                <a:latin typeface="Times New Roman"/>
              </a:defRPr>
            </a:pPr>
          </a:p>
        </c:txPr>
        <c:crossAx val="1874112342"/>
      </c:catAx>
      <c:valAx>
        <c:axId val="187411234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4581667"/>
      </c:valAx>
    </c:plotArea>
    <c:legend>
      <c:legendPos val="b"/>
      <c:overlay val="0"/>
      <c:txPr>
        <a:bodyPr/>
        <a:lstStyle/>
        <a:p>
          <a:pPr lvl="0">
            <a:defRPr b="0" i="0" sz="1200">
              <a:solidFill>
                <a:srgbClr val="1A1A1A"/>
              </a:solidFill>
              <a:latin typeface="Times New Roman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Total de Notificações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Planilha1!$B$42:$D$42</c:f>
            </c:strRef>
          </c:cat>
          <c:val>
            <c:numRef>
              <c:f>Planilha1!$B$43:$D$43</c:f>
              <c:numCache/>
            </c:numRef>
          </c:val>
        </c:ser>
        <c:axId val="1096226751"/>
        <c:axId val="1978517080"/>
      </c:barChart>
      <c:lineChart>
        <c:varyColors val="0"/>
        <c:ser>
          <c:idx val="1"/>
          <c:order val="1"/>
          <c:tx>
            <c:v>Percentual de Preenchimento Correto</c:v>
          </c:tx>
          <c:spPr>
            <a:ln cmpd="sng" w="28575">
              <a:solidFill>
                <a:schemeClr val="accent2"/>
              </a:solidFill>
            </a:ln>
          </c:spPr>
          <c:marker>
            <c:symbol val="none"/>
          </c:marker>
          <c:cat>
            <c:strRef>
              <c:f>Planilha1!$B$42:$D$42</c:f>
            </c:strRef>
          </c:cat>
          <c:val>
            <c:numRef>
              <c:f>Planilha1!$B$44:$D$44</c:f>
              <c:numCache/>
            </c:numRef>
          </c:val>
          <c:smooth val="0"/>
        </c:ser>
        <c:axId val="1096226751"/>
        <c:axId val="1978517080"/>
      </c:lineChart>
      <c:catAx>
        <c:axId val="10962267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1200">
                <a:solidFill>
                  <a:srgbClr val="000000"/>
                </a:solidFill>
                <a:latin typeface="Times New Roman"/>
              </a:defRPr>
            </a:pPr>
          </a:p>
        </c:txPr>
        <c:crossAx val="1978517080"/>
      </c:catAx>
      <c:valAx>
        <c:axId val="197851708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200">
                <a:solidFill>
                  <a:srgbClr val="000000"/>
                </a:solidFill>
                <a:latin typeface="Times New Roman"/>
              </a:defRPr>
            </a:pPr>
          </a:p>
        </c:txPr>
        <c:crossAx val="1096226751"/>
      </c:valAx>
    </c:plotArea>
    <c:legend>
      <c:legendPos val="b"/>
      <c:overlay val="0"/>
      <c:txPr>
        <a:bodyPr/>
        <a:lstStyle/>
        <a:p>
          <a:pPr lvl="0">
            <a:defRPr b="0" i="0" sz="1200">
              <a:solidFill>
                <a:srgbClr val="1A1A1A"/>
              </a:solidFill>
              <a:latin typeface="Times New Roman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Times New Roman"/>
              </a:defRPr>
            </a:pPr>
            <a:r>
              <a:rPr b="1" i="0" sz="1600">
                <a:solidFill>
                  <a:srgbClr val="757575"/>
                </a:solidFill>
                <a:latin typeface="Times New Roman"/>
              </a:rPr>
              <a:t>Análise Quantitativa do Trimestre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Pontuação Atingida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i="0" sz="1400">
                    <a:latin typeface="Times New Roman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'1.TRIMESTRE'!$E$49:$G$49</c:f>
            </c:strRef>
          </c:cat>
          <c:val>
            <c:numRef>
              <c:f>'1.TRIMESTRE'!$E$51:$G$51</c:f>
              <c:numCache/>
            </c:numRef>
          </c:val>
        </c:ser>
        <c:axId val="44003538"/>
        <c:axId val="1518112187"/>
      </c:barChart>
      <c:lineChart>
        <c:varyColors val="0"/>
        <c:ser>
          <c:idx val="1"/>
          <c:order val="1"/>
          <c:tx>
            <c:v>Meta</c:v>
          </c:tx>
          <c:spPr>
            <a:ln cmpd="sng" w="28575">
              <a:solidFill>
                <a:srgbClr val="FF0000">
                  <a:alpha val="100000"/>
                </a:srgbClr>
              </a:solidFill>
              <a:prstDash val="dash"/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 b="1" i="0" sz="1400">
                    <a:solidFill>
                      <a:srgbClr val="FF0000"/>
                    </a:solidFill>
                    <a:latin typeface="Times New Roman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'1.TRIMESTRE'!$E$49:$G$49</c:f>
            </c:strRef>
          </c:cat>
          <c:val>
            <c:numRef>
              <c:f>'1.TRIMESTRE'!$E$50:$G$50</c:f>
              <c:numCache/>
            </c:numRef>
          </c:val>
          <c:smooth val="0"/>
        </c:ser>
        <c:axId val="44003538"/>
        <c:axId val="1518112187"/>
      </c:lineChart>
      <c:catAx>
        <c:axId val="440035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1200">
                <a:solidFill>
                  <a:srgbClr val="000000"/>
                </a:solidFill>
                <a:latin typeface="Times New Roman"/>
              </a:defRPr>
            </a:pPr>
          </a:p>
        </c:txPr>
        <c:crossAx val="1518112187"/>
      </c:catAx>
      <c:valAx>
        <c:axId val="151811218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003538"/>
      </c:valAx>
    </c:plotArea>
    <c:legend>
      <c:legendPos val="b"/>
      <c:overlay val="0"/>
      <c:txPr>
        <a:bodyPr/>
        <a:lstStyle/>
        <a:p>
          <a:pPr lvl="0">
            <a:defRPr b="0" i="0" sz="1200">
              <a:solidFill>
                <a:srgbClr val="1A1A1A"/>
              </a:solidFill>
              <a:latin typeface="Times New Roman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030555555555555555"/>
          <c:y val="0.04033736707004034"/>
          <c:w val="0.9388888888888889"/>
          <c:h val="0.8574436446269299"/>
        </c:manualLayout>
      </c:layout>
      <c:barChart>
        <c:barDir val="bar"/>
        <c:ser>
          <c:idx val="0"/>
          <c:order val="0"/>
          <c:tx>
            <c:v>Percentual de desistência de atendimento médico</c:v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 i="0" sz="1600">
                    <a:latin typeface="Times New Roman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'1.TRIMESTRE'!$B$28</c:f>
            </c:strRef>
          </c:cat>
          <c:val>
            <c:numRef>
              <c:f>'1.TRIMESTRE'!$B$29</c:f>
              <c:numCache/>
            </c:numRef>
          </c:val>
        </c:ser>
        <c:ser>
          <c:idx val="1"/>
          <c:order val="1"/>
          <c:cat>
            <c:strRef>
              <c:f>'1.TRIMESTRE'!$B$28</c:f>
            </c:strRef>
          </c:cat>
          <c:val>
            <c:numRef>
              <c:f>'1.TRIMESTRE'!$H$28</c:f>
              <c:numCache/>
            </c:numRef>
          </c:val>
        </c:ser>
        <c:ser>
          <c:idx val="2"/>
          <c:order val="2"/>
          <c:cat>
            <c:strRef>
              <c:f>'1.TRIMESTRE'!$B$28</c:f>
            </c:strRef>
          </c:cat>
          <c:val>
            <c:numRef>
              <c:f>'1.TRIMESTRE'!$I$28</c:f>
              <c:numCache/>
            </c:numRef>
          </c:val>
        </c:ser>
        <c:axId val="678468075"/>
        <c:axId val="992906409"/>
      </c:barChart>
      <c:catAx>
        <c:axId val="67846807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2906409"/>
      </c:catAx>
      <c:valAx>
        <c:axId val="9929064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8468075"/>
        <c:crosses val="max"/>
      </c:valAx>
    </c:plotArea>
    <c:legend>
      <c:legendPos val="b"/>
      <c:overlay val="0"/>
      <c:txPr>
        <a:bodyPr/>
        <a:lstStyle/>
        <a:p>
          <a:pPr lvl="0">
            <a:defRPr b="0" i="0" sz="1600">
              <a:solidFill>
                <a:srgbClr val="1A1A1A"/>
              </a:solidFill>
              <a:latin typeface="Times New Roman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Times New Roman"/>
              </a:defRPr>
            </a:pPr>
            <a:r>
              <a:rPr b="1" i="0" sz="1600">
                <a:solidFill>
                  <a:srgbClr val="757575"/>
                </a:solidFill>
                <a:latin typeface="Times New Roman"/>
              </a:rPr>
              <a:t>Consultas Realizas x Meta Trimestral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i="0" sz="1400">
                    <a:latin typeface="Times New Roman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'1.TRIMESTRE'!$I$2:$I$3</c:f>
            </c:strRef>
          </c:cat>
          <c:val>
            <c:numRef>
              <c:f>'1.TRIMESTRE'!$J$2:$J$3</c:f>
              <c:numCache/>
            </c:numRef>
          </c:val>
        </c:ser>
        <c:axId val="510488683"/>
        <c:axId val="1095707604"/>
      </c:barChart>
      <c:catAx>
        <c:axId val="5104886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Times New Roman"/>
              </a:defRPr>
            </a:pPr>
          </a:p>
        </c:txPr>
        <c:crossAx val="1095707604"/>
      </c:catAx>
      <c:valAx>
        <c:axId val="109570760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0488683"/>
      </c:valAx>
    </c:plotArea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Atendimento assistência social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 i="0" sz="1200">
                    <a:latin typeface="Times New Roman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'1.TRIMESTRE'!$L$43:$N$43</c:f>
            </c:strRef>
          </c:cat>
          <c:val>
            <c:numRef>
              <c:f>'1.TRIMESTRE'!$L$44:$N$44</c:f>
              <c:numCache/>
            </c:numRef>
          </c:val>
        </c:ser>
        <c:axId val="1713504803"/>
        <c:axId val="914637777"/>
      </c:barChart>
      <c:catAx>
        <c:axId val="17135048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1200">
                <a:solidFill>
                  <a:srgbClr val="000000"/>
                </a:solidFill>
                <a:latin typeface="Times New Roman"/>
              </a:defRPr>
            </a:pPr>
          </a:p>
        </c:txPr>
        <c:crossAx val="914637777"/>
      </c:catAx>
      <c:valAx>
        <c:axId val="91463777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3504803"/>
      </c:valAx>
    </c:plotArea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Times New Roman"/>
              </a:defRPr>
            </a:pPr>
            <a:r>
              <a:rPr b="1" i="0" sz="1600">
                <a:solidFill>
                  <a:srgbClr val="757575"/>
                </a:solidFill>
                <a:latin typeface="Times New Roman"/>
              </a:rPr>
              <a:t>Quadro Geral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Capacitação quadro geral</c:v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 i="0" sz="1200">
                    <a:latin typeface="Times New Roman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'1.TRIMESTRE'!$E$1:$G$1</c:f>
            </c:strRef>
          </c:cat>
          <c:val>
            <c:numRef>
              <c:f>'1.TRIMESTRE'!$E$36:$G$36</c:f>
              <c:numCache/>
            </c:numRef>
          </c:val>
        </c:ser>
        <c:axId val="1765013668"/>
        <c:axId val="372498099"/>
      </c:barChart>
      <c:catAx>
        <c:axId val="17650136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Times New Roman"/>
              </a:defRPr>
            </a:pPr>
          </a:p>
        </c:txPr>
        <c:crossAx val="372498099"/>
      </c:catAx>
      <c:valAx>
        <c:axId val="37249809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5013668"/>
      </c:valAx>
    </c:plotArea>
    <c:plotVisOnly val="1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Times New Roman"/>
              </a:defRPr>
            </a:pPr>
            <a:r>
              <a:rPr b="1" i="0" sz="1600">
                <a:solidFill>
                  <a:srgbClr val="757575"/>
                </a:solidFill>
                <a:latin typeface="Times New Roman"/>
              </a:rPr>
              <a:t>Equipe Médica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Capacitação equipe médica</c:v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 i="0" sz="1200">
                    <a:latin typeface="Times New Roman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'1.TRIMESTRE'!$E$1:$G$1</c:f>
            </c:strRef>
          </c:cat>
          <c:val>
            <c:numRef>
              <c:f>'1.TRIMESTRE'!$E$38:$G$38</c:f>
              <c:numCache/>
            </c:numRef>
          </c:val>
        </c:ser>
        <c:axId val="2033627398"/>
        <c:axId val="449965874"/>
      </c:barChart>
      <c:catAx>
        <c:axId val="20336273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Times New Roman"/>
              </a:defRPr>
            </a:pPr>
          </a:p>
        </c:txPr>
        <c:crossAx val="449965874"/>
      </c:catAx>
      <c:valAx>
        <c:axId val="44996587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3627398"/>
      </c:valAx>
    </c:plotArea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<Relationship Id="rId5" Type="http://schemas.openxmlformats.org/officeDocument/2006/relationships/chart" Target="../charts/chart12.xml"/><Relationship Id="rId6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0</xdr:colOff>
      <xdr:row>0</xdr:row>
      <xdr:rowOff>180975</xdr:rowOff>
    </xdr:from>
    <xdr:ext cx="828675" cy="457200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descr="Logotipo&#10;&#10;O conteúdo gerado por IA pode estar incorreto."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descr="Interface gráfica do usuário, Site&#10;&#10;O conteúdo gerado por IA pode estar incorreto." id="0" name="image1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descr="Logotipo&#10;&#10;O conteúdo gerado por IA pode estar incorreto."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0</xdr:colOff>
      <xdr:row>0</xdr:row>
      <xdr:rowOff>180975</xdr:rowOff>
    </xdr:from>
    <xdr:ext cx="828675" cy="457200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descr="Logotipo&#10;&#10;O conteúdo gerado por IA pode estar incorreto."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descr="Interface gráfica do usuário, Site&#10;&#10;O conteúdo gerado por IA pode estar incorreto." id="0" name="image1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descr="Logotipo&#10;&#10;O conteúdo gerado por IA pode estar incorreto."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0</xdr:colOff>
      <xdr:row>0</xdr:row>
      <xdr:rowOff>180975</xdr:rowOff>
    </xdr:from>
    <xdr:ext cx="828675" cy="457200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descr="Logotipo&#10;&#10;O conteúdo gerado por IA pode estar incorreto."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descr="Interface gráfica do usuário, Site&#10;&#10;O conteúdo gerado por IA pode estar incorreto." id="0" name="image1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descr="Logotipo&#10;&#10;O conteúdo gerado por IA pode estar incorreto."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0</xdr:colOff>
      <xdr:row>0</xdr:row>
      <xdr:rowOff>180975</xdr:rowOff>
    </xdr:from>
    <xdr:ext cx="828675" cy="457200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descr="Logotipo&#10;&#10;O conteúdo gerado por IA pode estar incorreto."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descr="Interface gráfica do usuário, Site&#10;&#10;O conteúdo gerado por IA pode estar incorreto." id="0" name="image1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descr="Logotipo&#10;&#10;O conteúdo gerado por IA pode estar incorreto."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0</xdr:colOff>
      <xdr:row>0</xdr:row>
      <xdr:rowOff>180975</xdr:rowOff>
    </xdr:from>
    <xdr:ext cx="828675" cy="457200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descr="Logotipo&#10;&#10;O conteúdo gerado por IA pode estar incorreto."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descr="Interface gráfica do usuário, Site&#10;&#10;O conteúdo gerado por IA pode estar incorreto." id="0" name="image1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descr="Logotipo&#10;&#10;O conteúdo gerado por IA pode estar incorreto."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0</xdr:colOff>
      <xdr:row>0</xdr:row>
      <xdr:rowOff>180975</xdr:rowOff>
    </xdr:from>
    <xdr:ext cx="828675" cy="457200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descr="Logotipo&#10;&#10;O conteúdo gerado por IA pode estar incorreto."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descr="Interface gráfica do usuário, Site&#10;&#10;O conteúdo gerado por IA pode estar incorreto." id="0" name="image1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descr="Logotipo&#10;&#10;O conteúdo gerado por IA pode estar incorreto."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66675</xdr:colOff>
      <xdr:row>9</xdr:row>
      <xdr:rowOff>57150</xdr:rowOff>
    </xdr:from>
    <xdr:ext cx="4905375" cy="300037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3</xdr:col>
      <xdr:colOff>66675</xdr:colOff>
      <xdr:row>0</xdr:row>
      <xdr:rowOff>0</xdr:rowOff>
    </xdr:from>
    <xdr:ext cx="6953250" cy="1819275"/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3</xdr:col>
      <xdr:colOff>57150</xdr:colOff>
      <xdr:row>24</xdr:row>
      <xdr:rowOff>114300</xdr:rowOff>
    </xdr:from>
    <xdr:ext cx="4905375" cy="3000375"/>
    <xdr:graphicFrame>
      <xdr:nvGraphicFramePr>
        <xdr:cNvPr id="3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10</xdr:col>
      <xdr:colOff>447675</xdr:colOff>
      <xdr:row>9</xdr:row>
      <xdr:rowOff>57150</xdr:rowOff>
    </xdr:from>
    <xdr:ext cx="4953000" cy="3000375"/>
    <xdr:graphicFrame>
      <xdr:nvGraphicFramePr>
        <xdr:cNvPr id="4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12</xdr:col>
      <xdr:colOff>238125</xdr:colOff>
      <xdr:row>40</xdr:row>
      <xdr:rowOff>171450</xdr:rowOff>
    </xdr:from>
    <xdr:ext cx="4905375" cy="3000375"/>
    <xdr:graphicFrame>
      <xdr:nvGraphicFramePr>
        <xdr:cNvPr id="5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4</xdr:col>
      <xdr:colOff>476250</xdr:colOff>
      <xdr:row>40</xdr:row>
      <xdr:rowOff>171450</xdr:rowOff>
    </xdr:from>
    <xdr:ext cx="4953000" cy="3000375"/>
    <xdr:graphicFrame>
      <xdr:nvGraphicFramePr>
        <xdr:cNvPr id="6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10</xdr:col>
      <xdr:colOff>457200</xdr:colOff>
      <xdr:row>24</xdr:row>
      <xdr:rowOff>123825</xdr:rowOff>
    </xdr:from>
    <xdr:ext cx="4953000" cy="3000375"/>
    <xdr:graphicFrame>
      <xdr:nvGraphicFramePr>
        <xdr:cNvPr id="7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295275</xdr:colOff>
      <xdr:row>51</xdr:row>
      <xdr:rowOff>133350</xdr:rowOff>
    </xdr:from>
    <xdr:ext cx="7667625" cy="3819525"/>
    <xdr:graphicFrame>
      <xdr:nvGraphicFramePr>
        <xdr:cNvPr id="8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9</xdr:col>
      <xdr:colOff>47625</xdr:colOff>
      <xdr:row>23</xdr:row>
      <xdr:rowOff>247650</xdr:rowOff>
    </xdr:from>
    <xdr:ext cx="10601325" cy="2952750"/>
    <xdr:graphicFrame>
      <xdr:nvGraphicFramePr>
        <xdr:cNvPr id="9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8</xdr:col>
      <xdr:colOff>428625</xdr:colOff>
      <xdr:row>4</xdr:row>
      <xdr:rowOff>104775</xdr:rowOff>
    </xdr:from>
    <xdr:ext cx="8991600" cy="2828925"/>
    <xdr:graphicFrame>
      <xdr:nvGraphicFramePr>
        <xdr:cNvPr id="10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9</xdr:col>
      <xdr:colOff>66675</xdr:colOff>
      <xdr:row>38</xdr:row>
      <xdr:rowOff>171450</xdr:rowOff>
    </xdr:from>
    <xdr:ext cx="8943975" cy="2790825"/>
    <xdr:graphicFrame>
      <xdr:nvGraphicFramePr>
        <xdr:cNvPr id="11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18</xdr:col>
      <xdr:colOff>0</xdr:colOff>
      <xdr:row>2</xdr:row>
      <xdr:rowOff>0</xdr:rowOff>
    </xdr:from>
    <xdr:ext cx="3619500" cy="2828925"/>
    <xdr:graphicFrame>
      <xdr:nvGraphicFramePr>
        <xdr:cNvPr id="12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18</xdr:col>
      <xdr:colOff>0</xdr:colOff>
      <xdr:row>15</xdr:row>
      <xdr:rowOff>0</xdr:rowOff>
    </xdr:from>
    <xdr:ext cx="3629025" cy="2828925"/>
    <xdr:graphicFrame>
      <xdr:nvGraphicFramePr>
        <xdr:cNvPr id="13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3BEF2D"/>
      </a:accent2>
      <a:accent3>
        <a:srgbClr val="FFFF00"/>
      </a:accent3>
      <a:accent4>
        <a:srgbClr val="FFC000"/>
      </a:accent4>
      <a:accent5>
        <a:srgbClr val="FF0000"/>
      </a:accent5>
      <a:accent6>
        <a:srgbClr val="BFBFBF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2.25"/>
    <col customWidth="1" min="2" max="2" width="56.75"/>
    <col customWidth="1" min="3" max="14" width="15.25"/>
    <col customWidth="1" min="15" max="15" width="21.38"/>
    <col customWidth="1" min="16" max="16" width="9.25"/>
    <col customWidth="1" min="17" max="26" width="8.88"/>
  </cols>
  <sheetData>
    <row r="1" ht="61.5" customHeight="1">
      <c r="A1" s="1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0</v>
      </c>
      <c r="B2" s="3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5"/>
      <c r="B3" s="6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7" t="s">
        <v>14</v>
      </c>
      <c r="B4" s="6"/>
      <c r="C4" s="8">
        <v>8880.0</v>
      </c>
      <c r="D4" s="8">
        <v>12340.0</v>
      </c>
      <c r="E4" s="8">
        <v>5400.0</v>
      </c>
      <c r="F4" s="8"/>
      <c r="G4" s="8"/>
      <c r="H4" s="8"/>
      <c r="I4" s="8"/>
      <c r="J4" s="8"/>
      <c r="K4" s="8"/>
      <c r="L4" s="8"/>
      <c r="M4" s="8"/>
      <c r="N4" s="8"/>
      <c r="O4" s="9">
        <f>SUM(C4:N4)</f>
        <v>26620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10" t="s">
        <v>15</v>
      </c>
      <c r="B5" s="10"/>
      <c r="C5" s="8">
        <f>C4/31</f>
        <v>286.4516129</v>
      </c>
      <c r="D5" s="8">
        <f>D4/30</f>
        <v>411.3333333</v>
      </c>
      <c r="E5" s="8">
        <f>E4/31</f>
        <v>174.1935484</v>
      </c>
      <c r="F5" s="8">
        <f>F4/30</f>
        <v>0</v>
      </c>
      <c r="G5" s="8">
        <f t="shared" ref="G5:H5" si="1">G4/31</f>
        <v>0</v>
      </c>
      <c r="H5" s="8">
        <f t="shared" si="1"/>
        <v>0</v>
      </c>
      <c r="I5" s="8">
        <f>I4/30</f>
        <v>0</v>
      </c>
      <c r="J5" s="8">
        <f>J4/31</f>
        <v>0</v>
      </c>
      <c r="K5" s="8">
        <f>K4/30</f>
        <v>0</v>
      </c>
      <c r="L5" s="8">
        <f t="shared" ref="L5:M5" si="2">L4/31</f>
        <v>0</v>
      </c>
      <c r="M5" s="8">
        <f t="shared" si="2"/>
        <v>0</v>
      </c>
      <c r="N5" s="8">
        <f>N4/28</f>
        <v>0</v>
      </c>
      <c r="O5" s="9">
        <f>AVERAGE(C5:N5)</f>
        <v>72.66487455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0.5" customHeight="1">
      <c r="A6" s="11"/>
      <c r="B6" s="11"/>
      <c r="C6" s="2"/>
      <c r="D6" s="2"/>
      <c r="E6" s="2"/>
      <c r="F6" s="2"/>
      <c r="G6" s="2"/>
      <c r="H6" s="12"/>
      <c r="I6" s="12"/>
      <c r="J6" s="12"/>
      <c r="K6" s="12"/>
      <c r="L6" s="12"/>
      <c r="M6" s="12"/>
      <c r="N6" s="12"/>
      <c r="O6" s="13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5"/>
      <c r="B7" s="6"/>
      <c r="C7" s="4" t="s">
        <v>1</v>
      </c>
      <c r="D7" s="4" t="s">
        <v>2</v>
      </c>
      <c r="E7" s="4" t="s">
        <v>3</v>
      </c>
      <c r="F7" s="4" t="s">
        <v>4</v>
      </c>
      <c r="G7" s="4" t="s">
        <v>5</v>
      </c>
      <c r="H7" s="4" t="s">
        <v>6</v>
      </c>
      <c r="I7" s="4" t="s">
        <v>7</v>
      </c>
      <c r="J7" s="4" t="s">
        <v>8</v>
      </c>
      <c r="K7" s="4" t="s">
        <v>9</v>
      </c>
      <c r="L7" s="4" t="s">
        <v>10</v>
      </c>
      <c r="M7" s="4" t="s">
        <v>11</v>
      </c>
      <c r="N7" s="4" t="s">
        <v>12</v>
      </c>
      <c r="O7" s="4" t="s">
        <v>13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7" t="s">
        <v>16</v>
      </c>
      <c r="B8" s="6"/>
      <c r="C8" s="8">
        <v>12000.0</v>
      </c>
      <c r="D8" s="8">
        <v>9400.0</v>
      </c>
      <c r="E8" s="8">
        <v>10500.0</v>
      </c>
      <c r="F8" s="8">
        <v>12800.0</v>
      </c>
      <c r="G8" s="8"/>
      <c r="H8" s="8"/>
      <c r="I8" s="8"/>
      <c r="J8" s="8"/>
      <c r="K8" s="8"/>
      <c r="L8" s="8"/>
      <c r="M8" s="8"/>
      <c r="N8" s="8"/>
      <c r="O8" s="9">
        <f t="shared" ref="O8:O9" si="3">SUM(C8:N8)</f>
        <v>44700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14" t="s">
        <v>17</v>
      </c>
      <c r="B9" s="6"/>
      <c r="C9" s="15">
        <v>8000.0</v>
      </c>
      <c r="D9" s="15">
        <v>8000.0</v>
      </c>
      <c r="E9" s="15">
        <v>8000.0</v>
      </c>
      <c r="F9" s="15">
        <v>8000.0</v>
      </c>
      <c r="G9" s="15">
        <v>8000.0</v>
      </c>
      <c r="H9" s="15">
        <v>8000.0</v>
      </c>
      <c r="I9" s="15">
        <v>8000.0</v>
      </c>
      <c r="J9" s="15">
        <v>8000.0</v>
      </c>
      <c r="K9" s="15">
        <v>8000.0</v>
      </c>
      <c r="L9" s="15">
        <v>8000.0</v>
      </c>
      <c r="M9" s="15">
        <v>8000.0</v>
      </c>
      <c r="N9" s="15">
        <v>8000.0</v>
      </c>
      <c r="O9" s="16">
        <f t="shared" si="3"/>
        <v>96000</v>
      </c>
      <c r="P9" s="17"/>
      <c r="Q9" s="15"/>
      <c r="R9" s="17"/>
      <c r="S9" s="17"/>
      <c r="T9" s="17"/>
      <c r="U9" s="17"/>
      <c r="V9" s="17"/>
      <c r="W9" s="17"/>
      <c r="X9" s="17"/>
      <c r="Y9" s="17"/>
      <c r="Z9" s="17"/>
    </row>
    <row r="10" ht="10.5" customHeight="1">
      <c r="A10" s="11"/>
      <c r="B10" s="11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18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5"/>
      <c r="B11" s="6"/>
      <c r="C11" s="4" t="s">
        <v>1</v>
      </c>
      <c r="D11" s="4" t="s">
        <v>2</v>
      </c>
      <c r="E11" s="4" t="s">
        <v>3</v>
      </c>
      <c r="F11" s="4" t="s">
        <v>4</v>
      </c>
      <c r="G11" s="4" t="s">
        <v>5</v>
      </c>
      <c r="H11" s="4" t="s">
        <v>6</v>
      </c>
      <c r="I11" s="4" t="s">
        <v>7</v>
      </c>
      <c r="J11" s="4" t="s">
        <v>8</v>
      </c>
      <c r="K11" s="4" t="s">
        <v>9</v>
      </c>
      <c r="L11" s="4" t="s">
        <v>10</v>
      </c>
      <c r="M11" s="4" t="s">
        <v>11</v>
      </c>
      <c r="N11" s="4" t="s">
        <v>12</v>
      </c>
      <c r="O11" s="4" t="s">
        <v>13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19" t="s">
        <v>18</v>
      </c>
      <c r="B12" s="20" t="s">
        <v>19</v>
      </c>
      <c r="C12" s="8">
        <v>300.0</v>
      </c>
      <c r="D12" s="8">
        <v>34.0</v>
      </c>
      <c r="E12" s="8">
        <v>150.0</v>
      </c>
      <c r="F12" s="8"/>
      <c r="G12" s="8"/>
      <c r="H12" s="8"/>
      <c r="I12" s="8"/>
      <c r="J12" s="8"/>
      <c r="K12" s="8"/>
      <c r="L12" s="8"/>
      <c r="M12" s="8"/>
      <c r="N12" s="8"/>
      <c r="O12" s="9">
        <f t="shared" ref="O12:O18" si="4">SUM(C12:N12)</f>
        <v>484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1"/>
      <c r="B13" s="22" t="s">
        <v>20</v>
      </c>
      <c r="C13" s="8">
        <v>96.0</v>
      </c>
      <c r="D13" s="8">
        <v>1240.0</v>
      </c>
      <c r="E13" s="8">
        <v>7580.0</v>
      </c>
      <c r="F13" s="8"/>
      <c r="G13" s="8"/>
      <c r="H13" s="8"/>
      <c r="I13" s="8"/>
      <c r="J13" s="8"/>
      <c r="K13" s="8"/>
      <c r="L13" s="8"/>
      <c r="M13" s="8"/>
      <c r="N13" s="8"/>
      <c r="O13" s="9">
        <f t="shared" si="4"/>
        <v>8916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1"/>
      <c r="B14" s="23" t="s">
        <v>21</v>
      </c>
      <c r="C14" s="8">
        <v>84.0</v>
      </c>
      <c r="D14" s="8">
        <v>1000.0</v>
      </c>
      <c r="E14" s="8">
        <v>3400.0</v>
      </c>
      <c r="F14" s="8"/>
      <c r="G14" s="8"/>
      <c r="H14" s="8"/>
      <c r="I14" s="8"/>
      <c r="J14" s="8"/>
      <c r="K14" s="8"/>
      <c r="L14" s="8"/>
      <c r="M14" s="8"/>
      <c r="N14" s="8"/>
      <c r="O14" s="9">
        <f t="shared" si="4"/>
        <v>4484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1"/>
      <c r="B15" s="24" t="s">
        <v>22</v>
      </c>
      <c r="C15" s="8">
        <v>16.0</v>
      </c>
      <c r="D15" s="8">
        <v>800.0</v>
      </c>
      <c r="E15" s="8">
        <v>200.0</v>
      </c>
      <c r="F15" s="8"/>
      <c r="G15" s="8"/>
      <c r="H15" s="8"/>
      <c r="I15" s="8"/>
      <c r="J15" s="8"/>
      <c r="K15" s="8"/>
      <c r="L15" s="8"/>
      <c r="M15" s="8"/>
      <c r="N15" s="8"/>
      <c r="O15" s="9">
        <f t="shared" si="4"/>
        <v>1016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1"/>
      <c r="B16" s="25" t="s">
        <v>23</v>
      </c>
      <c r="C16" s="8">
        <v>25.0</v>
      </c>
      <c r="D16" s="8">
        <v>59.0</v>
      </c>
      <c r="E16" s="8">
        <v>94.0</v>
      </c>
      <c r="F16" s="8"/>
      <c r="G16" s="8"/>
      <c r="H16" s="8"/>
      <c r="I16" s="8"/>
      <c r="J16" s="8"/>
      <c r="K16" s="8"/>
      <c r="L16" s="8"/>
      <c r="M16" s="8"/>
      <c r="N16" s="8"/>
      <c r="O16" s="9">
        <f t="shared" si="4"/>
        <v>178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1"/>
      <c r="B17" s="26" t="s">
        <v>24</v>
      </c>
      <c r="C17" s="8">
        <v>31.0</v>
      </c>
      <c r="D17" s="8">
        <v>21.0</v>
      </c>
      <c r="E17" s="8">
        <v>23.0</v>
      </c>
      <c r="F17" s="8"/>
      <c r="G17" s="8"/>
      <c r="H17" s="8"/>
      <c r="I17" s="8"/>
      <c r="J17" s="8"/>
      <c r="K17" s="8"/>
      <c r="L17" s="8"/>
      <c r="M17" s="8"/>
      <c r="N17" s="8"/>
      <c r="O17" s="9">
        <f t="shared" si="4"/>
        <v>75</v>
      </c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7"/>
      <c r="B18" s="28" t="s">
        <v>25</v>
      </c>
      <c r="C18" s="9">
        <f t="shared" ref="C18:N18" si="5">SUM(C12:C17)</f>
        <v>552</v>
      </c>
      <c r="D18" s="9">
        <f t="shared" si="5"/>
        <v>3154</v>
      </c>
      <c r="E18" s="9">
        <f t="shared" si="5"/>
        <v>11447</v>
      </c>
      <c r="F18" s="9">
        <f t="shared" si="5"/>
        <v>0</v>
      </c>
      <c r="G18" s="9">
        <f t="shared" si="5"/>
        <v>0</v>
      </c>
      <c r="H18" s="9">
        <f t="shared" si="5"/>
        <v>0</v>
      </c>
      <c r="I18" s="9">
        <f t="shared" si="5"/>
        <v>0</v>
      </c>
      <c r="J18" s="9">
        <f t="shared" si="5"/>
        <v>0</v>
      </c>
      <c r="K18" s="9">
        <f t="shared" si="5"/>
        <v>0</v>
      </c>
      <c r="L18" s="9">
        <f t="shared" si="5"/>
        <v>0</v>
      </c>
      <c r="M18" s="9">
        <f t="shared" si="5"/>
        <v>0</v>
      </c>
      <c r="N18" s="9">
        <f t="shared" si="5"/>
        <v>0</v>
      </c>
      <c r="O18" s="9">
        <f t="shared" si="4"/>
        <v>15153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0.5" customHeight="1">
      <c r="A19" s="11"/>
      <c r="B19" s="11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13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4.25" customHeight="1">
      <c r="A20" s="19" t="s">
        <v>26</v>
      </c>
      <c r="B20" s="10" t="s">
        <v>19</v>
      </c>
      <c r="C20" s="29">
        <f t="shared" ref="C20:N20" si="6">C12/C18</f>
        <v>0.5434782609</v>
      </c>
      <c r="D20" s="29">
        <f t="shared" si="6"/>
        <v>0.01077996195</v>
      </c>
      <c r="E20" s="29">
        <f t="shared" si="6"/>
        <v>0.01310387001</v>
      </c>
      <c r="F20" s="29" t="str">
        <f t="shared" si="6"/>
        <v>#DIV/0!</v>
      </c>
      <c r="G20" s="29" t="str">
        <f t="shared" si="6"/>
        <v>#DIV/0!</v>
      </c>
      <c r="H20" s="29" t="str">
        <f t="shared" si="6"/>
        <v>#DIV/0!</v>
      </c>
      <c r="I20" s="29" t="str">
        <f t="shared" si="6"/>
        <v>#DIV/0!</v>
      </c>
      <c r="J20" s="29" t="str">
        <f t="shared" si="6"/>
        <v>#DIV/0!</v>
      </c>
      <c r="K20" s="29" t="str">
        <f t="shared" si="6"/>
        <v>#DIV/0!</v>
      </c>
      <c r="L20" s="29" t="str">
        <f t="shared" si="6"/>
        <v>#DIV/0!</v>
      </c>
      <c r="M20" s="29" t="str">
        <f t="shared" si="6"/>
        <v>#DIV/0!</v>
      </c>
      <c r="N20" s="29" t="str">
        <f t="shared" si="6"/>
        <v>#DIV/0!</v>
      </c>
      <c r="O20" s="30" t="str">
        <f t="shared" ref="O20:O25" si="8">AVERAGE(C20:N20)</f>
        <v>#DIV/0!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1"/>
      <c r="B21" s="10" t="s">
        <v>20</v>
      </c>
      <c r="C21" s="29">
        <f t="shared" ref="C21:N21" si="7">C13/C18</f>
        <v>0.1739130435</v>
      </c>
      <c r="D21" s="29">
        <f t="shared" si="7"/>
        <v>0.3931515536</v>
      </c>
      <c r="E21" s="29">
        <f t="shared" si="7"/>
        <v>0.6621822312</v>
      </c>
      <c r="F21" s="29" t="str">
        <f t="shared" si="7"/>
        <v>#DIV/0!</v>
      </c>
      <c r="G21" s="29" t="str">
        <f t="shared" si="7"/>
        <v>#DIV/0!</v>
      </c>
      <c r="H21" s="29" t="str">
        <f t="shared" si="7"/>
        <v>#DIV/0!</v>
      </c>
      <c r="I21" s="29" t="str">
        <f t="shared" si="7"/>
        <v>#DIV/0!</v>
      </c>
      <c r="J21" s="29" t="str">
        <f t="shared" si="7"/>
        <v>#DIV/0!</v>
      </c>
      <c r="K21" s="29" t="str">
        <f t="shared" si="7"/>
        <v>#DIV/0!</v>
      </c>
      <c r="L21" s="29" t="str">
        <f t="shared" si="7"/>
        <v>#DIV/0!</v>
      </c>
      <c r="M21" s="29" t="str">
        <f t="shared" si="7"/>
        <v>#DIV/0!</v>
      </c>
      <c r="N21" s="29" t="str">
        <f t="shared" si="7"/>
        <v>#DIV/0!</v>
      </c>
      <c r="O21" s="30" t="str">
        <f t="shared" si="8"/>
        <v>#DIV/0!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1"/>
      <c r="B22" s="10" t="s">
        <v>21</v>
      </c>
      <c r="C22" s="29">
        <f t="shared" ref="C22:N22" si="9">C14/C18</f>
        <v>0.152173913</v>
      </c>
      <c r="D22" s="29">
        <f t="shared" si="9"/>
        <v>0.3170577045</v>
      </c>
      <c r="E22" s="29">
        <f t="shared" si="9"/>
        <v>0.2970210536</v>
      </c>
      <c r="F22" s="29" t="str">
        <f t="shared" si="9"/>
        <v>#DIV/0!</v>
      </c>
      <c r="G22" s="29" t="str">
        <f t="shared" si="9"/>
        <v>#DIV/0!</v>
      </c>
      <c r="H22" s="29" t="str">
        <f t="shared" si="9"/>
        <v>#DIV/0!</v>
      </c>
      <c r="I22" s="29" t="str">
        <f t="shared" si="9"/>
        <v>#DIV/0!</v>
      </c>
      <c r="J22" s="29" t="str">
        <f t="shared" si="9"/>
        <v>#DIV/0!</v>
      </c>
      <c r="K22" s="29" t="str">
        <f t="shared" si="9"/>
        <v>#DIV/0!</v>
      </c>
      <c r="L22" s="29" t="str">
        <f t="shared" si="9"/>
        <v>#DIV/0!</v>
      </c>
      <c r="M22" s="29" t="str">
        <f t="shared" si="9"/>
        <v>#DIV/0!</v>
      </c>
      <c r="N22" s="29" t="str">
        <f t="shared" si="9"/>
        <v>#DIV/0!</v>
      </c>
      <c r="O22" s="30" t="str">
        <f t="shared" si="8"/>
        <v>#DIV/0!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1"/>
      <c r="B23" s="10" t="s">
        <v>22</v>
      </c>
      <c r="C23" s="29">
        <f t="shared" ref="C23:N23" si="10">C15/C18</f>
        <v>0.02898550725</v>
      </c>
      <c r="D23" s="29">
        <f t="shared" si="10"/>
        <v>0.2536461636</v>
      </c>
      <c r="E23" s="29">
        <f t="shared" si="10"/>
        <v>0.01747182668</v>
      </c>
      <c r="F23" s="29" t="str">
        <f t="shared" si="10"/>
        <v>#DIV/0!</v>
      </c>
      <c r="G23" s="29" t="str">
        <f t="shared" si="10"/>
        <v>#DIV/0!</v>
      </c>
      <c r="H23" s="29" t="str">
        <f t="shared" si="10"/>
        <v>#DIV/0!</v>
      </c>
      <c r="I23" s="29" t="str">
        <f t="shared" si="10"/>
        <v>#DIV/0!</v>
      </c>
      <c r="J23" s="29" t="str">
        <f t="shared" si="10"/>
        <v>#DIV/0!</v>
      </c>
      <c r="K23" s="29" t="str">
        <f t="shared" si="10"/>
        <v>#DIV/0!</v>
      </c>
      <c r="L23" s="29" t="str">
        <f t="shared" si="10"/>
        <v>#DIV/0!</v>
      </c>
      <c r="M23" s="29" t="str">
        <f t="shared" si="10"/>
        <v>#DIV/0!</v>
      </c>
      <c r="N23" s="29" t="str">
        <f t="shared" si="10"/>
        <v>#DIV/0!</v>
      </c>
      <c r="O23" s="30" t="str">
        <f t="shared" si="8"/>
        <v>#DIV/0!</v>
      </c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1"/>
      <c r="B24" s="10" t="s">
        <v>23</v>
      </c>
      <c r="C24" s="29">
        <f t="shared" ref="C24:N24" si="11">C16/C18</f>
        <v>0.04528985507</v>
      </c>
      <c r="D24" s="29">
        <f t="shared" si="11"/>
        <v>0.01870640457</v>
      </c>
      <c r="E24" s="29">
        <f t="shared" si="11"/>
        <v>0.008211758539</v>
      </c>
      <c r="F24" s="29" t="str">
        <f t="shared" si="11"/>
        <v>#DIV/0!</v>
      </c>
      <c r="G24" s="29" t="str">
        <f t="shared" si="11"/>
        <v>#DIV/0!</v>
      </c>
      <c r="H24" s="29" t="str">
        <f t="shared" si="11"/>
        <v>#DIV/0!</v>
      </c>
      <c r="I24" s="29" t="str">
        <f t="shared" si="11"/>
        <v>#DIV/0!</v>
      </c>
      <c r="J24" s="29" t="str">
        <f t="shared" si="11"/>
        <v>#DIV/0!</v>
      </c>
      <c r="K24" s="29" t="str">
        <f t="shared" si="11"/>
        <v>#DIV/0!</v>
      </c>
      <c r="L24" s="29" t="str">
        <f t="shared" si="11"/>
        <v>#DIV/0!</v>
      </c>
      <c r="M24" s="29" t="str">
        <f t="shared" si="11"/>
        <v>#DIV/0!</v>
      </c>
      <c r="N24" s="29" t="str">
        <f t="shared" si="11"/>
        <v>#DIV/0!</v>
      </c>
      <c r="O24" s="30" t="str">
        <f t="shared" si="8"/>
        <v>#DIV/0!</v>
      </c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7"/>
      <c r="B25" s="10" t="s">
        <v>27</v>
      </c>
      <c r="C25" s="29">
        <f t="shared" ref="C25:N25" si="12">C17/C18</f>
        <v>0.05615942029</v>
      </c>
      <c r="D25" s="29">
        <f t="shared" si="12"/>
        <v>0.006658211795</v>
      </c>
      <c r="E25" s="29">
        <f t="shared" si="12"/>
        <v>0.002009260068</v>
      </c>
      <c r="F25" s="29" t="str">
        <f t="shared" si="12"/>
        <v>#DIV/0!</v>
      </c>
      <c r="G25" s="29" t="str">
        <f t="shared" si="12"/>
        <v>#DIV/0!</v>
      </c>
      <c r="H25" s="29" t="str">
        <f t="shared" si="12"/>
        <v>#DIV/0!</v>
      </c>
      <c r="I25" s="29" t="str">
        <f t="shared" si="12"/>
        <v>#DIV/0!</v>
      </c>
      <c r="J25" s="29" t="str">
        <f t="shared" si="12"/>
        <v>#DIV/0!</v>
      </c>
      <c r="K25" s="29" t="str">
        <f t="shared" si="12"/>
        <v>#DIV/0!</v>
      </c>
      <c r="L25" s="29" t="str">
        <f t="shared" si="12"/>
        <v>#DIV/0!</v>
      </c>
      <c r="M25" s="29" t="str">
        <f t="shared" si="12"/>
        <v>#DIV/0!</v>
      </c>
      <c r="N25" s="29" t="str">
        <f t="shared" si="12"/>
        <v>#DIV/0!</v>
      </c>
      <c r="O25" s="30" t="str">
        <f t="shared" si="8"/>
        <v>#DIV/0!</v>
      </c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0.5" customHeight="1">
      <c r="A26" s="11"/>
      <c r="B26" s="11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3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5"/>
      <c r="B27" s="6"/>
      <c r="C27" s="4" t="s">
        <v>1</v>
      </c>
      <c r="D27" s="4" t="s">
        <v>2</v>
      </c>
      <c r="E27" s="4" t="s">
        <v>3</v>
      </c>
      <c r="F27" s="4" t="s">
        <v>4</v>
      </c>
      <c r="G27" s="4" t="s">
        <v>5</v>
      </c>
      <c r="H27" s="4" t="s">
        <v>6</v>
      </c>
      <c r="I27" s="4" t="s">
        <v>7</v>
      </c>
      <c r="J27" s="4" t="s">
        <v>8</v>
      </c>
      <c r="K27" s="4" t="s">
        <v>9</v>
      </c>
      <c r="L27" s="4" t="s">
        <v>10</v>
      </c>
      <c r="M27" s="4" t="s">
        <v>11</v>
      </c>
      <c r="N27" s="4" t="s">
        <v>12</v>
      </c>
      <c r="O27" s="4" t="s">
        <v>13</v>
      </c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39.0" customHeight="1">
      <c r="A28" s="10" t="s">
        <v>28</v>
      </c>
      <c r="B28" s="10" t="s">
        <v>29</v>
      </c>
      <c r="C28" s="31">
        <v>0.00625</v>
      </c>
      <c r="D28" s="31">
        <v>0.008333333333333333</v>
      </c>
      <c r="E28" s="31">
        <v>0.007638888888888889</v>
      </c>
      <c r="F28" s="31"/>
      <c r="G28" s="31"/>
      <c r="H28" s="31"/>
      <c r="I28" s="31"/>
      <c r="J28" s="31"/>
      <c r="K28" s="31"/>
      <c r="L28" s="31"/>
      <c r="M28" s="31"/>
      <c r="N28" s="31"/>
      <c r="O28" s="31">
        <f>AVERAGE(C28:N28)</f>
        <v>0.007407407407</v>
      </c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3.5" customHeight="1">
      <c r="A29" s="23" t="s">
        <v>17</v>
      </c>
      <c r="B29" s="23"/>
      <c r="C29" s="32">
        <v>0.006944444444444444</v>
      </c>
      <c r="D29" s="32">
        <v>0.006944444444444444</v>
      </c>
      <c r="E29" s="32">
        <v>0.006944444444444444</v>
      </c>
      <c r="F29" s="32">
        <v>0.006944444444444444</v>
      </c>
      <c r="G29" s="32">
        <v>0.006944444444444444</v>
      </c>
      <c r="H29" s="32">
        <v>0.006944444444444444</v>
      </c>
      <c r="I29" s="32">
        <v>0.006944444444444444</v>
      </c>
      <c r="J29" s="32">
        <v>0.006944444444444444</v>
      </c>
      <c r="K29" s="32">
        <v>0.00694444444444444</v>
      </c>
      <c r="L29" s="32">
        <v>0.00694444444444444</v>
      </c>
      <c r="M29" s="32">
        <v>0.006944444444444444</v>
      </c>
      <c r="N29" s="32">
        <v>0.006944444444444444</v>
      </c>
      <c r="O29" s="33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ht="10.5" customHeight="1">
      <c r="A30" s="11"/>
      <c r="B30" s="11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13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5"/>
      <c r="B31" s="6"/>
      <c r="C31" s="4" t="s">
        <v>1</v>
      </c>
      <c r="D31" s="4" t="s">
        <v>2</v>
      </c>
      <c r="E31" s="4" t="s">
        <v>3</v>
      </c>
      <c r="F31" s="4" t="s">
        <v>4</v>
      </c>
      <c r="G31" s="4" t="s">
        <v>5</v>
      </c>
      <c r="H31" s="4" t="s">
        <v>6</v>
      </c>
      <c r="I31" s="4" t="s">
        <v>7</v>
      </c>
      <c r="J31" s="4" t="s">
        <v>8</v>
      </c>
      <c r="K31" s="4" t="s">
        <v>9</v>
      </c>
      <c r="L31" s="4" t="s">
        <v>10</v>
      </c>
      <c r="M31" s="4" t="s">
        <v>11</v>
      </c>
      <c r="N31" s="4" t="s">
        <v>12</v>
      </c>
      <c r="O31" s="4" t="s">
        <v>13</v>
      </c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47.25" customHeight="1">
      <c r="A32" s="10" t="s">
        <v>30</v>
      </c>
      <c r="B32" s="10" t="s">
        <v>29</v>
      </c>
      <c r="C32" s="31">
        <v>0.04097222222222222</v>
      </c>
      <c r="D32" s="31">
        <v>0.013888888888888888</v>
      </c>
      <c r="E32" s="31">
        <v>0.009027777777777777</v>
      </c>
      <c r="F32" s="34"/>
      <c r="G32" s="34"/>
      <c r="H32" s="34"/>
      <c r="I32" s="34"/>
      <c r="J32" s="34"/>
      <c r="K32" s="34"/>
      <c r="L32" s="34"/>
      <c r="M32" s="34"/>
      <c r="N32" s="34"/>
      <c r="O32" s="34">
        <f>AVERAGE(C32:N32)</f>
        <v>0.0212962963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0.5" customHeight="1">
      <c r="A33" s="11"/>
      <c r="B33" s="11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13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5"/>
      <c r="B34" s="6"/>
      <c r="C34" s="4" t="s">
        <v>1</v>
      </c>
      <c r="D34" s="4" t="s">
        <v>2</v>
      </c>
      <c r="E34" s="4" t="s">
        <v>3</v>
      </c>
      <c r="F34" s="4" t="s">
        <v>4</v>
      </c>
      <c r="G34" s="4" t="s">
        <v>5</v>
      </c>
      <c r="H34" s="4" t="s">
        <v>6</v>
      </c>
      <c r="I34" s="4" t="s">
        <v>7</v>
      </c>
      <c r="J34" s="4" t="s">
        <v>8</v>
      </c>
      <c r="K34" s="4" t="s">
        <v>9</v>
      </c>
      <c r="L34" s="4" t="s">
        <v>10</v>
      </c>
      <c r="M34" s="4" t="s">
        <v>11</v>
      </c>
      <c r="N34" s="4" t="s">
        <v>12</v>
      </c>
      <c r="O34" s="4" t="s">
        <v>13</v>
      </c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30.0" customHeight="1">
      <c r="A35" s="10" t="s">
        <v>31</v>
      </c>
      <c r="B35" s="10" t="s">
        <v>32</v>
      </c>
      <c r="C35" s="31">
        <v>1.2084722222222222</v>
      </c>
      <c r="D35" s="31">
        <v>1.1854166666666666</v>
      </c>
      <c r="E35" s="31">
        <v>0.9583333333333334</v>
      </c>
      <c r="F35" s="31"/>
      <c r="G35" s="31"/>
      <c r="H35" s="31"/>
      <c r="I35" s="31"/>
      <c r="J35" s="31"/>
      <c r="K35" s="31"/>
      <c r="L35" s="31"/>
      <c r="M35" s="31"/>
      <c r="N35" s="31"/>
      <c r="O35" s="31">
        <f>AVERAGE(C35:N35)</f>
        <v>1.117407407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11"/>
      <c r="B36" s="11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5"/>
      <c r="B37" s="6"/>
      <c r="C37" s="4" t="s">
        <v>1</v>
      </c>
      <c r="D37" s="4" t="s">
        <v>2</v>
      </c>
      <c r="E37" s="4" t="s">
        <v>3</v>
      </c>
      <c r="F37" s="4" t="s">
        <v>4</v>
      </c>
      <c r="G37" s="4" t="s">
        <v>5</v>
      </c>
      <c r="H37" s="4" t="s">
        <v>6</v>
      </c>
      <c r="I37" s="4" t="s">
        <v>7</v>
      </c>
      <c r="J37" s="4" t="s">
        <v>8</v>
      </c>
      <c r="K37" s="4" t="s">
        <v>9</v>
      </c>
      <c r="L37" s="4" t="s">
        <v>10</v>
      </c>
      <c r="M37" s="4" t="s">
        <v>11</v>
      </c>
      <c r="N37" s="4" t="s">
        <v>12</v>
      </c>
      <c r="O37" s="4" t="s">
        <v>13</v>
      </c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30.0" customHeight="1">
      <c r="A38" s="10" t="s">
        <v>33</v>
      </c>
      <c r="B38" s="10" t="s">
        <v>34</v>
      </c>
      <c r="C38" s="31">
        <v>0.06597222222222222</v>
      </c>
      <c r="D38" s="31">
        <v>0.08611111111111111</v>
      </c>
      <c r="E38" s="31">
        <v>0.12777777777777777</v>
      </c>
      <c r="F38" s="31"/>
      <c r="G38" s="31"/>
      <c r="H38" s="31"/>
      <c r="I38" s="31"/>
      <c r="J38" s="31"/>
      <c r="K38" s="31"/>
      <c r="L38" s="31"/>
      <c r="M38" s="31"/>
      <c r="N38" s="31"/>
      <c r="O38" s="31">
        <f>AVERAGE(C38:N38)</f>
        <v>0.09328703704</v>
      </c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0.5" customHeight="1">
      <c r="A39" s="11"/>
      <c r="B39" s="11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13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5"/>
      <c r="B40" s="6"/>
      <c r="C40" s="4" t="s">
        <v>1</v>
      </c>
      <c r="D40" s="4" t="s">
        <v>2</v>
      </c>
      <c r="E40" s="4" t="s">
        <v>3</v>
      </c>
      <c r="F40" s="4" t="s">
        <v>4</v>
      </c>
      <c r="G40" s="4" t="s">
        <v>5</v>
      </c>
      <c r="H40" s="4" t="s">
        <v>6</v>
      </c>
      <c r="I40" s="4" t="s">
        <v>7</v>
      </c>
      <c r="J40" s="4" t="s">
        <v>8</v>
      </c>
      <c r="K40" s="4" t="s">
        <v>9</v>
      </c>
      <c r="L40" s="4" t="s">
        <v>10</v>
      </c>
      <c r="M40" s="4" t="s">
        <v>11</v>
      </c>
      <c r="N40" s="4" t="s">
        <v>12</v>
      </c>
      <c r="O40" s="4" t="s">
        <v>13</v>
      </c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36" t="s">
        <v>35</v>
      </c>
      <c r="B41" s="10" t="s">
        <v>36</v>
      </c>
      <c r="C41" s="37">
        <v>64.0</v>
      </c>
      <c r="D41" s="37">
        <v>12.0</v>
      </c>
      <c r="E41" s="37">
        <v>23.0</v>
      </c>
      <c r="F41" s="37"/>
      <c r="G41" s="37"/>
      <c r="H41" s="37"/>
      <c r="I41" s="37"/>
      <c r="J41" s="37"/>
      <c r="K41" s="37"/>
      <c r="L41" s="37"/>
      <c r="M41" s="37"/>
      <c r="N41" s="37"/>
      <c r="O41" s="9">
        <f>SUM(C41:N41)</f>
        <v>99</v>
      </c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0.5" customHeight="1">
      <c r="A42" s="11"/>
      <c r="B42" s="11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13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5"/>
      <c r="B43" s="6"/>
      <c r="C43" s="4" t="s">
        <v>1</v>
      </c>
      <c r="D43" s="4" t="s">
        <v>2</v>
      </c>
      <c r="E43" s="4" t="s">
        <v>3</v>
      </c>
      <c r="F43" s="4" t="s">
        <v>4</v>
      </c>
      <c r="G43" s="4" t="s">
        <v>5</v>
      </c>
      <c r="H43" s="4" t="s">
        <v>6</v>
      </c>
      <c r="I43" s="4" t="s">
        <v>7</v>
      </c>
      <c r="J43" s="4" t="s">
        <v>8</v>
      </c>
      <c r="K43" s="4" t="s">
        <v>9</v>
      </c>
      <c r="L43" s="4" t="s">
        <v>10</v>
      </c>
      <c r="M43" s="4" t="s">
        <v>11</v>
      </c>
      <c r="N43" s="4" t="s">
        <v>12</v>
      </c>
      <c r="O43" s="4" t="s">
        <v>13</v>
      </c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19" t="s">
        <v>37</v>
      </c>
      <c r="B44" s="10" t="s">
        <v>38</v>
      </c>
      <c r="C44" s="8">
        <v>1200.0</v>
      </c>
      <c r="D44" s="8">
        <v>1350.0</v>
      </c>
      <c r="E44" s="8">
        <v>100.0</v>
      </c>
      <c r="F44" s="8"/>
      <c r="G44" s="8"/>
      <c r="H44" s="8"/>
      <c r="I44" s="8"/>
      <c r="J44" s="8"/>
      <c r="K44" s="8"/>
      <c r="L44" s="8"/>
      <c r="M44" s="8"/>
      <c r="N44" s="8"/>
      <c r="O44" s="9">
        <f t="shared" ref="O44:O47" si="13">SUM(C44:N44)</f>
        <v>2650</v>
      </c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1"/>
      <c r="B45" s="10" t="s">
        <v>39</v>
      </c>
      <c r="C45" s="8">
        <v>340.0</v>
      </c>
      <c r="D45" s="8">
        <v>845.0</v>
      </c>
      <c r="E45" s="8">
        <v>201.0</v>
      </c>
      <c r="F45" s="8"/>
      <c r="G45" s="8"/>
      <c r="H45" s="8"/>
      <c r="I45" s="8"/>
      <c r="J45" s="8"/>
      <c r="K45" s="8"/>
      <c r="L45" s="8"/>
      <c r="M45" s="8"/>
      <c r="N45" s="8"/>
      <c r="O45" s="9">
        <f t="shared" si="13"/>
        <v>1386</v>
      </c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1"/>
      <c r="B46" s="10" t="s">
        <v>40</v>
      </c>
      <c r="C46" s="8">
        <v>152.0</v>
      </c>
      <c r="D46" s="8">
        <v>94.0</v>
      </c>
      <c r="E46" s="8">
        <v>90.0</v>
      </c>
      <c r="F46" s="8"/>
      <c r="G46" s="8"/>
      <c r="H46" s="8"/>
      <c r="I46" s="8"/>
      <c r="J46" s="8"/>
      <c r="K46" s="8"/>
      <c r="L46" s="8"/>
      <c r="M46" s="8"/>
      <c r="N46" s="8"/>
      <c r="O46" s="9">
        <f t="shared" si="13"/>
        <v>336</v>
      </c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7"/>
      <c r="B47" s="10" t="s">
        <v>13</v>
      </c>
      <c r="C47" s="9">
        <f t="shared" ref="C47:N47" si="14">SUM(C44:C46)</f>
        <v>1692</v>
      </c>
      <c r="D47" s="9">
        <f t="shared" si="14"/>
        <v>2289</v>
      </c>
      <c r="E47" s="9">
        <f t="shared" si="14"/>
        <v>391</v>
      </c>
      <c r="F47" s="9">
        <f t="shared" si="14"/>
        <v>0</v>
      </c>
      <c r="G47" s="9">
        <f t="shared" si="14"/>
        <v>0</v>
      </c>
      <c r="H47" s="9">
        <f t="shared" si="14"/>
        <v>0</v>
      </c>
      <c r="I47" s="9">
        <f t="shared" si="14"/>
        <v>0</v>
      </c>
      <c r="J47" s="9">
        <f t="shared" si="14"/>
        <v>0</v>
      </c>
      <c r="K47" s="9">
        <f t="shared" si="14"/>
        <v>0</v>
      </c>
      <c r="L47" s="9">
        <f t="shared" si="14"/>
        <v>0</v>
      </c>
      <c r="M47" s="9">
        <f t="shared" si="14"/>
        <v>0</v>
      </c>
      <c r="N47" s="9">
        <f t="shared" si="14"/>
        <v>0</v>
      </c>
      <c r="O47" s="9">
        <f t="shared" si="13"/>
        <v>4372</v>
      </c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0.5" customHeight="1">
      <c r="A48" s="38"/>
      <c r="B48" s="3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5"/>
      <c r="B49" s="6"/>
      <c r="C49" s="4" t="s">
        <v>1</v>
      </c>
      <c r="D49" s="4" t="s">
        <v>2</v>
      </c>
      <c r="E49" s="4" t="s">
        <v>3</v>
      </c>
      <c r="F49" s="4" t="s">
        <v>4</v>
      </c>
      <c r="G49" s="4" t="s">
        <v>5</v>
      </c>
      <c r="H49" s="4" t="s">
        <v>6</v>
      </c>
      <c r="I49" s="4" t="s">
        <v>7</v>
      </c>
      <c r="J49" s="4" t="s">
        <v>8</v>
      </c>
      <c r="K49" s="4" t="s">
        <v>9</v>
      </c>
      <c r="L49" s="4" t="s">
        <v>10</v>
      </c>
      <c r="M49" s="4" t="s">
        <v>11</v>
      </c>
      <c r="N49" s="4" t="s">
        <v>12</v>
      </c>
      <c r="O49" s="4" t="s">
        <v>13</v>
      </c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19" t="s">
        <v>41</v>
      </c>
      <c r="B50" s="40" t="s">
        <v>42</v>
      </c>
      <c r="C50" s="37">
        <v>245.0</v>
      </c>
      <c r="D50" s="37">
        <v>2626.0</v>
      </c>
      <c r="E50" s="37">
        <v>312.0</v>
      </c>
      <c r="F50" s="37"/>
      <c r="G50" s="37"/>
      <c r="H50" s="37"/>
      <c r="I50" s="37"/>
      <c r="J50" s="37"/>
      <c r="K50" s="37"/>
      <c r="L50" s="37"/>
      <c r="M50" s="37"/>
      <c r="N50" s="37"/>
      <c r="O50" s="41">
        <f t="shared" ref="O50:O59" si="15">SUM(C50:N50)</f>
        <v>3183</v>
      </c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1"/>
      <c r="B51" s="40" t="s">
        <v>43</v>
      </c>
      <c r="C51" s="37">
        <v>84.0</v>
      </c>
      <c r="D51" s="37">
        <v>3434.0</v>
      </c>
      <c r="E51" s="37">
        <v>29.0</v>
      </c>
      <c r="F51" s="37"/>
      <c r="G51" s="37"/>
      <c r="H51" s="37"/>
      <c r="I51" s="37"/>
      <c r="J51" s="37"/>
      <c r="K51" s="37"/>
      <c r="L51" s="37"/>
      <c r="M51" s="37"/>
      <c r="N51" s="37"/>
      <c r="O51" s="41">
        <f t="shared" si="15"/>
        <v>3547</v>
      </c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1"/>
      <c r="B52" s="40" t="s">
        <v>44</v>
      </c>
      <c r="C52" s="37">
        <v>96.0</v>
      </c>
      <c r="D52" s="37">
        <v>4252.0</v>
      </c>
      <c r="E52" s="37">
        <v>31.0</v>
      </c>
      <c r="F52" s="37"/>
      <c r="G52" s="37"/>
      <c r="H52" s="37"/>
      <c r="I52" s="37"/>
      <c r="J52" s="37"/>
      <c r="K52" s="37"/>
      <c r="L52" s="37"/>
      <c r="M52" s="37"/>
      <c r="N52" s="37"/>
      <c r="O52" s="41">
        <f t="shared" si="15"/>
        <v>4379</v>
      </c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1"/>
      <c r="B53" s="40" t="s">
        <v>45</v>
      </c>
      <c r="C53" s="37">
        <v>1220.0</v>
      </c>
      <c r="D53" s="37">
        <v>102.0</v>
      </c>
      <c r="E53" s="37">
        <v>42.0</v>
      </c>
      <c r="F53" s="37"/>
      <c r="G53" s="37"/>
      <c r="H53" s="37"/>
      <c r="I53" s="37"/>
      <c r="J53" s="37"/>
      <c r="K53" s="37"/>
      <c r="L53" s="37"/>
      <c r="M53" s="37"/>
      <c r="N53" s="37"/>
      <c r="O53" s="41">
        <f t="shared" si="15"/>
        <v>1364</v>
      </c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1"/>
      <c r="B54" s="40" t="s">
        <v>46</v>
      </c>
      <c r="C54" s="37">
        <v>100.0</v>
      </c>
      <c r="D54" s="37">
        <v>999.0</v>
      </c>
      <c r="E54" s="37">
        <v>99.0</v>
      </c>
      <c r="F54" s="37"/>
      <c r="G54" s="37"/>
      <c r="H54" s="37"/>
      <c r="I54" s="37"/>
      <c r="J54" s="37"/>
      <c r="K54" s="37"/>
      <c r="L54" s="37"/>
      <c r="M54" s="37"/>
      <c r="N54" s="37"/>
      <c r="O54" s="41">
        <f t="shared" si="15"/>
        <v>1198</v>
      </c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1"/>
      <c r="B55" s="40" t="s">
        <v>47</v>
      </c>
      <c r="C55" s="37">
        <v>3000.0</v>
      </c>
      <c r="D55" s="37">
        <v>122.0</v>
      </c>
      <c r="E55" s="37">
        <v>4555.0</v>
      </c>
      <c r="F55" s="37"/>
      <c r="G55" s="37"/>
      <c r="H55" s="37"/>
      <c r="I55" s="37"/>
      <c r="J55" s="37"/>
      <c r="K55" s="37"/>
      <c r="L55" s="37"/>
      <c r="M55" s="37"/>
      <c r="N55" s="37"/>
      <c r="O55" s="41">
        <f t="shared" si="15"/>
        <v>7677</v>
      </c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1"/>
      <c r="B56" s="40" t="s">
        <v>48</v>
      </c>
      <c r="C56" s="37">
        <v>450.0</v>
      </c>
      <c r="D56" s="37">
        <v>354.0</v>
      </c>
      <c r="E56" s="37">
        <v>8444.0</v>
      </c>
      <c r="F56" s="37"/>
      <c r="G56" s="37"/>
      <c r="H56" s="37"/>
      <c r="I56" s="37"/>
      <c r="J56" s="37"/>
      <c r="K56" s="37"/>
      <c r="L56" s="37"/>
      <c r="M56" s="37"/>
      <c r="N56" s="37"/>
      <c r="O56" s="41">
        <f t="shared" si="15"/>
        <v>9248</v>
      </c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1"/>
      <c r="B57" s="40" t="s">
        <v>49</v>
      </c>
      <c r="C57" s="37">
        <v>99.0</v>
      </c>
      <c r="D57" s="37">
        <v>140.0</v>
      </c>
      <c r="E57" s="37">
        <v>2.0</v>
      </c>
      <c r="F57" s="37"/>
      <c r="G57" s="37"/>
      <c r="H57" s="37"/>
      <c r="I57" s="37"/>
      <c r="J57" s="37"/>
      <c r="K57" s="37"/>
      <c r="L57" s="37"/>
      <c r="M57" s="37"/>
      <c r="N57" s="37"/>
      <c r="O57" s="41">
        <f t="shared" si="15"/>
        <v>241</v>
      </c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1"/>
      <c r="B58" s="40" t="s">
        <v>50</v>
      </c>
      <c r="C58" s="37">
        <v>135.0</v>
      </c>
      <c r="D58" s="37">
        <v>92.0</v>
      </c>
      <c r="E58" s="37">
        <v>1.0</v>
      </c>
      <c r="F58" s="37"/>
      <c r="G58" s="37"/>
      <c r="H58" s="37"/>
      <c r="I58" s="37"/>
      <c r="J58" s="37"/>
      <c r="K58" s="37"/>
      <c r="L58" s="37"/>
      <c r="M58" s="37"/>
      <c r="N58" s="37"/>
      <c r="O58" s="41">
        <f t="shared" si="15"/>
        <v>228</v>
      </c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7"/>
      <c r="B59" s="40" t="s">
        <v>13</v>
      </c>
      <c r="C59" s="37">
        <f t="shared" ref="C59:N59" si="16">SUM(C50:C58)</f>
        <v>5429</v>
      </c>
      <c r="D59" s="37">
        <f t="shared" si="16"/>
        <v>12121</v>
      </c>
      <c r="E59" s="37">
        <f t="shared" si="16"/>
        <v>13515</v>
      </c>
      <c r="F59" s="37">
        <f t="shared" si="16"/>
        <v>0</v>
      </c>
      <c r="G59" s="37">
        <f t="shared" si="16"/>
        <v>0</v>
      </c>
      <c r="H59" s="37">
        <f t="shared" si="16"/>
        <v>0</v>
      </c>
      <c r="I59" s="37">
        <f t="shared" si="16"/>
        <v>0</v>
      </c>
      <c r="J59" s="37">
        <f t="shared" si="16"/>
        <v>0</v>
      </c>
      <c r="K59" s="37">
        <f t="shared" si="16"/>
        <v>0</v>
      </c>
      <c r="L59" s="37">
        <f t="shared" si="16"/>
        <v>0</v>
      </c>
      <c r="M59" s="37">
        <f t="shared" si="16"/>
        <v>0</v>
      </c>
      <c r="N59" s="37">
        <f t="shared" si="16"/>
        <v>0</v>
      </c>
      <c r="O59" s="41">
        <f t="shared" si="15"/>
        <v>31065</v>
      </c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1.25" customHeight="1">
      <c r="A60" s="38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5"/>
      <c r="B61" s="6"/>
      <c r="C61" s="4" t="s">
        <v>1</v>
      </c>
      <c r="D61" s="4" t="s">
        <v>2</v>
      </c>
      <c r="E61" s="4" t="s">
        <v>3</v>
      </c>
      <c r="F61" s="4" t="s">
        <v>4</v>
      </c>
      <c r="G61" s="4" t="s">
        <v>5</v>
      </c>
      <c r="H61" s="4" t="s">
        <v>6</v>
      </c>
      <c r="I61" s="4" t="s">
        <v>7</v>
      </c>
      <c r="J61" s="4" t="s">
        <v>8</v>
      </c>
      <c r="K61" s="4" t="s">
        <v>9</v>
      </c>
      <c r="L61" s="4" t="s">
        <v>10</v>
      </c>
      <c r="M61" s="4" t="s">
        <v>11</v>
      </c>
      <c r="N61" s="4" t="s">
        <v>12</v>
      </c>
      <c r="O61" s="4" t="s">
        <v>13</v>
      </c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4.25" customHeight="1">
      <c r="A62" s="19" t="s">
        <v>51</v>
      </c>
      <c r="B62" s="40" t="s">
        <v>52</v>
      </c>
      <c r="C62" s="8">
        <v>4550.0</v>
      </c>
      <c r="D62" s="8">
        <v>4500.0</v>
      </c>
      <c r="E62" s="8">
        <v>7240.0</v>
      </c>
      <c r="F62" s="8"/>
      <c r="G62" s="8"/>
      <c r="H62" s="8"/>
      <c r="I62" s="8"/>
      <c r="J62" s="8"/>
      <c r="K62" s="8"/>
      <c r="L62" s="8"/>
      <c r="M62" s="8"/>
      <c r="N62" s="8"/>
      <c r="O62" s="9">
        <f t="shared" ref="O62:O64" si="17">SUM(C62:N62)</f>
        <v>16290</v>
      </c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1"/>
      <c r="B63" s="40" t="s">
        <v>53</v>
      </c>
      <c r="C63" s="8">
        <v>1250.0</v>
      </c>
      <c r="D63" s="8">
        <v>1235.0</v>
      </c>
      <c r="E63" s="8">
        <v>3330.0</v>
      </c>
      <c r="F63" s="8"/>
      <c r="G63" s="8"/>
      <c r="H63" s="8"/>
      <c r="I63" s="8"/>
      <c r="J63" s="8"/>
      <c r="K63" s="8"/>
      <c r="L63" s="8"/>
      <c r="M63" s="8"/>
      <c r="N63" s="8"/>
      <c r="O63" s="9">
        <f t="shared" si="17"/>
        <v>5815</v>
      </c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7"/>
      <c r="B64" s="40" t="s">
        <v>13</v>
      </c>
      <c r="C64" s="9">
        <f t="shared" ref="C64:N64" si="18">SUM(C62:C63)</f>
        <v>5800</v>
      </c>
      <c r="D64" s="9">
        <f t="shared" si="18"/>
        <v>5735</v>
      </c>
      <c r="E64" s="9">
        <f t="shared" si="18"/>
        <v>10570</v>
      </c>
      <c r="F64" s="9">
        <f t="shared" si="18"/>
        <v>0</v>
      </c>
      <c r="G64" s="9">
        <f t="shared" si="18"/>
        <v>0</v>
      </c>
      <c r="H64" s="9">
        <f t="shared" si="18"/>
        <v>0</v>
      </c>
      <c r="I64" s="9">
        <f t="shared" si="18"/>
        <v>0</v>
      </c>
      <c r="J64" s="9">
        <f t="shared" si="18"/>
        <v>0</v>
      </c>
      <c r="K64" s="9">
        <f t="shared" si="18"/>
        <v>0</v>
      </c>
      <c r="L64" s="9">
        <f t="shared" si="18"/>
        <v>0</v>
      </c>
      <c r="M64" s="9">
        <f t="shared" si="18"/>
        <v>0</v>
      </c>
      <c r="N64" s="9">
        <f t="shared" si="18"/>
        <v>0</v>
      </c>
      <c r="O64" s="9">
        <f t="shared" si="17"/>
        <v>22105</v>
      </c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0.5" customHeight="1">
      <c r="A65" s="38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5"/>
      <c r="B66" s="6"/>
      <c r="C66" s="4" t="s">
        <v>1</v>
      </c>
      <c r="D66" s="4" t="s">
        <v>2</v>
      </c>
      <c r="E66" s="4" t="s">
        <v>3</v>
      </c>
      <c r="F66" s="4" t="s">
        <v>4</v>
      </c>
      <c r="G66" s="4" t="s">
        <v>5</v>
      </c>
      <c r="H66" s="4" t="s">
        <v>6</v>
      </c>
      <c r="I66" s="4" t="s">
        <v>7</v>
      </c>
      <c r="J66" s="4" t="s">
        <v>8</v>
      </c>
      <c r="K66" s="4" t="s">
        <v>9</v>
      </c>
      <c r="L66" s="4" t="s">
        <v>10</v>
      </c>
      <c r="M66" s="4" t="s">
        <v>11</v>
      </c>
      <c r="N66" s="4" t="s">
        <v>12</v>
      </c>
      <c r="O66" s="4" t="s">
        <v>13</v>
      </c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10" t="s">
        <v>54</v>
      </c>
      <c r="B67" s="40" t="s">
        <v>13</v>
      </c>
      <c r="C67" s="41">
        <v>10.0</v>
      </c>
      <c r="D67" s="41">
        <v>12.0</v>
      </c>
      <c r="E67" s="41">
        <v>9.0</v>
      </c>
      <c r="F67" s="41">
        <v>5.0</v>
      </c>
      <c r="G67" s="41"/>
      <c r="H67" s="41"/>
      <c r="I67" s="41"/>
      <c r="J67" s="41"/>
      <c r="K67" s="41"/>
      <c r="L67" s="41"/>
      <c r="M67" s="41"/>
      <c r="N67" s="41"/>
      <c r="O67" s="9">
        <f>SUM(C67:N67)</f>
        <v>36</v>
      </c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0.5" customHeight="1">
      <c r="A68" s="42"/>
      <c r="B68" s="43"/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39"/>
      <c r="B69" s="3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39"/>
      <c r="B70" s="3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39"/>
      <c r="B71" s="3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39"/>
      <c r="B72" s="3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39"/>
      <c r="B73" s="3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39"/>
      <c r="B74" s="3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39"/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39"/>
      <c r="B76" s="3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39"/>
      <c r="B77" s="3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39"/>
      <c r="B78" s="3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39"/>
      <c r="B79" s="3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39"/>
      <c r="B80" s="3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39"/>
      <c r="B81" s="3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39"/>
      <c r="B82" s="3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39"/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39"/>
      <c r="B84" s="3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39"/>
      <c r="B85" s="3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39"/>
      <c r="B86" s="3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39"/>
      <c r="B87" s="3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39"/>
      <c r="B88" s="3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39"/>
      <c r="B89" s="3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39"/>
      <c r="B90" s="3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39"/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39"/>
      <c r="B92" s="3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39"/>
      <c r="B93" s="3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39"/>
      <c r="B94" s="3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39"/>
      <c r="B95" s="3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39"/>
      <c r="B96" s="3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39"/>
      <c r="B97" s="3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39"/>
      <c r="B98" s="3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39"/>
      <c r="B99" s="3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39"/>
      <c r="B100" s="3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39"/>
      <c r="B101" s="3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39"/>
      <c r="B102" s="3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39"/>
      <c r="B103" s="3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39"/>
      <c r="B104" s="3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39"/>
      <c r="B105" s="3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39"/>
      <c r="B106" s="3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39"/>
      <c r="B107" s="3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39"/>
      <c r="B108" s="3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39"/>
      <c r="B109" s="3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39"/>
      <c r="B110" s="3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39"/>
      <c r="B111" s="3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39"/>
      <c r="B112" s="3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39"/>
      <c r="B113" s="3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39"/>
      <c r="B114" s="3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39"/>
      <c r="B115" s="3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39"/>
      <c r="B116" s="3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39"/>
      <c r="B117" s="3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39"/>
      <c r="B118" s="3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39"/>
      <c r="B119" s="3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39"/>
      <c r="B120" s="3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39"/>
      <c r="B121" s="3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39"/>
      <c r="B122" s="3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39"/>
      <c r="B123" s="3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39"/>
      <c r="B124" s="3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39"/>
      <c r="B125" s="3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39"/>
      <c r="B126" s="3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39"/>
      <c r="B127" s="3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39"/>
      <c r="B128" s="3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39"/>
      <c r="B129" s="3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39"/>
      <c r="B130" s="3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39"/>
      <c r="B131" s="3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39"/>
      <c r="B132" s="3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39"/>
      <c r="B133" s="3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39"/>
      <c r="B134" s="3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39"/>
      <c r="B135" s="3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39"/>
      <c r="B136" s="3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39"/>
      <c r="B137" s="3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39"/>
      <c r="B138" s="3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39"/>
      <c r="B139" s="3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39"/>
      <c r="B140" s="3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39"/>
      <c r="B141" s="3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39"/>
      <c r="B142" s="3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39"/>
      <c r="B143" s="3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39"/>
      <c r="B144" s="3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39"/>
      <c r="B145" s="3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39"/>
      <c r="B146" s="3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39"/>
      <c r="B147" s="3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39"/>
      <c r="B148" s="3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39"/>
      <c r="B149" s="3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39"/>
      <c r="B150" s="3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39"/>
      <c r="B151" s="3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39"/>
      <c r="B152" s="3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39"/>
      <c r="B153" s="3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39"/>
      <c r="B154" s="3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39"/>
      <c r="B155" s="3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39"/>
      <c r="B156" s="3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39"/>
      <c r="B157" s="3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39"/>
      <c r="B158" s="3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39"/>
      <c r="B159" s="3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39"/>
      <c r="B160" s="3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39"/>
      <c r="B161" s="3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39"/>
      <c r="B162" s="3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39"/>
      <c r="B163" s="3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39"/>
      <c r="B164" s="3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39"/>
      <c r="B165" s="3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39"/>
      <c r="B166" s="3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39"/>
      <c r="B167" s="3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39"/>
      <c r="B168" s="3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39"/>
      <c r="B169" s="3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39"/>
      <c r="B170" s="3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39"/>
      <c r="B171" s="3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39"/>
      <c r="B172" s="3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39"/>
      <c r="B173" s="3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39"/>
      <c r="B174" s="3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39"/>
      <c r="B175" s="3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39"/>
      <c r="B176" s="3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39"/>
      <c r="B177" s="3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39"/>
      <c r="B178" s="3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39"/>
      <c r="B179" s="3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39"/>
      <c r="B180" s="3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39"/>
      <c r="B181" s="3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39"/>
      <c r="B182" s="3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39"/>
      <c r="B183" s="3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39"/>
      <c r="B184" s="3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39"/>
      <c r="B185" s="3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39"/>
      <c r="B186" s="3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39"/>
      <c r="B187" s="3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39"/>
      <c r="B188" s="3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39"/>
      <c r="B189" s="3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39"/>
      <c r="B190" s="3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39"/>
      <c r="B191" s="3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39"/>
      <c r="B192" s="3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39"/>
      <c r="B193" s="3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39"/>
      <c r="B194" s="3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39"/>
      <c r="B195" s="3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39"/>
      <c r="B196" s="3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39"/>
      <c r="B197" s="3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39"/>
      <c r="B198" s="3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39"/>
      <c r="B199" s="3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39"/>
      <c r="B200" s="3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39"/>
      <c r="B201" s="3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39"/>
      <c r="B202" s="3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39"/>
      <c r="B203" s="39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39"/>
      <c r="B204" s="39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39"/>
      <c r="B205" s="39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39"/>
      <c r="B206" s="39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39"/>
      <c r="B207" s="39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39"/>
      <c r="B208" s="39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39"/>
      <c r="B209" s="39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39"/>
      <c r="B210" s="39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39"/>
      <c r="B211" s="39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39"/>
      <c r="B212" s="39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39"/>
      <c r="B213" s="39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39"/>
      <c r="B214" s="39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39"/>
      <c r="B215" s="39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39"/>
      <c r="B216" s="39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39"/>
      <c r="B217" s="39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39"/>
      <c r="B218" s="39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39"/>
      <c r="B219" s="39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39"/>
      <c r="B220" s="39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39"/>
      <c r="B221" s="39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39"/>
      <c r="B222" s="39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39"/>
      <c r="B223" s="39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39"/>
      <c r="B224" s="39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39"/>
      <c r="B225" s="39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39"/>
      <c r="B226" s="39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39"/>
      <c r="B227" s="39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39"/>
      <c r="B228" s="39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39"/>
      <c r="B229" s="39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39"/>
      <c r="B230" s="39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39"/>
      <c r="B231" s="39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39"/>
      <c r="B232" s="39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39"/>
      <c r="B233" s="39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39"/>
      <c r="B234" s="39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39"/>
      <c r="B235" s="39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39"/>
      <c r="B236" s="39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39"/>
      <c r="B237" s="39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39"/>
      <c r="B238" s="39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39"/>
      <c r="B239" s="39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39"/>
      <c r="B240" s="39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39"/>
      <c r="B241" s="39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39"/>
      <c r="B242" s="39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39"/>
      <c r="B243" s="39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39"/>
      <c r="B244" s="39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39"/>
      <c r="B245" s="39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39"/>
      <c r="B246" s="39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39"/>
      <c r="B247" s="39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39"/>
      <c r="B248" s="39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39"/>
      <c r="B249" s="39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39"/>
      <c r="B250" s="39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39"/>
      <c r="B251" s="39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39"/>
      <c r="B252" s="39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39"/>
      <c r="B253" s="39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39"/>
      <c r="B254" s="39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39"/>
      <c r="B255" s="39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39"/>
      <c r="B256" s="39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39"/>
      <c r="B257" s="39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39"/>
      <c r="B258" s="39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39"/>
      <c r="B259" s="39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39"/>
      <c r="B260" s="39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39"/>
      <c r="B261" s="39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39"/>
      <c r="B262" s="39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39"/>
      <c r="B263" s="39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39"/>
      <c r="B264" s="39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39"/>
      <c r="B265" s="39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39"/>
      <c r="B266" s="39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39"/>
      <c r="B267" s="39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39"/>
      <c r="B268" s="39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39"/>
      <c r="B269" s="39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39"/>
      <c r="B270" s="39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39"/>
      <c r="B271" s="39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39"/>
      <c r="B272" s="39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39"/>
      <c r="B273" s="39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39"/>
      <c r="B274" s="39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39"/>
      <c r="B275" s="39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39"/>
      <c r="B276" s="39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39"/>
      <c r="B277" s="39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39"/>
      <c r="B278" s="39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39"/>
      <c r="B279" s="39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39"/>
      <c r="B280" s="39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39"/>
      <c r="B281" s="39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39"/>
      <c r="B282" s="39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39"/>
      <c r="B283" s="39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39"/>
      <c r="B284" s="39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39"/>
      <c r="B285" s="39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39"/>
      <c r="B286" s="39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39"/>
      <c r="B287" s="39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39"/>
      <c r="B288" s="39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39"/>
      <c r="B289" s="39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39"/>
      <c r="B290" s="39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39"/>
      <c r="B291" s="39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39"/>
      <c r="B292" s="39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39"/>
      <c r="B293" s="39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39"/>
      <c r="B294" s="39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39"/>
      <c r="B295" s="39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39"/>
      <c r="B296" s="39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39"/>
      <c r="B297" s="39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39"/>
      <c r="B298" s="39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39"/>
      <c r="B299" s="39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39"/>
      <c r="B300" s="39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39"/>
      <c r="B301" s="39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39"/>
      <c r="B302" s="39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39"/>
      <c r="B303" s="39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39"/>
      <c r="B304" s="39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39"/>
      <c r="B305" s="39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39"/>
      <c r="B306" s="39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39"/>
      <c r="B307" s="39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39"/>
      <c r="B308" s="39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39"/>
      <c r="B309" s="39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39"/>
      <c r="B310" s="39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39"/>
      <c r="B311" s="39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39"/>
      <c r="B312" s="39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39"/>
      <c r="B313" s="39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39"/>
      <c r="B314" s="39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39"/>
      <c r="B315" s="39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39"/>
      <c r="B316" s="39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39"/>
      <c r="B317" s="39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39"/>
      <c r="B318" s="39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39"/>
      <c r="B319" s="39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39"/>
      <c r="B320" s="39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39"/>
      <c r="B321" s="39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39"/>
      <c r="B322" s="39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39"/>
      <c r="B323" s="39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39"/>
      <c r="B324" s="39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39"/>
      <c r="B325" s="39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39"/>
      <c r="B326" s="39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39"/>
      <c r="B327" s="39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39"/>
      <c r="B328" s="39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39"/>
      <c r="B329" s="39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39"/>
      <c r="B330" s="39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39"/>
      <c r="B331" s="39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39"/>
      <c r="B332" s="39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39"/>
      <c r="B333" s="39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39"/>
      <c r="B334" s="39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39"/>
      <c r="B335" s="39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39"/>
      <c r="B336" s="39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39"/>
      <c r="B337" s="39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39"/>
      <c r="B338" s="39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39"/>
      <c r="B339" s="39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39"/>
      <c r="B340" s="39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39"/>
      <c r="B341" s="39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39"/>
      <c r="B342" s="39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39"/>
      <c r="B343" s="39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39"/>
      <c r="B344" s="39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39"/>
      <c r="B345" s="39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39"/>
      <c r="B346" s="39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39"/>
      <c r="B347" s="39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39"/>
      <c r="B348" s="39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39"/>
      <c r="B349" s="39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39"/>
      <c r="B350" s="39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39"/>
      <c r="B351" s="39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39"/>
      <c r="B352" s="39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39"/>
      <c r="B353" s="39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39"/>
      <c r="B354" s="39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39"/>
      <c r="B355" s="39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39"/>
      <c r="B356" s="39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39"/>
      <c r="B357" s="39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39"/>
      <c r="B358" s="39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39"/>
      <c r="B359" s="39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39"/>
      <c r="B360" s="39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39"/>
      <c r="B361" s="39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39"/>
      <c r="B362" s="39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39"/>
      <c r="B363" s="39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39"/>
      <c r="B364" s="39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39"/>
      <c r="B365" s="39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39"/>
      <c r="B366" s="39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39"/>
      <c r="B367" s="39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39"/>
      <c r="B368" s="39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39"/>
      <c r="B369" s="39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39"/>
      <c r="B370" s="39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39"/>
      <c r="B371" s="39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39"/>
      <c r="B372" s="39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39"/>
      <c r="B373" s="39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39"/>
      <c r="B374" s="39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39"/>
      <c r="B375" s="39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39"/>
      <c r="B376" s="39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39"/>
      <c r="B377" s="39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39"/>
      <c r="B378" s="39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39"/>
      <c r="B379" s="39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39"/>
      <c r="B380" s="39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39"/>
      <c r="B381" s="39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39"/>
      <c r="B382" s="39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39"/>
      <c r="B383" s="39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39"/>
      <c r="B384" s="39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39"/>
      <c r="B385" s="39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39"/>
      <c r="B386" s="39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39"/>
      <c r="B387" s="39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39"/>
      <c r="B388" s="39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39"/>
      <c r="B389" s="39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39"/>
      <c r="B390" s="39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39"/>
      <c r="B391" s="39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39"/>
      <c r="B392" s="39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39"/>
      <c r="B393" s="39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39"/>
      <c r="B394" s="39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39"/>
      <c r="B395" s="39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39"/>
      <c r="B396" s="39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39"/>
      <c r="B397" s="39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39"/>
      <c r="B398" s="39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39"/>
      <c r="B399" s="39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39"/>
      <c r="B400" s="39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39"/>
      <c r="B401" s="39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39"/>
      <c r="B402" s="39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39"/>
      <c r="B403" s="39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39"/>
      <c r="B404" s="39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39"/>
      <c r="B405" s="39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39"/>
      <c r="B406" s="39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39"/>
      <c r="B407" s="39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39"/>
      <c r="B408" s="39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39"/>
      <c r="B409" s="39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39"/>
      <c r="B410" s="39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39"/>
      <c r="B411" s="39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39"/>
      <c r="B412" s="39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39"/>
      <c r="B413" s="39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39"/>
      <c r="B414" s="39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39"/>
      <c r="B415" s="39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39"/>
      <c r="B416" s="39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39"/>
      <c r="B417" s="39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39"/>
      <c r="B418" s="39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39"/>
      <c r="B419" s="39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39"/>
      <c r="B420" s="39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39"/>
      <c r="B421" s="39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39"/>
      <c r="B422" s="39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39"/>
      <c r="B423" s="39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39"/>
      <c r="B424" s="39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39"/>
      <c r="B425" s="39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39"/>
      <c r="B426" s="39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39"/>
      <c r="B427" s="39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39"/>
      <c r="B428" s="39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39"/>
      <c r="B429" s="39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39"/>
      <c r="B430" s="39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39"/>
      <c r="B431" s="39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39"/>
      <c r="B432" s="39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39"/>
      <c r="B433" s="39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39"/>
      <c r="B434" s="39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39"/>
      <c r="B435" s="39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39"/>
      <c r="B436" s="39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39"/>
      <c r="B437" s="39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39"/>
      <c r="B438" s="39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39"/>
      <c r="B439" s="39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39"/>
      <c r="B440" s="39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39"/>
      <c r="B441" s="39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39"/>
      <c r="B442" s="39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39"/>
      <c r="B443" s="39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39"/>
      <c r="B444" s="39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39"/>
      <c r="B445" s="39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39"/>
      <c r="B446" s="39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39"/>
      <c r="B447" s="39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39"/>
      <c r="B448" s="39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39"/>
      <c r="B449" s="39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39"/>
      <c r="B450" s="39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39"/>
      <c r="B451" s="39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39"/>
      <c r="B452" s="39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39"/>
      <c r="B453" s="39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39"/>
      <c r="B454" s="39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39"/>
      <c r="B455" s="39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39"/>
      <c r="B456" s="39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39"/>
      <c r="B457" s="39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39"/>
      <c r="B458" s="39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39"/>
      <c r="B459" s="39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39"/>
      <c r="B460" s="39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39"/>
      <c r="B461" s="39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39"/>
      <c r="B462" s="39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39"/>
      <c r="B463" s="39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39"/>
      <c r="B464" s="39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39"/>
      <c r="B465" s="39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39"/>
      <c r="B466" s="39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39"/>
      <c r="B467" s="39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39"/>
      <c r="B468" s="39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39"/>
      <c r="B469" s="39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39"/>
      <c r="B470" s="39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39"/>
      <c r="B471" s="39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39"/>
      <c r="B472" s="39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39"/>
      <c r="B473" s="39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39"/>
      <c r="B474" s="39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39"/>
      <c r="B475" s="39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39"/>
      <c r="B476" s="39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39"/>
      <c r="B477" s="39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39"/>
      <c r="B478" s="39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39"/>
      <c r="B479" s="39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39"/>
      <c r="B480" s="39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39"/>
      <c r="B481" s="39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39"/>
      <c r="B482" s="39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39"/>
      <c r="B483" s="39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39"/>
      <c r="B484" s="39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39"/>
      <c r="B485" s="39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39"/>
      <c r="B486" s="39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39"/>
      <c r="B487" s="39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39"/>
      <c r="B488" s="39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39"/>
      <c r="B489" s="39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39"/>
      <c r="B490" s="39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39"/>
      <c r="B491" s="39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39"/>
      <c r="B492" s="39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39"/>
      <c r="B493" s="39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39"/>
      <c r="B494" s="39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39"/>
      <c r="B495" s="39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39"/>
      <c r="B496" s="39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39"/>
      <c r="B497" s="39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39"/>
      <c r="B498" s="39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39"/>
      <c r="B499" s="39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39"/>
      <c r="B500" s="39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39"/>
      <c r="B501" s="39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39"/>
      <c r="B502" s="39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39"/>
      <c r="B503" s="39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39"/>
      <c r="B504" s="39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39"/>
      <c r="B505" s="39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39"/>
      <c r="B506" s="39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39"/>
      <c r="B507" s="39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39"/>
      <c r="B508" s="39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39"/>
      <c r="B509" s="39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39"/>
      <c r="B510" s="39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39"/>
      <c r="B511" s="39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39"/>
      <c r="B512" s="39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39"/>
      <c r="B513" s="39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39"/>
      <c r="B514" s="39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39"/>
      <c r="B515" s="39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39"/>
      <c r="B516" s="39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39"/>
      <c r="B517" s="39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39"/>
      <c r="B518" s="39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39"/>
      <c r="B519" s="39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39"/>
      <c r="B520" s="39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39"/>
      <c r="B521" s="39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39"/>
      <c r="B522" s="39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39"/>
      <c r="B523" s="39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39"/>
      <c r="B524" s="39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39"/>
      <c r="B525" s="39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39"/>
      <c r="B526" s="39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39"/>
      <c r="B527" s="39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39"/>
      <c r="B528" s="39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39"/>
      <c r="B529" s="39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39"/>
      <c r="B530" s="39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39"/>
      <c r="B531" s="39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39"/>
      <c r="B532" s="39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39"/>
      <c r="B533" s="39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39"/>
      <c r="B534" s="39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39"/>
      <c r="B535" s="39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39"/>
      <c r="B536" s="39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39"/>
      <c r="B537" s="39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39"/>
      <c r="B538" s="39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39"/>
      <c r="B539" s="39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39"/>
      <c r="B540" s="39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39"/>
      <c r="B541" s="39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39"/>
      <c r="B542" s="39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39"/>
      <c r="B543" s="39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39"/>
      <c r="B544" s="39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39"/>
      <c r="B545" s="39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39"/>
      <c r="B546" s="39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39"/>
      <c r="B547" s="39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39"/>
      <c r="B548" s="39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39"/>
      <c r="B549" s="39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39"/>
      <c r="B550" s="39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39"/>
      <c r="B551" s="39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39"/>
      <c r="B552" s="39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39"/>
      <c r="B553" s="39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39"/>
      <c r="B554" s="39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39"/>
      <c r="B555" s="39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39"/>
      <c r="B556" s="39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39"/>
      <c r="B557" s="39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39"/>
      <c r="B558" s="39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39"/>
      <c r="B559" s="39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39"/>
      <c r="B560" s="39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39"/>
      <c r="B561" s="39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39"/>
      <c r="B562" s="39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39"/>
      <c r="B563" s="39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39"/>
      <c r="B564" s="39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39"/>
      <c r="B565" s="39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39"/>
      <c r="B566" s="39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39"/>
      <c r="B567" s="39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39"/>
      <c r="B568" s="39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39"/>
      <c r="B569" s="39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39"/>
      <c r="B570" s="39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39"/>
      <c r="B571" s="39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39"/>
      <c r="B572" s="39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39"/>
      <c r="B573" s="39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39"/>
      <c r="B574" s="39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39"/>
      <c r="B575" s="39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39"/>
      <c r="B576" s="39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39"/>
      <c r="B577" s="39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39"/>
      <c r="B578" s="39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39"/>
      <c r="B579" s="39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39"/>
      <c r="B580" s="39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39"/>
      <c r="B581" s="39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39"/>
      <c r="B582" s="39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39"/>
      <c r="B583" s="39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39"/>
      <c r="B584" s="39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39"/>
      <c r="B585" s="39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39"/>
      <c r="B586" s="39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39"/>
      <c r="B587" s="39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39"/>
      <c r="B588" s="39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39"/>
      <c r="B589" s="39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39"/>
      <c r="B590" s="39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39"/>
      <c r="B591" s="39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39"/>
      <c r="B592" s="39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39"/>
      <c r="B593" s="39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39"/>
      <c r="B594" s="39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39"/>
      <c r="B595" s="39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39"/>
      <c r="B596" s="39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39"/>
      <c r="B597" s="39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39"/>
      <c r="B598" s="39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39"/>
      <c r="B599" s="39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39"/>
      <c r="B600" s="39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39"/>
      <c r="B601" s="39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39"/>
      <c r="B602" s="39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39"/>
      <c r="B603" s="39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39"/>
      <c r="B604" s="39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39"/>
      <c r="B605" s="39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39"/>
      <c r="B606" s="39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39"/>
      <c r="B607" s="39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39"/>
      <c r="B608" s="39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39"/>
      <c r="B609" s="39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39"/>
      <c r="B610" s="39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39"/>
      <c r="B611" s="39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39"/>
      <c r="B612" s="39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39"/>
      <c r="B613" s="39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39"/>
      <c r="B614" s="39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39"/>
      <c r="B615" s="39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39"/>
      <c r="B616" s="39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39"/>
      <c r="B617" s="39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39"/>
      <c r="B618" s="39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39"/>
      <c r="B619" s="39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39"/>
      <c r="B620" s="39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39"/>
      <c r="B621" s="39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39"/>
      <c r="B622" s="39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39"/>
      <c r="B623" s="39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39"/>
      <c r="B624" s="39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39"/>
      <c r="B625" s="39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39"/>
      <c r="B626" s="39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39"/>
      <c r="B627" s="39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39"/>
      <c r="B628" s="39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39"/>
      <c r="B629" s="39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39"/>
      <c r="B630" s="39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39"/>
      <c r="B631" s="39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39"/>
      <c r="B632" s="39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39"/>
      <c r="B633" s="39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39"/>
      <c r="B634" s="39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39"/>
      <c r="B635" s="39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39"/>
      <c r="B636" s="39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39"/>
      <c r="B637" s="39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39"/>
      <c r="B638" s="39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39"/>
      <c r="B639" s="39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39"/>
      <c r="B640" s="39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39"/>
      <c r="B641" s="39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39"/>
      <c r="B642" s="39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39"/>
      <c r="B643" s="39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39"/>
      <c r="B644" s="39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39"/>
      <c r="B645" s="39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39"/>
      <c r="B646" s="39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39"/>
      <c r="B647" s="39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39"/>
      <c r="B648" s="39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39"/>
      <c r="B649" s="39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39"/>
      <c r="B650" s="39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39"/>
      <c r="B651" s="39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39"/>
      <c r="B652" s="39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39"/>
      <c r="B653" s="39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39"/>
      <c r="B654" s="39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39"/>
      <c r="B655" s="39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39"/>
      <c r="B656" s="39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39"/>
      <c r="B657" s="39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39"/>
      <c r="B658" s="39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39"/>
      <c r="B659" s="39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39"/>
      <c r="B660" s="39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39"/>
      <c r="B661" s="39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39"/>
      <c r="B662" s="39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39"/>
      <c r="B663" s="39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39"/>
      <c r="B664" s="39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39"/>
      <c r="B665" s="39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39"/>
      <c r="B666" s="39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39"/>
      <c r="B667" s="39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39"/>
      <c r="B668" s="39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39"/>
      <c r="B669" s="39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39"/>
      <c r="B670" s="39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39"/>
      <c r="B671" s="39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39"/>
      <c r="B672" s="39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39"/>
      <c r="B673" s="39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39"/>
      <c r="B674" s="39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39"/>
      <c r="B675" s="39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39"/>
      <c r="B676" s="39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39"/>
      <c r="B677" s="39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39"/>
      <c r="B678" s="39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39"/>
      <c r="B679" s="39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39"/>
      <c r="B680" s="39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39"/>
      <c r="B681" s="39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39"/>
      <c r="B682" s="39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39"/>
      <c r="B683" s="39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39"/>
      <c r="B684" s="39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39"/>
      <c r="B685" s="39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39"/>
      <c r="B686" s="39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39"/>
      <c r="B687" s="39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39"/>
      <c r="B688" s="39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39"/>
      <c r="B689" s="39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39"/>
      <c r="B690" s="39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39"/>
      <c r="B691" s="39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39"/>
      <c r="B692" s="39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39"/>
      <c r="B693" s="39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39"/>
      <c r="B694" s="39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39"/>
      <c r="B695" s="39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39"/>
      <c r="B696" s="39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39"/>
      <c r="B697" s="39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39"/>
      <c r="B698" s="39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39"/>
      <c r="B699" s="39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39"/>
      <c r="B700" s="39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39"/>
      <c r="B701" s="39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39"/>
      <c r="B702" s="39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39"/>
      <c r="B703" s="39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39"/>
      <c r="B704" s="39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39"/>
      <c r="B705" s="39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39"/>
      <c r="B706" s="39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39"/>
      <c r="B707" s="39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39"/>
      <c r="B708" s="39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39"/>
      <c r="B709" s="39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39"/>
      <c r="B710" s="39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39"/>
      <c r="B711" s="39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39"/>
      <c r="B712" s="39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39"/>
      <c r="B713" s="39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39"/>
      <c r="B714" s="39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39"/>
      <c r="B715" s="39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39"/>
      <c r="B716" s="39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39"/>
      <c r="B717" s="39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39"/>
      <c r="B718" s="39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39"/>
      <c r="B719" s="39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39"/>
      <c r="B720" s="39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39"/>
      <c r="B721" s="39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39"/>
      <c r="B722" s="39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39"/>
      <c r="B723" s="39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39"/>
      <c r="B724" s="39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39"/>
      <c r="B725" s="39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39"/>
      <c r="B726" s="39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39"/>
      <c r="B727" s="39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39"/>
      <c r="B728" s="39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39"/>
      <c r="B729" s="39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39"/>
      <c r="B730" s="39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39"/>
      <c r="B731" s="39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39"/>
      <c r="B732" s="39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39"/>
      <c r="B733" s="39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39"/>
      <c r="B734" s="39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39"/>
      <c r="B735" s="39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39"/>
      <c r="B736" s="39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39"/>
      <c r="B737" s="39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39"/>
      <c r="B738" s="39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39"/>
      <c r="B739" s="39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39"/>
      <c r="B740" s="39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39"/>
      <c r="B741" s="39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39"/>
      <c r="B742" s="39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39"/>
      <c r="B743" s="39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39"/>
      <c r="B744" s="39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39"/>
      <c r="B745" s="39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39"/>
      <c r="B746" s="39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39"/>
      <c r="B747" s="39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39"/>
      <c r="B748" s="39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39"/>
      <c r="B749" s="39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39"/>
      <c r="B750" s="39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39"/>
      <c r="B751" s="39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39"/>
      <c r="B752" s="39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39"/>
      <c r="B753" s="39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39"/>
      <c r="B754" s="39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39"/>
      <c r="B755" s="39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39"/>
      <c r="B756" s="39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39"/>
      <c r="B757" s="39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39"/>
      <c r="B758" s="39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39"/>
      <c r="B759" s="39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39"/>
      <c r="B760" s="39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39"/>
      <c r="B761" s="39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39"/>
      <c r="B762" s="39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39"/>
      <c r="B763" s="39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39"/>
      <c r="B764" s="39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39"/>
      <c r="B765" s="39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39"/>
      <c r="B766" s="39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39"/>
      <c r="B767" s="39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39"/>
      <c r="B768" s="39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39"/>
      <c r="B769" s="39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39"/>
      <c r="B770" s="39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39"/>
      <c r="B771" s="39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39"/>
      <c r="B772" s="39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39"/>
      <c r="B773" s="39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39"/>
      <c r="B774" s="39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39"/>
      <c r="B775" s="39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39"/>
      <c r="B776" s="39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39"/>
      <c r="B777" s="39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39"/>
      <c r="B778" s="39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39"/>
      <c r="B779" s="39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39"/>
      <c r="B780" s="39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39"/>
      <c r="B781" s="39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39"/>
      <c r="B782" s="39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39"/>
      <c r="B783" s="39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39"/>
      <c r="B784" s="39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39"/>
      <c r="B785" s="39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39"/>
      <c r="B786" s="39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39"/>
      <c r="B787" s="39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39"/>
      <c r="B788" s="39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39"/>
      <c r="B789" s="39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39"/>
      <c r="B790" s="39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39"/>
      <c r="B791" s="39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39"/>
      <c r="B792" s="39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39"/>
      <c r="B793" s="39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39"/>
      <c r="B794" s="39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39"/>
      <c r="B795" s="39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39"/>
      <c r="B796" s="39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39"/>
      <c r="B797" s="39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39"/>
      <c r="B798" s="39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39"/>
      <c r="B799" s="39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39"/>
      <c r="B800" s="39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39"/>
      <c r="B801" s="39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39"/>
      <c r="B802" s="39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39"/>
      <c r="B803" s="39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39"/>
      <c r="B804" s="39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39"/>
      <c r="B805" s="39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39"/>
      <c r="B806" s="39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39"/>
      <c r="B807" s="39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39"/>
      <c r="B808" s="39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39"/>
      <c r="B809" s="39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39"/>
      <c r="B810" s="39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39"/>
      <c r="B811" s="39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39"/>
      <c r="B812" s="39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39"/>
      <c r="B813" s="39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39"/>
      <c r="B814" s="39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39"/>
      <c r="B815" s="39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39"/>
      <c r="B816" s="39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39"/>
      <c r="B817" s="39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39"/>
      <c r="B818" s="39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39"/>
      <c r="B819" s="39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39"/>
      <c r="B820" s="39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39"/>
      <c r="B821" s="39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39"/>
      <c r="B822" s="39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39"/>
      <c r="B823" s="39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39"/>
      <c r="B824" s="39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39"/>
      <c r="B825" s="39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39"/>
      <c r="B826" s="39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39"/>
      <c r="B827" s="39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39"/>
      <c r="B828" s="39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39"/>
      <c r="B829" s="39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39"/>
      <c r="B830" s="39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39"/>
      <c r="B831" s="39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39"/>
      <c r="B832" s="39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39"/>
      <c r="B833" s="39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39"/>
      <c r="B834" s="39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39"/>
      <c r="B835" s="39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39"/>
      <c r="B836" s="39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39"/>
      <c r="B837" s="39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39"/>
      <c r="B838" s="39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39"/>
      <c r="B839" s="39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39"/>
      <c r="B840" s="39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39"/>
      <c r="B841" s="39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39"/>
      <c r="B842" s="39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39"/>
      <c r="B843" s="39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39"/>
      <c r="B844" s="39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39"/>
      <c r="B845" s="39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39"/>
      <c r="B846" s="39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39"/>
      <c r="B847" s="39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39"/>
      <c r="B848" s="39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39"/>
      <c r="B849" s="39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39"/>
      <c r="B850" s="39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39"/>
      <c r="B851" s="39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39"/>
      <c r="B852" s="39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39"/>
      <c r="B853" s="39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39"/>
      <c r="B854" s="39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39"/>
      <c r="B855" s="39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39"/>
      <c r="B856" s="39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39"/>
      <c r="B857" s="39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39"/>
      <c r="B858" s="39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39"/>
      <c r="B859" s="39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39"/>
      <c r="B860" s="39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39"/>
      <c r="B861" s="39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39"/>
      <c r="B862" s="39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39"/>
      <c r="B863" s="39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39"/>
      <c r="B864" s="39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39"/>
      <c r="B865" s="39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39"/>
      <c r="B866" s="39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39"/>
      <c r="B867" s="39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39"/>
      <c r="B868" s="39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39"/>
      <c r="B869" s="39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39"/>
      <c r="B870" s="39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39"/>
      <c r="B871" s="39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39"/>
      <c r="B872" s="39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39"/>
      <c r="B873" s="39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39"/>
      <c r="B874" s="39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39"/>
      <c r="B875" s="39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39"/>
      <c r="B876" s="39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39"/>
      <c r="B877" s="39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39"/>
      <c r="B878" s="39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39"/>
      <c r="B879" s="39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39"/>
      <c r="B880" s="39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39"/>
      <c r="B881" s="39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39"/>
      <c r="B882" s="39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39"/>
      <c r="B883" s="39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39"/>
      <c r="B884" s="39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39"/>
      <c r="B885" s="39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39"/>
      <c r="B886" s="39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39"/>
      <c r="B887" s="39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39"/>
      <c r="B888" s="39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39"/>
      <c r="B889" s="39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39"/>
      <c r="B890" s="39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39"/>
      <c r="B891" s="39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39"/>
      <c r="B892" s="39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39"/>
      <c r="B893" s="39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39"/>
      <c r="B894" s="39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39"/>
      <c r="B895" s="39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39"/>
      <c r="B896" s="39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39"/>
      <c r="B897" s="39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39"/>
      <c r="B898" s="39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39"/>
      <c r="B899" s="39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39"/>
      <c r="B900" s="39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39"/>
      <c r="B901" s="39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39"/>
      <c r="B902" s="39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39"/>
      <c r="B903" s="39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39"/>
      <c r="B904" s="39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39"/>
      <c r="B905" s="39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39"/>
      <c r="B906" s="39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39"/>
      <c r="B907" s="39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39"/>
      <c r="B908" s="39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39"/>
      <c r="B909" s="39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39"/>
      <c r="B910" s="39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39"/>
      <c r="B911" s="39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39"/>
      <c r="B912" s="39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39"/>
      <c r="B913" s="39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39"/>
      <c r="B914" s="39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39"/>
      <c r="B915" s="39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39"/>
      <c r="B916" s="39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39"/>
      <c r="B917" s="39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39"/>
      <c r="B918" s="39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39"/>
      <c r="B919" s="39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39"/>
      <c r="B920" s="39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39"/>
      <c r="B921" s="39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39"/>
      <c r="B922" s="39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39"/>
      <c r="B923" s="39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39"/>
      <c r="B924" s="39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39"/>
      <c r="B925" s="39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39"/>
      <c r="B926" s="39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39"/>
      <c r="B927" s="39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39"/>
      <c r="B928" s="39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39"/>
      <c r="B929" s="39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39"/>
      <c r="B930" s="39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39"/>
      <c r="B931" s="39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39"/>
      <c r="B932" s="39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39"/>
      <c r="B933" s="39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</sheetData>
  <mergeCells count="21">
    <mergeCell ref="A1:O1"/>
    <mergeCell ref="A3:B3"/>
    <mergeCell ref="A4:B4"/>
    <mergeCell ref="A7:B7"/>
    <mergeCell ref="A8:B8"/>
    <mergeCell ref="A9:B9"/>
    <mergeCell ref="A11:B11"/>
    <mergeCell ref="A43:B43"/>
    <mergeCell ref="A44:A47"/>
    <mergeCell ref="A49:B49"/>
    <mergeCell ref="A50:A59"/>
    <mergeCell ref="A61:B61"/>
    <mergeCell ref="A62:A64"/>
    <mergeCell ref="A66:B66"/>
    <mergeCell ref="A12:A18"/>
    <mergeCell ref="A20:A25"/>
    <mergeCell ref="A27:B27"/>
    <mergeCell ref="A31:B31"/>
    <mergeCell ref="A34:B34"/>
    <mergeCell ref="A37:B37"/>
    <mergeCell ref="A40:B40"/>
  </mergeCells>
  <printOptions/>
  <pageMargins bottom="0.787401575" footer="0.0" header="0.0" left="0.511811024" right="0.511811024" top="0.7874015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2.25"/>
    <col customWidth="1" min="2" max="2" width="56.75"/>
    <col customWidth="1" min="3" max="14" width="15.25"/>
    <col customWidth="1" min="15" max="15" width="21.38"/>
    <col customWidth="1" min="16" max="16" width="9.25"/>
    <col customWidth="1" min="17" max="26" width="8.88"/>
  </cols>
  <sheetData>
    <row r="1" ht="61.5" customHeight="1">
      <c r="A1" s="1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75" customHeight="1">
      <c r="A2" s="3" t="s">
        <v>55</v>
      </c>
      <c r="B2" s="3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5" t="s">
        <v>56</v>
      </c>
      <c r="B3" s="6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.75" customHeight="1">
      <c r="A4" s="7" t="s">
        <v>14</v>
      </c>
      <c r="B4" s="6"/>
      <c r="C4" s="8">
        <v>8880.0</v>
      </c>
      <c r="D4" s="8">
        <v>12340.0</v>
      </c>
      <c r="E4" s="8">
        <v>5400.0</v>
      </c>
      <c r="F4" s="8"/>
      <c r="G4" s="8"/>
      <c r="H4" s="8"/>
      <c r="I4" s="8"/>
      <c r="J4" s="8"/>
      <c r="K4" s="8"/>
      <c r="L4" s="8"/>
      <c r="M4" s="8"/>
      <c r="N4" s="8"/>
      <c r="O4" s="9">
        <f>SUM(C4:N4)</f>
        <v>26620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.75" customHeight="1">
      <c r="A5" s="10" t="s">
        <v>15</v>
      </c>
      <c r="B5" s="10"/>
      <c r="C5" s="8">
        <f>C4/31</f>
        <v>286.4516129</v>
      </c>
      <c r="D5" s="8">
        <f>D4/30</f>
        <v>411.3333333</v>
      </c>
      <c r="E5" s="8">
        <f>E4/31</f>
        <v>174.1935484</v>
      </c>
      <c r="F5" s="8">
        <f>F4/30</f>
        <v>0</v>
      </c>
      <c r="G5" s="8">
        <f t="shared" ref="G5:H5" si="1">G4/31</f>
        <v>0</v>
      </c>
      <c r="H5" s="8">
        <f t="shared" si="1"/>
        <v>0</v>
      </c>
      <c r="I5" s="8">
        <f>I4/30</f>
        <v>0</v>
      </c>
      <c r="J5" s="8">
        <f>J4/31</f>
        <v>0</v>
      </c>
      <c r="K5" s="8">
        <f>K4/30</f>
        <v>0</v>
      </c>
      <c r="L5" s="8">
        <f t="shared" ref="L5:M5" si="2">L4/31</f>
        <v>0</v>
      </c>
      <c r="M5" s="8">
        <f t="shared" si="2"/>
        <v>0</v>
      </c>
      <c r="N5" s="8">
        <f>N4/28</f>
        <v>0</v>
      </c>
      <c r="O5" s="9">
        <f>AVERAGE(C5:N5)</f>
        <v>72.66487455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0.5" customHeight="1">
      <c r="A6" s="11"/>
      <c r="B6" s="11"/>
      <c r="C6" s="2"/>
      <c r="D6" s="2"/>
      <c r="E6" s="2"/>
      <c r="F6" s="2"/>
      <c r="G6" s="2"/>
      <c r="H6" s="12"/>
      <c r="I6" s="12"/>
      <c r="J6" s="12"/>
      <c r="K6" s="12"/>
      <c r="L6" s="12"/>
      <c r="M6" s="12"/>
      <c r="N6" s="12"/>
      <c r="O6" s="13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75" customHeight="1">
      <c r="A7" s="5"/>
      <c r="B7" s="6"/>
      <c r="C7" s="4" t="s">
        <v>1</v>
      </c>
      <c r="D7" s="4" t="s">
        <v>2</v>
      </c>
      <c r="E7" s="4" t="s">
        <v>3</v>
      </c>
      <c r="F7" s="4" t="s">
        <v>4</v>
      </c>
      <c r="G7" s="4" t="s">
        <v>5</v>
      </c>
      <c r="H7" s="4" t="s">
        <v>6</v>
      </c>
      <c r="I7" s="4" t="s">
        <v>7</v>
      </c>
      <c r="J7" s="4" t="s">
        <v>8</v>
      </c>
      <c r="K7" s="4" t="s">
        <v>9</v>
      </c>
      <c r="L7" s="4" t="s">
        <v>10</v>
      </c>
      <c r="M7" s="4" t="s">
        <v>11</v>
      </c>
      <c r="N7" s="4" t="s">
        <v>12</v>
      </c>
      <c r="O7" s="4" t="s">
        <v>13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.75" customHeight="1">
      <c r="A8" s="7" t="s">
        <v>16</v>
      </c>
      <c r="B8" s="6"/>
      <c r="C8" s="8">
        <v>12000.0</v>
      </c>
      <c r="D8" s="8">
        <v>9400.0</v>
      </c>
      <c r="E8" s="8">
        <v>10500.0</v>
      </c>
      <c r="F8" s="8">
        <v>12800.0</v>
      </c>
      <c r="G8" s="8"/>
      <c r="H8" s="8"/>
      <c r="I8" s="8"/>
      <c r="J8" s="8"/>
      <c r="K8" s="8"/>
      <c r="L8" s="8"/>
      <c r="M8" s="8"/>
      <c r="N8" s="8"/>
      <c r="O8" s="9">
        <f t="shared" ref="O8:O9" si="3">SUM(C8:N8)</f>
        <v>44700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.75" customHeight="1">
      <c r="A9" s="14" t="s">
        <v>17</v>
      </c>
      <c r="B9" s="6"/>
      <c r="C9" s="15">
        <v>8000.0</v>
      </c>
      <c r="D9" s="15">
        <v>8000.0</v>
      </c>
      <c r="E9" s="15">
        <v>8000.0</v>
      </c>
      <c r="F9" s="15">
        <v>8000.0</v>
      </c>
      <c r="G9" s="15">
        <v>8000.0</v>
      </c>
      <c r="H9" s="15">
        <v>8000.0</v>
      </c>
      <c r="I9" s="15">
        <v>8000.0</v>
      </c>
      <c r="J9" s="15">
        <v>8000.0</v>
      </c>
      <c r="K9" s="15">
        <v>8000.0</v>
      </c>
      <c r="L9" s="15">
        <v>8000.0</v>
      </c>
      <c r="M9" s="15">
        <v>8000.0</v>
      </c>
      <c r="N9" s="15">
        <v>8000.0</v>
      </c>
      <c r="O9" s="16">
        <f t="shared" si="3"/>
        <v>96000</v>
      </c>
      <c r="P9" s="17"/>
      <c r="Q9" s="15"/>
      <c r="R9" s="17"/>
      <c r="S9" s="17"/>
      <c r="T9" s="17"/>
      <c r="U9" s="17"/>
      <c r="V9" s="17"/>
      <c r="W9" s="17"/>
      <c r="X9" s="17"/>
      <c r="Y9" s="17"/>
      <c r="Z9" s="17"/>
    </row>
    <row r="10" ht="10.5" customHeight="1">
      <c r="A10" s="11"/>
      <c r="B10" s="11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18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75" customHeight="1">
      <c r="A11" s="5"/>
      <c r="B11" s="6"/>
      <c r="C11" s="4" t="s">
        <v>1</v>
      </c>
      <c r="D11" s="4" t="s">
        <v>2</v>
      </c>
      <c r="E11" s="4" t="s">
        <v>3</v>
      </c>
      <c r="F11" s="4" t="s">
        <v>4</v>
      </c>
      <c r="G11" s="4" t="s">
        <v>5</v>
      </c>
      <c r="H11" s="4" t="s">
        <v>6</v>
      </c>
      <c r="I11" s="4" t="s">
        <v>7</v>
      </c>
      <c r="J11" s="4" t="s">
        <v>8</v>
      </c>
      <c r="K11" s="4" t="s">
        <v>9</v>
      </c>
      <c r="L11" s="4" t="s">
        <v>10</v>
      </c>
      <c r="M11" s="4" t="s">
        <v>11</v>
      </c>
      <c r="N11" s="4" t="s">
        <v>12</v>
      </c>
      <c r="O11" s="4" t="s">
        <v>13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75" customHeight="1">
      <c r="A12" s="19" t="s">
        <v>18</v>
      </c>
      <c r="B12" s="20" t="s">
        <v>19</v>
      </c>
      <c r="C12" s="8">
        <v>300.0</v>
      </c>
      <c r="D12" s="8">
        <v>34.0</v>
      </c>
      <c r="E12" s="8">
        <v>150.0</v>
      </c>
      <c r="F12" s="8"/>
      <c r="G12" s="8"/>
      <c r="H12" s="8"/>
      <c r="I12" s="8"/>
      <c r="J12" s="8"/>
      <c r="K12" s="8"/>
      <c r="L12" s="8"/>
      <c r="M12" s="8"/>
      <c r="N12" s="8"/>
      <c r="O12" s="9">
        <f t="shared" ref="O12:O18" si="4">SUM(C12:N12)</f>
        <v>484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75" customHeight="1">
      <c r="A13" s="21"/>
      <c r="B13" s="22" t="s">
        <v>20</v>
      </c>
      <c r="C13" s="8">
        <v>96.0</v>
      </c>
      <c r="D13" s="8">
        <v>1240.0</v>
      </c>
      <c r="E13" s="8">
        <v>7580.0</v>
      </c>
      <c r="F13" s="8"/>
      <c r="G13" s="8"/>
      <c r="H13" s="8"/>
      <c r="I13" s="8"/>
      <c r="J13" s="8"/>
      <c r="K13" s="8"/>
      <c r="L13" s="8"/>
      <c r="M13" s="8"/>
      <c r="N13" s="8"/>
      <c r="O13" s="9">
        <f t="shared" si="4"/>
        <v>8916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75" customHeight="1">
      <c r="A14" s="21"/>
      <c r="B14" s="23" t="s">
        <v>21</v>
      </c>
      <c r="C14" s="8">
        <v>84.0</v>
      </c>
      <c r="D14" s="8">
        <v>1000.0</v>
      </c>
      <c r="E14" s="8">
        <v>3400.0</v>
      </c>
      <c r="F14" s="8"/>
      <c r="G14" s="8"/>
      <c r="H14" s="8"/>
      <c r="I14" s="8"/>
      <c r="J14" s="8"/>
      <c r="K14" s="8"/>
      <c r="L14" s="8"/>
      <c r="M14" s="8"/>
      <c r="N14" s="8"/>
      <c r="O14" s="9">
        <f t="shared" si="4"/>
        <v>4484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75" customHeight="1">
      <c r="A15" s="21"/>
      <c r="B15" s="24" t="s">
        <v>22</v>
      </c>
      <c r="C15" s="8">
        <v>16.0</v>
      </c>
      <c r="D15" s="8">
        <v>800.0</v>
      </c>
      <c r="E15" s="8">
        <v>200.0</v>
      </c>
      <c r="F15" s="8"/>
      <c r="G15" s="8"/>
      <c r="H15" s="8"/>
      <c r="I15" s="8"/>
      <c r="J15" s="8"/>
      <c r="K15" s="8"/>
      <c r="L15" s="8"/>
      <c r="M15" s="8"/>
      <c r="N15" s="8"/>
      <c r="O15" s="9">
        <f t="shared" si="4"/>
        <v>1016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75" customHeight="1">
      <c r="A16" s="21"/>
      <c r="B16" s="25" t="s">
        <v>23</v>
      </c>
      <c r="C16" s="8">
        <v>25.0</v>
      </c>
      <c r="D16" s="8">
        <v>59.0</v>
      </c>
      <c r="E16" s="8">
        <v>94.0</v>
      </c>
      <c r="F16" s="8"/>
      <c r="G16" s="8"/>
      <c r="H16" s="8"/>
      <c r="I16" s="8"/>
      <c r="J16" s="8"/>
      <c r="K16" s="8"/>
      <c r="L16" s="8"/>
      <c r="M16" s="8"/>
      <c r="N16" s="8"/>
      <c r="O16" s="9">
        <f t="shared" si="4"/>
        <v>178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75" customHeight="1">
      <c r="A17" s="21"/>
      <c r="B17" s="26" t="s">
        <v>24</v>
      </c>
      <c r="C17" s="8">
        <v>31.0</v>
      </c>
      <c r="D17" s="8">
        <v>21.0</v>
      </c>
      <c r="E17" s="8">
        <v>23.0</v>
      </c>
      <c r="F17" s="8"/>
      <c r="G17" s="8"/>
      <c r="H17" s="8"/>
      <c r="I17" s="8"/>
      <c r="J17" s="8"/>
      <c r="K17" s="8"/>
      <c r="L17" s="8"/>
      <c r="M17" s="8"/>
      <c r="N17" s="8"/>
      <c r="O17" s="9">
        <f t="shared" si="4"/>
        <v>75</v>
      </c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75" customHeight="1">
      <c r="A18" s="27"/>
      <c r="B18" s="28" t="s">
        <v>25</v>
      </c>
      <c r="C18" s="9">
        <f t="shared" ref="C18:N18" si="5">SUM(C12:C17)</f>
        <v>552</v>
      </c>
      <c r="D18" s="9">
        <f t="shared" si="5"/>
        <v>3154</v>
      </c>
      <c r="E18" s="9">
        <f t="shared" si="5"/>
        <v>11447</v>
      </c>
      <c r="F18" s="9">
        <f t="shared" si="5"/>
        <v>0</v>
      </c>
      <c r="G18" s="9">
        <f t="shared" si="5"/>
        <v>0</v>
      </c>
      <c r="H18" s="9">
        <f t="shared" si="5"/>
        <v>0</v>
      </c>
      <c r="I18" s="9">
        <f t="shared" si="5"/>
        <v>0</v>
      </c>
      <c r="J18" s="9">
        <f t="shared" si="5"/>
        <v>0</v>
      </c>
      <c r="K18" s="9">
        <f t="shared" si="5"/>
        <v>0</v>
      </c>
      <c r="L18" s="9">
        <f t="shared" si="5"/>
        <v>0</v>
      </c>
      <c r="M18" s="9">
        <f t="shared" si="5"/>
        <v>0</v>
      </c>
      <c r="N18" s="9">
        <f t="shared" si="5"/>
        <v>0</v>
      </c>
      <c r="O18" s="9">
        <f t="shared" si="4"/>
        <v>15153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75" customHeight="1">
      <c r="A19" s="44"/>
      <c r="B19" s="44"/>
      <c r="C19" s="4" t="s">
        <v>1</v>
      </c>
      <c r="D19" s="4" t="s">
        <v>2</v>
      </c>
      <c r="E19" s="4" t="s">
        <v>3</v>
      </c>
      <c r="F19" s="4" t="s">
        <v>4</v>
      </c>
      <c r="G19" s="4" t="s">
        <v>5</v>
      </c>
      <c r="H19" s="4" t="s">
        <v>6</v>
      </c>
      <c r="I19" s="4" t="s">
        <v>7</v>
      </c>
      <c r="J19" s="4" t="s">
        <v>8</v>
      </c>
      <c r="K19" s="4" t="s">
        <v>9</v>
      </c>
      <c r="L19" s="4" t="s">
        <v>10</v>
      </c>
      <c r="M19" s="4" t="s">
        <v>11</v>
      </c>
      <c r="N19" s="4" t="s">
        <v>12</v>
      </c>
      <c r="O19" s="4" t="s">
        <v>13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4.25" customHeight="1">
      <c r="A20" s="19" t="s">
        <v>26</v>
      </c>
      <c r="B20" s="10" t="s">
        <v>19</v>
      </c>
      <c r="C20" s="29">
        <f t="shared" ref="C20:N20" si="6">C12/C18</f>
        <v>0.5434782609</v>
      </c>
      <c r="D20" s="29">
        <f t="shared" si="6"/>
        <v>0.01077996195</v>
      </c>
      <c r="E20" s="29">
        <f t="shared" si="6"/>
        <v>0.01310387001</v>
      </c>
      <c r="F20" s="29" t="str">
        <f t="shared" si="6"/>
        <v>#DIV/0!</v>
      </c>
      <c r="G20" s="29" t="str">
        <f t="shared" si="6"/>
        <v>#DIV/0!</v>
      </c>
      <c r="H20" s="29" t="str">
        <f t="shared" si="6"/>
        <v>#DIV/0!</v>
      </c>
      <c r="I20" s="29" t="str">
        <f t="shared" si="6"/>
        <v>#DIV/0!</v>
      </c>
      <c r="J20" s="29" t="str">
        <f t="shared" si="6"/>
        <v>#DIV/0!</v>
      </c>
      <c r="K20" s="29" t="str">
        <f t="shared" si="6"/>
        <v>#DIV/0!</v>
      </c>
      <c r="L20" s="29" t="str">
        <f t="shared" si="6"/>
        <v>#DIV/0!</v>
      </c>
      <c r="M20" s="29" t="str">
        <f t="shared" si="6"/>
        <v>#DIV/0!</v>
      </c>
      <c r="N20" s="29" t="str">
        <f t="shared" si="6"/>
        <v>#DIV/0!</v>
      </c>
      <c r="O20" s="30" t="str">
        <f t="shared" ref="O20:O25" si="8">AVERAGE(C20:N20)</f>
        <v>#DIV/0!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1"/>
      <c r="B21" s="10" t="s">
        <v>20</v>
      </c>
      <c r="C21" s="29">
        <f t="shared" ref="C21:N21" si="7">C13/C18</f>
        <v>0.1739130435</v>
      </c>
      <c r="D21" s="29">
        <f t="shared" si="7"/>
        <v>0.3931515536</v>
      </c>
      <c r="E21" s="29">
        <f t="shared" si="7"/>
        <v>0.6621822312</v>
      </c>
      <c r="F21" s="29" t="str">
        <f t="shared" si="7"/>
        <v>#DIV/0!</v>
      </c>
      <c r="G21" s="29" t="str">
        <f t="shared" si="7"/>
        <v>#DIV/0!</v>
      </c>
      <c r="H21" s="29" t="str">
        <f t="shared" si="7"/>
        <v>#DIV/0!</v>
      </c>
      <c r="I21" s="29" t="str">
        <f t="shared" si="7"/>
        <v>#DIV/0!</v>
      </c>
      <c r="J21" s="29" t="str">
        <f t="shared" si="7"/>
        <v>#DIV/0!</v>
      </c>
      <c r="K21" s="29" t="str">
        <f t="shared" si="7"/>
        <v>#DIV/0!</v>
      </c>
      <c r="L21" s="29" t="str">
        <f t="shared" si="7"/>
        <v>#DIV/0!</v>
      </c>
      <c r="M21" s="29" t="str">
        <f t="shared" si="7"/>
        <v>#DIV/0!</v>
      </c>
      <c r="N21" s="29" t="str">
        <f t="shared" si="7"/>
        <v>#DIV/0!</v>
      </c>
      <c r="O21" s="30" t="str">
        <f t="shared" si="8"/>
        <v>#DIV/0!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1"/>
      <c r="B22" s="10" t="s">
        <v>21</v>
      </c>
      <c r="C22" s="29">
        <f t="shared" ref="C22:N22" si="9">C14/C18</f>
        <v>0.152173913</v>
      </c>
      <c r="D22" s="29">
        <f t="shared" si="9"/>
        <v>0.3170577045</v>
      </c>
      <c r="E22" s="29">
        <f t="shared" si="9"/>
        <v>0.2970210536</v>
      </c>
      <c r="F22" s="29" t="str">
        <f t="shared" si="9"/>
        <v>#DIV/0!</v>
      </c>
      <c r="G22" s="29" t="str">
        <f t="shared" si="9"/>
        <v>#DIV/0!</v>
      </c>
      <c r="H22" s="29" t="str">
        <f t="shared" si="9"/>
        <v>#DIV/0!</v>
      </c>
      <c r="I22" s="29" t="str">
        <f t="shared" si="9"/>
        <v>#DIV/0!</v>
      </c>
      <c r="J22" s="29" t="str">
        <f t="shared" si="9"/>
        <v>#DIV/0!</v>
      </c>
      <c r="K22" s="29" t="str">
        <f t="shared" si="9"/>
        <v>#DIV/0!</v>
      </c>
      <c r="L22" s="29" t="str">
        <f t="shared" si="9"/>
        <v>#DIV/0!</v>
      </c>
      <c r="M22" s="29" t="str">
        <f t="shared" si="9"/>
        <v>#DIV/0!</v>
      </c>
      <c r="N22" s="29" t="str">
        <f t="shared" si="9"/>
        <v>#DIV/0!</v>
      </c>
      <c r="O22" s="30" t="str">
        <f t="shared" si="8"/>
        <v>#DIV/0!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1"/>
      <c r="B23" s="10" t="s">
        <v>22</v>
      </c>
      <c r="C23" s="29">
        <f t="shared" ref="C23:N23" si="10">C15/C18</f>
        <v>0.02898550725</v>
      </c>
      <c r="D23" s="29">
        <f t="shared" si="10"/>
        <v>0.2536461636</v>
      </c>
      <c r="E23" s="29">
        <f t="shared" si="10"/>
        <v>0.01747182668</v>
      </c>
      <c r="F23" s="29" t="str">
        <f t="shared" si="10"/>
        <v>#DIV/0!</v>
      </c>
      <c r="G23" s="29" t="str">
        <f t="shared" si="10"/>
        <v>#DIV/0!</v>
      </c>
      <c r="H23" s="29" t="str">
        <f t="shared" si="10"/>
        <v>#DIV/0!</v>
      </c>
      <c r="I23" s="29" t="str">
        <f t="shared" si="10"/>
        <v>#DIV/0!</v>
      </c>
      <c r="J23" s="29" t="str">
        <f t="shared" si="10"/>
        <v>#DIV/0!</v>
      </c>
      <c r="K23" s="29" t="str">
        <f t="shared" si="10"/>
        <v>#DIV/0!</v>
      </c>
      <c r="L23" s="29" t="str">
        <f t="shared" si="10"/>
        <v>#DIV/0!</v>
      </c>
      <c r="M23" s="29" t="str">
        <f t="shared" si="10"/>
        <v>#DIV/0!</v>
      </c>
      <c r="N23" s="29" t="str">
        <f t="shared" si="10"/>
        <v>#DIV/0!</v>
      </c>
      <c r="O23" s="30" t="str">
        <f t="shared" si="8"/>
        <v>#DIV/0!</v>
      </c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1"/>
      <c r="B24" s="10" t="s">
        <v>23</v>
      </c>
      <c r="C24" s="29">
        <f t="shared" ref="C24:N24" si="11">C16/C18</f>
        <v>0.04528985507</v>
      </c>
      <c r="D24" s="29">
        <f t="shared" si="11"/>
        <v>0.01870640457</v>
      </c>
      <c r="E24" s="29">
        <f t="shared" si="11"/>
        <v>0.008211758539</v>
      </c>
      <c r="F24" s="29" t="str">
        <f t="shared" si="11"/>
        <v>#DIV/0!</v>
      </c>
      <c r="G24" s="29" t="str">
        <f t="shared" si="11"/>
        <v>#DIV/0!</v>
      </c>
      <c r="H24" s="29" t="str">
        <f t="shared" si="11"/>
        <v>#DIV/0!</v>
      </c>
      <c r="I24" s="29" t="str">
        <f t="shared" si="11"/>
        <v>#DIV/0!</v>
      </c>
      <c r="J24" s="29" t="str">
        <f t="shared" si="11"/>
        <v>#DIV/0!</v>
      </c>
      <c r="K24" s="29" t="str">
        <f t="shared" si="11"/>
        <v>#DIV/0!</v>
      </c>
      <c r="L24" s="29" t="str">
        <f t="shared" si="11"/>
        <v>#DIV/0!</v>
      </c>
      <c r="M24" s="29" t="str">
        <f t="shared" si="11"/>
        <v>#DIV/0!</v>
      </c>
      <c r="N24" s="29" t="str">
        <f t="shared" si="11"/>
        <v>#DIV/0!</v>
      </c>
      <c r="O24" s="30" t="str">
        <f t="shared" si="8"/>
        <v>#DIV/0!</v>
      </c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7"/>
      <c r="B25" s="10" t="s">
        <v>27</v>
      </c>
      <c r="C25" s="29">
        <f t="shared" ref="C25:N25" si="12">C17/C18</f>
        <v>0.05615942029</v>
      </c>
      <c r="D25" s="29">
        <f t="shared" si="12"/>
        <v>0.006658211795</v>
      </c>
      <c r="E25" s="29">
        <f t="shared" si="12"/>
        <v>0.002009260068</v>
      </c>
      <c r="F25" s="29" t="str">
        <f t="shared" si="12"/>
        <v>#DIV/0!</v>
      </c>
      <c r="G25" s="29" t="str">
        <f t="shared" si="12"/>
        <v>#DIV/0!</v>
      </c>
      <c r="H25" s="29" t="str">
        <f t="shared" si="12"/>
        <v>#DIV/0!</v>
      </c>
      <c r="I25" s="29" t="str">
        <f t="shared" si="12"/>
        <v>#DIV/0!</v>
      </c>
      <c r="J25" s="29" t="str">
        <f t="shared" si="12"/>
        <v>#DIV/0!</v>
      </c>
      <c r="K25" s="29" t="str">
        <f t="shared" si="12"/>
        <v>#DIV/0!</v>
      </c>
      <c r="L25" s="29" t="str">
        <f t="shared" si="12"/>
        <v>#DIV/0!</v>
      </c>
      <c r="M25" s="29" t="str">
        <f t="shared" si="12"/>
        <v>#DIV/0!</v>
      </c>
      <c r="N25" s="29" t="str">
        <f t="shared" si="12"/>
        <v>#DIV/0!</v>
      </c>
      <c r="O25" s="30" t="str">
        <f t="shared" si="8"/>
        <v>#DIV/0!</v>
      </c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0.5" customHeight="1">
      <c r="A26" s="11"/>
      <c r="B26" s="11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3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5"/>
      <c r="B27" s="6"/>
      <c r="C27" s="4" t="s">
        <v>1</v>
      </c>
      <c r="D27" s="4" t="s">
        <v>2</v>
      </c>
      <c r="E27" s="4" t="s">
        <v>3</v>
      </c>
      <c r="F27" s="4" t="s">
        <v>4</v>
      </c>
      <c r="G27" s="4" t="s">
        <v>5</v>
      </c>
      <c r="H27" s="4" t="s">
        <v>6</v>
      </c>
      <c r="I27" s="4" t="s">
        <v>7</v>
      </c>
      <c r="J27" s="4" t="s">
        <v>8</v>
      </c>
      <c r="K27" s="4" t="s">
        <v>9</v>
      </c>
      <c r="L27" s="4" t="s">
        <v>10</v>
      </c>
      <c r="M27" s="4" t="s">
        <v>11</v>
      </c>
      <c r="N27" s="4" t="s">
        <v>12</v>
      </c>
      <c r="O27" s="4" t="s">
        <v>13</v>
      </c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39.0" customHeight="1">
      <c r="A28" s="10" t="s">
        <v>28</v>
      </c>
      <c r="B28" s="10" t="s">
        <v>29</v>
      </c>
      <c r="C28" s="31">
        <v>0.00625</v>
      </c>
      <c r="D28" s="31">
        <v>0.008333333333333333</v>
      </c>
      <c r="E28" s="31">
        <v>0.007638888888888889</v>
      </c>
      <c r="F28" s="31"/>
      <c r="G28" s="31"/>
      <c r="H28" s="31"/>
      <c r="I28" s="31"/>
      <c r="J28" s="31"/>
      <c r="K28" s="31"/>
      <c r="L28" s="31"/>
      <c r="M28" s="31"/>
      <c r="N28" s="31"/>
      <c r="O28" s="31">
        <f>AVERAGE(C28:N28)</f>
        <v>0.007407407407</v>
      </c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3.5" customHeight="1">
      <c r="A29" s="23" t="s">
        <v>17</v>
      </c>
      <c r="B29" s="23"/>
      <c r="C29" s="32">
        <v>0.006944444444444444</v>
      </c>
      <c r="D29" s="32">
        <v>0.006944444444444444</v>
      </c>
      <c r="E29" s="32">
        <v>0.006944444444444444</v>
      </c>
      <c r="F29" s="32">
        <v>0.006944444444444444</v>
      </c>
      <c r="G29" s="32">
        <v>0.006944444444444444</v>
      </c>
      <c r="H29" s="32">
        <v>0.006944444444444444</v>
      </c>
      <c r="I29" s="32">
        <v>0.006944444444444444</v>
      </c>
      <c r="J29" s="32">
        <v>0.006944444444444444</v>
      </c>
      <c r="K29" s="32">
        <v>0.00694444444444444</v>
      </c>
      <c r="L29" s="32">
        <v>0.00694444444444444</v>
      </c>
      <c r="M29" s="32">
        <v>0.006944444444444444</v>
      </c>
      <c r="N29" s="32">
        <v>0.006944444444444444</v>
      </c>
      <c r="O29" s="33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ht="10.5" customHeight="1">
      <c r="A30" s="11"/>
      <c r="B30" s="11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13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5"/>
      <c r="B31" s="6"/>
      <c r="C31" s="4" t="s">
        <v>1</v>
      </c>
      <c r="D31" s="4" t="s">
        <v>2</v>
      </c>
      <c r="E31" s="4" t="s">
        <v>3</v>
      </c>
      <c r="F31" s="4" t="s">
        <v>4</v>
      </c>
      <c r="G31" s="4" t="s">
        <v>5</v>
      </c>
      <c r="H31" s="4" t="s">
        <v>6</v>
      </c>
      <c r="I31" s="4" t="s">
        <v>7</v>
      </c>
      <c r="J31" s="4" t="s">
        <v>8</v>
      </c>
      <c r="K31" s="4" t="s">
        <v>9</v>
      </c>
      <c r="L31" s="4" t="s">
        <v>10</v>
      </c>
      <c r="M31" s="4" t="s">
        <v>11</v>
      </c>
      <c r="N31" s="4" t="s">
        <v>12</v>
      </c>
      <c r="O31" s="4" t="s">
        <v>13</v>
      </c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47.25" customHeight="1">
      <c r="A32" s="10" t="s">
        <v>30</v>
      </c>
      <c r="B32" s="10" t="s">
        <v>29</v>
      </c>
      <c r="C32" s="31">
        <v>0.04097222222222222</v>
      </c>
      <c r="D32" s="31">
        <v>0.013888888888888888</v>
      </c>
      <c r="E32" s="31">
        <v>0.009027777777777777</v>
      </c>
      <c r="F32" s="34"/>
      <c r="G32" s="34"/>
      <c r="H32" s="34"/>
      <c r="I32" s="34"/>
      <c r="J32" s="34"/>
      <c r="K32" s="34"/>
      <c r="L32" s="34"/>
      <c r="M32" s="34"/>
      <c r="N32" s="34"/>
      <c r="O32" s="34">
        <f>AVERAGE(C32:N32)</f>
        <v>0.0212962963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0.5" customHeight="1">
      <c r="A33" s="11"/>
      <c r="B33" s="11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13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5"/>
      <c r="B34" s="6"/>
      <c r="C34" s="4" t="s">
        <v>1</v>
      </c>
      <c r="D34" s="4" t="s">
        <v>2</v>
      </c>
      <c r="E34" s="4" t="s">
        <v>3</v>
      </c>
      <c r="F34" s="4" t="s">
        <v>4</v>
      </c>
      <c r="G34" s="4" t="s">
        <v>5</v>
      </c>
      <c r="H34" s="4" t="s">
        <v>6</v>
      </c>
      <c r="I34" s="4" t="s">
        <v>7</v>
      </c>
      <c r="J34" s="4" t="s">
        <v>8</v>
      </c>
      <c r="K34" s="4" t="s">
        <v>9</v>
      </c>
      <c r="L34" s="4" t="s">
        <v>10</v>
      </c>
      <c r="M34" s="4" t="s">
        <v>11</v>
      </c>
      <c r="N34" s="4" t="s">
        <v>12</v>
      </c>
      <c r="O34" s="4" t="s">
        <v>13</v>
      </c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30.0" customHeight="1">
      <c r="A35" s="10" t="s">
        <v>31</v>
      </c>
      <c r="B35" s="10" t="s">
        <v>32</v>
      </c>
      <c r="C35" s="31">
        <v>1.2084722222222222</v>
      </c>
      <c r="D35" s="31">
        <v>1.1854166666666666</v>
      </c>
      <c r="E35" s="31">
        <v>0.9583333333333334</v>
      </c>
      <c r="F35" s="31"/>
      <c r="G35" s="31"/>
      <c r="H35" s="31"/>
      <c r="I35" s="31"/>
      <c r="J35" s="31"/>
      <c r="K35" s="31"/>
      <c r="L35" s="31"/>
      <c r="M35" s="31"/>
      <c r="N35" s="31"/>
      <c r="O35" s="31">
        <f>AVERAGE(C35:N35)</f>
        <v>1.117407407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11"/>
      <c r="B36" s="11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5"/>
      <c r="B37" s="6"/>
      <c r="C37" s="4" t="s">
        <v>1</v>
      </c>
      <c r="D37" s="4" t="s">
        <v>2</v>
      </c>
      <c r="E37" s="4" t="s">
        <v>3</v>
      </c>
      <c r="F37" s="4" t="s">
        <v>4</v>
      </c>
      <c r="G37" s="4" t="s">
        <v>5</v>
      </c>
      <c r="H37" s="4" t="s">
        <v>6</v>
      </c>
      <c r="I37" s="4" t="s">
        <v>7</v>
      </c>
      <c r="J37" s="4" t="s">
        <v>8</v>
      </c>
      <c r="K37" s="4" t="s">
        <v>9</v>
      </c>
      <c r="L37" s="4" t="s">
        <v>10</v>
      </c>
      <c r="M37" s="4" t="s">
        <v>11</v>
      </c>
      <c r="N37" s="4" t="s">
        <v>12</v>
      </c>
      <c r="O37" s="4" t="s">
        <v>13</v>
      </c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30.0" customHeight="1">
      <c r="A38" s="10" t="s">
        <v>33</v>
      </c>
      <c r="B38" s="10" t="s">
        <v>34</v>
      </c>
      <c r="C38" s="31">
        <v>0.06597222222222222</v>
      </c>
      <c r="D38" s="31">
        <v>0.08611111111111111</v>
      </c>
      <c r="E38" s="31">
        <v>0.12777777777777777</v>
      </c>
      <c r="F38" s="31"/>
      <c r="G38" s="31"/>
      <c r="H38" s="31"/>
      <c r="I38" s="31"/>
      <c r="J38" s="31"/>
      <c r="K38" s="31"/>
      <c r="L38" s="31"/>
      <c r="M38" s="31"/>
      <c r="N38" s="31"/>
      <c r="O38" s="31">
        <f>AVERAGE(C38:N38)</f>
        <v>0.09328703704</v>
      </c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0.5" customHeight="1">
      <c r="A39" s="11"/>
      <c r="B39" s="11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13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5"/>
      <c r="B40" s="6"/>
      <c r="C40" s="4" t="s">
        <v>1</v>
      </c>
      <c r="D40" s="4" t="s">
        <v>2</v>
      </c>
      <c r="E40" s="4" t="s">
        <v>3</v>
      </c>
      <c r="F40" s="4" t="s">
        <v>4</v>
      </c>
      <c r="G40" s="4" t="s">
        <v>5</v>
      </c>
      <c r="H40" s="4" t="s">
        <v>6</v>
      </c>
      <c r="I40" s="4" t="s">
        <v>7</v>
      </c>
      <c r="J40" s="4" t="s">
        <v>8</v>
      </c>
      <c r="K40" s="4" t="s">
        <v>9</v>
      </c>
      <c r="L40" s="4" t="s">
        <v>10</v>
      </c>
      <c r="M40" s="4" t="s">
        <v>11</v>
      </c>
      <c r="N40" s="4" t="s">
        <v>12</v>
      </c>
      <c r="O40" s="4" t="s">
        <v>13</v>
      </c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36" t="s">
        <v>35</v>
      </c>
      <c r="B41" s="10" t="s">
        <v>36</v>
      </c>
      <c r="C41" s="37">
        <v>64.0</v>
      </c>
      <c r="D41" s="37">
        <v>12.0</v>
      </c>
      <c r="E41" s="37">
        <v>23.0</v>
      </c>
      <c r="F41" s="37"/>
      <c r="G41" s="37"/>
      <c r="H41" s="37"/>
      <c r="I41" s="37"/>
      <c r="J41" s="37"/>
      <c r="K41" s="37"/>
      <c r="L41" s="37"/>
      <c r="M41" s="37"/>
      <c r="N41" s="37"/>
      <c r="O41" s="9">
        <f>SUM(C41:N41)</f>
        <v>99</v>
      </c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0.5" customHeight="1">
      <c r="A42" s="11"/>
      <c r="B42" s="11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13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5"/>
      <c r="B43" s="6"/>
      <c r="C43" s="4" t="s">
        <v>1</v>
      </c>
      <c r="D43" s="4" t="s">
        <v>2</v>
      </c>
      <c r="E43" s="4" t="s">
        <v>3</v>
      </c>
      <c r="F43" s="4" t="s">
        <v>4</v>
      </c>
      <c r="G43" s="4" t="s">
        <v>5</v>
      </c>
      <c r="H43" s="4" t="s">
        <v>6</v>
      </c>
      <c r="I43" s="4" t="s">
        <v>7</v>
      </c>
      <c r="J43" s="4" t="s">
        <v>8</v>
      </c>
      <c r="K43" s="4" t="s">
        <v>9</v>
      </c>
      <c r="L43" s="4" t="s">
        <v>10</v>
      </c>
      <c r="M43" s="4" t="s">
        <v>11</v>
      </c>
      <c r="N43" s="4" t="s">
        <v>12</v>
      </c>
      <c r="O43" s="4" t="s">
        <v>13</v>
      </c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45" t="s">
        <v>37</v>
      </c>
      <c r="B44" s="10" t="s">
        <v>38</v>
      </c>
      <c r="C44" s="8">
        <v>1200.0</v>
      </c>
      <c r="D44" s="8">
        <v>1350.0</v>
      </c>
      <c r="E44" s="8">
        <v>100.0</v>
      </c>
      <c r="F44" s="8"/>
      <c r="G44" s="8"/>
      <c r="H44" s="8"/>
      <c r="I44" s="8"/>
      <c r="J44" s="8"/>
      <c r="K44" s="8"/>
      <c r="L44" s="8"/>
      <c r="M44" s="8"/>
      <c r="N44" s="8"/>
      <c r="O44" s="9">
        <f t="shared" ref="O44:O47" si="13">SUM(C44:N44)</f>
        <v>2650</v>
      </c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1"/>
      <c r="B45" s="10" t="s">
        <v>39</v>
      </c>
      <c r="C45" s="8">
        <v>340.0</v>
      </c>
      <c r="D45" s="8">
        <v>845.0</v>
      </c>
      <c r="E45" s="8">
        <v>201.0</v>
      </c>
      <c r="F45" s="8"/>
      <c r="G45" s="8"/>
      <c r="H45" s="8"/>
      <c r="I45" s="8"/>
      <c r="J45" s="8"/>
      <c r="K45" s="8"/>
      <c r="L45" s="8"/>
      <c r="M45" s="8"/>
      <c r="N45" s="8"/>
      <c r="O45" s="9">
        <f t="shared" si="13"/>
        <v>1386</v>
      </c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7"/>
      <c r="B46" s="10" t="s">
        <v>40</v>
      </c>
      <c r="C46" s="8">
        <v>152.0</v>
      </c>
      <c r="D46" s="8">
        <v>94.0</v>
      </c>
      <c r="E46" s="8">
        <v>90.0</v>
      </c>
      <c r="F46" s="8"/>
      <c r="G46" s="8"/>
      <c r="H46" s="8"/>
      <c r="I46" s="8"/>
      <c r="J46" s="8"/>
      <c r="K46" s="8"/>
      <c r="L46" s="8"/>
      <c r="M46" s="8"/>
      <c r="N46" s="8"/>
      <c r="O46" s="9">
        <f t="shared" si="13"/>
        <v>336</v>
      </c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36"/>
      <c r="B47" s="10" t="s">
        <v>13</v>
      </c>
      <c r="C47" s="9">
        <f t="shared" ref="C47:N47" si="14">SUM(C44:C46)</f>
        <v>1692</v>
      </c>
      <c r="D47" s="9">
        <f t="shared" si="14"/>
        <v>2289</v>
      </c>
      <c r="E47" s="9">
        <f t="shared" si="14"/>
        <v>391</v>
      </c>
      <c r="F47" s="9">
        <f t="shared" si="14"/>
        <v>0</v>
      </c>
      <c r="G47" s="9">
        <f t="shared" si="14"/>
        <v>0</v>
      </c>
      <c r="H47" s="9">
        <f t="shared" si="14"/>
        <v>0</v>
      </c>
      <c r="I47" s="9">
        <f t="shared" si="14"/>
        <v>0</v>
      </c>
      <c r="J47" s="9">
        <f t="shared" si="14"/>
        <v>0</v>
      </c>
      <c r="K47" s="9">
        <f t="shared" si="14"/>
        <v>0</v>
      </c>
      <c r="L47" s="9">
        <f t="shared" si="14"/>
        <v>0</v>
      </c>
      <c r="M47" s="9">
        <f t="shared" si="14"/>
        <v>0</v>
      </c>
      <c r="N47" s="9">
        <f t="shared" si="14"/>
        <v>0</v>
      </c>
      <c r="O47" s="9">
        <f t="shared" si="13"/>
        <v>4372</v>
      </c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0.5" customHeight="1">
      <c r="A48" s="38"/>
      <c r="B48" s="3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5"/>
      <c r="B49" s="6"/>
      <c r="C49" s="4" t="s">
        <v>1</v>
      </c>
      <c r="D49" s="4" t="s">
        <v>2</v>
      </c>
      <c r="E49" s="4" t="s">
        <v>3</v>
      </c>
      <c r="F49" s="4" t="s">
        <v>4</v>
      </c>
      <c r="G49" s="4" t="s">
        <v>5</v>
      </c>
      <c r="H49" s="4" t="s">
        <v>6</v>
      </c>
      <c r="I49" s="4" t="s">
        <v>7</v>
      </c>
      <c r="J49" s="4" t="s">
        <v>8</v>
      </c>
      <c r="K49" s="4" t="s">
        <v>9</v>
      </c>
      <c r="L49" s="4" t="s">
        <v>10</v>
      </c>
      <c r="M49" s="4" t="s">
        <v>11</v>
      </c>
      <c r="N49" s="4" t="s">
        <v>12</v>
      </c>
      <c r="O49" s="4" t="s">
        <v>13</v>
      </c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4.25" customHeight="1">
      <c r="A50" s="45" t="s">
        <v>41</v>
      </c>
      <c r="B50" s="40" t="s">
        <v>42</v>
      </c>
      <c r="C50" s="37">
        <v>245.0</v>
      </c>
      <c r="D50" s="37">
        <v>2626.0</v>
      </c>
      <c r="E50" s="37">
        <v>312.0</v>
      </c>
      <c r="F50" s="37"/>
      <c r="G50" s="37"/>
      <c r="H50" s="37"/>
      <c r="I50" s="37"/>
      <c r="J50" s="37"/>
      <c r="K50" s="37"/>
      <c r="L50" s="37"/>
      <c r="M50" s="37"/>
      <c r="N50" s="37"/>
      <c r="O50" s="41">
        <f t="shared" ref="O50:O59" si="15">SUM(C50:N50)</f>
        <v>3183</v>
      </c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1"/>
      <c r="B51" s="40" t="s">
        <v>43</v>
      </c>
      <c r="C51" s="37">
        <v>84.0</v>
      </c>
      <c r="D51" s="37">
        <v>3434.0</v>
      </c>
      <c r="E51" s="37">
        <v>29.0</v>
      </c>
      <c r="F51" s="37"/>
      <c r="G51" s="37"/>
      <c r="H51" s="37"/>
      <c r="I51" s="37"/>
      <c r="J51" s="37"/>
      <c r="K51" s="37"/>
      <c r="L51" s="37"/>
      <c r="M51" s="37"/>
      <c r="N51" s="37"/>
      <c r="O51" s="41">
        <f t="shared" si="15"/>
        <v>3547</v>
      </c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1"/>
      <c r="B52" s="40" t="s">
        <v>44</v>
      </c>
      <c r="C52" s="37">
        <v>96.0</v>
      </c>
      <c r="D52" s="37">
        <v>4252.0</v>
      </c>
      <c r="E52" s="37">
        <v>31.0</v>
      </c>
      <c r="F52" s="37"/>
      <c r="G52" s="37"/>
      <c r="H52" s="37"/>
      <c r="I52" s="37"/>
      <c r="J52" s="37"/>
      <c r="K52" s="37"/>
      <c r="L52" s="37"/>
      <c r="M52" s="37"/>
      <c r="N52" s="37"/>
      <c r="O52" s="41">
        <f t="shared" si="15"/>
        <v>4379</v>
      </c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1"/>
      <c r="B53" s="40" t="s">
        <v>45</v>
      </c>
      <c r="C53" s="37">
        <v>1220.0</v>
      </c>
      <c r="D53" s="37">
        <v>102.0</v>
      </c>
      <c r="E53" s="37">
        <v>42.0</v>
      </c>
      <c r="F53" s="37"/>
      <c r="G53" s="37"/>
      <c r="H53" s="37"/>
      <c r="I53" s="37"/>
      <c r="J53" s="37"/>
      <c r="K53" s="37"/>
      <c r="L53" s="37"/>
      <c r="M53" s="37"/>
      <c r="N53" s="37"/>
      <c r="O53" s="41">
        <f t="shared" si="15"/>
        <v>1364</v>
      </c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1"/>
      <c r="B54" s="40" t="s">
        <v>46</v>
      </c>
      <c r="C54" s="37">
        <v>100.0</v>
      </c>
      <c r="D54" s="37">
        <v>999.0</v>
      </c>
      <c r="E54" s="37">
        <v>99.0</v>
      </c>
      <c r="F54" s="37"/>
      <c r="G54" s="37"/>
      <c r="H54" s="37"/>
      <c r="I54" s="37"/>
      <c r="J54" s="37"/>
      <c r="K54" s="37"/>
      <c r="L54" s="37"/>
      <c r="M54" s="37"/>
      <c r="N54" s="37"/>
      <c r="O54" s="41">
        <f t="shared" si="15"/>
        <v>1198</v>
      </c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1"/>
      <c r="B55" s="40" t="s">
        <v>47</v>
      </c>
      <c r="C55" s="37">
        <v>3000.0</v>
      </c>
      <c r="D55" s="37">
        <v>122.0</v>
      </c>
      <c r="E55" s="37">
        <v>4555.0</v>
      </c>
      <c r="F55" s="37"/>
      <c r="G55" s="37"/>
      <c r="H55" s="37"/>
      <c r="I55" s="37"/>
      <c r="J55" s="37"/>
      <c r="K55" s="37"/>
      <c r="L55" s="37"/>
      <c r="M55" s="37"/>
      <c r="N55" s="37"/>
      <c r="O55" s="41">
        <f t="shared" si="15"/>
        <v>7677</v>
      </c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1"/>
      <c r="B56" s="40" t="s">
        <v>48</v>
      </c>
      <c r="C56" s="37">
        <v>450.0</v>
      </c>
      <c r="D56" s="37">
        <v>354.0</v>
      </c>
      <c r="E56" s="37">
        <v>8444.0</v>
      </c>
      <c r="F56" s="37"/>
      <c r="G56" s="37"/>
      <c r="H56" s="37"/>
      <c r="I56" s="37"/>
      <c r="J56" s="37"/>
      <c r="K56" s="37"/>
      <c r="L56" s="37"/>
      <c r="M56" s="37"/>
      <c r="N56" s="37"/>
      <c r="O56" s="41">
        <f t="shared" si="15"/>
        <v>9248</v>
      </c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1"/>
      <c r="B57" s="40" t="s">
        <v>49</v>
      </c>
      <c r="C57" s="37">
        <v>99.0</v>
      </c>
      <c r="D57" s="37">
        <v>140.0</v>
      </c>
      <c r="E57" s="37">
        <v>2.0</v>
      </c>
      <c r="F57" s="37"/>
      <c r="G57" s="37"/>
      <c r="H57" s="37"/>
      <c r="I57" s="37"/>
      <c r="J57" s="37"/>
      <c r="K57" s="37"/>
      <c r="L57" s="37"/>
      <c r="M57" s="37"/>
      <c r="N57" s="37"/>
      <c r="O57" s="41">
        <f t="shared" si="15"/>
        <v>241</v>
      </c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7"/>
      <c r="B58" s="40" t="s">
        <v>50</v>
      </c>
      <c r="C58" s="37">
        <v>135.0</v>
      </c>
      <c r="D58" s="37">
        <v>92.0</v>
      </c>
      <c r="E58" s="37">
        <v>1.0</v>
      </c>
      <c r="F58" s="37"/>
      <c r="G58" s="37"/>
      <c r="H58" s="37"/>
      <c r="I58" s="37"/>
      <c r="J58" s="37"/>
      <c r="K58" s="37"/>
      <c r="L58" s="37"/>
      <c r="M58" s="37"/>
      <c r="N58" s="37"/>
      <c r="O58" s="41">
        <f t="shared" si="15"/>
        <v>228</v>
      </c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36"/>
      <c r="B59" s="40" t="s">
        <v>13</v>
      </c>
      <c r="C59" s="37">
        <f t="shared" ref="C59:N59" si="16">SUM(C50:C58)</f>
        <v>5429</v>
      </c>
      <c r="D59" s="37">
        <f t="shared" si="16"/>
        <v>12121</v>
      </c>
      <c r="E59" s="37">
        <f t="shared" si="16"/>
        <v>13515</v>
      </c>
      <c r="F59" s="37">
        <f t="shared" si="16"/>
        <v>0</v>
      </c>
      <c r="G59" s="37">
        <f t="shared" si="16"/>
        <v>0</v>
      </c>
      <c r="H59" s="37">
        <f t="shared" si="16"/>
        <v>0</v>
      </c>
      <c r="I59" s="37">
        <f t="shared" si="16"/>
        <v>0</v>
      </c>
      <c r="J59" s="37">
        <f t="shared" si="16"/>
        <v>0</v>
      </c>
      <c r="K59" s="37">
        <f t="shared" si="16"/>
        <v>0</v>
      </c>
      <c r="L59" s="37">
        <f t="shared" si="16"/>
        <v>0</v>
      </c>
      <c r="M59" s="37">
        <f t="shared" si="16"/>
        <v>0</v>
      </c>
      <c r="N59" s="37">
        <f t="shared" si="16"/>
        <v>0</v>
      </c>
      <c r="O59" s="41">
        <f t="shared" si="15"/>
        <v>31065</v>
      </c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1.25" customHeight="1">
      <c r="A60" s="38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5"/>
      <c r="B61" s="6"/>
      <c r="C61" s="4" t="s">
        <v>1</v>
      </c>
      <c r="D61" s="4" t="s">
        <v>2</v>
      </c>
      <c r="E61" s="4" t="s">
        <v>3</v>
      </c>
      <c r="F61" s="4" t="s">
        <v>4</v>
      </c>
      <c r="G61" s="4" t="s">
        <v>5</v>
      </c>
      <c r="H61" s="4" t="s">
        <v>6</v>
      </c>
      <c r="I61" s="4" t="s">
        <v>7</v>
      </c>
      <c r="J61" s="4" t="s">
        <v>8</v>
      </c>
      <c r="K61" s="4" t="s">
        <v>9</v>
      </c>
      <c r="L61" s="4" t="s">
        <v>10</v>
      </c>
      <c r="M61" s="4" t="s">
        <v>11</v>
      </c>
      <c r="N61" s="4" t="s">
        <v>12</v>
      </c>
      <c r="O61" s="4" t="s">
        <v>13</v>
      </c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4.25" customHeight="1">
      <c r="A62" s="45" t="s">
        <v>51</v>
      </c>
      <c r="B62" s="40" t="s">
        <v>52</v>
      </c>
      <c r="C62" s="8">
        <v>4550.0</v>
      </c>
      <c r="D62" s="8">
        <v>4500.0</v>
      </c>
      <c r="E62" s="8">
        <v>7240.0</v>
      </c>
      <c r="F62" s="8"/>
      <c r="G62" s="8"/>
      <c r="H62" s="8"/>
      <c r="I62" s="8"/>
      <c r="J62" s="8"/>
      <c r="K62" s="8"/>
      <c r="L62" s="8"/>
      <c r="M62" s="8"/>
      <c r="N62" s="8"/>
      <c r="O62" s="9">
        <f t="shared" ref="O62:O64" si="17">SUM(C62:N62)</f>
        <v>16290</v>
      </c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7"/>
      <c r="B63" s="40" t="s">
        <v>53</v>
      </c>
      <c r="C63" s="8">
        <v>1250.0</v>
      </c>
      <c r="D63" s="8">
        <v>1235.0</v>
      </c>
      <c r="E63" s="8">
        <v>3330.0</v>
      </c>
      <c r="F63" s="8"/>
      <c r="G63" s="8"/>
      <c r="H63" s="8"/>
      <c r="I63" s="8"/>
      <c r="J63" s="8"/>
      <c r="K63" s="8"/>
      <c r="L63" s="8"/>
      <c r="M63" s="8"/>
      <c r="N63" s="8"/>
      <c r="O63" s="9">
        <f t="shared" si="17"/>
        <v>5815</v>
      </c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36"/>
      <c r="B64" s="40" t="s">
        <v>13</v>
      </c>
      <c r="C64" s="9">
        <f t="shared" ref="C64:N64" si="18">SUM(C62:C63)</f>
        <v>5800</v>
      </c>
      <c r="D64" s="9">
        <f t="shared" si="18"/>
        <v>5735</v>
      </c>
      <c r="E64" s="9">
        <f t="shared" si="18"/>
        <v>10570</v>
      </c>
      <c r="F64" s="9">
        <f t="shared" si="18"/>
        <v>0</v>
      </c>
      <c r="G64" s="9">
        <f t="shared" si="18"/>
        <v>0</v>
      </c>
      <c r="H64" s="9">
        <f t="shared" si="18"/>
        <v>0</v>
      </c>
      <c r="I64" s="9">
        <f t="shared" si="18"/>
        <v>0</v>
      </c>
      <c r="J64" s="9">
        <f t="shared" si="18"/>
        <v>0</v>
      </c>
      <c r="K64" s="9">
        <f t="shared" si="18"/>
        <v>0</v>
      </c>
      <c r="L64" s="9">
        <f t="shared" si="18"/>
        <v>0</v>
      </c>
      <c r="M64" s="9">
        <f t="shared" si="18"/>
        <v>0</v>
      </c>
      <c r="N64" s="9">
        <f t="shared" si="18"/>
        <v>0</v>
      </c>
      <c r="O64" s="9">
        <f t="shared" si="17"/>
        <v>22105</v>
      </c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0.5" customHeight="1">
      <c r="A65" s="38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5"/>
      <c r="B66" s="6"/>
      <c r="C66" s="4" t="s">
        <v>1</v>
      </c>
      <c r="D66" s="4" t="s">
        <v>2</v>
      </c>
      <c r="E66" s="4" t="s">
        <v>3</v>
      </c>
      <c r="F66" s="4" t="s">
        <v>4</v>
      </c>
      <c r="G66" s="4" t="s">
        <v>5</v>
      </c>
      <c r="H66" s="4" t="s">
        <v>6</v>
      </c>
      <c r="I66" s="4" t="s">
        <v>7</v>
      </c>
      <c r="J66" s="4" t="s">
        <v>8</v>
      </c>
      <c r="K66" s="4" t="s">
        <v>9</v>
      </c>
      <c r="L66" s="4" t="s">
        <v>10</v>
      </c>
      <c r="M66" s="4" t="s">
        <v>11</v>
      </c>
      <c r="N66" s="4" t="s">
        <v>12</v>
      </c>
      <c r="O66" s="4" t="s">
        <v>13</v>
      </c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10" t="s">
        <v>54</v>
      </c>
      <c r="B67" s="40" t="s">
        <v>13</v>
      </c>
      <c r="C67" s="41">
        <v>10.0</v>
      </c>
      <c r="D67" s="41">
        <v>12.0</v>
      </c>
      <c r="E67" s="41">
        <v>9.0</v>
      </c>
      <c r="F67" s="41">
        <v>5.0</v>
      </c>
      <c r="G67" s="41"/>
      <c r="H67" s="41"/>
      <c r="I67" s="41"/>
      <c r="J67" s="41"/>
      <c r="K67" s="41"/>
      <c r="L67" s="41"/>
      <c r="M67" s="41"/>
      <c r="N67" s="41"/>
      <c r="O67" s="9">
        <f>SUM(C67:N67)</f>
        <v>36</v>
      </c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39"/>
      <c r="B68" s="3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39"/>
      <c r="B69" s="3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39"/>
      <c r="B70" s="3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39"/>
      <c r="B71" s="3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39"/>
      <c r="B72" s="3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39"/>
      <c r="B73" s="3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39"/>
      <c r="B74" s="3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39"/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39"/>
      <c r="B76" s="3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39"/>
      <c r="B77" s="3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39"/>
      <c r="B78" s="3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39"/>
      <c r="B79" s="3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39"/>
      <c r="B80" s="3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39"/>
      <c r="B81" s="3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39"/>
      <c r="B82" s="3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39"/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39"/>
      <c r="B84" s="3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39"/>
      <c r="B85" s="3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39"/>
      <c r="B86" s="3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39"/>
      <c r="B87" s="3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39"/>
      <c r="B88" s="3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39"/>
      <c r="B89" s="3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39"/>
      <c r="B90" s="3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39"/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39"/>
      <c r="B92" s="3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39"/>
      <c r="B93" s="3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39"/>
      <c r="B94" s="3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39"/>
      <c r="B95" s="3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39"/>
      <c r="B96" s="3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39"/>
      <c r="B97" s="3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39"/>
      <c r="B98" s="3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39"/>
      <c r="B99" s="3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39"/>
      <c r="B100" s="3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39"/>
      <c r="B101" s="3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39"/>
      <c r="B102" s="3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39"/>
      <c r="B103" s="3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39"/>
      <c r="B104" s="3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39"/>
      <c r="B105" s="3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39"/>
      <c r="B106" s="3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39"/>
      <c r="B107" s="3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39"/>
      <c r="B108" s="3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39"/>
      <c r="B109" s="3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39"/>
      <c r="B110" s="3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39"/>
      <c r="B111" s="3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39"/>
      <c r="B112" s="3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39"/>
      <c r="B113" s="3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39"/>
      <c r="B114" s="3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39"/>
      <c r="B115" s="3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39"/>
      <c r="B116" s="3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39"/>
      <c r="B117" s="3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39"/>
      <c r="B118" s="3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39"/>
      <c r="B119" s="3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39"/>
      <c r="B120" s="3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39"/>
      <c r="B121" s="3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39"/>
      <c r="B122" s="3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39"/>
      <c r="B123" s="3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39"/>
      <c r="B124" s="3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39"/>
      <c r="B125" s="3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39"/>
      <c r="B126" s="3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39"/>
      <c r="B127" s="3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39"/>
      <c r="B128" s="3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39"/>
      <c r="B129" s="3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39"/>
      <c r="B130" s="3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39"/>
      <c r="B131" s="3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39"/>
      <c r="B132" s="3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39"/>
      <c r="B133" s="3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39"/>
      <c r="B134" s="3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39"/>
      <c r="B135" s="3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39"/>
      <c r="B136" s="3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39"/>
      <c r="B137" s="3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39"/>
      <c r="B138" s="3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39"/>
      <c r="B139" s="3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39"/>
      <c r="B140" s="3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39"/>
      <c r="B141" s="3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39"/>
      <c r="B142" s="3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39"/>
      <c r="B143" s="3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39"/>
      <c r="B144" s="3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39"/>
      <c r="B145" s="3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39"/>
      <c r="B146" s="3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39"/>
      <c r="B147" s="3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39"/>
      <c r="B148" s="3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39"/>
      <c r="B149" s="3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39"/>
      <c r="B150" s="3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39"/>
      <c r="B151" s="3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39"/>
      <c r="B152" s="3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39"/>
      <c r="B153" s="3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39"/>
      <c r="B154" s="3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39"/>
      <c r="B155" s="3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39"/>
      <c r="B156" s="3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39"/>
      <c r="B157" s="3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39"/>
      <c r="B158" s="3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39"/>
      <c r="B159" s="3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39"/>
      <c r="B160" s="3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39"/>
      <c r="B161" s="3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39"/>
      <c r="B162" s="3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39"/>
      <c r="B163" s="3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39"/>
      <c r="B164" s="3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39"/>
      <c r="B165" s="3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39"/>
      <c r="B166" s="3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39"/>
      <c r="B167" s="3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39"/>
      <c r="B168" s="3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39"/>
      <c r="B169" s="3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39"/>
      <c r="B170" s="3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39"/>
      <c r="B171" s="3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39"/>
      <c r="B172" s="3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39"/>
      <c r="B173" s="3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39"/>
      <c r="B174" s="3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39"/>
      <c r="B175" s="3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39"/>
      <c r="B176" s="3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39"/>
      <c r="B177" s="3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39"/>
      <c r="B178" s="3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39"/>
      <c r="B179" s="3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39"/>
      <c r="B180" s="3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39"/>
      <c r="B181" s="3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39"/>
      <c r="B182" s="3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39"/>
      <c r="B183" s="3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39"/>
      <c r="B184" s="3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39"/>
      <c r="B185" s="3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39"/>
      <c r="B186" s="3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39"/>
      <c r="B187" s="3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39"/>
      <c r="B188" s="3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39"/>
      <c r="B189" s="3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39"/>
      <c r="B190" s="3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39"/>
      <c r="B191" s="3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39"/>
      <c r="B192" s="3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39"/>
      <c r="B193" s="3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39"/>
      <c r="B194" s="3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39"/>
      <c r="B195" s="3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39"/>
      <c r="B196" s="3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39"/>
      <c r="B197" s="3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39"/>
      <c r="B198" s="3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39"/>
      <c r="B199" s="3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39"/>
      <c r="B200" s="3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39"/>
      <c r="B201" s="3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39"/>
      <c r="B202" s="3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39"/>
      <c r="B203" s="39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39"/>
      <c r="B204" s="39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39"/>
      <c r="B205" s="39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39"/>
      <c r="B206" s="39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39"/>
      <c r="B207" s="39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39"/>
      <c r="B208" s="39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39"/>
      <c r="B209" s="39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39"/>
      <c r="B210" s="39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39"/>
      <c r="B211" s="39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39"/>
      <c r="B212" s="39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39"/>
      <c r="B213" s="39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39"/>
      <c r="B214" s="39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39"/>
      <c r="B215" s="39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39"/>
      <c r="B216" s="39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39"/>
      <c r="B217" s="39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39"/>
      <c r="B218" s="39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39"/>
      <c r="B219" s="39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39"/>
      <c r="B220" s="39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39"/>
      <c r="B221" s="39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39"/>
      <c r="B222" s="39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39"/>
      <c r="B223" s="39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39"/>
      <c r="B224" s="39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39"/>
      <c r="B225" s="39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39"/>
      <c r="B226" s="39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39"/>
      <c r="B227" s="39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39"/>
      <c r="B228" s="39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39"/>
      <c r="B229" s="39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39"/>
      <c r="B230" s="39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39"/>
      <c r="B231" s="39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39"/>
      <c r="B232" s="39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39"/>
      <c r="B233" s="39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39"/>
      <c r="B234" s="39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39"/>
      <c r="B235" s="39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39"/>
      <c r="B236" s="39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39"/>
      <c r="B237" s="39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39"/>
      <c r="B238" s="39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39"/>
      <c r="B239" s="39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39"/>
      <c r="B240" s="39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39"/>
      <c r="B241" s="39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39"/>
      <c r="B242" s="39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39"/>
      <c r="B243" s="39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39"/>
      <c r="B244" s="39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39"/>
      <c r="B245" s="39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39"/>
      <c r="B246" s="39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39"/>
      <c r="B247" s="39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39"/>
      <c r="B248" s="39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39"/>
      <c r="B249" s="39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39"/>
      <c r="B250" s="39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39"/>
      <c r="B251" s="39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39"/>
      <c r="B252" s="39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39"/>
      <c r="B253" s="39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39"/>
      <c r="B254" s="39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39"/>
      <c r="B255" s="39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39"/>
      <c r="B256" s="39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39"/>
      <c r="B257" s="39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39"/>
      <c r="B258" s="39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39"/>
      <c r="B259" s="39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39"/>
      <c r="B260" s="39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39"/>
      <c r="B261" s="39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39"/>
      <c r="B262" s="39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39"/>
      <c r="B263" s="39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39"/>
      <c r="B264" s="39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39"/>
      <c r="B265" s="39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39"/>
      <c r="B266" s="39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39"/>
      <c r="B267" s="39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39"/>
      <c r="B268" s="39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39"/>
      <c r="B269" s="39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39"/>
      <c r="B270" s="39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39"/>
      <c r="B271" s="39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39"/>
      <c r="B272" s="39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39"/>
      <c r="B273" s="39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39"/>
      <c r="B274" s="39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39"/>
      <c r="B275" s="39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39"/>
      <c r="B276" s="39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39"/>
      <c r="B277" s="39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39"/>
      <c r="B278" s="39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39"/>
      <c r="B279" s="39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39"/>
      <c r="B280" s="39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39"/>
      <c r="B281" s="39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39"/>
      <c r="B282" s="39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39"/>
      <c r="B283" s="39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39"/>
      <c r="B284" s="39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39"/>
      <c r="B285" s="39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39"/>
      <c r="B286" s="39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39"/>
      <c r="B287" s="39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39"/>
      <c r="B288" s="39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39"/>
      <c r="B289" s="39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39"/>
      <c r="B290" s="39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39"/>
      <c r="B291" s="39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39"/>
      <c r="B292" s="39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39"/>
      <c r="B293" s="39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39"/>
      <c r="B294" s="39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39"/>
      <c r="B295" s="39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39"/>
      <c r="B296" s="39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39"/>
      <c r="B297" s="39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39"/>
      <c r="B298" s="39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39"/>
      <c r="B299" s="39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39"/>
      <c r="B300" s="39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39"/>
      <c r="B301" s="39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39"/>
      <c r="B302" s="39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39"/>
      <c r="B303" s="39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39"/>
      <c r="B304" s="39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39"/>
      <c r="B305" s="39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39"/>
      <c r="B306" s="39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39"/>
      <c r="B307" s="39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39"/>
      <c r="B308" s="39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39"/>
      <c r="B309" s="39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39"/>
      <c r="B310" s="39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39"/>
      <c r="B311" s="39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39"/>
      <c r="B312" s="39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39"/>
      <c r="B313" s="39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39"/>
      <c r="B314" s="39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39"/>
      <c r="B315" s="39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39"/>
      <c r="B316" s="39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39"/>
      <c r="B317" s="39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39"/>
      <c r="B318" s="39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39"/>
      <c r="B319" s="39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39"/>
      <c r="B320" s="39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39"/>
      <c r="B321" s="39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39"/>
      <c r="B322" s="39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39"/>
      <c r="B323" s="39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39"/>
      <c r="B324" s="39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39"/>
      <c r="B325" s="39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39"/>
      <c r="B326" s="39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39"/>
      <c r="B327" s="39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39"/>
      <c r="B328" s="39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39"/>
      <c r="B329" s="39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39"/>
      <c r="B330" s="39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39"/>
      <c r="B331" s="39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39"/>
      <c r="B332" s="39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39"/>
      <c r="B333" s="39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39"/>
      <c r="B334" s="39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39"/>
      <c r="B335" s="39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39"/>
      <c r="B336" s="39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39"/>
      <c r="B337" s="39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39"/>
      <c r="B338" s="39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39"/>
      <c r="B339" s="39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39"/>
      <c r="B340" s="39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39"/>
      <c r="B341" s="39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39"/>
      <c r="B342" s="39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39"/>
      <c r="B343" s="39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39"/>
      <c r="B344" s="39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39"/>
      <c r="B345" s="39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39"/>
      <c r="B346" s="39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39"/>
      <c r="B347" s="39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39"/>
      <c r="B348" s="39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39"/>
      <c r="B349" s="39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39"/>
      <c r="B350" s="39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39"/>
      <c r="B351" s="39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39"/>
      <c r="B352" s="39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39"/>
      <c r="B353" s="39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39"/>
      <c r="B354" s="39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39"/>
      <c r="B355" s="39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39"/>
      <c r="B356" s="39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39"/>
      <c r="B357" s="39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39"/>
      <c r="B358" s="39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39"/>
      <c r="B359" s="39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39"/>
      <c r="B360" s="39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39"/>
      <c r="B361" s="39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39"/>
      <c r="B362" s="39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39"/>
      <c r="B363" s="39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39"/>
      <c r="B364" s="39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39"/>
      <c r="B365" s="39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39"/>
      <c r="B366" s="39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39"/>
      <c r="B367" s="39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39"/>
      <c r="B368" s="39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39"/>
      <c r="B369" s="39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39"/>
      <c r="B370" s="39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39"/>
      <c r="B371" s="39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39"/>
      <c r="B372" s="39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39"/>
      <c r="B373" s="39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39"/>
      <c r="B374" s="39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39"/>
      <c r="B375" s="39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39"/>
      <c r="B376" s="39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39"/>
      <c r="B377" s="39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39"/>
      <c r="B378" s="39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39"/>
      <c r="B379" s="39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39"/>
      <c r="B380" s="39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39"/>
      <c r="B381" s="39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39"/>
      <c r="B382" s="39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39"/>
      <c r="B383" s="39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39"/>
      <c r="B384" s="39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39"/>
      <c r="B385" s="39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39"/>
      <c r="B386" s="39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39"/>
      <c r="B387" s="39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39"/>
      <c r="B388" s="39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39"/>
      <c r="B389" s="39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39"/>
      <c r="B390" s="39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39"/>
      <c r="B391" s="39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39"/>
      <c r="B392" s="39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39"/>
      <c r="B393" s="39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39"/>
      <c r="B394" s="39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39"/>
      <c r="B395" s="39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39"/>
      <c r="B396" s="39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39"/>
      <c r="B397" s="39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39"/>
      <c r="B398" s="39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39"/>
      <c r="B399" s="39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39"/>
      <c r="B400" s="39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39"/>
      <c r="B401" s="39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39"/>
      <c r="B402" s="39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39"/>
      <c r="B403" s="39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39"/>
      <c r="B404" s="39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39"/>
      <c r="B405" s="39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39"/>
      <c r="B406" s="39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39"/>
      <c r="B407" s="39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39"/>
      <c r="B408" s="39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39"/>
      <c r="B409" s="39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39"/>
      <c r="B410" s="39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39"/>
      <c r="B411" s="39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39"/>
      <c r="B412" s="39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39"/>
      <c r="B413" s="39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39"/>
      <c r="B414" s="39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39"/>
      <c r="B415" s="39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39"/>
      <c r="B416" s="39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39"/>
      <c r="B417" s="39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39"/>
      <c r="B418" s="39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39"/>
      <c r="B419" s="39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39"/>
      <c r="B420" s="39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39"/>
      <c r="B421" s="39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39"/>
      <c r="B422" s="39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39"/>
      <c r="B423" s="39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39"/>
      <c r="B424" s="39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39"/>
      <c r="B425" s="39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39"/>
      <c r="B426" s="39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39"/>
      <c r="B427" s="39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39"/>
      <c r="B428" s="39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39"/>
      <c r="B429" s="39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39"/>
      <c r="B430" s="39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39"/>
      <c r="B431" s="39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39"/>
      <c r="B432" s="39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39"/>
      <c r="B433" s="39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39"/>
      <c r="B434" s="39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39"/>
      <c r="B435" s="39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39"/>
      <c r="B436" s="39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39"/>
      <c r="B437" s="39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39"/>
      <c r="B438" s="39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39"/>
      <c r="B439" s="39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39"/>
      <c r="B440" s="39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39"/>
      <c r="B441" s="39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39"/>
      <c r="B442" s="39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39"/>
      <c r="B443" s="39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39"/>
      <c r="B444" s="39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39"/>
      <c r="B445" s="39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39"/>
      <c r="B446" s="39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39"/>
      <c r="B447" s="39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39"/>
      <c r="B448" s="39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39"/>
      <c r="B449" s="39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39"/>
      <c r="B450" s="39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39"/>
      <c r="B451" s="39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39"/>
      <c r="B452" s="39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39"/>
      <c r="B453" s="39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39"/>
      <c r="B454" s="39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39"/>
      <c r="B455" s="39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39"/>
      <c r="B456" s="39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39"/>
      <c r="B457" s="39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39"/>
      <c r="B458" s="39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39"/>
      <c r="B459" s="39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39"/>
      <c r="B460" s="39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39"/>
      <c r="B461" s="39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39"/>
      <c r="B462" s="39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39"/>
      <c r="B463" s="39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39"/>
      <c r="B464" s="39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39"/>
      <c r="B465" s="39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39"/>
      <c r="B466" s="39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39"/>
      <c r="B467" s="39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39"/>
      <c r="B468" s="39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39"/>
      <c r="B469" s="39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39"/>
      <c r="B470" s="39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39"/>
      <c r="B471" s="39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39"/>
      <c r="B472" s="39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39"/>
      <c r="B473" s="39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39"/>
      <c r="B474" s="39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39"/>
      <c r="B475" s="39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39"/>
      <c r="B476" s="39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39"/>
      <c r="B477" s="39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39"/>
      <c r="B478" s="39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39"/>
      <c r="B479" s="39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39"/>
      <c r="B480" s="39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39"/>
      <c r="B481" s="39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39"/>
      <c r="B482" s="39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39"/>
      <c r="B483" s="39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39"/>
      <c r="B484" s="39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39"/>
      <c r="B485" s="39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39"/>
      <c r="B486" s="39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39"/>
      <c r="B487" s="39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39"/>
      <c r="B488" s="39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39"/>
      <c r="B489" s="39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39"/>
      <c r="B490" s="39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39"/>
      <c r="B491" s="39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39"/>
      <c r="B492" s="39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39"/>
      <c r="B493" s="39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39"/>
      <c r="B494" s="39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39"/>
      <c r="B495" s="39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39"/>
      <c r="B496" s="39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39"/>
      <c r="B497" s="39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39"/>
      <c r="B498" s="39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39"/>
      <c r="B499" s="39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39"/>
      <c r="B500" s="39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39"/>
      <c r="B501" s="39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39"/>
      <c r="B502" s="39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39"/>
      <c r="B503" s="39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39"/>
      <c r="B504" s="39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39"/>
      <c r="B505" s="39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39"/>
      <c r="B506" s="39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39"/>
      <c r="B507" s="39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39"/>
      <c r="B508" s="39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39"/>
      <c r="B509" s="39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39"/>
      <c r="B510" s="39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39"/>
      <c r="B511" s="39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39"/>
      <c r="B512" s="39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39"/>
      <c r="B513" s="39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39"/>
      <c r="B514" s="39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39"/>
      <c r="B515" s="39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39"/>
      <c r="B516" s="39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39"/>
      <c r="B517" s="39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39"/>
      <c r="B518" s="39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39"/>
      <c r="B519" s="39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39"/>
      <c r="B520" s="39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39"/>
      <c r="B521" s="39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39"/>
      <c r="B522" s="39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39"/>
      <c r="B523" s="39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39"/>
      <c r="B524" s="39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39"/>
      <c r="B525" s="39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39"/>
      <c r="B526" s="39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39"/>
      <c r="B527" s="39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39"/>
      <c r="B528" s="39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39"/>
      <c r="B529" s="39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39"/>
      <c r="B530" s="39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39"/>
      <c r="B531" s="39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39"/>
      <c r="B532" s="39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39"/>
      <c r="B533" s="39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39"/>
      <c r="B534" s="39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39"/>
      <c r="B535" s="39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39"/>
      <c r="B536" s="39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39"/>
      <c r="B537" s="39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39"/>
      <c r="B538" s="39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39"/>
      <c r="B539" s="39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39"/>
      <c r="B540" s="39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39"/>
      <c r="B541" s="39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39"/>
      <c r="B542" s="39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39"/>
      <c r="B543" s="39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39"/>
      <c r="B544" s="39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39"/>
      <c r="B545" s="39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39"/>
      <c r="B546" s="39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39"/>
      <c r="B547" s="39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39"/>
      <c r="B548" s="39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39"/>
      <c r="B549" s="39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39"/>
      <c r="B550" s="39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39"/>
      <c r="B551" s="39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39"/>
      <c r="B552" s="39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39"/>
      <c r="B553" s="39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39"/>
      <c r="B554" s="39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39"/>
      <c r="B555" s="39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39"/>
      <c r="B556" s="39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39"/>
      <c r="B557" s="39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39"/>
      <c r="B558" s="39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39"/>
      <c r="B559" s="39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39"/>
      <c r="B560" s="39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39"/>
      <c r="B561" s="39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39"/>
      <c r="B562" s="39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39"/>
      <c r="B563" s="39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39"/>
      <c r="B564" s="39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39"/>
      <c r="B565" s="39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39"/>
      <c r="B566" s="39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39"/>
      <c r="B567" s="39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39"/>
      <c r="B568" s="39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39"/>
      <c r="B569" s="39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39"/>
      <c r="B570" s="39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39"/>
      <c r="B571" s="39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39"/>
      <c r="B572" s="39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39"/>
      <c r="B573" s="39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39"/>
      <c r="B574" s="39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39"/>
      <c r="B575" s="39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39"/>
      <c r="B576" s="39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39"/>
      <c r="B577" s="39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39"/>
      <c r="B578" s="39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39"/>
      <c r="B579" s="39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39"/>
      <c r="B580" s="39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39"/>
      <c r="B581" s="39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39"/>
      <c r="B582" s="39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39"/>
      <c r="B583" s="39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39"/>
      <c r="B584" s="39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39"/>
      <c r="B585" s="39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39"/>
      <c r="B586" s="39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39"/>
      <c r="B587" s="39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39"/>
      <c r="B588" s="39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39"/>
      <c r="B589" s="39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39"/>
      <c r="B590" s="39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39"/>
      <c r="B591" s="39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39"/>
      <c r="B592" s="39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39"/>
      <c r="B593" s="39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39"/>
      <c r="B594" s="39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39"/>
      <c r="B595" s="39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39"/>
      <c r="B596" s="39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39"/>
      <c r="B597" s="39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39"/>
      <c r="B598" s="39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39"/>
      <c r="B599" s="39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39"/>
      <c r="B600" s="39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39"/>
      <c r="B601" s="39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39"/>
      <c r="B602" s="39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39"/>
      <c r="B603" s="39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39"/>
      <c r="B604" s="39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39"/>
      <c r="B605" s="39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39"/>
      <c r="B606" s="39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39"/>
      <c r="B607" s="39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39"/>
      <c r="B608" s="39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39"/>
      <c r="B609" s="39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39"/>
      <c r="B610" s="39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39"/>
      <c r="B611" s="39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39"/>
      <c r="B612" s="39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39"/>
      <c r="B613" s="39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39"/>
      <c r="B614" s="39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39"/>
      <c r="B615" s="39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39"/>
      <c r="B616" s="39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39"/>
      <c r="B617" s="39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39"/>
      <c r="B618" s="39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39"/>
      <c r="B619" s="39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39"/>
      <c r="B620" s="39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39"/>
      <c r="B621" s="39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39"/>
      <c r="B622" s="39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39"/>
      <c r="B623" s="39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39"/>
      <c r="B624" s="39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39"/>
      <c r="B625" s="39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39"/>
      <c r="B626" s="39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39"/>
      <c r="B627" s="39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39"/>
      <c r="B628" s="39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39"/>
      <c r="B629" s="39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39"/>
      <c r="B630" s="39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39"/>
      <c r="B631" s="39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39"/>
      <c r="B632" s="39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39"/>
      <c r="B633" s="39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39"/>
      <c r="B634" s="39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39"/>
      <c r="B635" s="39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39"/>
      <c r="B636" s="39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39"/>
      <c r="B637" s="39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39"/>
      <c r="B638" s="39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39"/>
      <c r="B639" s="39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39"/>
      <c r="B640" s="39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39"/>
      <c r="B641" s="39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39"/>
      <c r="B642" s="39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39"/>
      <c r="B643" s="39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39"/>
      <c r="B644" s="39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39"/>
      <c r="B645" s="39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39"/>
      <c r="B646" s="39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39"/>
      <c r="B647" s="39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39"/>
      <c r="B648" s="39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39"/>
      <c r="B649" s="39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39"/>
      <c r="B650" s="39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39"/>
      <c r="B651" s="39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39"/>
      <c r="B652" s="39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39"/>
      <c r="B653" s="39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39"/>
      <c r="B654" s="39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39"/>
      <c r="B655" s="39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39"/>
      <c r="B656" s="39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39"/>
      <c r="B657" s="39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39"/>
      <c r="B658" s="39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39"/>
      <c r="B659" s="39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39"/>
      <c r="B660" s="39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39"/>
      <c r="B661" s="39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39"/>
      <c r="B662" s="39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39"/>
      <c r="B663" s="39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39"/>
      <c r="B664" s="39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39"/>
      <c r="B665" s="39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39"/>
      <c r="B666" s="39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39"/>
      <c r="B667" s="39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39"/>
      <c r="B668" s="39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39"/>
      <c r="B669" s="39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39"/>
      <c r="B670" s="39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39"/>
      <c r="B671" s="39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39"/>
      <c r="B672" s="39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39"/>
      <c r="B673" s="39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39"/>
      <c r="B674" s="39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39"/>
      <c r="B675" s="39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39"/>
      <c r="B676" s="39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39"/>
      <c r="B677" s="39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39"/>
      <c r="B678" s="39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39"/>
      <c r="B679" s="39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39"/>
      <c r="B680" s="39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39"/>
      <c r="B681" s="39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39"/>
      <c r="B682" s="39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39"/>
      <c r="B683" s="39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39"/>
      <c r="B684" s="39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39"/>
      <c r="B685" s="39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39"/>
      <c r="B686" s="39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39"/>
      <c r="B687" s="39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39"/>
      <c r="B688" s="39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39"/>
      <c r="B689" s="39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39"/>
      <c r="B690" s="39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39"/>
      <c r="B691" s="39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39"/>
      <c r="B692" s="39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39"/>
      <c r="B693" s="39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39"/>
      <c r="B694" s="39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39"/>
      <c r="B695" s="39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39"/>
      <c r="B696" s="39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39"/>
      <c r="B697" s="39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39"/>
      <c r="B698" s="39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39"/>
      <c r="B699" s="39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39"/>
      <c r="B700" s="39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39"/>
      <c r="B701" s="39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39"/>
      <c r="B702" s="39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39"/>
      <c r="B703" s="39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39"/>
      <c r="B704" s="39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39"/>
      <c r="B705" s="39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39"/>
      <c r="B706" s="39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39"/>
      <c r="B707" s="39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39"/>
      <c r="B708" s="39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39"/>
      <c r="B709" s="39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39"/>
      <c r="B710" s="39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39"/>
      <c r="B711" s="39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39"/>
      <c r="B712" s="39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39"/>
      <c r="B713" s="39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39"/>
      <c r="B714" s="39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39"/>
      <c r="B715" s="39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39"/>
      <c r="B716" s="39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39"/>
      <c r="B717" s="39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39"/>
      <c r="B718" s="39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39"/>
      <c r="B719" s="39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39"/>
      <c r="B720" s="39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39"/>
      <c r="B721" s="39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39"/>
      <c r="B722" s="39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39"/>
      <c r="B723" s="39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39"/>
      <c r="B724" s="39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39"/>
      <c r="B725" s="39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39"/>
      <c r="B726" s="39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39"/>
      <c r="B727" s="39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39"/>
      <c r="B728" s="39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39"/>
      <c r="B729" s="39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39"/>
      <c r="B730" s="39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39"/>
      <c r="B731" s="39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39"/>
      <c r="B732" s="39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39"/>
      <c r="B733" s="39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39"/>
      <c r="B734" s="39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39"/>
      <c r="B735" s="39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39"/>
      <c r="B736" s="39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39"/>
      <c r="B737" s="39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39"/>
      <c r="B738" s="39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39"/>
      <c r="B739" s="39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39"/>
      <c r="B740" s="39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39"/>
      <c r="B741" s="39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39"/>
      <c r="B742" s="39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39"/>
      <c r="B743" s="39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39"/>
      <c r="B744" s="39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39"/>
      <c r="B745" s="39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39"/>
      <c r="B746" s="39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39"/>
      <c r="B747" s="39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39"/>
      <c r="B748" s="39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39"/>
      <c r="B749" s="39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39"/>
      <c r="B750" s="39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39"/>
      <c r="B751" s="39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39"/>
      <c r="B752" s="39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39"/>
      <c r="B753" s="39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39"/>
      <c r="B754" s="39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39"/>
      <c r="B755" s="39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39"/>
      <c r="B756" s="39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39"/>
      <c r="B757" s="39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39"/>
      <c r="B758" s="39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39"/>
      <c r="B759" s="39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39"/>
      <c r="B760" s="39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39"/>
      <c r="B761" s="39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39"/>
      <c r="B762" s="39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39"/>
      <c r="B763" s="39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39"/>
      <c r="B764" s="39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39"/>
      <c r="B765" s="39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39"/>
      <c r="B766" s="39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39"/>
      <c r="B767" s="39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39"/>
      <c r="B768" s="39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39"/>
      <c r="B769" s="39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39"/>
      <c r="B770" s="39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39"/>
      <c r="B771" s="39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39"/>
      <c r="B772" s="39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39"/>
      <c r="B773" s="39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39"/>
      <c r="B774" s="39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39"/>
      <c r="B775" s="39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39"/>
      <c r="B776" s="39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39"/>
      <c r="B777" s="39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39"/>
      <c r="B778" s="39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39"/>
      <c r="B779" s="39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39"/>
      <c r="B780" s="39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39"/>
      <c r="B781" s="39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39"/>
      <c r="B782" s="39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39"/>
      <c r="B783" s="39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39"/>
      <c r="B784" s="39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39"/>
      <c r="B785" s="39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39"/>
      <c r="B786" s="39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39"/>
      <c r="B787" s="39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39"/>
      <c r="B788" s="39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39"/>
      <c r="B789" s="39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39"/>
      <c r="B790" s="39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39"/>
      <c r="B791" s="39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39"/>
      <c r="B792" s="39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39"/>
      <c r="B793" s="39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39"/>
      <c r="B794" s="39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39"/>
      <c r="B795" s="39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39"/>
      <c r="B796" s="39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39"/>
      <c r="B797" s="39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39"/>
      <c r="B798" s="39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39"/>
      <c r="B799" s="39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39"/>
      <c r="B800" s="39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39"/>
      <c r="B801" s="39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39"/>
      <c r="B802" s="39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39"/>
      <c r="B803" s="39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39"/>
      <c r="B804" s="39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39"/>
      <c r="B805" s="39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39"/>
      <c r="B806" s="39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39"/>
      <c r="B807" s="39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39"/>
      <c r="B808" s="39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39"/>
      <c r="B809" s="39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39"/>
      <c r="B810" s="39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39"/>
      <c r="B811" s="39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39"/>
      <c r="B812" s="39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39"/>
      <c r="B813" s="39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39"/>
      <c r="B814" s="39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39"/>
      <c r="B815" s="39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39"/>
      <c r="B816" s="39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39"/>
      <c r="B817" s="39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39"/>
      <c r="B818" s="39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39"/>
      <c r="B819" s="39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39"/>
      <c r="B820" s="39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39"/>
      <c r="B821" s="39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39"/>
      <c r="B822" s="39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39"/>
      <c r="B823" s="39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39"/>
      <c r="B824" s="39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39"/>
      <c r="B825" s="39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39"/>
      <c r="B826" s="39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39"/>
      <c r="B827" s="39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39"/>
      <c r="B828" s="39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39"/>
      <c r="B829" s="39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39"/>
      <c r="B830" s="39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39"/>
      <c r="B831" s="39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39"/>
      <c r="B832" s="39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39"/>
      <c r="B833" s="39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39"/>
      <c r="B834" s="39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39"/>
      <c r="B835" s="39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39"/>
      <c r="B836" s="39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39"/>
      <c r="B837" s="39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39"/>
      <c r="B838" s="39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39"/>
      <c r="B839" s="39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39"/>
      <c r="B840" s="39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39"/>
      <c r="B841" s="39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39"/>
      <c r="B842" s="39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39"/>
      <c r="B843" s="39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39"/>
      <c r="B844" s="39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39"/>
      <c r="B845" s="39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39"/>
      <c r="B846" s="39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39"/>
      <c r="B847" s="39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39"/>
      <c r="B848" s="39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39"/>
      <c r="B849" s="39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39"/>
      <c r="B850" s="39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39"/>
      <c r="B851" s="39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39"/>
      <c r="B852" s="39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39"/>
      <c r="B853" s="39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39"/>
      <c r="B854" s="39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39"/>
      <c r="B855" s="39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39"/>
      <c r="B856" s="39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39"/>
      <c r="B857" s="39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39"/>
      <c r="B858" s="39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39"/>
      <c r="B859" s="39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39"/>
      <c r="B860" s="39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39"/>
      <c r="B861" s="39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39"/>
      <c r="B862" s="39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39"/>
      <c r="B863" s="39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39"/>
      <c r="B864" s="39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39"/>
      <c r="B865" s="39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39"/>
      <c r="B866" s="39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39"/>
      <c r="B867" s="39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39"/>
      <c r="B868" s="39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39"/>
      <c r="B869" s="39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39"/>
      <c r="B870" s="39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39"/>
      <c r="B871" s="39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39"/>
      <c r="B872" s="39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39"/>
      <c r="B873" s="39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39"/>
      <c r="B874" s="39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39"/>
      <c r="B875" s="39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39"/>
      <c r="B876" s="39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39"/>
      <c r="B877" s="39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39"/>
      <c r="B878" s="39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39"/>
      <c r="B879" s="39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39"/>
      <c r="B880" s="39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39"/>
      <c r="B881" s="39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39"/>
      <c r="B882" s="39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39"/>
      <c r="B883" s="39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39"/>
      <c r="B884" s="39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39"/>
      <c r="B885" s="39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39"/>
      <c r="B886" s="39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39"/>
      <c r="B887" s="39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39"/>
      <c r="B888" s="39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39"/>
      <c r="B889" s="39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39"/>
      <c r="B890" s="39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39"/>
      <c r="B891" s="39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39"/>
      <c r="B892" s="39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39"/>
      <c r="B893" s="39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39"/>
      <c r="B894" s="39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39"/>
      <c r="B895" s="39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39"/>
      <c r="B896" s="39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39"/>
      <c r="B897" s="39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39"/>
      <c r="B898" s="39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39"/>
      <c r="B899" s="39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39"/>
      <c r="B900" s="39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39"/>
      <c r="B901" s="39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39"/>
      <c r="B902" s="39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39"/>
      <c r="B903" s="39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39"/>
      <c r="B904" s="39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39"/>
      <c r="B905" s="39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39"/>
      <c r="B906" s="39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39"/>
      <c r="B907" s="39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39"/>
      <c r="B908" s="39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39"/>
      <c r="B909" s="39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39"/>
      <c r="B910" s="39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39"/>
      <c r="B911" s="39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39"/>
      <c r="B912" s="39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39"/>
      <c r="B913" s="39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39"/>
      <c r="B914" s="39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39"/>
      <c r="B915" s="39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39"/>
      <c r="B916" s="39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39"/>
      <c r="B917" s="39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39"/>
      <c r="B918" s="39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39"/>
      <c r="B919" s="39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39"/>
      <c r="B920" s="39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39"/>
      <c r="B921" s="39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39"/>
      <c r="B922" s="39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39"/>
      <c r="B923" s="39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39"/>
      <c r="B924" s="39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39"/>
      <c r="B925" s="39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39"/>
      <c r="B926" s="39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39"/>
      <c r="B927" s="39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39"/>
      <c r="B928" s="39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39"/>
      <c r="B929" s="39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39"/>
      <c r="B930" s="39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39"/>
      <c r="B931" s="39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39"/>
      <c r="B932" s="39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</sheetData>
  <mergeCells count="21">
    <mergeCell ref="A1:O1"/>
    <mergeCell ref="A3:B3"/>
    <mergeCell ref="A4:B4"/>
    <mergeCell ref="A7:B7"/>
    <mergeCell ref="A8:B8"/>
    <mergeCell ref="A9:B9"/>
    <mergeCell ref="A11:B11"/>
    <mergeCell ref="A43:B43"/>
    <mergeCell ref="A44:A46"/>
    <mergeCell ref="A49:B49"/>
    <mergeCell ref="A50:A58"/>
    <mergeCell ref="A61:B61"/>
    <mergeCell ref="A62:A63"/>
    <mergeCell ref="A66:B66"/>
    <mergeCell ref="A12:A18"/>
    <mergeCell ref="A20:A25"/>
    <mergeCell ref="A27:B27"/>
    <mergeCell ref="A31:B31"/>
    <mergeCell ref="A34:B34"/>
    <mergeCell ref="A37:B37"/>
    <mergeCell ref="A40:B40"/>
  </mergeCells>
  <printOptions/>
  <pageMargins bottom="0.787401575" footer="0.0" header="0.0" left="0.511811024" right="0.511811024" top="0.7874015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2.25"/>
    <col customWidth="1" min="2" max="2" width="56.75"/>
    <col customWidth="1" min="3" max="14" width="15.25"/>
    <col customWidth="1" min="15" max="15" width="21.38"/>
    <col customWidth="1" min="16" max="26" width="8.88"/>
  </cols>
  <sheetData>
    <row r="1" ht="61.5" customHeight="1">
      <c r="A1" s="1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57</v>
      </c>
      <c r="B2" s="3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5"/>
      <c r="B3" s="6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7" t="s">
        <v>58</v>
      </c>
      <c r="B4" s="6"/>
      <c r="C4" s="8">
        <v>954.0</v>
      </c>
      <c r="D4" s="8">
        <v>32.0</v>
      </c>
      <c r="E4" s="8">
        <v>32.0</v>
      </c>
      <c r="F4" s="8"/>
      <c r="G4" s="8"/>
      <c r="H4" s="8"/>
      <c r="I4" s="8"/>
      <c r="J4" s="8"/>
      <c r="K4" s="8"/>
      <c r="L4" s="8"/>
      <c r="M4" s="8"/>
      <c r="N4" s="8"/>
      <c r="O4" s="9">
        <f>SUM(C4:N4)</f>
        <v>1018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10" t="s">
        <v>15</v>
      </c>
      <c r="B5" s="10"/>
      <c r="C5" s="8">
        <f>C4/31</f>
        <v>30.77419355</v>
      </c>
      <c r="D5" s="8">
        <f>D4/30</f>
        <v>1.066666667</v>
      </c>
      <c r="E5" s="8">
        <f>E4/31</f>
        <v>1.032258065</v>
      </c>
      <c r="F5" s="8">
        <f>F4/30</f>
        <v>0</v>
      </c>
      <c r="G5" s="8">
        <f t="shared" ref="G5:H5" si="1">G4/31</f>
        <v>0</v>
      </c>
      <c r="H5" s="8">
        <f t="shared" si="1"/>
        <v>0</v>
      </c>
      <c r="I5" s="8">
        <f>I4/30</f>
        <v>0</v>
      </c>
      <c r="J5" s="8">
        <f>J4/31</f>
        <v>0</v>
      </c>
      <c r="K5" s="8">
        <f>K4/30</f>
        <v>0</v>
      </c>
      <c r="L5" s="8">
        <f t="shared" ref="L5:M5" si="2">L4/31</f>
        <v>0</v>
      </c>
      <c r="M5" s="8">
        <f t="shared" si="2"/>
        <v>0</v>
      </c>
      <c r="N5" s="8">
        <f>N4/28</f>
        <v>0</v>
      </c>
      <c r="O5" s="9">
        <f>AVERAGE(C5:N5)</f>
        <v>2.739426523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0.5" customHeight="1">
      <c r="A6" s="11"/>
      <c r="B6" s="11"/>
      <c r="C6" s="2"/>
      <c r="D6" s="2"/>
      <c r="E6" s="2"/>
      <c r="F6" s="2"/>
      <c r="G6" s="2"/>
      <c r="H6" s="12"/>
      <c r="I6" s="12"/>
      <c r="J6" s="12"/>
      <c r="K6" s="12"/>
      <c r="L6" s="12"/>
      <c r="M6" s="12"/>
      <c r="N6" s="12"/>
      <c r="O6" s="13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5"/>
      <c r="B7" s="6"/>
      <c r="C7" s="4" t="s">
        <v>1</v>
      </c>
      <c r="D7" s="4" t="s">
        <v>2</v>
      </c>
      <c r="E7" s="4" t="s">
        <v>3</v>
      </c>
      <c r="F7" s="4" t="s">
        <v>4</v>
      </c>
      <c r="G7" s="4" t="s">
        <v>5</v>
      </c>
      <c r="H7" s="4" t="s">
        <v>6</v>
      </c>
      <c r="I7" s="4" t="s">
        <v>7</v>
      </c>
      <c r="J7" s="4" t="s">
        <v>8</v>
      </c>
      <c r="K7" s="4" t="s">
        <v>9</v>
      </c>
      <c r="L7" s="4" t="s">
        <v>10</v>
      </c>
      <c r="M7" s="4" t="s">
        <v>11</v>
      </c>
      <c r="N7" s="4" t="s">
        <v>12</v>
      </c>
      <c r="O7" s="4" t="s">
        <v>13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10" t="s">
        <v>54</v>
      </c>
      <c r="B8" s="40" t="s">
        <v>13</v>
      </c>
      <c r="C8" s="41">
        <v>10.0</v>
      </c>
      <c r="D8" s="41">
        <v>12.0</v>
      </c>
      <c r="E8" s="41">
        <v>9.0</v>
      </c>
      <c r="F8" s="41">
        <v>5.0</v>
      </c>
      <c r="G8" s="41"/>
      <c r="H8" s="41"/>
      <c r="I8" s="41"/>
      <c r="J8" s="41"/>
      <c r="K8" s="41"/>
      <c r="L8" s="41"/>
      <c r="M8" s="41"/>
      <c r="N8" s="41"/>
      <c r="O8" s="9">
        <f>SUM(C8:N8)</f>
        <v>36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39"/>
      <c r="B9" s="39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5"/>
      <c r="B10" s="6"/>
      <c r="C10" s="4" t="s">
        <v>1</v>
      </c>
      <c r="D10" s="4" t="s">
        <v>2</v>
      </c>
      <c r="E10" s="4" t="s">
        <v>3</v>
      </c>
      <c r="F10" s="4" t="s">
        <v>4</v>
      </c>
      <c r="G10" s="4" t="s">
        <v>5</v>
      </c>
      <c r="H10" s="4" t="s">
        <v>6</v>
      </c>
      <c r="I10" s="4" t="s">
        <v>7</v>
      </c>
      <c r="J10" s="4" t="s">
        <v>8</v>
      </c>
      <c r="K10" s="4" t="s">
        <v>9</v>
      </c>
      <c r="L10" s="4" t="s">
        <v>10</v>
      </c>
      <c r="M10" s="4" t="s">
        <v>11</v>
      </c>
      <c r="N10" s="4" t="s">
        <v>12</v>
      </c>
      <c r="O10" s="4" t="s">
        <v>13</v>
      </c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10"/>
      <c r="B11" s="40" t="s">
        <v>59</v>
      </c>
      <c r="C11" s="41">
        <v>10.0</v>
      </c>
      <c r="D11" s="41">
        <v>12.0</v>
      </c>
      <c r="E11" s="41">
        <v>9.0</v>
      </c>
      <c r="F11" s="41">
        <v>5.0</v>
      </c>
      <c r="G11" s="41"/>
      <c r="H11" s="41"/>
      <c r="I11" s="41"/>
      <c r="J11" s="41"/>
      <c r="K11" s="41"/>
      <c r="L11" s="41"/>
      <c r="M11" s="41"/>
      <c r="N11" s="41"/>
      <c r="O11" s="9">
        <f t="shared" ref="O11:O13" si="3">SUM(C11:N11)</f>
        <v>36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10" t="s">
        <v>60</v>
      </c>
      <c r="B12" s="40" t="s">
        <v>61</v>
      </c>
      <c r="C12" s="41">
        <v>10.0</v>
      </c>
      <c r="D12" s="41">
        <v>12.0</v>
      </c>
      <c r="E12" s="41">
        <v>9.0</v>
      </c>
      <c r="F12" s="41">
        <v>5.0</v>
      </c>
      <c r="G12" s="41"/>
      <c r="H12" s="41"/>
      <c r="I12" s="41"/>
      <c r="J12" s="41"/>
      <c r="K12" s="41"/>
      <c r="L12" s="41"/>
      <c r="M12" s="41"/>
      <c r="N12" s="41"/>
      <c r="O12" s="9">
        <f t="shared" si="3"/>
        <v>36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10"/>
      <c r="B13" s="40" t="s">
        <v>62</v>
      </c>
      <c r="C13" s="41">
        <v>10.0</v>
      </c>
      <c r="D13" s="41">
        <v>12.0</v>
      </c>
      <c r="E13" s="41">
        <v>9.0</v>
      </c>
      <c r="F13" s="41">
        <v>5.0</v>
      </c>
      <c r="G13" s="41"/>
      <c r="H13" s="41"/>
      <c r="I13" s="41"/>
      <c r="J13" s="41"/>
      <c r="K13" s="41"/>
      <c r="L13" s="41"/>
      <c r="M13" s="41"/>
      <c r="N13" s="41"/>
      <c r="O13" s="9">
        <f t="shared" si="3"/>
        <v>36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39"/>
      <c r="B14" s="39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5"/>
      <c r="B15" s="6"/>
      <c r="C15" s="4" t="s">
        <v>1</v>
      </c>
      <c r="D15" s="4" t="s">
        <v>2</v>
      </c>
      <c r="E15" s="4" t="s">
        <v>3</v>
      </c>
      <c r="F15" s="4" t="s">
        <v>4</v>
      </c>
      <c r="G15" s="4" t="s">
        <v>5</v>
      </c>
      <c r="H15" s="4" t="s">
        <v>6</v>
      </c>
      <c r="I15" s="4" t="s">
        <v>7</v>
      </c>
      <c r="J15" s="4" t="s">
        <v>8</v>
      </c>
      <c r="K15" s="4" t="s">
        <v>9</v>
      </c>
      <c r="L15" s="4" t="s">
        <v>10</v>
      </c>
      <c r="M15" s="4" t="s">
        <v>11</v>
      </c>
      <c r="N15" s="4" t="s">
        <v>12</v>
      </c>
      <c r="O15" s="4" t="s">
        <v>13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19" t="s">
        <v>37</v>
      </c>
      <c r="B16" s="10" t="s">
        <v>38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9">
        <f t="shared" ref="O16:O17" si="4">SUM(C16:N16)</f>
        <v>0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1"/>
      <c r="B17" s="10" t="s">
        <v>63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9">
        <f t="shared" si="4"/>
        <v>0</v>
      </c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1"/>
      <c r="B18" s="10" t="s">
        <v>64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9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1"/>
      <c r="B19" s="10" t="s">
        <v>40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>
        <f t="shared" ref="O19:O20" si="6">SUM(C19:N19)</f>
        <v>0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7"/>
      <c r="B20" s="10" t="s">
        <v>13</v>
      </c>
      <c r="C20" s="9">
        <f t="shared" ref="C20:N20" si="5">SUM(C16:C19)</f>
        <v>0</v>
      </c>
      <c r="D20" s="9">
        <f t="shared" si="5"/>
        <v>0</v>
      </c>
      <c r="E20" s="9">
        <f t="shared" si="5"/>
        <v>0</v>
      </c>
      <c r="F20" s="9">
        <f t="shared" si="5"/>
        <v>0</v>
      </c>
      <c r="G20" s="9">
        <f t="shared" si="5"/>
        <v>0</v>
      </c>
      <c r="H20" s="9">
        <f t="shared" si="5"/>
        <v>0</v>
      </c>
      <c r="I20" s="9">
        <f t="shared" si="5"/>
        <v>0</v>
      </c>
      <c r="J20" s="9">
        <f t="shared" si="5"/>
        <v>0</v>
      </c>
      <c r="K20" s="9">
        <f t="shared" si="5"/>
        <v>0</v>
      </c>
      <c r="L20" s="9">
        <f t="shared" si="5"/>
        <v>0</v>
      </c>
      <c r="M20" s="9">
        <f t="shared" si="5"/>
        <v>0</v>
      </c>
      <c r="N20" s="9">
        <f t="shared" si="5"/>
        <v>0</v>
      </c>
      <c r="O20" s="9">
        <f t="shared" si="6"/>
        <v>0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39"/>
      <c r="B21" s="3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5"/>
      <c r="B22" s="6"/>
      <c r="C22" s="4" t="s">
        <v>1</v>
      </c>
      <c r="D22" s="4" t="s">
        <v>2</v>
      </c>
      <c r="E22" s="4" t="s">
        <v>3</v>
      </c>
      <c r="F22" s="4" t="s">
        <v>4</v>
      </c>
      <c r="G22" s="4" t="s">
        <v>5</v>
      </c>
      <c r="H22" s="4" t="s">
        <v>6</v>
      </c>
      <c r="I22" s="4" t="s">
        <v>7</v>
      </c>
      <c r="J22" s="4" t="s">
        <v>8</v>
      </c>
      <c r="K22" s="4" t="s">
        <v>9</v>
      </c>
      <c r="L22" s="4" t="s">
        <v>10</v>
      </c>
      <c r="M22" s="4" t="s">
        <v>11</v>
      </c>
      <c r="N22" s="4" t="s">
        <v>12</v>
      </c>
      <c r="O22" s="4" t="s">
        <v>13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10"/>
      <c r="B23" s="40" t="s">
        <v>65</v>
      </c>
      <c r="C23" s="41">
        <v>10.0</v>
      </c>
      <c r="D23" s="41">
        <v>12.0</v>
      </c>
      <c r="E23" s="41">
        <v>9.0</v>
      </c>
      <c r="F23" s="41">
        <v>5.0</v>
      </c>
      <c r="G23" s="41"/>
      <c r="H23" s="41"/>
      <c r="I23" s="41"/>
      <c r="J23" s="41"/>
      <c r="K23" s="41"/>
      <c r="L23" s="41"/>
      <c r="M23" s="41"/>
      <c r="N23" s="41"/>
      <c r="O23" s="9">
        <f t="shared" ref="O23:O24" si="7">SUM(C23:N23)</f>
        <v>36</v>
      </c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10" t="s">
        <v>66</v>
      </c>
      <c r="B24" s="40" t="s">
        <v>67</v>
      </c>
      <c r="C24" s="41">
        <v>10.0</v>
      </c>
      <c r="D24" s="41">
        <v>12.0</v>
      </c>
      <c r="E24" s="41">
        <v>9.0</v>
      </c>
      <c r="F24" s="41">
        <v>5.0</v>
      </c>
      <c r="G24" s="41"/>
      <c r="H24" s="41"/>
      <c r="I24" s="41"/>
      <c r="J24" s="41"/>
      <c r="K24" s="41"/>
      <c r="L24" s="41"/>
      <c r="M24" s="41"/>
      <c r="N24" s="41"/>
      <c r="O24" s="9">
        <f t="shared" si="7"/>
        <v>36</v>
      </c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10"/>
      <c r="B25" s="40" t="s">
        <v>68</v>
      </c>
      <c r="C25" s="41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9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10"/>
      <c r="B26" s="40" t="s">
        <v>69</v>
      </c>
      <c r="C26" s="41">
        <v>10.0</v>
      </c>
      <c r="D26" s="41">
        <v>12.0</v>
      </c>
      <c r="E26" s="41">
        <v>9.0</v>
      </c>
      <c r="F26" s="41">
        <v>5.0</v>
      </c>
      <c r="G26" s="41"/>
      <c r="H26" s="41"/>
      <c r="I26" s="41"/>
      <c r="J26" s="41"/>
      <c r="K26" s="41"/>
      <c r="L26" s="41"/>
      <c r="M26" s="41"/>
      <c r="N26" s="41"/>
      <c r="O26" s="9">
        <f>SUM(C26:N26)</f>
        <v>36</v>
      </c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39"/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5"/>
      <c r="B28" s="6"/>
      <c r="C28" s="4" t="s">
        <v>1</v>
      </c>
      <c r="D28" s="4" t="s">
        <v>2</v>
      </c>
      <c r="E28" s="4" t="s">
        <v>3</v>
      </c>
      <c r="F28" s="4" t="s">
        <v>4</v>
      </c>
      <c r="G28" s="4" t="s">
        <v>5</v>
      </c>
      <c r="H28" s="4" t="s">
        <v>6</v>
      </c>
      <c r="I28" s="4" t="s">
        <v>7</v>
      </c>
      <c r="J28" s="4" t="s">
        <v>8</v>
      </c>
      <c r="K28" s="4" t="s">
        <v>9</v>
      </c>
      <c r="L28" s="4" t="s">
        <v>10</v>
      </c>
      <c r="M28" s="4" t="s">
        <v>11</v>
      </c>
      <c r="N28" s="4" t="s">
        <v>12</v>
      </c>
      <c r="O28" s="4" t="s">
        <v>13</v>
      </c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10"/>
      <c r="B29" s="40" t="s">
        <v>70</v>
      </c>
      <c r="C29" s="41">
        <v>10.0</v>
      </c>
      <c r="D29" s="41">
        <v>12.0</v>
      </c>
      <c r="E29" s="41">
        <v>9.0</v>
      </c>
      <c r="F29" s="41">
        <v>5.0</v>
      </c>
      <c r="G29" s="41"/>
      <c r="H29" s="41"/>
      <c r="I29" s="41"/>
      <c r="J29" s="41"/>
      <c r="K29" s="41"/>
      <c r="L29" s="41"/>
      <c r="M29" s="41"/>
      <c r="N29" s="41"/>
      <c r="O29" s="9">
        <f t="shared" ref="O29:O30" si="8">SUM(C29:N29)</f>
        <v>36</v>
      </c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10" t="s">
        <v>71</v>
      </c>
      <c r="B30" s="40" t="s">
        <v>72</v>
      </c>
      <c r="C30" s="41">
        <v>10.0</v>
      </c>
      <c r="D30" s="41">
        <v>12.0</v>
      </c>
      <c r="E30" s="41">
        <v>9.0</v>
      </c>
      <c r="F30" s="41">
        <v>5.0</v>
      </c>
      <c r="G30" s="41"/>
      <c r="H30" s="41"/>
      <c r="I30" s="41"/>
      <c r="J30" s="41"/>
      <c r="K30" s="41"/>
      <c r="L30" s="41"/>
      <c r="M30" s="41"/>
      <c r="N30" s="41"/>
      <c r="O30" s="9">
        <f t="shared" si="8"/>
        <v>36</v>
      </c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10"/>
      <c r="B31" s="40" t="s">
        <v>73</v>
      </c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9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10"/>
      <c r="B32" s="40" t="s">
        <v>74</v>
      </c>
      <c r="C32" s="41">
        <v>10.0</v>
      </c>
      <c r="D32" s="41">
        <v>12.0</v>
      </c>
      <c r="E32" s="41">
        <v>9.0</v>
      </c>
      <c r="F32" s="41">
        <v>5.0</v>
      </c>
      <c r="G32" s="41"/>
      <c r="H32" s="41"/>
      <c r="I32" s="41"/>
      <c r="J32" s="41"/>
      <c r="K32" s="41"/>
      <c r="L32" s="41"/>
      <c r="M32" s="41"/>
      <c r="N32" s="41"/>
      <c r="O32" s="9">
        <f>SUM(C32:N32)</f>
        <v>36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39"/>
      <c r="B33" s="3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39"/>
      <c r="B34" s="3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39"/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39"/>
      <c r="B36" s="3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39"/>
      <c r="B37" s="3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39"/>
      <c r="B38" s="3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39"/>
      <c r="B39" s="3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39"/>
      <c r="B40" s="3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39"/>
      <c r="B41" s="3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39"/>
      <c r="B42" s="3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39"/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39"/>
      <c r="B44" s="3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39"/>
      <c r="B45" s="3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39"/>
      <c r="B46" s="3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39"/>
      <c r="B47" s="3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39"/>
      <c r="B48" s="3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39"/>
      <c r="B49" s="3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39"/>
      <c r="B50" s="3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39"/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39"/>
      <c r="B52" s="3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39"/>
      <c r="B53" s="3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39"/>
      <c r="B54" s="3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39"/>
      <c r="B55" s="3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39"/>
      <c r="B56" s="3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39"/>
      <c r="B57" s="3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39"/>
      <c r="B58" s="3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39"/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39"/>
      <c r="B60" s="3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39"/>
      <c r="B61" s="3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39"/>
      <c r="B62" s="3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39"/>
      <c r="B63" s="3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39"/>
      <c r="B64" s="3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39"/>
      <c r="B65" s="3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39"/>
      <c r="B66" s="3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39"/>
      <c r="B67" s="3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39"/>
      <c r="B68" s="3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39"/>
      <c r="B69" s="3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39"/>
      <c r="B70" s="3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39"/>
      <c r="B71" s="3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39"/>
      <c r="B72" s="3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39"/>
      <c r="B73" s="3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39"/>
      <c r="B74" s="3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39"/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39"/>
      <c r="B76" s="3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39"/>
      <c r="B77" s="3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39"/>
      <c r="B78" s="3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39"/>
      <c r="B79" s="3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39"/>
      <c r="B80" s="3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39"/>
      <c r="B81" s="3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39"/>
      <c r="B82" s="3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39"/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39"/>
      <c r="B84" s="3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39"/>
      <c r="B85" s="3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39"/>
      <c r="B86" s="3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39"/>
      <c r="B87" s="3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39"/>
      <c r="B88" s="3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39"/>
      <c r="B89" s="3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39"/>
      <c r="B90" s="3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39"/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39"/>
      <c r="B92" s="3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39"/>
      <c r="B93" s="3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39"/>
      <c r="B94" s="3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39"/>
      <c r="B95" s="3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39"/>
      <c r="B96" s="3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39"/>
      <c r="B97" s="3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39"/>
      <c r="B98" s="3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39"/>
      <c r="B99" s="3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39"/>
      <c r="B100" s="3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39"/>
      <c r="B101" s="3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39"/>
      <c r="B102" s="3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39"/>
      <c r="B103" s="3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39"/>
      <c r="B104" s="3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39"/>
      <c r="B105" s="3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39"/>
      <c r="B106" s="3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39"/>
      <c r="B107" s="3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39"/>
      <c r="B108" s="3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39"/>
      <c r="B109" s="3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39"/>
      <c r="B110" s="3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39"/>
      <c r="B111" s="3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39"/>
      <c r="B112" s="3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39"/>
      <c r="B113" s="3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39"/>
      <c r="B114" s="3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39"/>
      <c r="B115" s="3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39"/>
      <c r="B116" s="3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39"/>
      <c r="B117" s="3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39"/>
      <c r="B118" s="3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39"/>
      <c r="B119" s="3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39"/>
      <c r="B120" s="3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39"/>
      <c r="B121" s="3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39"/>
      <c r="B122" s="3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39"/>
      <c r="B123" s="3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39"/>
      <c r="B124" s="3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39"/>
      <c r="B125" s="3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39"/>
      <c r="B126" s="3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39"/>
      <c r="B127" s="3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39"/>
      <c r="B128" s="3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39"/>
      <c r="B129" s="3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39"/>
      <c r="B130" s="3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39"/>
      <c r="B131" s="3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39"/>
      <c r="B132" s="3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39"/>
      <c r="B133" s="3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39"/>
      <c r="B134" s="3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39"/>
      <c r="B135" s="3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39"/>
      <c r="B136" s="3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39"/>
      <c r="B137" s="3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39"/>
      <c r="B138" s="3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39"/>
      <c r="B139" s="3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39"/>
      <c r="B140" s="3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39"/>
      <c r="B141" s="3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39"/>
      <c r="B142" s="3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39"/>
      <c r="B143" s="3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39"/>
      <c r="B144" s="3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39"/>
      <c r="B145" s="3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39"/>
      <c r="B146" s="3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39"/>
      <c r="B147" s="3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39"/>
      <c r="B148" s="3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39"/>
      <c r="B149" s="3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39"/>
      <c r="B150" s="3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39"/>
      <c r="B151" s="3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39"/>
      <c r="B152" s="3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39"/>
      <c r="B153" s="3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39"/>
      <c r="B154" s="3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39"/>
      <c r="B155" s="3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39"/>
      <c r="B156" s="3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39"/>
      <c r="B157" s="3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39"/>
      <c r="B158" s="3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39"/>
      <c r="B159" s="3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39"/>
      <c r="B160" s="3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39"/>
      <c r="B161" s="3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39"/>
      <c r="B162" s="3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39"/>
      <c r="B163" s="3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39"/>
      <c r="B164" s="3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39"/>
      <c r="B165" s="3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39"/>
      <c r="B166" s="3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39"/>
      <c r="B167" s="3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39"/>
      <c r="B168" s="3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39"/>
      <c r="B169" s="3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39"/>
      <c r="B170" s="3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39"/>
      <c r="B171" s="3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39"/>
      <c r="B172" s="3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39"/>
      <c r="B173" s="3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39"/>
      <c r="B174" s="3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39"/>
      <c r="B175" s="3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39"/>
      <c r="B176" s="3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39"/>
      <c r="B177" s="3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39"/>
      <c r="B178" s="3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39"/>
      <c r="B179" s="3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39"/>
      <c r="B180" s="3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39"/>
      <c r="B181" s="3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39"/>
      <c r="B182" s="3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39"/>
      <c r="B183" s="3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39"/>
      <c r="B184" s="3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39"/>
      <c r="B185" s="3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39"/>
      <c r="B186" s="3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39"/>
      <c r="B187" s="3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39"/>
      <c r="B188" s="3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39"/>
      <c r="B189" s="3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39"/>
      <c r="B190" s="3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39"/>
      <c r="B191" s="3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39"/>
      <c r="B192" s="3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39"/>
      <c r="B193" s="3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39"/>
      <c r="B194" s="3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39"/>
      <c r="B195" s="3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39"/>
      <c r="B196" s="3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39"/>
      <c r="B197" s="3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39"/>
      <c r="B198" s="3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39"/>
      <c r="B199" s="3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39"/>
      <c r="B200" s="3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39"/>
      <c r="B201" s="3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39"/>
      <c r="B202" s="3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39"/>
      <c r="B203" s="39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39"/>
      <c r="B204" s="39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39"/>
      <c r="B205" s="39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39"/>
      <c r="B206" s="39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39"/>
      <c r="B207" s="39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39"/>
      <c r="B208" s="39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39"/>
      <c r="B209" s="39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39"/>
      <c r="B210" s="39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39"/>
      <c r="B211" s="39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39"/>
      <c r="B212" s="39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39"/>
      <c r="B213" s="39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39"/>
      <c r="B214" s="39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39"/>
      <c r="B215" s="39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39"/>
      <c r="B216" s="39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39"/>
      <c r="B217" s="39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39"/>
      <c r="B218" s="39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39"/>
      <c r="B219" s="39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39"/>
      <c r="B220" s="39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39"/>
      <c r="B221" s="39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39"/>
      <c r="B222" s="39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39"/>
      <c r="B223" s="39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39"/>
      <c r="B224" s="39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39"/>
      <c r="B225" s="39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39"/>
      <c r="B226" s="39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39"/>
      <c r="B227" s="39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39"/>
      <c r="B228" s="39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39"/>
      <c r="B229" s="39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39"/>
      <c r="B230" s="39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39"/>
      <c r="B231" s="39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39"/>
      <c r="B232" s="39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39"/>
      <c r="B233" s="39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39"/>
      <c r="B234" s="39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39"/>
      <c r="B235" s="39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39"/>
      <c r="B236" s="39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39"/>
      <c r="B237" s="39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39"/>
      <c r="B238" s="39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39"/>
      <c r="B239" s="39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39"/>
      <c r="B240" s="39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39"/>
      <c r="B241" s="39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39"/>
      <c r="B242" s="39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39"/>
      <c r="B243" s="39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39"/>
      <c r="B244" s="39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39"/>
      <c r="B245" s="39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39"/>
      <c r="B246" s="39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39"/>
      <c r="B247" s="39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39"/>
      <c r="B248" s="39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39"/>
      <c r="B249" s="39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39"/>
      <c r="B250" s="39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39"/>
      <c r="B251" s="39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39"/>
      <c r="B252" s="39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39"/>
      <c r="B253" s="39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39"/>
      <c r="B254" s="39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39"/>
      <c r="B255" s="39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39"/>
      <c r="B256" s="39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39"/>
      <c r="B257" s="39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39"/>
      <c r="B258" s="39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39"/>
      <c r="B259" s="39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39"/>
      <c r="B260" s="39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39"/>
      <c r="B261" s="39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39"/>
      <c r="B262" s="39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39"/>
      <c r="B263" s="39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39"/>
      <c r="B264" s="39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39"/>
      <c r="B265" s="39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39"/>
      <c r="B266" s="39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39"/>
      <c r="B267" s="39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39"/>
      <c r="B268" s="39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39"/>
      <c r="B269" s="39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39"/>
      <c r="B270" s="39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39"/>
      <c r="B271" s="39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39"/>
      <c r="B272" s="39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39"/>
      <c r="B273" s="39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39"/>
      <c r="B274" s="39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39"/>
      <c r="B275" s="39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39"/>
      <c r="B276" s="39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39"/>
      <c r="B277" s="39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39"/>
      <c r="B278" s="39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39"/>
      <c r="B279" s="39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39"/>
      <c r="B280" s="39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39"/>
      <c r="B281" s="39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39"/>
      <c r="B282" s="39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39"/>
      <c r="B283" s="39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39"/>
      <c r="B284" s="39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39"/>
      <c r="B285" s="39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39"/>
      <c r="B286" s="39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39"/>
      <c r="B287" s="39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39"/>
      <c r="B288" s="39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39"/>
      <c r="B289" s="39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39"/>
      <c r="B290" s="39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39"/>
      <c r="B291" s="39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39"/>
      <c r="B292" s="39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39"/>
      <c r="B293" s="39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39"/>
      <c r="B294" s="39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39"/>
      <c r="B295" s="39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39"/>
      <c r="B296" s="39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39"/>
      <c r="B297" s="39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39"/>
      <c r="B298" s="39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39"/>
      <c r="B299" s="39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39"/>
      <c r="B300" s="39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39"/>
      <c r="B301" s="39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39"/>
      <c r="B302" s="39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39"/>
      <c r="B303" s="39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39"/>
      <c r="B304" s="39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39"/>
      <c r="B305" s="39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39"/>
      <c r="B306" s="39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39"/>
      <c r="B307" s="39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39"/>
      <c r="B308" s="39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39"/>
      <c r="B309" s="39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39"/>
      <c r="B310" s="39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39"/>
      <c r="B311" s="39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39"/>
      <c r="B312" s="39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39"/>
      <c r="B313" s="39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39"/>
      <c r="B314" s="39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39"/>
      <c r="B315" s="39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39"/>
      <c r="B316" s="39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39"/>
      <c r="B317" s="39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39"/>
      <c r="B318" s="39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39"/>
      <c r="B319" s="39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39"/>
      <c r="B320" s="39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39"/>
      <c r="B321" s="39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39"/>
      <c r="B322" s="39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39"/>
      <c r="B323" s="39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39"/>
      <c r="B324" s="39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39"/>
      <c r="B325" s="39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39"/>
      <c r="B326" s="39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39"/>
      <c r="B327" s="39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39"/>
      <c r="B328" s="39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39"/>
      <c r="B329" s="39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39"/>
      <c r="B330" s="39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39"/>
      <c r="B331" s="39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39"/>
      <c r="B332" s="39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39"/>
      <c r="B333" s="39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39"/>
      <c r="B334" s="39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39"/>
      <c r="B335" s="39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39"/>
      <c r="B336" s="39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39"/>
      <c r="B337" s="39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39"/>
      <c r="B338" s="39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39"/>
      <c r="B339" s="39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39"/>
      <c r="B340" s="39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39"/>
      <c r="B341" s="39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39"/>
      <c r="B342" s="39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39"/>
      <c r="B343" s="39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39"/>
      <c r="B344" s="39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39"/>
      <c r="B345" s="39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39"/>
      <c r="B346" s="39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39"/>
      <c r="B347" s="39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39"/>
      <c r="B348" s="39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39"/>
      <c r="B349" s="39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39"/>
      <c r="B350" s="39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39"/>
      <c r="B351" s="39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39"/>
      <c r="B352" s="39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39"/>
      <c r="B353" s="39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39"/>
      <c r="B354" s="39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39"/>
      <c r="B355" s="39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39"/>
      <c r="B356" s="39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39"/>
      <c r="B357" s="39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39"/>
      <c r="B358" s="39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39"/>
      <c r="B359" s="39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39"/>
      <c r="B360" s="39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39"/>
      <c r="B361" s="39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39"/>
      <c r="B362" s="39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39"/>
      <c r="B363" s="39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39"/>
      <c r="B364" s="39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39"/>
      <c r="B365" s="39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39"/>
      <c r="B366" s="39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39"/>
      <c r="B367" s="39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39"/>
      <c r="B368" s="39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39"/>
      <c r="B369" s="39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39"/>
      <c r="B370" s="39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39"/>
      <c r="B371" s="39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39"/>
      <c r="B372" s="39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39"/>
      <c r="B373" s="39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39"/>
      <c r="B374" s="39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39"/>
      <c r="B375" s="39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39"/>
      <c r="B376" s="39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39"/>
      <c r="B377" s="39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39"/>
      <c r="B378" s="39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39"/>
      <c r="B379" s="39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39"/>
      <c r="B380" s="39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39"/>
      <c r="B381" s="39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39"/>
      <c r="B382" s="39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39"/>
      <c r="B383" s="39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39"/>
      <c r="B384" s="39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39"/>
      <c r="B385" s="39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39"/>
      <c r="B386" s="39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39"/>
      <c r="B387" s="39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39"/>
      <c r="B388" s="39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39"/>
      <c r="B389" s="39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39"/>
      <c r="B390" s="39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39"/>
      <c r="B391" s="39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39"/>
      <c r="B392" s="39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39"/>
      <c r="B393" s="39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39"/>
      <c r="B394" s="39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39"/>
      <c r="B395" s="39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39"/>
      <c r="B396" s="39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39"/>
      <c r="B397" s="39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39"/>
      <c r="B398" s="39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39"/>
      <c r="B399" s="39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39"/>
      <c r="B400" s="39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39"/>
      <c r="B401" s="39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39"/>
      <c r="B402" s="39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39"/>
      <c r="B403" s="39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39"/>
      <c r="B404" s="39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39"/>
      <c r="B405" s="39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39"/>
      <c r="B406" s="39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39"/>
      <c r="B407" s="39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39"/>
      <c r="B408" s="39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39"/>
      <c r="B409" s="39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39"/>
      <c r="B410" s="39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39"/>
      <c r="B411" s="39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39"/>
      <c r="B412" s="39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39"/>
      <c r="B413" s="39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39"/>
      <c r="B414" s="39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39"/>
      <c r="B415" s="39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39"/>
      <c r="B416" s="39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39"/>
      <c r="B417" s="39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39"/>
      <c r="B418" s="39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39"/>
      <c r="B419" s="39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39"/>
      <c r="B420" s="39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39"/>
      <c r="B421" s="39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39"/>
      <c r="B422" s="39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39"/>
      <c r="B423" s="39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39"/>
      <c r="B424" s="39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39"/>
      <c r="B425" s="39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39"/>
      <c r="B426" s="39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39"/>
      <c r="B427" s="39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39"/>
      <c r="B428" s="39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39"/>
      <c r="B429" s="39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39"/>
      <c r="B430" s="39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39"/>
      <c r="B431" s="39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39"/>
      <c r="B432" s="39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39"/>
      <c r="B433" s="39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39"/>
      <c r="B434" s="39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39"/>
      <c r="B435" s="39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39"/>
      <c r="B436" s="39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39"/>
      <c r="B437" s="39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39"/>
      <c r="B438" s="39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39"/>
      <c r="B439" s="39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39"/>
      <c r="B440" s="39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39"/>
      <c r="B441" s="39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39"/>
      <c r="B442" s="39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39"/>
      <c r="B443" s="39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39"/>
      <c r="B444" s="39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39"/>
      <c r="B445" s="39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39"/>
      <c r="B446" s="39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39"/>
      <c r="B447" s="39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39"/>
      <c r="B448" s="39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39"/>
      <c r="B449" s="39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39"/>
      <c r="B450" s="39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39"/>
      <c r="B451" s="39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39"/>
      <c r="B452" s="39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39"/>
      <c r="B453" s="39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39"/>
      <c r="B454" s="39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39"/>
      <c r="B455" s="39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39"/>
      <c r="B456" s="39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39"/>
      <c r="B457" s="39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39"/>
      <c r="B458" s="39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39"/>
      <c r="B459" s="39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39"/>
      <c r="B460" s="39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39"/>
      <c r="B461" s="39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39"/>
      <c r="B462" s="39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39"/>
      <c r="B463" s="39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39"/>
      <c r="B464" s="39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39"/>
      <c r="B465" s="39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39"/>
      <c r="B466" s="39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39"/>
      <c r="B467" s="39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39"/>
      <c r="B468" s="39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39"/>
      <c r="B469" s="39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39"/>
      <c r="B470" s="39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39"/>
      <c r="B471" s="39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39"/>
      <c r="B472" s="39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39"/>
      <c r="B473" s="39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39"/>
      <c r="B474" s="39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39"/>
      <c r="B475" s="39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39"/>
      <c r="B476" s="39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39"/>
      <c r="B477" s="39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39"/>
      <c r="B478" s="39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39"/>
      <c r="B479" s="39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39"/>
      <c r="B480" s="39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39"/>
      <c r="B481" s="39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39"/>
      <c r="B482" s="39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39"/>
      <c r="B483" s="39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39"/>
      <c r="B484" s="39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39"/>
      <c r="B485" s="39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39"/>
      <c r="B486" s="39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39"/>
      <c r="B487" s="39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39"/>
      <c r="B488" s="39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39"/>
      <c r="B489" s="39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39"/>
      <c r="B490" s="39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39"/>
      <c r="B491" s="39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39"/>
      <c r="B492" s="39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39"/>
      <c r="B493" s="39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39"/>
      <c r="B494" s="39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39"/>
      <c r="B495" s="39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39"/>
      <c r="B496" s="39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39"/>
      <c r="B497" s="39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39"/>
      <c r="B498" s="39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39"/>
      <c r="B499" s="39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39"/>
      <c r="B500" s="39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39"/>
      <c r="B501" s="39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39"/>
      <c r="B502" s="39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39"/>
      <c r="B503" s="39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39"/>
      <c r="B504" s="39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39"/>
      <c r="B505" s="39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39"/>
      <c r="B506" s="39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39"/>
      <c r="B507" s="39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39"/>
      <c r="B508" s="39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39"/>
      <c r="B509" s="39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39"/>
      <c r="B510" s="39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39"/>
      <c r="B511" s="39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39"/>
      <c r="B512" s="39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39"/>
      <c r="B513" s="39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39"/>
      <c r="B514" s="39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39"/>
      <c r="B515" s="39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39"/>
      <c r="B516" s="39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39"/>
      <c r="B517" s="39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39"/>
      <c r="B518" s="39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39"/>
      <c r="B519" s="39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39"/>
      <c r="B520" s="39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39"/>
      <c r="B521" s="39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39"/>
      <c r="B522" s="39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39"/>
      <c r="B523" s="39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39"/>
      <c r="B524" s="39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39"/>
      <c r="B525" s="39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39"/>
      <c r="B526" s="39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39"/>
      <c r="B527" s="39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39"/>
      <c r="B528" s="39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39"/>
      <c r="B529" s="39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39"/>
      <c r="B530" s="39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39"/>
      <c r="B531" s="39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39"/>
      <c r="B532" s="39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39"/>
      <c r="B533" s="39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39"/>
      <c r="B534" s="39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39"/>
      <c r="B535" s="39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39"/>
      <c r="B536" s="39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39"/>
      <c r="B537" s="39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39"/>
      <c r="B538" s="39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39"/>
      <c r="B539" s="39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39"/>
      <c r="B540" s="39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39"/>
      <c r="B541" s="39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39"/>
      <c r="B542" s="39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39"/>
      <c r="B543" s="39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39"/>
      <c r="B544" s="39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39"/>
      <c r="B545" s="39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39"/>
      <c r="B546" s="39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39"/>
      <c r="B547" s="39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39"/>
      <c r="B548" s="39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39"/>
      <c r="B549" s="39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39"/>
      <c r="B550" s="39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39"/>
      <c r="B551" s="39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39"/>
      <c r="B552" s="39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39"/>
      <c r="B553" s="39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39"/>
      <c r="B554" s="39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39"/>
      <c r="B555" s="39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39"/>
      <c r="B556" s="39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39"/>
      <c r="B557" s="39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39"/>
      <c r="B558" s="39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39"/>
      <c r="B559" s="39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39"/>
      <c r="B560" s="39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39"/>
      <c r="B561" s="39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39"/>
      <c r="B562" s="39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39"/>
      <c r="B563" s="39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39"/>
      <c r="B564" s="39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39"/>
      <c r="B565" s="39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39"/>
      <c r="B566" s="39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39"/>
      <c r="B567" s="39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39"/>
      <c r="B568" s="39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39"/>
      <c r="B569" s="39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39"/>
      <c r="B570" s="39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39"/>
      <c r="B571" s="39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39"/>
      <c r="B572" s="39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39"/>
      <c r="B573" s="39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39"/>
      <c r="B574" s="39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39"/>
      <c r="B575" s="39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39"/>
      <c r="B576" s="39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39"/>
      <c r="B577" s="39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39"/>
      <c r="B578" s="39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39"/>
      <c r="B579" s="39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39"/>
      <c r="B580" s="39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39"/>
      <c r="B581" s="39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39"/>
      <c r="B582" s="39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39"/>
      <c r="B583" s="39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39"/>
      <c r="B584" s="39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39"/>
      <c r="B585" s="39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39"/>
      <c r="B586" s="39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39"/>
      <c r="B587" s="39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39"/>
      <c r="B588" s="39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39"/>
      <c r="B589" s="39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39"/>
      <c r="B590" s="39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39"/>
      <c r="B591" s="39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39"/>
      <c r="B592" s="39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39"/>
      <c r="B593" s="39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39"/>
      <c r="B594" s="39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39"/>
      <c r="B595" s="39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39"/>
      <c r="B596" s="39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39"/>
      <c r="B597" s="39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39"/>
      <c r="B598" s="39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39"/>
      <c r="B599" s="39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39"/>
      <c r="B600" s="39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39"/>
      <c r="B601" s="39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39"/>
      <c r="B602" s="39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39"/>
      <c r="B603" s="39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39"/>
      <c r="B604" s="39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39"/>
      <c r="B605" s="39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39"/>
      <c r="B606" s="39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39"/>
      <c r="B607" s="39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39"/>
      <c r="B608" s="39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39"/>
      <c r="B609" s="39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39"/>
      <c r="B610" s="39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39"/>
      <c r="B611" s="39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39"/>
      <c r="B612" s="39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39"/>
      <c r="B613" s="39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39"/>
      <c r="B614" s="39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39"/>
      <c r="B615" s="39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39"/>
      <c r="B616" s="39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39"/>
      <c r="B617" s="39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39"/>
      <c r="B618" s="39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39"/>
      <c r="B619" s="39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39"/>
      <c r="B620" s="39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39"/>
      <c r="B621" s="39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39"/>
      <c r="B622" s="39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39"/>
      <c r="B623" s="39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39"/>
      <c r="B624" s="39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39"/>
      <c r="B625" s="39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39"/>
      <c r="B626" s="39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39"/>
      <c r="B627" s="39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39"/>
      <c r="B628" s="39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39"/>
      <c r="B629" s="39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39"/>
      <c r="B630" s="39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39"/>
      <c r="B631" s="39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39"/>
      <c r="B632" s="39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39"/>
      <c r="B633" s="39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39"/>
      <c r="B634" s="39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39"/>
      <c r="B635" s="39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39"/>
      <c r="B636" s="39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39"/>
      <c r="B637" s="39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39"/>
      <c r="B638" s="39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39"/>
      <c r="B639" s="39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39"/>
      <c r="B640" s="39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39"/>
      <c r="B641" s="39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39"/>
      <c r="B642" s="39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39"/>
      <c r="B643" s="39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39"/>
      <c r="B644" s="39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39"/>
      <c r="B645" s="39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39"/>
      <c r="B646" s="39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39"/>
      <c r="B647" s="39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39"/>
      <c r="B648" s="39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39"/>
      <c r="B649" s="39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39"/>
      <c r="B650" s="39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39"/>
      <c r="B651" s="39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39"/>
      <c r="B652" s="39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39"/>
      <c r="B653" s="39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39"/>
      <c r="B654" s="39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39"/>
      <c r="B655" s="39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39"/>
      <c r="B656" s="39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39"/>
      <c r="B657" s="39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39"/>
      <c r="B658" s="39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39"/>
      <c r="B659" s="39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39"/>
      <c r="B660" s="39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39"/>
      <c r="B661" s="39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39"/>
      <c r="B662" s="39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39"/>
      <c r="B663" s="39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39"/>
      <c r="B664" s="39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39"/>
      <c r="B665" s="39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39"/>
      <c r="B666" s="39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39"/>
      <c r="B667" s="39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39"/>
      <c r="B668" s="39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39"/>
      <c r="B669" s="39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39"/>
      <c r="B670" s="39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39"/>
      <c r="B671" s="39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39"/>
      <c r="B672" s="39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39"/>
      <c r="B673" s="39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39"/>
      <c r="B674" s="39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39"/>
      <c r="B675" s="39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39"/>
      <c r="B676" s="39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39"/>
      <c r="B677" s="39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39"/>
      <c r="B678" s="39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39"/>
      <c r="B679" s="39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39"/>
      <c r="B680" s="39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39"/>
      <c r="B681" s="39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39"/>
      <c r="B682" s="39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39"/>
      <c r="B683" s="39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39"/>
      <c r="B684" s="39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39"/>
      <c r="B685" s="39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39"/>
      <c r="B686" s="39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39"/>
      <c r="B687" s="39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39"/>
      <c r="B688" s="39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39"/>
      <c r="B689" s="39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39"/>
      <c r="B690" s="39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39"/>
      <c r="B691" s="39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39"/>
      <c r="B692" s="39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39"/>
      <c r="B693" s="39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39"/>
      <c r="B694" s="39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39"/>
      <c r="B695" s="39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39"/>
      <c r="B696" s="39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39"/>
      <c r="B697" s="39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39"/>
      <c r="B698" s="39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39"/>
      <c r="B699" s="39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39"/>
      <c r="B700" s="39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39"/>
      <c r="B701" s="39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39"/>
      <c r="B702" s="39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39"/>
      <c r="B703" s="39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39"/>
      <c r="B704" s="39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39"/>
      <c r="B705" s="39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39"/>
      <c r="B706" s="39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39"/>
      <c r="B707" s="39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39"/>
      <c r="B708" s="39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39"/>
      <c r="B709" s="39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39"/>
      <c r="B710" s="39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39"/>
      <c r="B711" s="39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39"/>
      <c r="B712" s="39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39"/>
      <c r="B713" s="39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39"/>
      <c r="B714" s="39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39"/>
      <c r="B715" s="39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39"/>
      <c r="B716" s="39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39"/>
      <c r="B717" s="39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39"/>
      <c r="B718" s="39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39"/>
      <c r="B719" s="39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39"/>
      <c r="B720" s="39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39"/>
      <c r="B721" s="39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39"/>
      <c r="B722" s="39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39"/>
      <c r="B723" s="39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39"/>
      <c r="B724" s="39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39"/>
      <c r="B725" s="39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39"/>
      <c r="B726" s="39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39"/>
      <c r="B727" s="39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39"/>
      <c r="B728" s="39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39"/>
      <c r="B729" s="39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39"/>
      <c r="B730" s="39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39"/>
      <c r="B731" s="39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39"/>
      <c r="B732" s="39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39"/>
      <c r="B733" s="39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39"/>
      <c r="B734" s="39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39"/>
      <c r="B735" s="39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39"/>
      <c r="B736" s="39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39"/>
      <c r="B737" s="39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39"/>
      <c r="B738" s="39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39"/>
      <c r="B739" s="39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39"/>
      <c r="B740" s="39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39"/>
      <c r="B741" s="39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39"/>
      <c r="B742" s="39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39"/>
      <c r="B743" s="39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39"/>
      <c r="B744" s="39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39"/>
      <c r="B745" s="39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39"/>
      <c r="B746" s="39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39"/>
      <c r="B747" s="39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39"/>
      <c r="B748" s="39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39"/>
      <c r="B749" s="39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39"/>
      <c r="B750" s="39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39"/>
      <c r="B751" s="39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39"/>
      <c r="B752" s="39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39"/>
      <c r="B753" s="39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39"/>
      <c r="B754" s="39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39"/>
      <c r="B755" s="39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39"/>
      <c r="B756" s="39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39"/>
      <c r="B757" s="39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39"/>
      <c r="B758" s="39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39"/>
      <c r="B759" s="39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39"/>
      <c r="B760" s="39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39"/>
      <c r="B761" s="39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39"/>
      <c r="B762" s="39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39"/>
      <c r="B763" s="39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39"/>
      <c r="B764" s="39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39"/>
      <c r="B765" s="39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39"/>
      <c r="B766" s="39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39"/>
      <c r="B767" s="39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39"/>
      <c r="B768" s="39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39"/>
      <c r="B769" s="39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39"/>
      <c r="B770" s="39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39"/>
      <c r="B771" s="39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39"/>
      <c r="B772" s="39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39"/>
      <c r="B773" s="39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39"/>
      <c r="B774" s="39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39"/>
      <c r="B775" s="39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39"/>
      <c r="B776" s="39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39"/>
      <c r="B777" s="39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39"/>
      <c r="B778" s="39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39"/>
      <c r="B779" s="39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39"/>
      <c r="B780" s="39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39"/>
      <c r="B781" s="39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39"/>
      <c r="B782" s="39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39"/>
      <c r="B783" s="39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39"/>
      <c r="B784" s="39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39"/>
      <c r="B785" s="39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39"/>
      <c r="B786" s="39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39"/>
      <c r="B787" s="39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39"/>
      <c r="B788" s="39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39"/>
      <c r="B789" s="39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39"/>
      <c r="B790" s="39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39"/>
      <c r="B791" s="39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39"/>
      <c r="B792" s="39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39"/>
      <c r="B793" s="39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39"/>
      <c r="B794" s="39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39"/>
      <c r="B795" s="39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39"/>
      <c r="B796" s="39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39"/>
      <c r="B797" s="39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39"/>
      <c r="B798" s="39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39"/>
      <c r="B799" s="39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39"/>
      <c r="B800" s="39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39"/>
      <c r="B801" s="39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39"/>
      <c r="B802" s="39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39"/>
      <c r="B803" s="39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39"/>
      <c r="B804" s="39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39"/>
      <c r="B805" s="39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39"/>
      <c r="B806" s="39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39"/>
      <c r="B807" s="39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39"/>
      <c r="B808" s="39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39"/>
      <c r="B809" s="39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39"/>
      <c r="B810" s="39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39"/>
      <c r="B811" s="39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39"/>
      <c r="B812" s="39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39"/>
      <c r="B813" s="39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39"/>
      <c r="B814" s="39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39"/>
      <c r="B815" s="39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39"/>
      <c r="B816" s="39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39"/>
      <c r="B817" s="39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39"/>
      <c r="B818" s="39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39"/>
      <c r="B819" s="39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39"/>
      <c r="B820" s="39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39"/>
      <c r="B821" s="39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39"/>
      <c r="B822" s="39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39"/>
      <c r="B823" s="39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39"/>
      <c r="B824" s="39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39"/>
      <c r="B825" s="39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39"/>
      <c r="B826" s="39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39"/>
      <c r="B827" s="39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39"/>
      <c r="B828" s="39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39"/>
      <c r="B829" s="39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39"/>
      <c r="B830" s="39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39"/>
      <c r="B831" s="39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39"/>
      <c r="B832" s="39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39"/>
      <c r="B833" s="39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39"/>
      <c r="B834" s="39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39"/>
      <c r="B835" s="39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39"/>
      <c r="B836" s="39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39"/>
      <c r="B837" s="39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39"/>
      <c r="B838" s="39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39"/>
      <c r="B839" s="39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39"/>
      <c r="B840" s="39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39"/>
      <c r="B841" s="39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39"/>
      <c r="B842" s="39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39"/>
      <c r="B843" s="39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39"/>
      <c r="B844" s="39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39"/>
      <c r="B845" s="39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39"/>
      <c r="B846" s="39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39"/>
      <c r="B847" s="39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39"/>
      <c r="B848" s="39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39"/>
      <c r="B849" s="39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39"/>
      <c r="B850" s="39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39"/>
      <c r="B851" s="39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39"/>
      <c r="B852" s="39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39"/>
      <c r="B853" s="39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39"/>
      <c r="B854" s="39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39"/>
      <c r="B855" s="39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39"/>
      <c r="B856" s="39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39"/>
      <c r="B857" s="39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39"/>
      <c r="B858" s="39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39"/>
      <c r="B859" s="39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39"/>
      <c r="B860" s="39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39"/>
      <c r="B861" s="39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39"/>
      <c r="B862" s="39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39"/>
      <c r="B863" s="39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39"/>
      <c r="B864" s="39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39"/>
      <c r="B865" s="39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39"/>
      <c r="B866" s="39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39"/>
      <c r="B867" s="39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39"/>
      <c r="B868" s="39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39"/>
      <c r="B869" s="39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39"/>
      <c r="B870" s="39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39"/>
      <c r="B871" s="39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39"/>
      <c r="B872" s="39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39"/>
      <c r="B873" s="39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39"/>
      <c r="B874" s="39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39"/>
      <c r="B875" s="39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39"/>
      <c r="B876" s="39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39"/>
      <c r="B877" s="39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39"/>
      <c r="B878" s="39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39"/>
      <c r="B879" s="39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39"/>
      <c r="B880" s="39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39"/>
      <c r="B881" s="39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39"/>
      <c r="B882" s="39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39"/>
      <c r="B883" s="39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39"/>
      <c r="B884" s="39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39"/>
      <c r="B885" s="39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39"/>
      <c r="B886" s="39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39"/>
      <c r="B887" s="39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39"/>
      <c r="B888" s="39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39"/>
      <c r="B889" s="39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39"/>
      <c r="B890" s="39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39"/>
      <c r="B891" s="39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39"/>
      <c r="B892" s="39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39"/>
      <c r="B893" s="39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39"/>
      <c r="B894" s="39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39"/>
      <c r="B895" s="39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39"/>
      <c r="B896" s="39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39"/>
      <c r="B897" s="39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39"/>
      <c r="B898" s="39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39"/>
      <c r="B899" s="39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39"/>
      <c r="B900" s="39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39"/>
      <c r="B901" s="39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39"/>
      <c r="B902" s="39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39"/>
      <c r="B903" s="39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39"/>
      <c r="B904" s="39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39"/>
      <c r="B905" s="39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39"/>
      <c r="B906" s="39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39"/>
      <c r="B907" s="39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39"/>
      <c r="B908" s="39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39"/>
      <c r="B909" s="39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39"/>
      <c r="B910" s="39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39"/>
      <c r="B911" s="39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39"/>
      <c r="B912" s="39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39"/>
      <c r="B913" s="39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39"/>
      <c r="B914" s="39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39"/>
      <c r="B915" s="39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39"/>
      <c r="B916" s="39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39"/>
      <c r="B917" s="39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39"/>
      <c r="B918" s="39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39"/>
      <c r="B919" s="39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39"/>
      <c r="B920" s="39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39"/>
      <c r="B921" s="39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39"/>
      <c r="B922" s="39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39"/>
      <c r="B923" s="39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39"/>
      <c r="B924" s="39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39"/>
      <c r="B925" s="39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39"/>
      <c r="B926" s="39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39"/>
      <c r="B927" s="39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39"/>
      <c r="B928" s="39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39"/>
      <c r="B929" s="39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39"/>
      <c r="B930" s="39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39"/>
      <c r="B931" s="39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39"/>
      <c r="B932" s="39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39"/>
      <c r="B933" s="39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39"/>
      <c r="B934" s="39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39"/>
      <c r="B935" s="39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39"/>
      <c r="B936" s="39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39"/>
      <c r="B937" s="39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39"/>
      <c r="B938" s="39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39"/>
      <c r="B939" s="39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39"/>
      <c r="B940" s="39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39"/>
      <c r="B941" s="39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39"/>
      <c r="B942" s="39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39"/>
      <c r="B943" s="39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39"/>
      <c r="B944" s="39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39"/>
      <c r="B945" s="39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39"/>
      <c r="B946" s="39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39"/>
      <c r="B947" s="39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39"/>
      <c r="B948" s="39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39"/>
      <c r="B949" s="39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39"/>
      <c r="B950" s="39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39"/>
      <c r="B951" s="39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39"/>
      <c r="B952" s="39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39"/>
      <c r="B953" s="39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39"/>
      <c r="B954" s="39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39"/>
      <c r="B955" s="39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39"/>
      <c r="B956" s="39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39"/>
      <c r="B957" s="39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39"/>
      <c r="B958" s="39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39"/>
      <c r="B959" s="39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39"/>
      <c r="B960" s="39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39"/>
      <c r="B961" s="39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39"/>
      <c r="B962" s="39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39"/>
      <c r="B963" s="39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39"/>
      <c r="B964" s="39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39"/>
      <c r="B965" s="39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39"/>
      <c r="B966" s="39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39"/>
      <c r="B967" s="39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39"/>
      <c r="B968" s="39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39"/>
      <c r="B969" s="39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39"/>
      <c r="B970" s="39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39"/>
      <c r="B971" s="39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39"/>
      <c r="B972" s="39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39"/>
      <c r="B973" s="39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39"/>
      <c r="B974" s="39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39"/>
      <c r="B975" s="39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39"/>
      <c r="B976" s="39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39"/>
      <c r="B977" s="39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39"/>
      <c r="B978" s="39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39"/>
      <c r="B979" s="39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39"/>
      <c r="B980" s="39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39"/>
      <c r="B981" s="39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39"/>
      <c r="B982" s="39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39"/>
      <c r="B983" s="39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39"/>
      <c r="B984" s="39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39"/>
      <c r="B985" s="39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39"/>
      <c r="B986" s="39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39"/>
      <c r="B987" s="39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39"/>
      <c r="B988" s="39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39"/>
      <c r="B989" s="39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39"/>
      <c r="B990" s="39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39"/>
      <c r="B991" s="39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39"/>
      <c r="B992" s="39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39"/>
      <c r="B993" s="39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39"/>
      <c r="B994" s="39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39"/>
      <c r="B995" s="39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39"/>
      <c r="B996" s="39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39"/>
      <c r="B997" s="39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39"/>
      <c r="B998" s="39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39"/>
      <c r="B999" s="39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39"/>
      <c r="B1000" s="39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9">
    <mergeCell ref="A22:B22"/>
    <mergeCell ref="A28:B28"/>
    <mergeCell ref="A1:O1"/>
    <mergeCell ref="A3:B3"/>
    <mergeCell ref="A4:B4"/>
    <mergeCell ref="A7:B7"/>
    <mergeCell ref="A10:B10"/>
    <mergeCell ref="A15:B15"/>
    <mergeCell ref="A16:A20"/>
  </mergeCells>
  <printOptions/>
  <pageMargins bottom="0.787401575" footer="0.0" header="0.0" left="0.511811024" right="0.511811024" top="0.7874015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2.25"/>
    <col customWidth="1" min="2" max="2" width="56.75"/>
    <col customWidth="1" min="3" max="14" width="15.25"/>
    <col customWidth="1" min="15" max="15" width="21.38"/>
    <col customWidth="1" min="16" max="26" width="8.88"/>
  </cols>
  <sheetData>
    <row r="1" ht="61.5" customHeight="1">
      <c r="A1" s="1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75</v>
      </c>
      <c r="B2" s="3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5"/>
      <c r="B3" s="6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45" t="s">
        <v>76</v>
      </c>
      <c r="B4" s="40" t="s">
        <v>77</v>
      </c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9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1"/>
      <c r="B5" s="40" t="s">
        <v>78</v>
      </c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9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1"/>
      <c r="B6" s="40" t="s">
        <v>79</v>
      </c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9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1"/>
      <c r="B7" s="40" t="s">
        <v>80</v>
      </c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  <c r="N7" s="41"/>
      <c r="O7" s="9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1"/>
      <c r="B8" s="40" t="s">
        <v>81</v>
      </c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  <c r="N8" s="41"/>
      <c r="O8" s="9">
        <f>SUM(C8:N8)</f>
        <v>0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1"/>
      <c r="B9" s="40" t="s">
        <v>82</v>
      </c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9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1"/>
      <c r="B10" s="40" t="s">
        <v>83</v>
      </c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9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7"/>
      <c r="B11" s="40" t="s">
        <v>84</v>
      </c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9">
        <f>SUM(C11:N11)</f>
        <v>0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39"/>
      <c r="B12" s="3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5"/>
      <c r="B13" s="6"/>
      <c r="C13" s="4" t="s">
        <v>1</v>
      </c>
      <c r="D13" s="4" t="s">
        <v>2</v>
      </c>
      <c r="E13" s="4" t="s">
        <v>3</v>
      </c>
      <c r="F13" s="4" t="s">
        <v>4</v>
      </c>
      <c r="G13" s="4" t="s">
        <v>5</v>
      </c>
      <c r="H13" s="4" t="s">
        <v>6</v>
      </c>
      <c r="I13" s="4" t="s">
        <v>7</v>
      </c>
      <c r="J13" s="4" t="s">
        <v>8</v>
      </c>
      <c r="K13" s="4" t="s">
        <v>9</v>
      </c>
      <c r="L13" s="4" t="s">
        <v>10</v>
      </c>
      <c r="M13" s="4" t="s">
        <v>11</v>
      </c>
      <c r="N13" s="4" t="s">
        <v>12</v>
      </c>
      <c r="O13" s="4" t="s">
        <v>13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45" t="s">
        <v>85</v>
      </c>
      <c r="B14" s="40" t="s">
        <v>86</v>
      </c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9">
        <f>SUM(C14:N14)</f>
        <v>0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1"/>
      <c r="B15" s="40" t="s">
        <v>87</v>
      </c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9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1"/>
      <c r="B16" s="40" t="s">
        <v>88</v>
      </c>
      <c r="C16" s="41"/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9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1"/>
      <c r="B17" s="40" t="s">
        <v>89</v>
      </c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9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1"/>
      <c r="B18" s="40" t="s">
        <v>90</v>
      </c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9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1"/>
      <c r="B19" s="40" t="s">
        <v>83</v>
      </c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9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1"/>
      <c r="B20" s="40" t="s">
        <v>84</v>
      </c>
      <c r="C20" s="41"/>
      <c r="D20" s="41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9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7"/>
      <c r="B21" s="40" t="s">
        <v>91</v>
      </c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9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39"/>
      <c r="B22" s="3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5"/>
      <c r="B23" s="6"/>
      <c r="C23" s="4" t="s">
        <v>1</v>
      </c>
      <c r="D23" s="4" t="s">
        <v>2</v>
      </c>
      <c r="E23" s="4" t="s">
        <v>3</v>
      </c>
      <c r="F23" s="4" t="s">
        <v>4</v>
      </c>
      <c r="G23" s="4" t="s">
        <v>5</v>
      </c>
      <c r="H23" s="4" t="s">
        <v>6</v>
      </c>
      <c r="I23" s="4" t="s">
        <v>7</v>
      </c>
      <c r="J23" s="4" t="s">
        <v>8</v>
      </c>
      <c r="K23" s="4" t="s">
        <v>9</v>
      </c>
      <c r="L23" s="4" t="s">
        <v>10</v>
      </c>
      <c r="M23" s="4" t="s">
        <v>11</v>
      </c>
      <c r="N23" s="4" t="s">
        <v>12</v>
      </c>
      <c r="O23" s="4" t="s">
        <v>13</v>
      </c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45" t="s">
        <v>92</v>
      </c>
      <c r="B24" s="40" t="s">
        <v>83</v>
      </c>
      <c r="C24" s="41"/>
      <c r="D24" s="41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9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7"/>
      <c r="B25" s="40" t="s">
        <v>91</v>
      </c>
      <c r="C25" s="41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9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39"/>
      <c r="B26" s="3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39"/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39"/>
      <c r="B28" s="3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39"/>
      <c r="B29" s="3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39"/>
      <c r="B30" s="3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39"/>
      <c r="B31" s="3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39"/>
      <c r="B32" s="3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39"/>
      <c r="B33" s="3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39"/>
      <c r="B34" s="3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39"/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39"/>
      <c r="B36" s="3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39"/>
      <c r="B37" s="3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39"/>
      <c r="B38" s="3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39"/>
      <c r="B39" s="3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39"/>
      <c r="B40" s="3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39"/>
      <c r="B41" s="3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39"/>
      <c r="B42" s="3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39"/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39"/>
      <c r="B44" s="3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39"/>
      <c r="B45" s="3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39"/>
      <c r="B46" s="3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39"/>
      <c r="B47" s="3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39"/>
      <c r="B48" s="3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39"/>
      <c r="B49" s="3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39"/>
      <c r="B50" s="3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39"/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39"/>
      <c r="B52" s="3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39"/>
      <c r="B53" s="3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39"/>
      <c r="B54" s="3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39"/>
      <c r="B55" s="3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39"/>
      <c r="B56" s="3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39"/>
      <c r="B57" s="3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39"/>
      <c r="B58" s="3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39"/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39"/>
      <c r="B60" s="3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39"/>
      <c r="B61" s="3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39"/>
      <c r="B62" s="3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39"/>
      <c r="B63" s="3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39"/>
      <c r="B64" s="3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39"/>
      <c r="B65" s="3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39"/>
      <c r="B66" s="3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39"/>
      <c r="B67" s="3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39"/>
      <c r="B68" s="3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39"/>
      <c r="B69" s="3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39"/>
      <c r="B70" s="3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39"/>
      <c r="B71" s="3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39"/>
      <c r="B72" s="3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39"/>
      <c r="B73" s="3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39"/>
      <c r="B74" s="3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39"/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39"/>
      <c r="B76" s="3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39"/>
      <c r="B77" s="3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39"/>
      <c r="B78" s="3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39"/>
      <c r="B79" s="3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39"/>
      <c r="B80" s="3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39"/>
      <c r="B81" s="3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39"/>
      <c r="B82" s="3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39"/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39"/>
      <c r="B84" s="3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39"/>
      <c r="B85" s="3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39"/>
      <c r="B86" s="3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39"/>
      <c r="B87" s="3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39"/>
      <c r="B88" s="3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39"/>
      <c r="B89" s="3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39"/>
      <c r="B90" s="3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39"/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39"/>
      <c r="B92" s="3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39"/>
      <c r="B93" s="3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39"/>
      <c r="B94" s="3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39"/>
      <c r="B95" s="3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39"/>
      <c r="B96" s="3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39"/>
      <c r="B97" s="3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39"/>
      <c r="B98" s="3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39"/>
      <c r="B99" s="3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39"/>
      <c r="B100" s="3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39"/>
      <c r="B101" s="3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39"/>
      <c r="B102" s="3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39"/>
      <c r="B103" s="3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39"/>
      <c r="B104" s="3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39"/>
      <c r="B105" s="3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39"/>
      <c r="B106" s="3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39"/>
      <c r="B107" s="3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39"/>
      <c r="B108" s="3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39"/>
      <c r="B109" s="3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39"/>
      <c r="B110" s="3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39"/>
      <c r="B111" s="3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39"/>
      <c r="B112" s="3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39"/>
      <c r="B113" s="3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39"/>
      <c r="B114" s="3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39"/>
      <c r="B115" s="3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39"/>
      <c r="B116" s="3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39"/>
      <c r="B117" s="3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39"/>
      <c r="B118" s="3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39"/>
      <c r="B119" s="3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39"/>
      <c r="B120" s="3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39"/>
      <c r="B121" s="3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39"/>
      <c r="B122" s="3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39"/>
      <c r="B123" s="3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39"/>
      <c r="B124" s="3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39"/>
      <c r="B125" s="3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39"/>
      <c r="B126" s="3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39"/>
      <c r="B127" s="3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39"/>
      <c r="B128" s="3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39"/>
      <c r="B129" s="3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39"/>
      <c r="B130" s="3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39"/>
      <c r="B131" s="3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39"/>
      <c r="B132" s="3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39"/>
      <c r="B133" s="3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39"/>
      <c r="B134" s="3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39"/>
      <c r="B135" s="3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39"/>
      <c r="B136" s="3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39"/>
      <c r="B137" s="3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39"/>
      <c r="B138" s="3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39"/>
      <c r="B139" s="3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39"/>
      <c r="B140" s="3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39"/>
      <c r="B141" s="3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39"/>
      <c r="B142" s="3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39"/>
      <c r="B143" s="3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39"/>
      <c r="B144" s="3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39"/>
      <c r="B145" s="3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39"/>
      <c r="B146" s="3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39"/>
      <c r="B147" s="3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39"/>
      <c r="B148" s="3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39"/>
      <c r="B149" s="3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39"/>
      <c r="B150" s="3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39"/>
      <c r="B151" s="3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39"/>
      <c r="B152" s="3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39"/>
      <c r="B153" s="3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39"/>
      <c r="B154" s="3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39"/>
      <c r="B155" s="3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39"/>
      <c r="B156" s="3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39"/>
      <c r="B157" s="3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39"/>
      <c r="B158" s="3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39"/>
      <c r="B159" s="3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39"/>
      <c r="B160" s="3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39"/>
      <c r="B161" s="3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39"/>
      <c r="B162" s="3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39"/>
      <c r="B163" s="3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39"/>
      <c r="B164" s="3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39"/>
      <c r="B165" s="3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39"/>
      <c r="B166" s="3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39"/>
      <c r="B167" s="3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39"/>
      <c r="B168" s="3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39"/>
      <c r="B169" s="3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39"/>
      <c r="B170" s="3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39"/>
      <c r="B171" s="3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39"/>
      <c r="B172" s="3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39"/>
      <c r="B173" s="3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39"/>
      <c r="B174" s="3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39"/>
      <c r="B175" s="3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39"/>
      <c r="B176" s="3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39"/>
      <c r="B177" s="3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39"/>
      <c r="B178" s="3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39"/>
      <c r="B179" s="3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39"/>
      <c r="B180" s="3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39"/>
      <c r="B181" s="3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39"/>
      <c r="B182" s="3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39"/>
      <c r="B183" s="3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39"/>
      <c r="B184" s="3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39"/>
      <c r="B185" s="3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39"/>
      <c r="B186" s="3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39"/>
      <c r="B187" s="3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39"/>
      <c r="B188" s="3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39"/>
      <c r="B189" s="3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39"/>
      <c r="B190" s="3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39"/>
      <c r="B191" s="3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39"/>
      <c r="B192" s="3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39"/>
      <c r="B193" s="3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39"/>
      <c r="B194" s="3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39"/>
      <c r="B195" s="3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39"/>
      <c r="B196" s="3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39"/>
      <c r="B197" s="3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39"/>
      <c r="B198" s="3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39"/>
      <c r="B199" s="3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39"/>
      <c r="B200" s="3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39"/>
      <c r="B201" s="3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39"/>
      <c r="B202" s="3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39"/>
      <c r="B203" s="39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39"/>
      <c r="B204" s="39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39"/>
      <c r="B205" s="39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39"/>
      <c r="B206" s="39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39"/>
      <c r="B207" s="39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39"/>
      <c r="B208" s="39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39"/>
      <c r="B209" s="39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39"/>
      <c r="B210" s="39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39"/>
      <c r="B211" s="39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39"/>
      <c r="B212" s="39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39"/>
      <c r="B213" s="39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39"/>
      <c r="B214" s="39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39"/>
      <c r="B215" s="39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39"/>
      <c r="B216" s="39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39"/>
      <c r="B217" s="39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39"/>
      <c r="B218" s="39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39"/>
      <c r="B219" s="39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39"/>
      <c r="B220" s="39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39"/>
      <c r="B221" s="39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39"/>
      <c r="B222" s="39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39"/>
      <c r="B223" s="39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39"/>
      <c r="B224" s="39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39"/>
      <c r="B225" s="39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39"/>
      <c r="B226" s="39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39"/>
      <c r="B227" s="39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39"/>
      <c r="B228" s="39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39"/>
      <c r="B229" s="39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39"/>
      <c r="B230" s="39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39"/>
      <c r="B231" s="39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39"/>
      <c r="B232" s="39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39"/>
      <c r="B233" s="39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39"/>
      <c r="B234" s="39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39"/>
      <c r="B235" s="39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39"/>
      <c r="B236" s="39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39"/>
      <c r="B237" s="39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39"/>
      <c r="B238" s="39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39"/>
      <c r="B239" s="39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39"/>
      <c r="B240" s="39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39"/>
      <c r="B241" s="39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39"/>
      <c r="B242" s="39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39"/>
      <c r="B243" s="39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39"/>
      <c r="B244" s="39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39"/>
      <c r="B245" s="39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39"/>
      <c r="B246" s="39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39"/>
      <c r="B247" s="39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39"/>
      <c r="B248" s="39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39"/>
      <c r="B249" s="39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39"/>
      <c r="B250" s="39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39"/>
      <c r="B251" s="39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39"/>
      <c r="B252" s="39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39"/>
      <c r="B253" s="39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39"/>
      <c r="B254" s="39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39"/>
      <c r="B255" s="39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39"/>
      <c r="B256" s="39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39"/>
      <c r="B257" s="39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39"/>
      <c r="B258" s="39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39"/>
      <c r="B259" s="39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39"/>
      <c r="B260" s="39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39"/>
      <c r="B261" s="39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39"/>
      <c r="B262" s="39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39"/>
      <c r="B263" s="39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39"/>
      <c r="B264" s="39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39"/>
      <c r="B265" s="39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39"/>
      <c r="B266" s="39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39"/>
      <c r="B267" s="39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39"/>
      <c r="B268" s="39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39"/>
      <c r="B269" s="39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39"/>
      <c r="B270" s="39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39"/>
      <c r="B271" s="39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39"/>
      <c r="B272" s="39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39"/>
      <c r="B273" s="39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39"/>
      <c r="B274" s="39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39"/>
      <c r="B275" s="39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39"/>
      <c r="B276" s="39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39"/>
      <c r="B277" s="39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39"/>
      <c r="B278" s="39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39"/>
      <c r="B279" s="39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39"/>
      <c r="B280" s="39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39"/>
      <c r="B281" s="39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39"/>
      <c r="B282" s="39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39"/>
      <c r="B283" s="39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39"/>
      <c r="B284" s="39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39"/>
      <c r="B285" s="39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39"/>
      <c r="B286" s="39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39"/>
      <c r="B287" s="39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39"/>
      <c r="B288" s="39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39"/>
      <c r="B289" s="39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39"/>
      <c r="B290" s="39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39"/>
      <c r="B291" s="39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39"/>
      <c r="B292" s="39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39"/>
      <c r="B293" s="39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39"/>
      <c r="B294" s="39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39"/>
      <c r="B295" s="39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39"/>
      <c r="B296" s="39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39"/>
      <c r="B297" s="39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39"/>
      <c r="B298" s="39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39"/>
      <c r="B299" s="39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39"/>
      <c r="B300" s="39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39"/>
      <c r="B301" s="39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39"/>
      <c r="B302" s="39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39"/>
      <c r="B303" s="39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39"/>
      <c r="B304" s="39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39"/>
      <c r="B305" s="39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39"/>
      <c r="B306" s="39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39"/>
      <c r="B307" s="39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39"/>
      <c r="B308" s="39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39"/>
      <c r="B309" s="39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39"/>
      <c r="B310" s="39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39"/>
      <c r="B311" s="39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39"/>
      <c r="B312" s="39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39"/>
      <c r="B313" s="39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39"/>
      <c r="B314" s="39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39"/>
      <c r="B315" s="39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39"/>
      <c r="B316" s="39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39"/>
      <c r="B317" s="39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39"/>
      <c r="B318" s="39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39"/>
      <c r="B319" s="39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39"/>
      <c r="B320" s="39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39"/>
      <c r="B321" s="39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39"/>
      <c r="B322" s="39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39"/>
      <c r="B323" s="39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39"/>
      <c r="B324" s="39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39"/>
      <c r="B325" s="39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39"/>
      <c r="B326" s="39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39"/>
      <c r="B327" s="39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39"/>
      <c r="B328" s="39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39"/>
      <c r="B329" s="39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39"/>
      <c r="B330" s="39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39"/>
      <c r="B331" s="39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39"/>
      <c r="B332" s="39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39"/>
      <c r="B333" s="39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39"/>
      <c r="B334" s="39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39"/>
      <c r="B335" s="39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39"/>
      <c r="B336" s="39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39"/>
      <c r="B337" s="39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39"/>
      <c r="B338" s="39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39"/>
      <c r="B339" s="39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39"/>
      <c r="B340" s="39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39"/>
      <c r="B341" s="39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39"/>
      <c r="B342" s="39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39"/>
      <c r="B343" s="39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39"/>
      <c r="B344" s="39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39"/>
      <c r="B345" s="39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39"/>
      <c r="B346" s="39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39"/>
      <c r="B347" s="39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39"/>
      <c r="B348" s="39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39"/>
      <c r="B349" s="39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39"/>
      <c r="B350" s="39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39"/>
      <c r="B351" s="39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39"/>
      <c r="B352" s="39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39"/>
      <c r="B353" s="39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39"/>
      <c r="B354" s="39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39"/>
      <c r="B355" s="39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39"/>
      <c r="B356" s="39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39"/>
      <c r="B357" s="39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39"/>
      <c r="B358" s="39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39"/>
      <c r="B359" s="39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39"/>
      <c r="B360" s="39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39"/>
      <c r="B361" s="39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39"/>
      <c r="B362" s="39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39"/>
      <c r="B363" s="39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39"/>
      <c r="B364" s="39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39"/>
      <c r="B365" s="39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39"/>
      <c r="B366" s="39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39"/>
      <c r="B367" s="39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39"/>
      <c r="B368" s="39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39"/>
      <c r="B369" s="39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39"/>
      <c r="B370" s="39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39"/>
      <c r="B371" s="39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39"/>
      <c r="B372" s="39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39"/>
      <c r="B373" s="39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39"/>
      <c r="B374" s="39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39"/>
      <c r="B375" s="39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39"/>
      <c r="B376" s="39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39"/>
      <c r="B377" s="39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39"/>
      <c r="B378" s="39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39"/>
      <c r="B379" s="39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39"/>
      <c r="B380" s="39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39"/>
      <c r="B381" s="39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39"/>
      <c r="B382" s="39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39"/>
      <c r="B383" s="39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39"/>
      <c r="B384" s="39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39"/>
      <c r="B385" s="39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39"/>
      <c r="B386" s="39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39"/>
      <c r="B387" s="39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39"/>
      <c r="B388" s="39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39"/>
      <c r="B389" s="39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39"/>
      <c r="B390" s="39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39"/>
      <c r="B391" s="39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39"/>
      <c r="B392" s="39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39"/>
      <c r="B393" s="39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39"/>
      <c r="B394" s="39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39"/>
      <c r="B395" s="39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39"/>
      <c r="B396" s="39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39"/>
      <c r="B397" s="39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39"/>
      <c r="B398" s="39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39"/>
      <c r="B399" s="39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39"/>
      <c r="B400" s="39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39"/>
      <c r="B401" s="39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39"/>
      <c r="B402" s="39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39"/>
      <c r="B403" s="39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39"/>
      <c r="B404" s="39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39"/>
      <c r="B405" s="39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39"/>
      <c r="B406" s="39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39"/>
      <c r="B407" s="39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39"/>
      <c r="B408" s="39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39"/>
      <c r="B409" s="39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39"/>
      <c r="B410" s="39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39"/>
      <c r="B411" s="39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39"/>
      <c r="B412" s="39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39"/>
      <c r="B413" s="39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39"/>
      <c r="B414" s="39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39"/>
      <c r="B415" s="39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39"/>
      <c r="B416" s="39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39"/>
      <c r="B417" s="39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39"/>
      <c r="B418" s="39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39"/>
      <c r="B419" s="39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39"/>
      <c r="B420" s="39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39"/>
      <c r="B421" s="39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39"/>
      <c r="B422" s="39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39"/>
      <c r="B423" s="39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39"/>
      <c r="B424" s="39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39"/>
      <c r="B425" s="39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39"/>
      <c r="B426" s="39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39"/>
      <c r="B427" s="39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39"/>
      <c r="B428" s="39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39"/>
      <c r="B429" s="39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39"/>
      <c r="B430" s="39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39"/>
      <c r="B431" s="39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39"/>
      <c r="B432" s="39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39"/>
      <c r="B433" s="39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39"/>
      <c r="B434" s="39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39"/>
      <c r="B435" s="39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39"/>
      <c r="B436" s="39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39"/>
      <c r="B437" s="39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39"/>
      <c r="B438" s="39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39"/>
      <c r="B439" s="39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39"/>
      <c r="B440" s="39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39"/>
      <c r="B441" s="39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39"/>
      <c r="B442" s="39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39"/>
      <c r="B443" s="39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39"/>
      <c r="B444" s="39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39"/>
      <c r="B445" s="39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39"/>
      <c r="B446" s="39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39"/>
      <c r="B447" s="39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39"/>
      <c r="B448" s="39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39"/>
      <c r="B449" s="39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39"/>
      <c r="B450" s="39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39"/>
      <c r="B451" s="39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39"/>
      <c r="B452" s="39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39"/>
      <c r="B453" s="39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39"/>
      <c r="B454" s="39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39"/>
      <c r="B455" s="39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39"/>
      <c r="B456" s="39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39"/>
      <c r="B457" s="39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39"/>
      <c r="B458" s="39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39"/>
      <c r="B459" s="39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39"/>
      <c r="B460" s="39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39"/>
      <c r="B461" s="39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39"/>
      <c r="B462" s="39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39"/>
      <c r="B463" s="39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39"/>
      <c r="B464" s="39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39"/>
      <c r="B465" s="39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39"/>
      <c r="B466" s="39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39"/>
      <c r="B467" s="39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39"/>
      <c r="B468" s="39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39"/>
      <c r="B469" s="39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39"/>
      <c r="B470" s="39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39"/>
      <c r="B471" s="39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39"/>
      <c r="B472" s="39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39"/>
      <c r="B473" s="39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39"/>
      <c r="B474" s="39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39"/>
      <c r="B475" s="39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39"/>
      <c r="B476" s="39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39"/>
      <c r="B477" s="39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39"/>
      <c r="B478" s="39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39"/>
      <c r="B479" s="39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39"/>
      <c r="B480" s="39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39"/>
      <c r="B481" s="39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39"/>
      <c r="B482" s="39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39"/>
      <c r="B483" s="39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39"/>
      <c r="B484" s="39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39"/>
      <c r="B485" s="39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39"/>
      <c r="B486" s="39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39"/>
      <c r="B487" s="39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39"/>
      <c r="B488" s="39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39"/>
      <c r="B489" s="39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39"/>
      <c r="B490" s="39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39"/>
      <c r="B491" s="39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39"/>
      <c r="B492" s="39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39"/>
      <c r="B493" s="39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39"/>
      <c r="B494" s="39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39"/>
      <c r="B495" s="39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39"/>
      <c r="B496" s="39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39"/>
      <c r="B497" s="39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39"/>
      <c r="B498" s="39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39"/>
      <c r="B499" s="39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39"/>
      <c r="B500" s="39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39"/>
      <c r="B501" s="39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39"/>
      <c r="B502" s="39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39"/>
      <c r="B503" s="39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39"/>
      <c r="B504" s="39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39"/>
      <c r="B505" s="39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39"/>
      <c r="B506" s="39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39"/>
      <c r="B507" s="39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39"/>
      <c r="B508" s="39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39"/>
      <c r="B509" s="39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39"/>
      <c r="B510" s="39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39"/>
      <c r="B511" s="39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39"/>
      <c r="B512" s="39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39"/>
      <c r="B513" s="39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39"/>
      <c r="B514" s="39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39"/>
      <c r="B515" s="39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39"/>
      <c r="B516" s="39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39"/>
      <c r="B517" s="39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39"/>
      <c r="B518" s="39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39"/>
      <c r="B519" s="39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39"/>
      <c r="B520" s="39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39"/>
      <c r="B521" s="39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39"/>
      <c r="B522" s="39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39"/>
      <c r="B523" s="39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39"/>
      <c r="B524" s="39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39"/>
      <c r="B525" s="39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39"/>
      <c r="B526" s="39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39"/>
      <c r="B527" s="39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39"/>
      <c r="B528" s="39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39"/>
      <c r="B529" s="39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39"/>
      <c r="B530" s="39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39"/>
      <c r="B531" s="39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39"/>
      <c r="B532" s="39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39"/>
      <c r="B533" s="39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39"/>
      <c r="B534" s="39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39"/>
      <c r="B535" s="39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39"/>
      <c r="B536" s="39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39"/>
      <c r="B537" s="39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39"/>
      <c r="B538" s="39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39"/>
      <c r="B539" s="39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39"/>
      <c r="B540" s="39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39"/>
      <c r="B541" s="39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39"/>
      <c r="B542" s="39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39"/>
      <c r="B543" s="39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39"/>
      <c r="B544" s="39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39"/>
      <c r="B545" s="39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39"/>
      <c r="B546" s="39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39"/>
      <c r="B547" s="39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39"/>
      <c r="B548" s="39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39"/>
      <c r="B549" s="39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39"/>
      <c r="B550" s="39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39"/>
      <c r="B551" s="39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39"/>
      <c r="B552" s="39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39"/>
      <c r="B553" s="39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39"/>
      <c r="B554" s="39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39"/>
      <c r="B555" s="39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39"/>
      <c r="B556" s="39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39"/>
      <c r="B557" s="39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39"/>
      <c r="B558" s="39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39"/>
      <c r="B559" s="39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39"/>
      <c r="B560" s="39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39"/>
      <c r="B561" s="39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39"/>
      <c r="B562" s="39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39"/>
      <c r="B563" s="39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39"/>
      <c r="B564" s="39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39"/>
      <c r="B565" s="39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39"/>
      <c r="B566" s="39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39"/>
      <c r="B567" s="39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39"/>
      <c r="B568" s="39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39"/>
      <c r="B569" s="39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39"/>
      <c r="B570" s="39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39"/>
      <c r="B571" s="39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39"/>
      <c r="B572" s="39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39"/>
      <c r="B573" s="39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39"/>
      <c r="B574" s="39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39"/>
      <c r="B575" s="39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39"/>
      <c r="B576" s="39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39"/>
      <c r="B577" s="39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39"/>
      <c r="B578" s="39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39"/>
      <c r="B579" s="39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39"/>
      <c r="B580" s="39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39"/>
      <c r="B581" s="39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39"/>
      <c r="B582" s="39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39"/>
      <c r="B583" s="39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39"/>
      <c r="B584" s="39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39"/>
      <c r="B585" s="39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39"/>
      <c r="B586" s="39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39"/>
      <c r="B587" s="39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39"/>
      <c r="B588" s="39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39"/>
      <c r="B589" s="39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39"/>
      <c r="B590" s="39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39"/>
      <c r="B591" s="39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39"/>
      <c r="B592" s="39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39"/>
      <c r="B593" s="39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39"/>
      <c r="B594" s="39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39"/>
      <c r="B595" s="39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39"/>
      <c r="B596" s="39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39"/>
      <c r="B597" s="39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39"/>
      <c r="B598" s="39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39"/>
      <c r="B599" s="39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39"/>
      <c r="B600" s="39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39"/>
      <c r="B601" s="39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39"/>
      <c r="B602" s="39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39"/>
      <c r="B603" s="39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39"/>
      <c r="B604" s="39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39"/>
      <c r="B605" s="39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39"/>
      <c r="B606" s="39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39"/>
      <c r="B607" s="39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39"/>
      <c r="B608" s="39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39"/>
      <c r="B609" s="39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39"/>
      <c r="B610" s="39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39"/>
      <c r="B611" s="39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39"/>
      <c r="B612" s="39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39"/>
      <c r="B613" s="39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39"/>
      <c r="B614" s="39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39"/>
      <c r="B615" s="39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39"/>
      <c r="B616" s="39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39"/>
      <c r="B617" s="39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39"/>
      <c r="B618" s="39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39"/>
      <c r="B619" s="39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39"/>
      <c r="B620" s="39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39"/>
      <c r="B621" s="39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39"/>
      <c r="B622" s="39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39"/>
      <c r="B623" s="39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39"/>
      <c r="B624" s="39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39"/>
      <c r="B625" s="39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39"/>
      <c r="B626" s="39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39"/>
      <c r="B627" s="39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39"/>
      <c r="B628" s="39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39"/>
      <c r="B629" s="39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39"/>
      <c r="B630" s="39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39"/>
      <c r="B631" s="39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39"/>
      <c r="B632" s="39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39"/>
      <c r="B633" s="39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39"/>
      <c r="B634" s="39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39"/>
      <c r="B635" s="39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39"/>
      <c r="B636" s="39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39"/>
      <c r="B637" s="39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39"/>
      <c r="B638" s="39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39"/>
      <c r="B639" s="39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39"/>
      <c r="B640" s="39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39"/>
      <c r="B641" s="39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39"/>
      <c r="B642" s="39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39"/>
      <c r="B643" s="39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39"/>
      <c r="B644" s="39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39"/>
      <c r="B645" s="39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39"/>
      <c r="B646" s="39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39"/>
      <c r="B647" s="39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39"/>
      <c r="B648" s="39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39"/>
      <c r="B649" s="39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39"/>
      <c r="B650" s="39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39"/>
      <c r="B651" s="39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39"/>
      <c r="B652" s="39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39"/>
      <c r="B653" s="39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39"/>
      <c r="B654" s="39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39"/>
      <c r="B655" s="39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39"/>
      <c r="B656" s="39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39"/>
      <c r="B657" s="39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39"/>
      <c r="B658" s="39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39"/>
      <c r="B659" s="39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39"/>
      <c r="B660" s="39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39"/>
      <c r="B661" s="39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39"/>
      <c r="B662" s="39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39"/>
      <c r="B663" s="39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39"/>
      <c r="B664" s="39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39"/>
      <c r="B665" s="39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39"/>
      <c r="B666" s="39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39"/>
      <c r="B667" s="39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39"/>
      <c r="B668" s="39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39"/>
      <c r="B669" s="39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39"/>
      <c r="B670" s="39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39"/>
      <c r="B671" s="39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39"/>
      <c r="B672" s="39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39"/>
      <c r="B673" s="39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39"/>
      <c r="B674" s="39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39"/>
      <c r="B675" s="39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39"/>
      <c r="B676" s="39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39"/>
      <c r="B677" s="39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39"/>
      <c r="B678" s="39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39"/>
      <c r="B679" s="39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39"/>
      <c r="B680" s="39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39"/>
      <c r="B681" s="39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39"/>
      <c r="B682" s="39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39"/>
      <c r="B683" s="39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39"/>
      <c r="B684" s="39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39"/>
      <c r="B685" s="39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39"/>
      <c r="B686" s="39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39"/>
      <c r="B687" s="39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39"/>
      <c r="B688" s="39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39"/>
      <c r="B689" s="39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39"/>
      <c r="B690" s="39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39"/>
      <c r="B691" s="39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39"/>
      <c r="B692" s="39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39"/>
      <c r="B693" s="39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39"/>
      <c r="B694" s="39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39"/>
      <c r="B695" s="39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39"/>
      <c r="B696" s="39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39"/>
      <c r="B697" s="39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39"/>
      <c r="B698" s="39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39"/>
      <c r="B699" s="39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39"/>
      <c r="B700" s="39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39"/>
      <c r="B701" s="39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39"/>
      <c r="B702" s="39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39"/>
      <c r="B703" s="39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39"/>
      <c r="B704" s="39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39"/>
      <c r="B705" s="39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39"/>
      <c r="B706" s="39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39"/>
      <c r="B707" s="39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39"/>
      <c r="B708" s="39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39"/>
      <c r="B709" s="39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39"/>
      <c r="B710" s="39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39"/>
      <c r="B711" s="39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39"/>
      <c r="B712" s="39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39"/>
      <c r="B713" s="39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39"/>
      <c r="B714" s="39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39"/>
      <c r="B715" s="39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39"/>
      <c r="B716" s="39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39"/>
      <c r="B717" s="39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39"/>
      <c r="B718" s="39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39"/>
      <c r="B719" s="39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39"/>
      <c r="B720" s="39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39"/>
      <c r="B721" s="39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39"/>
      <c r="B722" s="39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39"/>
      <c r="B723" s="39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39"/>
      <c r="B724" s="39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39"/>
      <c r="B725" s="39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39"/>
      <c r="B726" s="39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39"/>
      <c r="B727" s="39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39"/>
      <c r="B728" s="39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39"/>
      <c r="B729" s="39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39"/>
      <c r="B730" s="39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39"/>
      <c r="B731" s="39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39"/>
      <c r="B732" s="39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39"/>
      <c r="B733" s="39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39"/>
      <c r="B734" s="39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39"/>
      <c r="B735" s="39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39"/>
      <c r="B736" s="39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39"/>
      <c r="B737" s="39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39"/>
      <c r="B738" s="39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39"/>
      <c r="B739" s="39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39"/>
      <c r="B740" s="39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39"/>
      <c r="B741" s="39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39"/>
      <c r="B742" s="39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39"/>
      <c r="B743" s="39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39"/>
      <c r="B744" s="39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39"/>
      <c r="B745" s="39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39"/>
      <c r="B746" s="39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39"/>
      <c r="B747" s="39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39"/>
      <c r="B748" s="39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39"/>
      <c r="B749" s="39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39"/>
      <c r="B750" s="39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39"/>
      <c r="B751" s="39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39"/>
      <c r="B752" s="39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39"/>
      <c r="B753" s="39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39"/>
      <c r="B754" s="39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39"/>
      <c r="B755" s="39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39"/>
      <c r="B756" s="39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39"/>
      <c r="B757" s="39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39"/>
      <c r="B758" s="39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39"/>
      <c r="B759" s="39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39"/>
      <c r="B760" s="39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39"/>
      <c r="B761" s="39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39"/>
      <c r="B762" s="39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39"/>
      <c r="B763" s="39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39"/>
      <c r="B764" s="39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39"/>
      <c r="B765" s="39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39"/>
      <c r="B766" s="39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39"/>
      <c r="B767" s="39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39"/>
      <c r="B768" s="39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39"/>
      <c r="B769" s="39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39"/>
      <c r="B770" s="39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39"/>
      <c r="B771" s="39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39"/>
      <c r="B772" s="39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39"/>
      <c r="B773" s="39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39"/>
      <c r="B774" s="39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39"/>
      <c r="B775" s="39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39"/>
      <c r="B776" s="39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39"/>
      <c r="B777" s="39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39"/>
      <c r="B778" s="39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39"/>
      <c r="B779" s="39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39"/>
      <c r="B780" s="39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39"/>
      <c r="B781" s="39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39"/>
      <c r="B782" s="39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39"/>
      <c r="B783" s="39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39"/>
      <c r="B784" s="39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39"/>
      <c r="B785" s="39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39"/>
      <c r="B786" s="39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39"/>
      <c r="B787" s="39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39"/>
      <c r="B788" s="39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39"/>
      <c r="B789" s="39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39"/>
      <c r="B790" s="39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39"/>
      <c r="B791" s="39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39"/>
      <c r="B792" s="39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39"/>
      <c r="B793" s="39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39"/>
      <c r="B794" s="39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39"/>
      <c r="B795" s="39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39"/>
      <c r="B796" s="39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39"/>
      <c r="B797" s="39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39"/>
      <c r="B798" s="39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39"/>
      <c r="B799" s="39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39"/>
      <c r="B800" s="39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39"/>
      <c r="B801" s="39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39"/>
      <c r="B802" s="39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39"/>
      <c r="B803" s="39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39"/>
      <c r="B804" s="39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39"/>
      <c r="B805" s="39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39"/>
      <c r="B806" s="39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39"/>
      <c r="B807" s="39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39"/>
      <c r="B808" s="39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39"/>
      <c r="B809" s="39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39"/>
      <c r="B810" s="39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39"/>
      <c r="B811" s="39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39"/>
      <c r="B812" s="39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39"/>
      <c r="B813" s="39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39"/>
      <c r="B814" s="39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39"/>
      <c r="B815" s="39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39"/>
      <c r="B816" s="39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39"/>
      <c r="B817" s="39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39"/>
      <c r="B818" s="39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39"/>
      <c r="B819" s="39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39"/>
      <c r="B820" s="39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39"/>
      <c r="B821" s="39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39"/>
      <c r="B822" s="39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39"/>
      <c r="B823" s="39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39"/>
      <c r="B824" s="39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39"/>
      <c r="B825" s="39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39"/>
      <c r="B826" s="39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39"/>
      <c r="B827" s="39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39"/>
      <c r="B828" s="39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39"/>
      <c r="B829" s="39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39"/>
      <c r="B830" s="39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39"/>
      <c r="B831" s="39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39"/>
      <c r="B832" s="39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39"/>
      <c r="B833" s="39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39"/>
      <c r="B834" s="39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39"/>
      <c r="B835" s="39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39"/>
      <c r="B836" s="39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39"/>
      <c r="B837" s="39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39"/>
      <c r="B838" s="39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39"/>
      <c r="B839" s="39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39"/>
      <c r="B840" s="39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39"/>
      <c r="B841" s="39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39"/>
      <c r="B842" s="39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39"/>
      <c r="B843" s="39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39"/>
      <c r="B844" s="39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39"/>
      <c r="B845" s="39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39"/>
      <c r="B846" s="39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39"/>
      <c r="B847" s="39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39"/>
      <c r="B848" s="39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39"/>
      <c r="B849" s="39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39"/>
      <c r="B850" s="39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39"/>
      <c r="B851" s="39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39"/>
      <c r="B852" s="39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39"/>
      <c r="B853" s="39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39"/>
      <c r="B854" s="39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39"/>
      <c r="B855" s="39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39"/>
      <c r="B856" s="39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39"/>
      <c r="B857" s="39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39"/>
      <c r="B858" s="39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39"/>
      <c r="B859" s="39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39"/>
      <c r="B860" s="39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39"/>
      <c r="B861" s="39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39"/>
      <c r="B862" s="39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39"/>
      <c r="B863" s="39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39"/>
      <c r="B864" s="39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39"/>
      <c r="B865" s="39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39"/>
      <c r="B866" s="39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39"/>
      <c r="B867" s="39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39"/>
      <c r="B868" s="39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39"/>
      <c r="B869" s="39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39"/>
      <c r="B870" s="39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39"/>
      <c r="B871" s="39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39"/>
      <c r="B872" s="39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39"/>
      <c r="B873" s="39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39"/>
      <c r="B874" s="39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39"/>
      <c r="B875" s="39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39"/>
      <c r="B876" s="39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39"/>
      <c r="B877" s="39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39"/>
      <c r="B878" s="39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39"/>
      <c r="B879" s="39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39"/>
      <c r="B880" s="39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39"/>
      <c r="B881" s="39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39"/>
      <c r="B882" s="39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39"/>
      <c r="B883" s="39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39"/>
      <c r="B884" s="39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39"/>
      <c r="B885" s="39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39"/>
      <c r="B886" s="39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39"/>
      <c r="B887" s="39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39"/>
      <c r="B888" s="39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39"/>
      <c r="B889" s="39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39"/>
      <c r="B890" s="39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39"/>
      <c r="B891" s="39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39"/>
      <c r="B892" s="39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39"/>
      <c r="B893" s="39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39"/>
      <c r="B894" s="39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39"/>
      <c r="B895" s="39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39"/>
      <c r="B896" s="39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39"/>
      <c r="B897" s="39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39"/>
      <c r="B898" s="39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39"/>
      <c r="B899" s="39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39"/>
      <c r="B900" s="39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39"/>
      <c r="B901" s="39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39"/>
      <c r="B902" s="39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39"/>
      <c r="B903" s="39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39"/>
      <c r="B904" s="39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39"/>
      <c r="B905" s="39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39"/>
      <c r="B906" s="39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39"/>
      <c r="B907" s="39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39"/>
      <c r="B908" s="39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39"/>
      <c r="B909" s="39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39"/>
      <c r="B910" s="39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39"/>
      <c r="B911" s="39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39"/>
      <c r="B912" s="39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39"/>
      <c r="B913" s="39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39"/>
      <c r="B914" s="39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39"/>
      <c r="B915" s="39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39"/>
      <c r="B916" s="39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39"/>
      <c r="B917" s="39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39"/>
      <c r="B918" s="39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39"/>
      <c r="B919" s="39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39"/>
      <c r="B920" s="39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39"/>
      <c r="B921" s="39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39"/>
      <c r="B922" s="39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39"/>
      <c r="B923" s="39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39"/>
      <c r="B924" s="39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39"/>
      <c r="B925" s="39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39"/>
      <c r="B926" s="39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39"/>
      <c r="B927" s="39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39"/>
      <c r="B928" s="39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39"/>
      <c r="B929" s="39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39"/>
      <c r="B930" s="39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39"/>
      <c r="B931" s="39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39"/>
      <c r="B932" s="39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39"/>
      <c r="B933" s="39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39"/>
      <c r="B934" s="39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39"/>
      <c r="B935" s="39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39"/>
      <c r="B936" s="39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39"/>
      <c r="B937" s="39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39"/>
      <c r="B938" s="39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39"/>
      <c r="B939" s="39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39"/>
      <c r="B940" s="39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39"/>
      <c r="B941" s="39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39"/>
      <c r="B942" s="39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39"/>
      <c r="B943" s="39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39"/>
      <c r="B944" s="39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39"/>
      <c r="B945" s="39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39"/>
      <c r="B946" s="39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39"/>
      <c r="B947" s="39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39"/>
      <c r="B948" s="39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39"/>
      <c r="B949" s="39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39"/>
      <c r="B950" s="39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39"/>
      <c r="B951" s="39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39"/>
      <c r="B952" s="39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39"/>
      <c r="B953" s="39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39"/>
      <c r="B954" s="39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39"/>
      <c r="B955" s="39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39"/>
      <c r="B956" s="39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39"/>
      <c r="B957" s="39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39"/>
      <c r="B958" s="39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39"/>
      <c r="B959" s="39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39"/>
      <c r="B960" s="39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39"/>
      <c r="B961" s="39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39"/>
      <c r="B962" s="39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39"/>
      <c r="B963" s="39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39"/>
      <c r="B964" s="39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39"/>
      <c r="B965" s="39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39"/>
      <c r="B966" s="39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39"/>
      <c r="B967" s="39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39"/>
      <c r="B968" s="39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39"/>
      <c r="B969" s="39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39"/>
      <c r="B970" s="39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39"/>
      <c r="B971" s="39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39"/>
      <c r="B972" s="39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39"/>
      <c r="B973" s="39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39"/>
      <c r="B974" s="39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39"/>
      <c r="B975" s="39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39"/>
      <c r="B976" s="39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39"/>
      <c r="B977" s="39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39"/>
      <c r="B978" s="39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39"/>
      <c r="B979" s="39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39"/>
      <c r="B980" s="39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39"/>
      <c r="B981" s="39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39"/>
      <c r="B982" s="39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39"/>
      <c r="B983" s="39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39"/>
      <c r="B984" s="39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39"/>
      <c r="B985" s="39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39"/>
      <c r="B986" s="39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39"/>
      <c r="B987" s="39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39"/>
      <c r="B988" s="39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39"/>
      <c r="B989" s="39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39"/>
      <c r="B990" s="39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39"/>
      <c r="B991" s="39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39"/>
      <c r="B992" s="39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39"/>
      <c r="B993" s="39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39"/>
      <c r="B994" s="39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39"/>
      <c r="B995" s="39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39"/>
      <c r="B996" s="39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39"/>
      <c r="B997" s="39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39"/>
      <c r="B998" s="39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39"/>
      <c r="B999" s="39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39"/>
      <c r="B1000" s="39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7">
    <mergeCell ref="A1:O1"/>
    <mergeCell ref="A3:B3"/>
    <mergeCell ref="A4:A11"/>
    <mergeCell ref="A13:B13"/>
    <mergeCell ref="A14:A21"/>
    <mergeCell ref="A23:B23"/>
    <mergeCell ref="A24:A25"/>
  </mergeCells>
  <printOptions/>
  <pageMargins bottom="0.787401575" footer="0.0" header="0.0" left="0.511811024" right="0.511811024" top="0.7874015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2.25"/>
    <col customWidth="1" min="2" max="2" width="56.75"/>
    <col customWidth="1" min="3" max="14" width="15.25"/>
    <col customWidth="1" min="15" max="15" width="21.38"/>
    <col customWidth="1" min="16" max="26" width="8.88"/>
  </cols>
  <sheetData>
    <row r="1" ht="61.5" customHeight="1">
      <c r="A1" s="1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93</v>
      </c>
      <c r="B2" s="3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5"/>
      <c r="B3" s="6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45" t="s">
        <v>94</v>
      </c>
      <c r="B4" s="40" t="s">
        <v>95</v>
      </c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9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1"/>
      <c r="B5" s="40" t="s">
        <v>91</v>
      </c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9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1"/>
      <c r="B6" s="40" t="s">
        <v>96</v>
      </c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9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7"/>
      <c r="B7" s="40" t="s">
        <v>84</v>
      </c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  <c r="N7" s="41"/>
      <c r="O7" s="9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39"/>
      <c r="B8" s="39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5"/>
      <c r="B9" s="6"/>
      <c r="C9" s="4" t="s">
        <v>1</v>
      </c>
      <c r="D9" s="4" t="s">
        <v>2</v>
      </c>
      <c r="E9" s="4" t="s">
        <v>3</v>
      </c>
      <c r="F9" s="4" t="s">
        <v>4</v>
      </c>
      <c r="G9" s="4" t="s">
        <v>5</v>
      </c>
      <c r="H9" s="4" t="s">
        <v>6</v>
      </c>
      <c r="I9" s="4" t="s">
        <v>7</v>
      </c>
      <c r="J9" s="4" t="s">
        <v>8</v>
      </c>
      <c r="K9" s="4" t="s">
        <v>9</v>
      </c>
      <c r="L9" s="4" t="s">
        <v>10</v>
      </c>
      <c r="M9" s="4" t="s">
        <v>11</v>
      </c>
      <c r="N9" s="4" t="s">
        <v>12</v>
      </c>
      <c r="O9" s="4" t="s">
        <v>13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45" t="s">
        <v>97</v>
      </c>
      <c r="B10" s="40" t="s">
        <v>95</v>
      </c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9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1"/>
      <c r="B11" s="40" t="s">
        <v>91</v>
      </c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9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1"/>
      <c r="B12" s="40" t="s">
        <v>96</v>
      </c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9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7"/>
      <c r="B13" s="40" t="s">
        <v>84</v>
      </c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9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39"/>
      <c r="B14" s="39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5"/>
      <c r="B15" s="6"/>
      <c r="C15" s="4" t="s">
        <v>1</v>
      </c>
      <c r="D15" s="4" t="s">
        <v>2</v>
      </c>
      <c r="E15" s="4" t="s">
        <v>3</v>
      </c>
      <c r="F15" s="4" t="s">
        <v>4</v>
      </c>
      <c r="G15" s="4" t="s">
        <v>5</v>
      </c>
      <c r="H15" s="4" t="s">
        <v>6</v>
      </c>
      <c r="I15" s="4" t="s">
        <v>7</v>
      </c>
      <c r="J15" s="4" t="s">
        <v>8</v>
      </c>
      <c r="K15" s="4" t="s">
        <v>9</v>
      </c>
      <c r="L15" s="4" t="s">
        <v>10</v>
      </c>
      <c r="M15" s="4" t="s">
        <v>11</v>
      </c>
      <c r="N15" s="4" t="s">
        <v>12</v>
      </c>
      <c r="O15" s="4" t="s">
        <v>13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46" t="s">
        <v>98</v>
      </c>
      <c r="B16" s="40" t="s">
        <v>99</v>
      </c>
      <c r="C16" s="41"/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9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39"/>
      <c r="B17" s="39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39"/>
      <c r="B18" s="39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39"/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39"/>
      <c r="B20" s="39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39"/>
      <c r="B21" s="3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39"/>
      <c r="B22" s="3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39"/>
      <c r="B23" s="3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39"/>
      <c r="B24" s="3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39"/>
      <c r="B25" s="3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39"/>
      <c r="B26" s="3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39"/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39"/>
      <c r="B28" s="3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39"/>
      <c r="B29" s="3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39"/>
      <c r="B30" s="3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39"/>
      <c r="B31" s="3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39"/>
      <c r="B32" s="3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39"/>
      <c r="B33" s="3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39"/>
      <c r="B34" s="3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39"/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39"/>
      <c r="B36" s="3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39"/>
      <c r="B37" s="3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39"/>
      <c r="B38" s="3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39"/>
      <c r="B39" s="3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39"/>
      <c r="B40" s="3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39"/>
      <c r="B41" s="3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39"/>
      <c r="B42" s="3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39"/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39"/>
      <c r="B44" s="3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39"/>
      <c r="B45" s="3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39"/>
      <c r="B46" s="3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39"/>
      <c r="B47" s="3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39"/>
      <c r="B48" s="3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39"/>
      <c r="B49" s="3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39"/>
      <c r="B50" s="3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39"/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39"/>
      <c r="B52" s="3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39"/>
      <c r="B53" s="3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39"/>
      <c r="B54" s="3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39"/>
      <c r="B55" s="3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39"/>
      <c r="B56" s="3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39"/>
      <c r="B57" s="3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39"/>
      <c r="B58" s="3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39"/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39"/>
      <c r="B60" s="3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39"/>
      <c r="B61" s="3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39"/>
      <c r="B62" s="3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39"/>
      <c r="B63" s="3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39"/>
      <c r="B64" s="3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39"/>
      <c r="B65" s="3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39"/>
      <c r="B66" s="3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39"/>
      <c r="B67" s="3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39"/>
      <c r="B68" s="3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39"/>
      <c r="B69" s="3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39"/>
      <c r="B70" s="3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39"/>
      <c r="B71" s="3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39"/>
      <c r="B72" s="3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39"/>
      <c r="B73" s="3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39"/>
      <c r="B74" s="3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39"/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39"/>
      <c r="B76" s="3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39"/>
      <c r="B77" s="3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39"/>
      <c r="B78" s="3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39"/>
      <c r="B79" s="3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39"/>
      <c r="B80" s="3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39"/>
      <c r="B81" s="3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39"/>
      <c r="B82" s="3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39"/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39"/>
      <c r="B84" s="3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39"/>
      <c r="B85" s="3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39"/>
      <c r="B86" s="3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39"/>
      <c r="B87" s="3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39"/>
      <c r="B88" s="3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39"/>
      <c r="B89" s="3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39"/>
      <c r="B90" s="3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39"/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39"/>
      <c r="B92" s="3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39"/>
      <c r="B93" s="3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39"/>
      <c r="B94" s="3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39"/>
      <c r="B95" s="3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39"/>
      <c r="B96" s="3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39"/>
      <c r="B97" s="3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39"/>
      <c r="B98" s="3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39"/>
      <c r="B99" s="3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39"/>
      <c r="B100" s="3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39"/>
      <c r="B101" s="3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39"/>
      <c r="B102" s="3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39"/>
      <c r="B103" s="3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39"/>
      <c r="B104" s="3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39"/>
      <c r="B105" s="3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39"/>
      <c r="B106" s="3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39"/>
      <c r="B107" s="3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39"/>
      <c r="B108" s="3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39"/>
      <c r="B109" s="3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39"/>
      <c r="B110" s="3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39"/>
      <c r="B111" s="3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39"/>
      <c r="B112" s="3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39"/>
      <c r="B113" s="3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39"/>
      <c r="B114" s="3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39"/>
      <c r="B115" s="3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39"/>
      <c r="B116" s="3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39"/>
      <c r="B117" s="3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39"/>
      <c r="B118" s="3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39"/>
      <c r="B119" s="3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39"/>
      <c r="B120" s="3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39"/>
      <c r="B121" s="3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39"/>
      <c r="B122" s="3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39"/>
      <c r="B123" s="3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39"/>
      <c r="B124" s="3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39"/>
      <c r="B125" s="3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39"/>
      <c r="B126" s="3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39"/>
      <c r="B127" s="3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39"/>
      <c r="B128" s="3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39"/>
      <c r="B129" s="3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39"/>
      <c r="B130" s="3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39"/>
      <c r="B131" s="3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39"/>
      <c r="B132" s="3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39"/>
      <c r="B133" s="3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39"/>
      <c r="B134" s="3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39"/>
      <c r="B135" s="3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39"/>
      <c r="B136" s="3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39"/>
      <c r="B137" s="3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39"/>
      <c r="B138" s="3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39"/>
      <c r="B139" s="3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39"/>
      <c r="B140" s="3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39"/>
      <c r="B141" s="3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39"/>
      <c r="B142" s="3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39"/>
      <c r="B143" s="3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39"/>
      <c r="B144" s="3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39"/>
      <c r="B145" s="3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39"/>
      <c r="B146" s="3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39"/>
      <c r="B147" s="3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39"/>
      <c r="B148" s="3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39"/>
      <c r="B149" s="3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39"/>
      <c r="B150" s="3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39"/>
      <c r="B151" s="3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39"/>
      <c r="B152" s="3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39"/>
      <c r="B153" s="3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39"/>
      <c r="B154" s="3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39"/>
      <c r="B155" s="3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39"/>
      <c r="B156" s="3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39"/>
      <c r="B157" s="3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39"/>
      <c r="B158" s="3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39"/>
      <c r="B159" s="3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39"/>
      <c r="B160" s="3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39"/>
      <c r="B161" s="3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39"/>
      <c r="B162" s="3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39"/>
      <c r="B163" s="3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39"/>
      <c r="B164" s="3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39"/>
      <c r="B165" s="3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39"/>
      <c r="B166" s="3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39"/>
      <c r="B167" s="3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39"/>
      <c r="B168" s="3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39"/>
      <c r="B169" s="3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39"/>
      <c r="B170" s="3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39"/>
      <c r="B171" s="3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39"/>
      <c r="B172" s="3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39"/>
      <c r="B173" s="3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39"/>
      <c r="B174" s="3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39"/>
      <c r="B175" s="3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39"/>
      <c r="B176" s="3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39"/>
      <c r="B177" s="3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39"/>
      <c r="B178" s="3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39"/>
      <c r="B179" s="3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39"/>
      <c r="B180" s="3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39"/>
      <c r="B181" s="3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39"/>
      <c r="B182" s="3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39"/>
      <c r="B183" s="3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39"/>
      <c r="B184" s="3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39"/>
      <c r="B185" s="3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39"/>
      <c r="B186" s="3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39"/>
      <c r="B187" s="3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39"/>
      <c r="B188" s="3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39"/>
      <c r="B189" s="3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39"/>
      <c r="B190" s="3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39"/>
      <c r="B191" s="3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39"/>
      <c r="B192" s="3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39"/>
      <c r="B193" s="3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39"/>
      <c r="B194" s="3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39"/>
      <c r="B195" s="3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39"/>
      <c r="B196" s="3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39"/>
      <c r="B197" s="3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39"/>
      <c r="B198" s="3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39"/>
      <c r="B199" s="3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39"/>
      <c r="B200" s="3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39"/>
      <c r="B201" s="3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39"/>
      <c r="B202" s="3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39"/>
      <c r="B203" s="39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39"/>
      <c r="B204" s="39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39"/>
      <c r="B205" s="39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39"/>
      <c r="B206" s="39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39"/>
      <c r="B207" s="39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39"/>
      <c r="B208" s="39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39"/>
      <c r="B209" s="39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39"/>
      <c r="B210" s="39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39"/>
      <c r="B211" s="39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39"/>
      <c r="B212" s="39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39"/>
      <c r="B213" s="39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39"/>
      <c r="B214" s="39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39"/>
      <c r="B215" s="39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39"/>
      <c r="B216" s="39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39"/>
      <c r="B217" s="39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39"/>
      <c r="B218" s="39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39"/>
      <c r="B219" s="39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39"/>
      <c r="B220" s="39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39"/>
      <c r="B221" s="39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39"/>
      <c r="B222" s="39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39"/>
      <c r="B223" s="39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39"/>
      <c r="B224" s="39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39"/>
      <c r="B225" s="39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39"/>
      <c r="B226" s="39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39"/>
      <c r="B227" s="39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39"/>
      <c r="B228" s="39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39"/>
      <c r="B229" s="39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39"/>
      <c r="B230" s="39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39"/>
      <c r="B231" s="39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39"/>
      <c r="B232" s="39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39"/>
      <c r="B233" s="39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39"/>
      <c r="B234" s="39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39"/>
      <c r="B235" s="39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39"/>
      <c r="B236" s="39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39"/>
      <c r="B237" s="39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39"/>
      <c r="B238" s="39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39"/>
      <c r="B239" s="39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39"/>
      <c r="B240" s="39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39"/>
      <c r="B241" s="39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39"/>
      <c r="B242" s="39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39"/>
      <c r="B243" s="39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39"/>
      <c r="B244" s="39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39"/>
      <c r="B245" s="39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39"/>
      <c r="B246" s="39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39"/>
      <c r="B247" s="39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39"/>
      <c r="B248" s="39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39"/>
      <c r="B249" s="39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39"/>
      <c r="B250" s="39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39"/>
      <c r="B251" s="39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39"/>
      <c r="B252" s="39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39"/>
      <c r="B253" s="39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39"/>
      <c r="B254" s="39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39"/>
      <c r="B255" s="39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39"/>
      <c r="B256" s="39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39"/>
      <c r="B257" s="39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39"/>
      <c r="B258" s="39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39"/>
      <c r="B259" s="39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39"/>
      <c r="B260" s="39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39"/>
      <c r="B261" s="39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39"/>
      <c r="B262" s="39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39"/>
      <c r="B263" s="39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39"/>
      <c r="B264" s="39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39"/>
      <c r="B265" s="39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39"/>
      <c r="B266" s="39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39"/>
      <c r="B267" s="39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39"/>
      <c r="B268" s="39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39"/>
      <c r="B269" s="39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39"/>
      <c r="B270" s="39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39"/>
      <c r="B271" s="39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39"/>
      <c r="B272" s="39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39"/>
      <c r="B273" s="39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39"/>
      <c r="B274" s="39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39"/>
      <c r="B275" s="39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39"/>
      <c r="B276" s="39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39"/>
      <c r="B277" s="39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39"/>
      <c r="B278" s="39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39"/>
      <c r="B279" s="39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39"/>
      <c r="B280" s="39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39"/>
      <c r="B281" s="39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39"/>
      <c r="B282" s="39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39"/>
      <c r="B283" s="39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39"/>
      <c r="B284" s="39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39"/>
      <c r="B285" s="39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39"/>
      <c r="B286" s="39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39"/>
      <c r="B287" s="39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39"/>
      <c r="B288" s="39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39"/>
      <c r="B289" s="39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39"/>
      <c r="B290" s="39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39"/>
      <c r="B291" s="39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39"/>
      <c r="B292" s="39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39"/>
      <c r="B293" s="39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39"/>
      <c r="B294" s="39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39"/>
      <c r="B295" s="39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39"/>
      <c r="B296" s="39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39"/>
      <c r="B297" s="39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39"/>
      <c r="B298" s="39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39"/>
      <c r="B299" s="39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39"/>
      <c r="B300" s="39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39"/>
      <c r="B301" s="39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39"/>
      <c r="B302" s="39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39"/>
      <c r="B303" s="39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39"/>
      <c r="B304" s="39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39"/>
      <c r="B305" s="39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39"/>
      <c r="B306" s="39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39"/>
      <c r="B307" s="39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39"/>
      <c r="B308" s="39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39"/>
      <c r="B309" s="39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39"/>
      <c r="B310" s="39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39"/>
      <c r="B311" s="39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39"/>
      <c r="B312" s="39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39"/>
      <c r="B313" s="39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39"/>
      <c r="B314" s="39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39"/>
      <c r="B315" s="39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39"/>
      <c r="B316" s="39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39"/>
      <c r="B317" s="39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39"/>
      <c r="B318" s="39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39"/>
      <c r="B319" s="39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39"/>
      <c r="B320" s="39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39"/>
      <c r="B321" s="39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39"/>
      <c r="B322" s="39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39"/>
      <c r="B323" s="39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39"/>
      <c r="B324" s="39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39"/>
      <c r="B325" s="39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39"/>
      <c r="B326" s="39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39"/>
      <c r="B327" s="39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39"/>
      <c r="B328" s="39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39"/>
      <c r="B329" s="39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39"/>
      <c r="B330" s="39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39"/>
      <c r="B331" s="39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39"/>
      <c r="B332" s="39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39"/>
      <c r="B333" s="39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39"/>
      <c r="B334" s="39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39"/>
      <c r="B335" s="39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39"/>
      <c r="B336" s="39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39"/>
      <c r="B337" s="39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39"/>
      <c r="B338" s="39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39"/>
      <c r="B339" s="39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39"/>
      <c r="B340" s="39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39"/>
      <c r="B341" s="39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39"/>
      <c r="B342" s="39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39"/>
      <c r="B343" s="39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39"/>
      <c r="B344" s="39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39"/>
      <c r="B345" s="39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39"/>
      <c r="B346" s="39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39"/>
      <c r="B347" s="39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39"/>
      <c r="B348" s="39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39"/>
      <c r="B349" s="39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39"/>
      <c r="B350" s="39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39"/>
      <c r="B351" s="39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39"/>
      <c r="B352" s="39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39"/>
      <c r="B353" s="39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39"/>
      <c r="B354" s="39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39"/>
      <c r="B355" s="39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39"/>
      <c r="B356" s="39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39"/>
      <c r="B357" s="39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39"/>
      <c r="B358" s="39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39"/>
      <c r="B359" s="39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39"/>
      <c r="B360" s="39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39"/>
      <c r="B361" s="39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39"/>
      <c r="B362" s="39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39"/>
      <c r="B363" s="39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39"/>
      <c r="B364" s="39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39"/>
      <c r="B365" s="39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39"/>
      <c r="B366" s="39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39"/>
      <c r="B367" s="39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39"/>
      <c r="B368" s="39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39"/>
      <c r="B369" s="39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39"/>
      <c r="B370" s="39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39"/>
      <c r="B371" s="39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39"/>
      <c r="B372" s="39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39"/>
      <c r="B373" s="39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39"/>
      <c r="B374" s="39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39"/>
      <c r="B375" s="39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39"/>
      <c r="B376" s="39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39"/>
      <c r="B377" s="39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39"/>
      <c r="B378" s="39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39"/>
      <c r="B379" s="39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39"/>
      <c r="B380" s="39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39"/>
      <c r="B381" s="39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39"/>
      <c r="B382" s="39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39"/>
      <c r="B383" s="39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39"/>
      <c r="B384" s="39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39"/>
      <c r="B385" s="39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39"/>
      <c r="B386" s="39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39"/>
      <c r="B387" s="39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39"/>
      <c r="B388" s="39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39"/>
      <c r="B389" s="39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39"/>
      <c r="B390" s="39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39"/>
      <c r="B391" s="39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39"/>
      <c r="B392" s="39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39"/>
      <c r="B393" s="39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39"/>
      <c r="B394" s="39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39"/>
      <c r="B395" s="39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39"/>
      <c r="B396" s="39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39"/>
      <c r="B397" s="39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39"/>
      <c r="B398" s="39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39"/>
      <c r="B399" s="39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39"/>
      <c r="B400" s="39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39"/>
      <c r="B401" s="39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39"/>
      <c r="B402" s="39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39"/>
      <c r="B403" s="39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39"/>
      <c r="B404" s="39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39"/>
      <c r="B405" s="39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39"/>
      <c r="B406" s="39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39"/>
      <c r="B407" s="39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39"/>
      <c r="B408" s="39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39"/>
      <c r="B409" s="39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39"/>
      <c r="B410" s="39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39"/>
      <c r="B411" s="39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39"/>
      <c r="B412" s="39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39"/>
      <c r="B413" s="39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39"/>
      <c r="B414" s="39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39"/>
      <c r="B415" s="39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39"/>
      <c r="B416" s="39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39"/>
      <c r="B417" s="39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39"/>
      <c r="B418" s="39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39"/>
      <c r="B419" s="39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39"/>
      <c r="B420" s="39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39"/>
      <c r="B421" s="39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39"/>
      <c r="B422" s="39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39"/>
      <c r="B423" s="39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39"/>
      <c r="B424" s="39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39"/>
      <c r="B425" s="39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39"/>
      <c r="B426" s="39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39"/>
      <c r="B427" s="39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39"/>
      <c r="B428" s="39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39"/>
      <c r="B429" s="39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39"/>
      <c r="B430" s="39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39"/>
      <c r="B431" s="39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39"/>
      <c r="B432" s="39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39"/>
      <c r="B433" s="39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39"/>
      <c r="B434" s="39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39"/>
      <c r="B435" s="39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39"/>
      <c r="B436" s="39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39"/>
      <c r="B437" s="39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39"/>
      <c r="B438" s="39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39"/>
      <c r="B439" s="39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39"/>
      <c r="B440" s="39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39"/>
      <c r="B441" s="39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39"/>
      <c r="B442" s="39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39"/>
      <c r="B443" s="39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39"/>
      <c r="B444" s="39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39"/>
      <c r="B445" s="39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39"/>
      <c r="B446" s="39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39"/>
      <c r="B447" s="39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39"/>
      <c r="B448" s="39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39"/>
      <c r="B449" s="39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39"/>
      <c r="B450" s="39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39"/>
      <c r="B451" s="39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39"/>
      <c r="B452" s="39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39"/>
      <c r="B453" s="39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39"/>
      <c r="B454" s="39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39"/>
      <c r="B455" s="39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39"/>
      <c r="B456" s="39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39"/>
      <c r="B457" s="39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39"/>
      <c r="B458" s="39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39"/>
      <c r="B459" s="39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39"/>
      <c r="B460" s="39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39"/>
      <c r="B461" s="39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39"/>
      <c r="B462" s="39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39"/>
      <c r="B463" s="39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39"/>
      <c r="B464" s="39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39"/>
      <c r="B465" s="39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39"/>
      <c r="B466" s="39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39"/>
      <c r="B467" s="39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39"/>
      <c r="B468" s="39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39"/>
      <c r="B469" s="39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39"/>
      <c r="B470" s="39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39"/>
      <c r="B471" s="39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39"/>
      <c r="B472" s="39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39"/>
      <c r="B473" s="39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39"/>
      <c r="B474" s="39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39"/>
      <c r="B475" s="39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39"/>
      <c r="B476" s="39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39"/>
      <c r="B477" s="39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39"/>
      <c r="B478" s="39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39"/>
      <c r="B479" s="39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39"/>
      <c r="B480" s="39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39"/>
      <c r="B481" s="39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39"/>
      <c r="B482" s="39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39"/>
      <c r="B483" s="39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39"/>
      <c r="B484" s="39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39"/>
      <c r="B485" s="39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39"/>
      <c r="B486" s="39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39"/>
      <c r="B487" s="39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39"/>
      <c r="B488" s="39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39"/>
      <c r="B489" s="39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39"/>
      <c r="B490" s="39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39"/>
      <c r="B491" s="39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39"/>
      <c r="B492" s="39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39"/>
      <c r="B493" s="39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39"/>
      <c r="B494" s="39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39"/>
      <c r="B495" s="39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39"/>
      <c r="B496" s="39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39"/>
      <c r="B497" s="39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39"/>
      <c r="B498" s="39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39"/>
      <c r="B499" s="39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39"/>
      <c r="B500" s="39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39"/>
      <c r="B501" s="39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39"/>
      <c r="B502" s="39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39"/>
      <c r="B503" s="39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39"/>
      <c r="B504" s="39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39"/>
      <c r="B505" s="39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39"/>
      <c r="B506" s="39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39"/>
      <c r="B507" s="39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39"/>
      <c r="B508" s="39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39"/>
      <c r="B509" s="39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39"/>
      <c r="B510" s="39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39"/>
      <c r="B511" s="39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39"/>
      <c r="B512" s="39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39"/>
      <c r="B513" s="39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39"/>
      <c r="B514" s="39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39"/>
      <c r="B515" s="39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39"/>
      <c r="B516" s="39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39"/>
      <c r="B517" s="39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39"/>
      <c r="B518" s="39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39"/>
      <c r="B519" s="39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39"/>
      <c r="B520" s="39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39"/>
      <c r="B521" s="39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39"/>
      <c r="B522" s="39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39"/>
      <c r="B523" s="39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39"/>
      <c r="B524" s="39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39"/>
      <c r="B525" s="39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39"/>
      <c r="B526" s="39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39"/>
      <c r="B527" s="39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39"/>
      <c r="B528" s="39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39"/>
      <c r="B529" s="39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39"/>
      <c r="B530" s="39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39"/>
      <c r="B531" s="39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39"/>
      <c r="B532" s="39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39"/>
      <c r="B533" s="39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39"/>
      <c r="B534" s="39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39"/>
      <c r="B535" s="39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39"/>
      <c r="B536" s="39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39"/>
      <c r="B537" s="39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39"/>
      <c r="B538" s="39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39"/>
      <c r="B539" s="39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39"/>
      <c r="B540" s="39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39"/>
      <c r="B541" s="39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39"/>
      <c r="B542" s="39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39"/>
      <c r="B543" s="39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39"/>
      <c r="B544" s="39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39"/>
      <c r="B545" s="39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39"/>
      <c r="B546" s="39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39"/>
      <c r="B547" s="39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39"/>
      <c r="B548" s="39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39"/>
      <c r="B549" s="39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39"/>
      <c r="B550" s="39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39"/>
      <c r="B551" s="39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39"/>
      <c r="B552" s="39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39"/>
      <c r="B553" s="39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39"/>
      <c r="B554" s="39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39"/>
      <c r="B555" s="39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39"/>
      <c r="B556" s="39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39"/>
      <c r="B557" s="39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39"/>
      <c r="B558" s="39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39"/>
      <c r="B559" s="39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39"/>
      <c r="B560" s="39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39"/>
      <c r="B561" s="39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39"/>
      <c r="B562" s="39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39"/>
      <c r="B563" s="39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39"/>
      <c r="B564" s="39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39"/>
      <c r="B565" s="39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39"/>
      <c r="B566" s="39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39"/>
      <c r="B567" s="39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39"/>
      <c r="B568" s="39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39"/>
      <c r="B569" s="39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39"/>
      <c r="B570" s="39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39"/>
      <c r="B571" s="39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39"/>
      <c r="B572" s="39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39"/>
      <c r="B573" s="39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39"/>
      <c r="B574" s="39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39"/>
      <c r="B575" s="39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39"/>
      <c r="B576" s="39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39"/>
      <c r="B577" s="39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39"/>
      <c r="B578" s="39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39"/>
      <c r="B579" s="39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39"/>
      <c r="B580" s="39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39"/>
      <c r="B581" s="39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39"/>
      <c r="B582" s="39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39"/>
      <c r="B583" s="39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39"/>
      <c r="B584" s="39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39"/>
      <c r="B585" s="39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39"/>
      <c r="B586" s="39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39"/>
      <c r="B587" s="39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39"/>
      <c r="B588" s="39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39"/>
      <c r="B589" s="39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39"/>
      <c r="B590" s="39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39"/>
      <c r="B591" s="39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39"/>
      <c r="B592" s="39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39"/>
      <c r="B593" s="39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39"/>
      <c r="B594" s="39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39"/>
      <c r="B595" s="39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39"/>
      <c r="B596" s="39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39"/>
      <c r="B597" s="39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39"/>
      <c r="B598" s="39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39"/>
      <c r="B599" s="39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39"/>
      <c r="B600" s="39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39"/>
      <c r="B601" s="39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39"/>
      <c r="B602" s="39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39"/>
      <c r="B603" s="39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39"/>
      <c r="B604" s="39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39"/>
      <c r="B605" s="39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39"/>
      <c r="B606" s="39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39"/>
      <c r="B607" s="39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39"/>
      <c r="B608" s="39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39"/>
      <c r="B609" s="39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39"/>
      <c r="B610" s="39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39"/>
      <c r="B611" s="39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39"/>
      <c r="B612" s="39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39"/>
      <c r="B613" s="39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39"/>
      <c r="B614" s="39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39"/>
      <c r="B615" s="39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39"/>
      <c r="B616" s="39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39"/>
      <c r="B617" s="39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39"/>
      <c r="B618" s="39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39"/>
      <c r="B619" s="39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39"/>
      <c r="B620" s="39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39"/>
      <c r="B621" s="39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39"/>
      <c r="B622" s="39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39"/>
      <c r="B623" s="39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39"/>
      <c r="B624" s="39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39"/>
      <c r="B625" s="39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39"/>
      <c r="B626" s="39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39"/>
      <c r="B627" s="39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39"/>
      <c r="B628" s="39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39"/>
      <c r="B629" s="39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39"/>
      <c r="B630" s="39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39"/>
      <c r="B631" s="39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39"/>
      <c r="B632" s="39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39"/>
      <c r="B633" s="39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39"/>
      <c r="B634" s="39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39"/>
      <c r="B635" s="39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39"/>
      <c r="B636" s="39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39"/>
      <c r="B637" s="39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39"/>
      <c r="B638" s="39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39"/>
      <c r="B639" s="39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39"/>
      <c r="B640" s="39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39"/>
      <c r="B641" s="39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39"/>
      <c r="B642" s="39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39"/>
      <c r="B643" s="39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39"/>
      <c r="B644" s="39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39"/>
      <c r="B645" s="39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39"/>
      <c r="B646" s="39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39"/>
      <c r="B647" s="39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39"/>
      <c r="B648" s="39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39"/>
      <c r="B649" s="39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39"/>
      <c r="B650" s="39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39"/>
      <c r="B651" s="39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39"/>
      <c r="B652" s="39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39"/>
      <c r="B653" s="39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39"/>
      <c r="B654" s="39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39"/>
      <c r="B655" s="39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39"/>
      <c r="B656" s="39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39"/>
      <c r="B657" s="39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39"/>
      <c r="B658" s="39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39"/>
      <c r="B659" s="39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39"/>
      <c r="B660" s="39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39"/>
      <c r="B661" s="39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39"/>
      <c r="B662" s="39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39"/>
      <c r="B663" s="39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39"/>
      <c r="B664" s="39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39"/>
      <c r="B665" s="39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39"/>
      <c r="B666" s="39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39"/>
      <c r="B667" s="39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39"/>
      <c r="B668" s="39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39"/>
      <c r="B669" s="39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39"/>
      <c r="B670" s="39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39"/>
      <c r="B671" s="39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39"/>
      <c r="B672" s="39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39"/>
      <c r="B673" s="39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39"/>
      <c r="B674" s="39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39"/>
      <c r="B675" s="39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39"/>
      <c r="B676" s="39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39"/>
      <c r="B677" s="39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39"/>
      <c r="B678" s="39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39"/>
      <c r="B679" s="39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39"/>
      <c r="B680" s="39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39"/>
      <c r="B681" s="39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39"/>
      <c r="B682" s="39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39"/>
      <c r="B683" s="39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39"/>
      <c r="B684" s="39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39"/>
      <c r="B685" s="39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39"/>
      <c r="B686" s="39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39"/>
      <c r="B687" s="39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39"/>
      <c r="B688" s="39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39"/>
      <c r="B689" s="39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39"/>
      <c r="B690" s="39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39"/>
      <c r="B691" s="39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39"/>
      <c r="B692" s="39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39"/>
      <c r="B693" s="39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39"/>
      <c r="B694" s="39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39"/>
      <c r="B695" s="39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39"/>
      <c r="B696" s="39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39"/>
      <c r="B697" s="39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39"/>
      <c r="B698" s="39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39"/>
      <c r="B699" s="39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39"/>
      <c r="B700" s="39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39"/>
      <c r="B701" s="39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39"/>
      <c r="B702" s="39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39"/>
      <c r="B703" s="39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39"/>
      <c r="B704" s="39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39"/>
      <c r="B705" s="39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39"/>
      <c r="B706" s="39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39"/>
      <c r="B707" s="39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39"/>
      <c r="B708" s="39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39"/>
      <c r="B709" s="39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39"/>
      <c r="B710" s="39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39"/>
      <c r="B711" s="39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39"/>
      <c r="B712" s="39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39"/>
      <c r="B713" s="39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39"/>
      <c r="B714" s="39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39"/>
      <c r="B715" s="39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39"/>
      <c r="B716" s="39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39"/>
      <c r="B717" s="39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39"/>
      <c r="B718" s="39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39"/>
      <c r="B719" s="39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39"/>
      <c r="B720" s="39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39"/>
      <c r="B721" s="39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39"/>
      <c r="B722" s="39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39"/>
      <c r="B723" s="39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39"/>
      <c r="B724" s="39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39"/>
      <c r="B725" s="39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39"/>
      <c r="B726" s="39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39"/>
      <c r="B727" s="39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39"/>
      <c r="B728" s="39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39"/>
      <c r="B729" s="39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39"/>
      <c r="B730" s="39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39"/>
      <c r="B731" s="39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39"/>
      <c r="B732" s="39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39"/>
      <c r="B733" s="39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39"/>
      <c r="B734" s="39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39"/>
      <c r="B735" s="39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39"/>
      <c r="B736" s="39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39"/>
      <c r="B737" s="39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39"/>
      <c r="B738" s="39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39"/>
      <c r="B739" s="39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39"/>
      <c r="B740" s="39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39"/>
      <c r="B741" s="39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39"/>
      <c r="B742" s="39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39"/>
      <c r="B743" s="39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39"/>
      <c r="B744" s="39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39"/>
      <c r="B745" s="39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39"/>
      <c r="B746" s="39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39"/>
      <c r="B747" s="39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39"/>
      <c r="B748" s="39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39"/>
      <c r="B749" s="39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39"/>
      <c r="B750" s="39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39"/>
      <c r="B751" s="39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39"/>
      <c r="B752" s="39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39"/>
      <c r="B753" s="39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39"/>
      <c r="B754" s="39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39"/>
      <c r="B755" s="39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39"/>
      <c r="B756" s="39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39"/>
      <c r="B757" s="39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39"/>
      <c r="B758" s="39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39"/>
      <c r="B759" s="39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39"/>
      <c r="B760" s="39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39"/>
      <c r="B761" s="39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39"/>
      <c r="B762" s="39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39"/>
      <c r="B763" s="39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39"/>
      <c r="B764" s="39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39"/>
      <c r="B765" s="39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39"/>
      <c r="B766" s="39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39"/>
      <c r="B767" s="39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39"/>
      <c r="B768" s="39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39"/>
      <c r="B769" s="39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39"/>
      <c r="B770" s="39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39"/>
      <c r="B771" s="39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39"/>
      <c r="B772" s="39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39"/>
      <c r="B773" s="39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39"/>
      <c r="B774" s="39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39"/>
      <c r="B775" s="39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39"/>
      <c r="B776" s="39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39"/>
      <c r="B777" s="39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39"/>
      <c r="B778" s="39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39"/>
      <c r="B779" s="39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39"/>
      <c r="B780" s="39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39"/>
      <c r="B781" s="39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39"/>
      <c r="B782" s="39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39"/>
      <c r="B783" s="39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39"/>
      <c r="B784" s="39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39"/>
      <c r="B785" s="39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39"/>
      <c r="B786" s="39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39"/>
      <c r="B787" s="39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39"/>
      <c r="B788" s="39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39"/>
      <c r="B789" s="39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39"/>
      <c r="B790" s="39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39"/>
      <c r="B791" s="39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39"/>
      <c r="B792" s="39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39"/>
      <c r="B793" s="39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39"/>
      <c r="B794" s="39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39"/>
      <c r="B795" s="39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39"/>
      <c r="B796" s="39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39"/>
      <c r="B797" s="39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39"/>
      <c r="B798" s="39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39"/>
      <c r="B799" s="39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39"/>
      <c r="B800" s="39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39"/>
      <c r="B801" s="39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39"/>
      <c r="B802" s="39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39"/>
      <c r="B803" s="39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39"/>
      <c r="B804" s="39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39"/>
      <c r="B805" s="39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39"/>
      <c r="B806" s="39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39"/>
      <c r="B807" s="39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39"/>
      <c r="B808" s="39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39"/>
      <c r="B809" s="39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39"/>
      <c r="B810" s="39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39"/>
      <c r="B811" s="39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39"/>
      <c r="B812" s="39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39"/>
      <c r="B813" s="39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39"/>
      <c r="B814" s="39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39"/>
      <c r="B815" s="39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39"/>
      <c r="B816" s="39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39"/>
      <c r="B817" s="39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39"/>
      <c r="B818" s="39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39"/>
      <c r="B819" s="39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39"/>
      <c r="B820" s="39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39"/>
      <c r="B821" s="39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39"/>
      <c r="B822" s="39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39"/>
      <c r="B823" s="39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39"/>
      <c r="B824" s="39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39"/>
      <c r="B825" s="39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39"/>
      <c r="B826" s="39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39"/>
      <c r="B827" s="39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39"/>
      <c r="B828" s="39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39"/>
      <c r="B829" s="39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39"/>
      <c r="B830" s="39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39"/>
      <c r="B831" s="39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39"/>
      <c r="B832" s="39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39"/>
      <c r="B833" s="39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39"/>
      <c r="B834" s="39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39"/>
      <c r="B835" s="39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39"/>
      <c r="B836" s="39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39"/>
      <c r="B837" s="39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39"/>
      <c r="B838" s="39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39"/>
      <c r="B839" s="39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39"/>
      <c r="B840" s="39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39"/>
      <c r="B841" s="39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39"/>
      <c r="B842" s="39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39"/>
      <c r="B843" s="39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39"/>
      <c r="B844" s="39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39"/>
      <c r="B845" s="39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39"/>
      <c r="B846" s="39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39"/>
      <c r="B847" s="39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39"/>
      <c r="B848" s="39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39"/>
      <c r="B849" s="39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39"/>
      <c r="B850" s="39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39"/>
      <c r="B851" s="39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39"/>
      <c r="B852" s="39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39"/>
      <c r="B853" s="39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39"/>
      <c r="B854" s="39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39"/>
      <c r="B855" s="39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39"/>
      <c r="B856" s="39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39"/>
      <c r="B857" s="39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39"/>
      <c r="B858" s="39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39"/>
      <c r="B859" s="39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39"/>
      <c r="B860" s="39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39"/>
      <c r="B861" s="39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39"/>
      <c r="B862" s="39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39"/>
      <c r="B863" s="39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39"/>
      <c r="B864" s="39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39"/>
      <c r="B865" s="39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39"/>
      <c r="B866" s="39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39"/>
      <c r="B867" s="39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39"/>
      <c r="B868" s="39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39"/>
      <c r="B869" s="39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39"/>
      <c r="B870" s="39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39"/>
      <c r="B871" s="39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39"/>
      <c r="B872" s="39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39"/>
      <c r="B873" s="39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39"/>
      <c r="B874" s="39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39"/>
      <c r="B875" s="39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39"/>
      <c r="B876" s="39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39"/>
      <c r="B877" s="39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39"/>
      <c r="B878" s="39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39"/>
      <c r="B879" s="39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39"/>
      <c r="B880" s="39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39"/>
      <c r="B881" s="39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39"/>
      <c r="B882" s="39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39"/>
      <c r="B883" s="39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39"/>
      <c r="B884" s="39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39"/>
      <c r="B885" s="39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39"/>
      <c r="B886" s="39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39"/>
      <c r="B887" s="39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39"/>
      <c r="B888" s="39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39"/>
      <c r="B889" s="39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39"/>
      <c r="B890" s="39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39"/>
      <c r="B891" s="39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39"/>
      <c r="B892" s="39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39"/>
      <c r="B893" s="39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39"/>
      <c r="B894" s="39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39"/>
      <c r="B895" s="39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39"/>
      <c r="B896" s="39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39"/>
      <c r="B897" s="39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39"/>
      <c r="B898" s="39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39"/>
      <c r="B899" s="39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39"/>
      <c r="B900" s="39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39"/>
      <c r="B901" s="39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39"/>
      <c r="B902" s="39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39"/>
      <c r="B903" s="39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39"/>
      <c r="B904" s="39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39"/>
      <c r="B905" s="39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39"/>
      <c r="B906" s="39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39"/>
      <c r="B907" s="39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39"/>
      <c r="B908" s="39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39"/>
      <c r="B909" s="39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39"/>
      <c r="B910" s="39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39"/>
      <c r="B911" s="39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39"/>
      <c r="B912" s="39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39"/>
      <c r="B913" s="39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39"/>
      <c r="B914" s="39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39"/>
      <c r="B915" s="39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39"/>
      <c r="B916" s="39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39"/>
      <c r="B917" s="39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39"/>
      <c r="B918" s="39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39"/>
      <c r="B919" s="39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39"/>
      <c r="B920" s="39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39"/>
      <c r="B921" s="39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39"/>
      <c r="B922" s="39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39"/>
      <c r="B923" s="39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39"/>
      <c r="B924" s="39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39"/>
      <c r="B925" s="39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39"/>
      <c r="B926" s="39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39"/>
      <c r="B927" s="39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39"/>
      <c r="B928" s="39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39"/>
      <c r="B929" s="39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39"/>
      <c r="B930" s="39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39"/>
      <c r="B931" s="39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39"/>
      <c r="B932" s="39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39"/>
      <c r="B933" s="39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39"/>
      <c r="B934" s="39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39"/>
      <c r="B935" s="39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39"/>
      <c r="B936" s="39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39"/>
      <c r="B937" s="39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39"/>
      <c r="B938" s="39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39"/>
      <c r="B939" s="39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39"/>
      <c r="B940" s="39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39"/>
      <c r="B941" s="39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39"/>
      <c r="B942" s="39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39"/>
      <c r="B943" s="39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39"/>
      <c r="B944" s="39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39"/>
      <c r="B945" s="39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39"/>
      <c r="B946" s="39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39"/>
      <c r="B947" s="39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39"/>
      <c r="B948" s="39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39"/>
      <c r="B949" s="39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39"/>
      <c r="B950" s="39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39"/>
      <c r="B951" s="39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39"/>
      <c r="B952" s="39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39"/>
      <c r="B953" s="39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39"/>
      <c r="B954" s="39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39"/>
      <c r="B955" s="39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39"/>
      <c r="B956" s="39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39"/>
      <c r="B957" s="39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39"/>
      <c r="B958" s="39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39"/>
      <c r="B959" s="39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39"/>
      <c r="B960" s="39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39"/>
      <c r="B961" s="39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39"/>
      <c r="B962" s="39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39"/>
      <c r="B963" s="39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39"/>
      <c r="B964" s="39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39"/>
      <c r="B965" s="39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39"/>
      <c r="B966" s="39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39"/>
      <c r="B967" s="39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39"/>
      <c r="B968" s="39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39"/>
      <c r="B969" s="39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39"/>
      <c r="B970" s="39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39"/>
      <c r="B971" s="39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39"/>
      <c r="B972" s="39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39"/>
      <c r="B973" s="39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39"/>
      <c r="B974" s="39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39"/>
      <c r="B975" s="39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39"/>
      <c r="B976" s="39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39"/>
      <c r="B977" s="39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39"/>
      <c r="B978" s="39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39"/>
      <c r="B979" s="39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39"/>
      <c r="B980" s="39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39"/>
      <c r="B981" s="39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39"/>
      <c r="B982" s="39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39"/>
      <c r="B983" s="39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39"/>
      <c r="B984" s="39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39"/>
      <c r="B985" s="39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39"/>
      <c r="B986" s="39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39"/>
      <c r="B987" s="39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39"/>
      <c r="B988" s="39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39"/>
      <c r="B989" s="39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39"/>
      <c r="B990" s="39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39"/>
      <c r="B991" s="39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39"/>
      <c r="B992" s="39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39"/>
      <c r="B993" s="39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39"/>
      <c r="B994" s="39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39"/>
      <c r="B995" s="39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39"/>
      <c r="B996" s="39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39"/>
      <c r="B997" s="39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39"/>
      <c r="B998" s="39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39"/>
      <c r="B999" s="39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39"/>
      <c r="B1000" s="39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6">
    <mergeCell ref="A1:O1"/>
    <mergeCell ref="A3:B3"/>
    <mergeCell ref="A4:A7"/>
    <mergeCell ref="A9:B9"/>
    <mergeCell ref="A10:A13"/>
    <mergeCell ref="A15:B15"/>
  </mergeCells>
  <printOptions/>
  <pageMargins bottom="0.787401575" footer="0.0" header="0.0" left="0.511811024" right="0.511811024" top="0.787401575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2.25"/>
    <col customWidth="1" min="2" max="2" width="56.75"/>
    <col customWidth="1" min="3" max="14" width="15.25"/>
    <col customWidth="1" min="15" max="15" width="21.38"/>
    <col customWidth="1" min="16" max="26" width="8.88"/>
  </cols>
  <sheetData>
    <row r="1" ht="61.5" customHeight="1">
      <c r="A1" s="1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100</v>
      </c>
      <c r="B2" s="3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5"/>
      <c r="B3" s="6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45" t="s">
        <v>101</v>
      </c>
      <c r="B4" s="40" t="s">
        <v>78</v>
      </c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9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1"/>
      <c r="B5" s="40" t="s">
        <v>102</v>
      </c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9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1"/>
      <c r="B6" s="40" t="s">
        <v>103</v>
      </c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9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1"/>
      <c r="B7" s="40" t="s">
        <v>104</v>
      </c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  <c r="N7" s="41"/>
      <c r="O7" s="9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1"/>
      <c r="B8" s="40" t="s">
        <v>105</v>
      </c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  <c r="N8" s="41"/>
      <c r="O8" s="9">
        <f>SUM(C8:N8)</f>
        <v>0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7"/>
      <c r="B9" s="40" t="s">
        <v>106</v>
      </c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9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9"/>
      <c r="B10" s="39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5"/>
      <c r="B11" s="6"/>
      <c r="C11" s="4" t="s">
        <v>1</v>
      </c>
      <c r="D11" s="4" t="s">
        <v>2</v>
      </c>
      <c r="E11" s="4" t="s">
        <v>3</v>
      </c>
      <c r="F11" s="4" t="s">
        <v>4</v>
      </c>
      <c r="G11" s="4" t="s">
        <v>5</v>
      </c>
      <c r="H11" s="4" t="s">
        <v>6</v>
      </c>
      <c r="I11" s="4" t="s">
        <v>7</v>
      </c>
      <c r="J11" s="4" t="s">
        <v>8</v>
      </c>
      <c r="K11" s="4" t="s">
        <v>9</v>
      </c>
      <c r="L11" s="4" t="s">
        <v>10</v>
      </c>
      <c r="M11" s="4" t="s">
        <v>11</v>
      </c>
      <c r="N11" s="4" t="s">
        <v>12</v>
      </c>
      <c r="O11" s="4" t="s">
        <v>13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45" t="s">
        <v>107</v>
      </c>
      <c r="B12" s="40" t="s">
        <v>108</v>
      </c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9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1"/>
      <c r="B13" s="40" t="s">
        <v>109</v>
      </c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9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1"/>
      <c r="B14" s="40" t="s">
        <v>110</v>
      </c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9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7"/>
      <c r="B15" s="40" t="s">
        <v>104</v>
      </c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9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39"/>
      <c r="B16" s="39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39"/>
      <c r="B17" s="39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39"/>
      <c r="B18" s="39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39"/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39"/>
      <c r="B20" s="39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39"/>
      <c r="B21" s="3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39"/>
      <c r="B22" s="3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39"/>
      <c r="B23" s="3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39"/>
      <c r="B24" s="3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39"/>
      <c r="B25" s="3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39"/>
      <c r="B26" s="3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39"/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39"/>
      <c r="B28" s="3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39"/>
      <c r="B29" s="3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39"/>
      <c r="B30" s="3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39"/>
      <c r="B31" s="3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39"/>
      <c r="B32" s="3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39"/>
      <c r="B33" s="3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39"/>
      <c r="B34" s="3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39"/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39"/>
      <c r="B36" s="3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39"/>
      <c r="B37" s="3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39"/>
      <c r="B38" s="3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39"/>
      <c r="B39" s="3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39"/>
      <c r="B40" s="3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39"/>
      <c r="B41" s="3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39"/>
      <c r="B42" s="3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39"/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39"/>
      <c r="B44" s="3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39"/>
      <c r="B45" s="3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39"/>
      <c r="B46" s="3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39"/>
      <c r="B47" s="3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39"/>
      <c r="B48" s="3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39"/>
      <c r="B49" s="3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39"/>
      <c r="B50" s="3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39"/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39"/>
      <c r="B52" s="3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39"/>
      <c r="B53" s="3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39"/>
      <c r="B54" s="3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39"/>
      <c r="B55" s="3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39"/>
      <c r="B56" s="3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39"/>
      <c r="B57" s="3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39"/>
      <c r="B58" s="3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39"/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39"/>
      <c r="B60" s="3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39"/>
      <c r="B61" s="3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39"/>
      <c r="B62" s="3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39"/>
      <c r="B63" s="3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39"/>
      <c r="B64" s="3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39"/>
      <c r="B65" s="3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39"/>
      <c r="B66" s="3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39"/>
      <c r="B67" s="3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39"/>
      <c r="B68" s="3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39"/>
      <c r="B69" s="3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39"/>
      <c r="B70" s="3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39"/>
      <c r="B71" s="3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39"/>
      <c r="B72" s="3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39"/>
      <c r="B73" s="3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39"/>
      <c r="B74" s="3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39"/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39"/>
      <c r="B76" s="3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39"/>
      <c r="B77" s="3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39"/>
      <c r="B78" s="3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39"/>
      <c r="B79" s="3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39"/>
      <c r="B80" s="3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39"/>
      <c r="B81" s="3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39"/>
      <c r="B82" s="3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39"/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39"/>
      <c r="B84" s="3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39"/>
      <c r="B85" s="3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39"/>
      <c r="B86" s="3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39"/>
      <c r="B87" s="3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39"/>
      <c r="B88" s="3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39"/>
      <c r="B89" s="3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39"/>
      <c r="B90" s="3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39"/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39"/>
      <c r="B92" s="3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39"/>
      <c r="B93" s="3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39"/>
      <c r="B94" s="3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39"/>
      <c r="B95" s="3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39"/>
      <c r="B96" s="3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39"/>
      <c r="B97" s="3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39"/>
      <c r="B98" s="3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39"/>
      <c r="B99" s="3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39"/>
      <c r="B100" s="3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39"/>
      <c r="B101" s="3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39"/>
      <c r="B102" s="3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39"/>
      <c r="B103" s="3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39"/>
      <c r="B104" s="3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39"/>
      <c r="B105" s="3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39"/>
      <c r="B106" s="3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39"/>
      <c r="B107" s="3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39"/>
      <c r="B108" s="3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39"/>
      <c r="B109" s="3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39"/>
      <c r="B110" s="3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39"/>
      <c r="B111" s="3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39"/>
      <c r="B112" s="3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39"/>
      <c r="B113" s="3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39"/>
      <c r="B114" s="3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39"/>
      <c r="B115" s="3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39"/>
      <c r="B116" s="3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39"/>
      <c r="B117" s="3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39"/>
      <c r="B118" s="3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39"/>
      <c r="B119" s="3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39"/>
      <c r="B120" s="3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39"/>
      <c r="B121" s="3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39"/>
      <c r="B122" s="3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39"/>
      <c r="B123" s="3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39"/>
      <c r="B124" s="3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39"/>
      <c r="B125" s="3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39"/>
      <c r="B126" s="3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39"/>
      <c r="B127" s="3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39"/>
      <c r="B128" s="3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39"/>
      <c r="B129" s="3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39"/>
      <c r="B130" s="3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39"/>
      <c r="B131" s="3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39"/>
      <c r="B132" s="3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39"/>
      <c r="B133" s="3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39"/>
      <c r="B134" s="3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39"/>
      <c r="B135" s="3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39"/>
      <c r="B136" s="3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39"/>
      <c r="B137" s="3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39"/>
      <c r="B138" s="3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39"/>
      <c r="B139" s="3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39"/>
      <c r="B140" s="3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39"/>
      <c r="B141" s="3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39"/>
      <c r="B142" s="3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39"/>
      <c r="B143" s="3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39"/>
      <c r="B144" s="3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39"/>
      <c r="B145" s="3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39"/>
      <c r="B146" s="3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39"/>
      <c r="B147" s="3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39"/>
      <c r="B148" s="3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39"/>
      <c r="B149" s="3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39"/>
      <c r="B150" s="3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39"/>
      <c r="B151" s="3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39"/>
      <c r="B152" s="3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39"/>
      <c r="B153" s="3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39"/>
      <c r="B154" s="3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39"/>
      <c r="B155" s="3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39"/>
      <c r="B156" s="3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39"/>
      <c r="B157" s="3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39"/>
      <c r="B158" s="3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39"/>
      <c r="B159" s="3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39"/>
      <c r="B160" s="3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39"/>
      <c r="B161" s="3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39"/>
      <c r="B162" s="3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39"/>
      <c r="B163" s="3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39"/>
      <c r="B164" s="3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39"/>
      <c r="B165" s="3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39"/>
      <c r="B166" s="3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39"/>
      <c r="B167" s="3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39"/>
      <c r="B168" s="3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39"/>
      <c r="B169" s="3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39"/>
      <c r="B170" s="3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39"/>
      <c r="B171" s="3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39"/>
      <c r="B172" s="3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39"/>
      <c r="B173" s="3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39"/>
      <c r="B174" s="3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39"/>
      <c r="B175" s="3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39"/>
      <c r="B176" s="3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39"/>
      <c r="B177" s="3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39"/>
      <c r="B178" s="3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39"/>
      <c r="B179" s="3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39"/>
      <c r="B180" s="3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39"/>
      <c r="B181" s="3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39"/>
      <c r="B182" s="3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39"/>
      <c r="B183" s="3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39"/>
      <c r="B184" s="3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39"/>
      <c r="B185" s="3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39"/>
      <c r="B186" s="3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39"/>
      <c r="B187" s="3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39"/>
      <c r="B188" s="3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39"/>
      <c r="B189" s="3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39"/>
      <c r="B190" s="3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39"/>
      <c r="B191" s="3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39"/>
      <c r="B192" s="3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39"/>
      <c r="B193" s="3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39"/>
      <c r="B194" s="3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39"/>
      <c r="B195" s="3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39"/>
      <c r="B196" s="3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39"/>
      <c r="B197" s="3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39"/>
      <c r="B198" s="3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39"/>
      <c r="B199" s="3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39"/>
      <c r="B200" s="3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39"/>
      <c r="B201" s="3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39"/>
      <c r="B202" s="3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39"/>
      <c r="B203" s="39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39"/>
      <c r="B204" s="39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39"/>
      <c r="B205" s="39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39"/>
      <c r="B206" s="39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39"/>
      <c r="B207" s="39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39"/>
      <c r="B208" s="39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39"/>
      <c r="B209" s="39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39"/>
      <c r="B210" s="39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39"/>
      <c r="B211" s="39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39"/>
      <c r="B212" s="39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39"/>
      <c r="B213" s="39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39"/>
      <c r="B214" s="39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39"/>
      <c r="B215" s="39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39"/>
      <c r="B216" s="39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39"/>
      <c r="B217" s="39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39"/>
      <c r="B218" s="39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39"/>
      <c r="B219" s="39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39"/>
      <c r="B220" s="39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39"/>
      <c r="B221" s="39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39"/>
      <c r="B222" s="39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39"/>
      <c r="B223" s="39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39"/>
      <c r="B224" s="39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39"/>
      <c r="B225" s="39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39"/>
      <c r="B226" s="39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39"/>
      <c r="B227" s="39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39"/>
      <c r="B228" s="39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39"/>
      <c r="B229" s="39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39"/>
      <c r="B230" s="39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39"/>
      <c r="B231" s="39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39"/>
      <c r="B232" s="39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39"/>
      <c r="B233" s="39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39"/>
      <c r="B234" s="39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39"/>
      <c r="B235" s="39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39"/>
      <c r="B236" s="39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39"/>
      <c r="B237" s="39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39"/>
      <c r="B238" s="39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39"/>
      <c r="B239" s="39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39"/>
      <c r="B240" s="39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39"/>
      <c r="B241" s="39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39"/>
      <c r="B242" s="39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39"/>
      <c r="B243" s="39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39"/>
      <c r="B244" s="39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39"/>
      <c r="B245" s="39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39"/>
      <c r="B246" s="39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39"/>
      <c r="B247" s="39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39"/>
      <c r="B248" s="39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39"/>
      <c r="B249" s="39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39"/>
      <c r="B250" s="39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39"/>
      <c r="B251" s="39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39"/>
      <c r="B252" s="39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39"/>
      <c r="B253" s="39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39"/>
      <c r="B254" s="39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39"/>
      <c r="B255" s="39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39"/>
      <c r="B256" s="39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39"/>
      <c r="B257" s="39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39"/>
      <c r="B258" s="39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39"/>
      <c r="B259" s="39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39"/>
      <c r="B260" s="39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39"/>
      <c r="B261" s="39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39"/>
      <c r="B262" s="39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39"/>
      <c r="B263" s="39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39"/>
      <c r="B264" s="39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39"/>
      <c r="B265" s="39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39"/>
      <c r="B266" s="39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39"/>
      <c r="B267" s="39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39"/>
      <c r="B268" s="39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39"/>
      <c r="B269" s="39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39"/>
      <c r="B270" s="39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39"/>
      <c r="B271" s="39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39"/>
      <c r="B272" s="39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39"/>
      <c r="B273" s="39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39"/>
      <c r="B274" s="39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39"/>
      <c r="B275" s="39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39"/>
      <c r="B276" s="39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39"/>
      <c r="B277" s="39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39"/>
      <c r="B278" s="39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39"/>
      <c r="B279" s="39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39"/>
      <c r="B280" s="39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39"/>
      <c r="B281" s="39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39"/>
      <c r="B282" s="39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39"/>
      <c r="B283" s="39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39"/>
      <c r="B284" s="39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39"/>
      <c r="B285" s="39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39"/>
      <c r="B286" s="39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39"/>
      <c r="B287" s="39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39"/>
      <c r="B288" s="39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39"/>
      <c r="B289" s="39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39"/>
      <c r="B290" s="39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39"/>
      <c r="B291" s="39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39"/>
      <c r="B292" s="39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39"/>
      <c r="B293" s="39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39"/>
      <c r="B294" s="39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39"/>
      <c r="B295" s="39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39"/>
      <c r="B296" s="39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39"/>
      <c r="B297" s="39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39"/>
      <c r="B298" s="39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39"/>
      <c r="B299" s="39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39"/>
      <c r="B300" s="39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39"/>
      <c r="B301" s="39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39"/>
      <c r="B302" s="39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39"/>
      <c r="B303" s="39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39"/>
      <c r="B304" s="39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39"/>
      <c r="B305" s="39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39"/>
      <c r="B306" s="39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39"/>
      <c r="B307" s="39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39"/>
      <c r="B308" s="39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39"/>
      <c r="B309" s="39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39"/>
      <c r="B310" s="39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39"/>
      <c r="B311" s="39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39"/>
      <c r="B312" s="39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39"/>
      <c r="B313" s="39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39"/>
      <c r="B314" s="39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39"/>
      <c r="B315" s="39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39"/>
      <c r="B316" s="39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39"/>
      <c r="B317" s="39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39"/>
      <c r="B318" s="39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39"/>
      <c r="B319" s="39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39"/>
      <c r="B320" s="39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39"/>
      <c r="B321" s="39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39"/>
      <c r="B322" s="39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39"/>
      <c r="B323" s="39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39"/>
      <c r="B324" s="39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39"/>
      <c r="B325" s="39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39"/>
      <c r="B326" s="39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39"/>
      <c r="B327" s="39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39"/>
      <c r="B328" s="39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39"/>
      <c r="B329" s="39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39"/>
      <c r="B330" s="39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39"/>
      <c r="B331" s="39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39"/>
      <c r="B332" s="39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39"/>
      <c r="B333" s="39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39"/>
      <c r="B334" s="39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39"/>
      <c r="B335" s="39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39"/>
      <c r="B336" s="39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39"/>
      <c r="B337" s="39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39"/>
      <c r="B338" s="39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39"/>
      <c r="B339" s="39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39"/>
      <c r="B340" s="39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39"/>
      <c r="B341" s="39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39"/>
      <c r="B342" s="39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39"/>
      <c r="B343" s="39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39"/>
      <c r="B344" s="39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39"/>
      <c r="B345" s="39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39"/>
      <c r="B346" s="39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39"/>
      <c r="B347" s="39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39"/>
      <c r="B348" s="39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39"/>
      <c r="B349" s="39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39"/>
      <c r="B350" s="39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39"/>
      <c r="B351" s="39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39"/>
      <c r="B352" s="39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39"/>
      <c r="B353" s="39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39"/>
      <c r="B354" s="39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39"/>
      <c r="B355" s="39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39"/>
      <c r="B356" s="39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39"/>
      <c r="B357" s="39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39"/>
      <c r="B358" s="39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39"/>
      <c r="B359" s="39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39"/>
      <c r="B360" s="39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39"/>
      <c r="B361" s="39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39"/>
      <c r="B362" s="39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39"/>
      <c r="B363" s="39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39"/>
      <c r="B364" s="39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39"/>
      <c r="B365" s="39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39"/>
      <c r="B366" s="39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39"/>
      <c r="B367" s="39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39"/>
      <c r="B368" s="39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39"/>
      <c r="B369" s="39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39"/>
      <c r="B370" s="39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39"/>
      <c r="B371" s="39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39"/>
      <c r="B372" s="39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39"/>
      <c r="B373" s="39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39"/>
      <c r="B374" s="39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39"/>
      <c r="B375" s="39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39"/>
      <c r="B376" s="39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39"/>
      <c r="B377" s="39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39"/>
      <c r="B378" s="39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39"/>
      <c r="B379" s="39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39"/>
      <c r="B380" s="39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39"/>
      <c r="B381" s="39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39"/>
      <c r="B382" s="39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39"/>
      <c r="B383" s="39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39"/>
      <c r="B384" s="39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39"/>
      <c r="B385" s="39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39"/>
      <c r="B386" s="39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39"/>
      <c r="B387" s="39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39"/>
      <c r="B388" s="39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39"/>
      <c r="B389" s="39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39"/>
      <c r="B390" s="39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39"/>
      <c r="B391" s="39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39"/>
      <c r="B392" s="39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39"/>
      <c r="B393" s="39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39"/>
      <c r="B394" s="39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39"/>
      <c r="B395" s="39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39"/>
      <c r="B396" s="39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39"/>
      <c r="B397" s="39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39"/>
      <c r="B398" s="39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39"/>
      <c r="B399" s="39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39"/>
      <c r="B400" s="39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39"/>
      <c r="B401" s="39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39"/>
      <c r="B402" s="39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39"/>
      <c r="B403" s="39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39"/>
      <c r="B404" s="39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39"/>
      <c r="B405" s="39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39"/>
      <c r="B406" s="39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39"/>
      <c r="B407" s="39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39"/>
      <c r="B408" s="39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39"/>
      <c r="B409" s="39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39"/>
      <c r="B410" s="39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39"/>
      <c r="B411" s="39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39"/>
      <c r="B412" s="39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39"/>
      <c r="B413" s="39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39"/>
      <c r="B414" s="39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39"/>
      <c r="B415" s="39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39"/>
      <c r="B416" s="39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39"/>
      <c r="B417" s="39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39"/>
      <c r="B418" s="39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39"/>
      <c r="B419" s="39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39"/>
      <c r="B420" s="39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39"/>
      <c r="B421" s="39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39"/>
      <c r="B422" s="39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39"/>
      <c r="B423" s="39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39"/>
      <c r="B424" s="39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39"/>
      <c r="B425" s="39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39"/>
      <c r="B426" s="39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39"/>
      <c r="B427" s="39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39"/>
      <c r="B428" s="39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39"/>
      <c r="B429" s="39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39"/>
      <c r="B430" s="39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39"/>
      <c r="B431" s="39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39"/>
      <c r="B432" s="39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39"/>
      <c r="B433" s="39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39"/>
      <c r="B434" s="39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39"/>
      <c r="B435" s="39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39"/>
      <c r="B436" s="39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39"/>
      <c r="B437" s="39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39"/>
      <c r="B438" s="39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39"/>
      <c r="B439" s="39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39"/>
      <c r="B440" s="39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39"/>
      <c r="B441" s="39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39"/>
      <c r="B442" s="39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39"/>
      <c r="B443" s="39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39"/>
      <c r="B444" s="39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39"/>
      <c r="B445" s="39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39"/>
      <c r="B446" s="39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39"/>
      <c r="B447" s="39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39"/>
      <c r="B448" s="39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39"/>
      <c r="B449" s="39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39"/>
      <c r="B450" s="39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39"/>
      <c r="B451" s="39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39"/>
      <c r="B452" s="39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39"/>
      <c r="B453" s="39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39"/>
      <c r="B454" s="39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39"/>
      <c r="B455" s="39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39"/>
      <c r="B456" s="39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39"/>
      <c r="B457" s="39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39"/>
      <c r="B458" s="39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39"/>
      <c r="B459" s="39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39"/>
      <c r="B460" s="39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39"/>
      <c r="B461" s="39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39"/>
      <c r="B462" s="39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39"/>
      <c r="B463" s="39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39"/>
      <c r="B464" s="39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39"/>
      <c r="B465" s="39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39"/>
      <c r="B466" s="39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39"/>
      <c r="B467" s="39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39"/>
      <c r="B468" s="39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39"/>
      <c r="B469" s="39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39"/>
      <c r="B470" s="39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39"/>
      <c r="B471" s="39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39"/>
      <c r="B472" s="39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39"/>
      <c r="B473" s="39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39"/>
      <c r="B474" s="39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39"/>
      <c r="B475" s="39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39"/>
      <c r="B476" s="39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39"/>
      <c r="B477" s="39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39"/>
      <c r="B478" s="39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39"/>
      <c r="B479" s="39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39"/>
      <c r="B480" s="39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39"/>
      <c r="B481" s="39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39"/>
      <c r="B482" s="39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39"/>
      <c r="B483" s="39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39"/>
      <c r="B484" s="39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39"/>
      <c r="B485" s="39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39"/>
      <c r="B486" s="39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39"/>
      <c r="B487" s="39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39"/>
      <c r="B488" s="39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39"/>
      <c r="B489" s="39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39"/>
      <c r="B490" s="39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39"/>
      <c r="B491" s="39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39"/>
      <c r="B492" s="39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39"/>
      <c r="B493" s="39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39"/>
      <c r="B494" s="39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39"/>
      <c r="B495" s="39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39"/>
      <c r="B496" s="39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39"/>
      <c r="B497" s="39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39"/>
      <c r="B498" s="39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39"/>
      <c r="B499" s="39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39"/>
      <c r="B500" s="39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39"/>
      <c r="B501" s="39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39"/>
      <c r="B502" s="39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39"/>
      <c r="B503" s="39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39"/>
      <c r="B504" s="39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39"/>
      <c r="B505" s="39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39"/>
      <c r="B506" s="39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39"/>
      <c r="B507" s="39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39"/>
      <c r="B508" s="39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39"/>
      <c r="B509" s="39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39"/>
      <c r="B510" s="39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39"/>
      <c r="B511" s="39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39"/>
      <c r="B512" s="39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39"/>
      <c r="B513" s="39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39"/>
      <c r="B514" s="39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39"/>
      <c r="B515" s="39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39"/>
      <c r="B516" s="39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39"/>
      <c r="B517" s="39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39"/>
      <c r="B518" s="39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39"/>
      <c r="B519" s="39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39"/>
      <c r="B520" s="39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39"/>
      <c r="B521" s="39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39"/>
      <c r="B522" s="39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39"/>
      <c r="B523" s="39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39"/>
      <c r="B524" s="39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39"/>
      <c r="B525" s="39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39"/>
      <c r="B526" s="39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39"/>
      <c r="B527" s="39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39"/>
      <c r="B528" s="39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39"/>
      <c r="B529" s="39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39"/>
      <c r="B530" s="39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39"/>
      <c r="B531" s="39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39"/>
      <c r="B532" s="39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39"/>
      <c r="B533" s="39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39"/>
      <c r="B534" s="39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39"/>
      <c r="B535" s="39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39"/>
      <c r="B536" s="39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39"/>
      <c r="B537" s="39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39"/>
      <c r="B538" s="39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39"/>
      <c r="B539" s="39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39"/>
      <c r="B540" s="39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39"/>
      <c r="B541" s="39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39"/>
      <c r="B542" s="39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39"/>
      <c r="B543" s="39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39"/>
      <c r="B544" s="39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39"/>
      <c r="B545" s="39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39"/>
      <c r="B546" s="39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39"/>
      <c r="B547" s="39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39"/>
      <c r="B548" s="39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39"/>
      <c r="B549" s="39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39"/>
      <c r="B550" s="39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39"/>
      <c r="B551" s="39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39"/>
      <c r="B552" s="39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39"/>
      <c r="B553" s="39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39"/>
      <c r="B554" s="39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39"/>
      <c r="B555" s="39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39"/>
      <c r="B556" s="39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39"/>
      <c r="B557" s="39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39"/>
      <c r="B558" s="39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39"/>
      <c r="B559" s="39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39"/>
      <c r="B560" s="39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39"/>
      <c r="B561" s="39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39"/>
      <c r="B562" s="39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39"/>
      <c r="B563" s="39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39"/>
      <c r="B564" s="39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39"/>
      <c r="B565" s="39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39"/>
      <c r="B566" s="39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39"/>
      <c r="B567" s="39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39"/>
      <c r="B568" s="39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39"/>
      <c r="B569" s="39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39"/>
      <c r="B570" s="39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39"/>
      <c r="B571" s="39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39"/>
      <c r="B572" s="39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39"/>
      <c r="B573" s="39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39"/>
      <c r="B574" s="39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39"/>
      <c r="B575" s="39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39"/>
      <c r="B576" s="39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39"/>
      <c r="B577" s="39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39"/>
      <c r="B578" s="39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39"/>
      <c r="B579" s="39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39"/>
      <c r="B580" s="39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39"/>
      <c r="B581" s="39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39"/>
      <c r="B582" s="39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39"/>
      <c r="B583" s="39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39"/>
      <c r="B584" s="39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39"/>
      <c r="B585" s="39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39"/>
      <c r="B586" s="39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39"/>
      <c r="B587" s="39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39"/>
      <c r="B588" s="39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39"/>
      <c r="B589" s="39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39"/>
      <c r="B590" s="39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39"/>
      <c r="B591" s="39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39"/>
      <c r="B592" s="39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39"/>
      <c r="B593" s="39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39"/>
      <c r="B594" s="39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39"/>
      <c r="B595" s="39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39"/>
      <c r="B596" s="39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39"/>
      <c r="B597" s="39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39"/>
      <c r="B598" s="39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39"/>
      <c r="B599" s="39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39"/>
      <c r="B600" s="39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39"/>
      <c r="B601" s="39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39"/>
      <c r="B602" s="39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39"/>
      <c r="B603" s="39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39"/>
      <c r="B604" s="39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39"/>
      <c r="B605" s="39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39"/>
      <c r="B606" s="39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39"/>
      <c r="B607" s="39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39"/>
      <c r="B608" s="39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39"/>
      <c r="B609" s="39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39"/>
      <c r="B610" s="39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39"/>
      <c r="B611" s="39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39"/>
      <c r="B612" s="39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39"/>
      <c r="B613" s="39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39"/>
      <c r="B614" s="39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39"/>
      <c r="B615" s="39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39"/>
      <c r="B616" s="39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39"/>
      <c r="B617" s="39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39"/>
      <c r="B618" s="39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39"/>
      <c r="B619" s="39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39"/>
      <c r="B620" s="39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39"/>
      <c r="B621" s="39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39"/>
      <c r="B622" s="39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39"/>
      <c r="B623" s="39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39"/>
      <c r="B624" s="39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39"/>
      <c r="B625" s="39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39"/>
      <c r="B626" s="39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39"/>
      <c r="B627" s="39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39"/>
      <c r="B628" s="39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39"/>
      <c r="B629" s="39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39"/>
      <c r="B630" s="39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39"/>
      <c r="B631" s="39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39"/>
      <c r="B632" s="39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39"/>
      <c r="B633" s="39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39"/>
      <c r="B634" s="39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39"/>
      <c r="B635" s="39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39"/>
      <c r="B636" s="39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39"/>
      <c r="B637" s="39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39"/>
      <c r="B638" s="39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39"/>
      <c r="B639" s="39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39"/>
      <c r="B640" s="39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39"/>
      <c r="B641" s="39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39"/>
      <c r="B642" s="39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39"/>
      <c r="B643" s="39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39"/>
      <c r="B644" s="39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39"/>
      <c r="B645" s="39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39"/>
      <c r="B646" s="39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39"/>
      <c r="B647" s="39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39"/>
      <c r="B648" s="39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39"/>
      <c r="B649" s="39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39"/>
      <c r="B650" s="39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39"/>
      <c r="B651" s="39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39"/>
      <c r="B652" s="39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39"/>
      <c r="B653" s="39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39"/>
      <c r="B654" s="39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39"/>
      <c r="B655" s="39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39"/>
      <c r="B656" s="39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39"/>
      <c r="B657" s="39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39"/>
      <c r="B658" s="39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39"/>
      <c r="B659" s="39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39"/>
      <c r="B660" s="39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39"/>
      <c r="B661" s="39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39"/>
      <c r="B662" s="39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39"/>
      <c r="B663" s="39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39"/>
      <c r="B664" s="39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39"/>
      <c r="B665" s="39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39"/>
      <c r="B666" s="39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39"/>
      <c r="B667" s="39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39"/>
      <c r="B668" s="39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39"/>
      <c r="B669" s="39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39"/>
      <c r="B670" s="39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39"/>
      <c r="B671" s="39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39"/>
      <c r="B672" s="39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39"/>
      <c r="B673" s="39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39"/>
      <c r="B674" s="39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39"/>
      <c r="B675" s="39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39"/>
      <c r="B676" s="39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39"/>
      <c r="B677" s="39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39"/>
      <c r="B678" s="39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39"/>
      <c r="B679" s="39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39"/>
      <c r="B680" s="39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39"/>
      <c r="B681" s="39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39"/>
      <c r="B682" s="39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39"/>
      <c r="B683" s="39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39"/>
      <c r="B684" s="39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39"/>
      <c r="B685" s="39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39"/>
      <c r="B686" s="39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39"/>
      <c r="B687" s="39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39"/>
      <c r="B688" s="39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39"/>
      <c r="B689" s="39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39"/>
      <c r="B690" s="39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39"/>
      <c r="B691" s="39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39"/>
      <c r="B692" s="39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39"/>
      <c r="B693" s="39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39"/>
      <c r="B694" s="39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39"/>
      <c r="B695" s="39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39"/>
      <c r="B696" s="39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39"/>
      <c r="B697" s="39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39"/>
      <c r="B698" s="39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39"/>
      <c r="B699" s="39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39"/>
      <c r="B700" s="39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39"/>
      <c r="B701" s="39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39"/>
      <c r="B702" s="39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39"/>
      <c r="B703" s="39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39"/>
      <c r="B704" s="39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39"/>
      <c r="B705" s="39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39"/>
      <c r="B706" s="39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39"/>
      <c r="B707" s="39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39"/>
      <c r="B708" s="39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39"/>
      <c r="B709" s="39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39"/>
      <c r="B710" s="39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39"/>
      <c r="B711" s="39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39"/>
      <c r="B712" s="39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39"/>
      <c r="B713" s="39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39"/>
      <c r="B714" s="39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39"/>
      <c r="B715" s="39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39"/>
      <c r="B716" s="39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39"/>
      <c r="B717" s="39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39"/>
      <c r="B718" s="39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39"/>
      <c r="B719" s="39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39"/>
      <c r="B720" s="39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39"/>
      <c r="B721" s="39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39"/>
      <c r="B722" s="39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39"/>
      <c r="B723" s="39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39"/>
      <c r="B724" s="39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39"/>
      <c r="B725" s="39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39"/>
      <c r="B726" s="39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39"/>
      <c r="B727" s="39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39"/>
      <c r="B728" s="39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39"/>
      <c r="B729" s="39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39"/>
      <c r="B730" s="39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39"/>
      <c r="B731" s="39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39"/>
      <c r="B732" s="39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39"/>
      <c r="B733" s="39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39"/>
      <c r="B734" s="39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39"/>
      <c r="B735" s="39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39"/>
      <c r="B736" s="39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39"/>
      <c r="B737" s="39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39"/>
      <c r="B738" s="39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39"/>
      <c r="B739" s="39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39"/>
      <c r="B740" s="39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39"/>
      <c r="B741" s="39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39"/>
      <c r="B742" s="39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39"/>
      <c r="B743" s="39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39"/>
      <c r="B744" s="39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39"/>
      <c r="B745" s="39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39"/>
      <c r="B746" s="39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39"/>
      <c r="B747" s="39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39"/>
      <c r="B748" s="39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39"/>
      <c r="B749" s="39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39"/>
      <c r="B750" s="39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39"/>
      <c r="B751" s="39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39"/>
      <c r="B752" s="39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39"/>
      <c r="B753" s="39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39"/>
      <c r="B754" s="39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39"/>
      <c r="B755" s="39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39"/>
      <c r="B756" s="39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39"/>
      <c r="B757" s="39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39"/>
      <c r="B758" s="39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39"/>
      <c r="B759" s="39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39"/>
      <c r="B760" s="39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39"/>
      <c r="B761" s="39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39"/>
      <c r="B762" s="39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39"/>
      <c r="B763" s="39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39"/>
      <c r="B764" s="39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39"/>
      <c r="B765" s="39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39"/>
      <c r="B766" s="39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39"/>
      <c r="B767" s="39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39"/>
      <c r="B768" s="39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39"/>
      <c r="B769" s="39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39"/>
      <c r="B770" s="39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39"/>
      <c r="B771" s="39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39"/>
      <c r="B772" s="39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39"/>
      <c r="B773" s="39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39"/>
      <c r="B774" s="39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39"/>
      <c r="B775" s="39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39"/>
      <c r="B776" s="39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39"/>
      <c r="B777" s="39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39"/>
      <c r="B778" s="39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39"/>
      <c r="B779" s="39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39"/>
      <c r="B780" s="39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39"/>
      <c r="B781" s="39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39"/>
      <c r="B782" s="39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39"/>
      <c r="B783" s="39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39"/>
      <c r="B784" s="39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39"/>
      <c r="B785" s="39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39"/>
      <c r="B786" s="39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39"/>
      <c r="B787" s="39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39"/>
      <c r="B788" s="39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39"/>
      <c r="B789" s="39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39"/>
      <c r="B790" s="39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39"/>
      <c r="B791" s="39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39"/>
      <c r="B792" s="39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39"/>
      <c r="B793" s="39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39"/>
      <c r="B794" s="39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39"/>
      <c r="B795" s="39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39"/>
      <c r="B796" s="39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39"/>
      <c r="B797" s="39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39"/>
      <c r="B798" s="39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39"/>
      <c r="B799" s="39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39"/>
      <c r="B800" s="39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39"/>
      <c r="B801" s="39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39"/>
      <c r="B802" s="39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39"/>
      <c r="B803" s="39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39"/>
      <c r="B804" s="39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39"/>
      <c r="B805" s="39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39"/>
      <c r="B806" s="39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39"/>
      <c r="B807" s="39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39"/>
      <c r="B808" s="39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39"/>
      <c r="B809" s="39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39"/>
      <c r="B810" s="39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39"/>
      <c r="B811" s="39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39"/>
      <c r="B812" s="39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39"/>
      <c r="B813" s="39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39"/>
      <c r="B814" s="39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39"/>
      <c r="B815" s="39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39"/>
      <c r="B816" s="39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39"/>
      <c r="B817" s="39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39"/>
      <c r="B818" s="39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39"/>
      <c r="B819" s="39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39"/>
      <c r="B820" s="39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39"/>
      <c r="B821" s="39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39"/>
      <c r="B822" s="39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39"/>
      <c r="B823" s="39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39"/>
      <c r="B824" s="39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39"/>
      <c r="B825" s="39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39"/>
      <c r="B826" s="39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39"/>
      <c r="B827" s="39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39"/>
      <c r="B828" s="39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39"/>
      <c r="B829" s="39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39"/>
      <c r="B830" s="39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39"/>
      <c r="B831" s="39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39"/>
      <c r="B832" s="39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39"/>
      <c r="B833" s="39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39"/>
      <c r="B834" s="39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39"/>
      <c r="B835" s="39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39"/>
      <c r="B836" s="39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39"/>
      <c r="B837" s="39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39"/>
      <c r="B838" s="39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39"/>
      <c r="B839" s="39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39"/>
      <c r="B840" s="39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39"/>
      <c r="B841" s="39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39"/>
      <c r="B842" s="39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39"/>
      <c r="B843" s="39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39"/>
      <c r="B844" s="39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39"/>
      <c r="B845" s="39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39"/>
      <c r="B846" s="39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39"/>
      <c r="B847" s="39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39"/>
      <c r="B848" s="39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39"/>
      <c r="B849" s="39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39"/>
      <c r="B850" s="39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39"/>
      <c r="B851" s="39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39"/>
      <c r="B852" s="39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39"/>
      <c r="B853" s="39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39"/>
      <c r="B854" s="39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39"/>
      <c r="B855" s="39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39"/>
      <c r="B856" s="39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39"/>
      <c r="B857" s="39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39"/>
      <c r="B858" s="39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39"/>
      <c r="B859" s="39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39"/>
      <c r="B860" s="39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39"/>
      <c r="B861" s="39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39"/>
      <c r="B862" s="39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39"/>
      <c r="B863" s="39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39"/>
      <c r="B864" s="39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39"/>
      <c r="B865" s="39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39"/>
      <c r="B866" s="39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39"/>
      <c r="B867" s="39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39"/>
      <c r="B868" s="39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39"/>
      <c r="B869" s="39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39"/>
      <c r="B870" s="39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39"/>
      <c r="B871" s="39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39"/>
      <c r="B872" s="39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39"/>
      <c r="B873" s="39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39"/>
      <c r="B874" s="39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39"/>
      <c r="B875" s="39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39"/>
      <c r="B876" s="39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39"/>
      <c r="B877" s="39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39"/>
      <c r="B878" s="39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39"/>
      <c r="B879" s="39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39"/>
      <c r="B880" s="39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39"/>
      <c r="B881" s="39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39"/>
      <c r="B882" s="39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39"/>
      <c r="B883" s="39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39"/>
      <c r="B884" s="39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39"/>
      <c r="B885" s="39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39"/>
      <c r="B886" s="39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39"/>
      <c r="B887" s="39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39"/>
      <c r="B888" s="39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39"/>
      <c r="B889" s="39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39"/>
      <c r="B890" s="39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39"/>
      <c r="B891" s="39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39"/>
      <c r="B892" s="39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39"/>
      <c r="B893" s="39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39"/>
      <c r="B894" s="39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39"/>
      <c r="B895" s="39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39"/>
      <c r="B896" s="39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39"/>
      <c r="B897" s="39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39"/>
      <c r="B898" s="39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39"/>
      <c r="B899" s="39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39"/>
      <c r="B900" s="39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39"/>
      <c r="B901" s="39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39"/>
      <c r="B902" s="39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39"/>
      <c r="B903" s="39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39"/>
      <c r="B904" s="39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39"/>
      <c r="B905" s="39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39"/>
      <c r="B906" s="39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39"/>
      <c r="B907" s="39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39"/>
      <c r="B908" s="39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39"/>
      <c r="B909" s="39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39"/>
      <c r="B910" s="39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39"/>
      <c r="B911" s="39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39"/>
      <c r="B912" s="39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39"/>
      <c r="B913" s="39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39"/>
      <c r="B914" s="39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39"/>
      <c r="B915" s="39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39"/>
      <c r="B916" s="39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39"/>
      <c r="B917" s="39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39"/>
      <c r="B918" s="39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39"/>
      <c r="B919" s="39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39"/>
      <c r="B920" s="39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39"/>
      <c r="B921" s="39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39"/>
      <c r="B922" s="39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39"/>
      <c r="B923" s="39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39"/>
      <c r="B924" s="39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39"/>
      <c r="B925" s="39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39"/>
      <c r="B926" s="39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39"/>
      <c r="B927" s="39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39"/>
      <c r="B928" s="39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39"/>
      <c r="B929" s="39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39"/>
      <c r="B930" s="39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39"/>
      <c r="B931" s="39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39"/>
      <c r="B932" s="39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39"/>
      <c r="B933" s="39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39"/>
      <c r="B934" s="39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39"/>
      <c r="B935" s="39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39"/>
      <c r="B936" s="39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39"/>
      <c r="B937" s="39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39"/>
      <c r="B938" s="39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39"/>
      <c r="B939" s="39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39"/>
      <c r="B940" s="39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39"/>
      <c r="B941" s="39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39"/>
      <c r="B942" s="39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39"/>
      <c r="B943" s="39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39"/>
      <c r="B944" s="39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39"/>
      <c r="B945" s="39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39"/>
      <c r="B946" s="39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39"/>
      <c r="B947" s="39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39"/>
      <c r="B948" s="39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39"/>
      <c r="B949" s="39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39"/>
      <c r="B950" s="39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39"/>
      <c r="B951" s="39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39"/>
      <c r="B952" s="39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39"/>
      <c r="B953" s="39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39"/>
      <c r="B954" s="39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39"/>
      <c r="B955" s="39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39"/>
      <c r="B956" s="39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39"/>
      <c r="B957" s="39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39"/>
      <c r="B958" s="39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39"/>
      <c r="B959" s="39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39"/>
      <c r="B960" s="39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39"/>
      <c r="B961" s="39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39"/>
      <c r="B962" s="39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39"/>
      <c r="B963" s="39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39"/>
      <c r="B964" s="39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39"/>
      <c r="B965" s="39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39"/>
      <c r="B966" s="39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39"/>
      <c r="B967" s="39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39"/>
      <c r="B968" s="39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39"/>
      <c r="B969" s="39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39"/>
      <c r="B970" s="39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39"/>
      <c r="B971" s="39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39"/>
      <c r="B972" s="39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39"/>
      <c r="B973" s="39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39"/>
      <c r="B974" s="39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39"/>
      <c r="B975" s="39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39"/>
      <c r="B976" s="39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39"/>
      <c r="B977" s="39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39"/>
      <c r="B978" s="39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39"/>
      <c r="B979" s="39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39"/>
      <c r="B980" s="39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39"/>
      <c r="B981" s="39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39"/>
      <c r="B982" s="39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39"/>
      <c r="B983" s="39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39"/>
      <c r="B984" s="39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39"/>
      <c r="B985" s="39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39"/>
      <c r="B986" s="39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39"/>
      <c r="B987" s="39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39"/>
      <c r="B988" s="39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39"/>
      <c r="B989" s="39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39"/>
      <c r="B990" s="39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39"/>
      <c r="B991" s="39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39"/>
      <c r="B992" s="39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39"/>
      <c r="B993" s="39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39"/>
      <c r="B994" s="39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39"/>
      <c r="B995" s="39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39"/>
      <c r="B996" s="39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39"/>
      <c r="B997" s="39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39"/>
      <c r="B998" s="39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39"/>
      <c r="B999" s="39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39"/>
      <c r="B1000" s="39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5">
    <mergeCell ref="A1:O1"/>
    <mergeCell ref="A3:B3"/>
    <mergeCell ref="A4:A9"/>
    <mergeCell ref="A11:B11"/>
    <mergeCell ref="A12:A15"/>
  </mergeCells>
  <printOptions/>
  <pageMargins bottom="0.787401575" footer="0.0" header="0.0" left="0.511811024" right="0.511811024" top="0.7874015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8.63"/>
  </cols>
  <sheetData>
    <row r="1">
      <c r="A1" s="47" t="s">
        <v>111</v>
      </c>
    </row>
    <row r="2">
      <c r="A2" s="47" t="s">
        <v>112</v>
      </c>
      <c r="B2" s="47" t="s">
        <v>113</v>
      </c>
      <c r="C2" s="47" t="s">
        <v>114</v>
      </c>
    </row>
    <row r="3">
      <c r="A3" s="47" t="s">
        <v>115</v>
      </c>
      <c r="B3" s="47">
        <v>300.0</v>
      </c>
      <c r="C3" s="47">
        <v>241.0</v>
      </c>
    </row>
    <row r="4">
      <c r="A4" s="47" t="s">
        <v>116</v>
      </c>
      <c r="B4" s="47">
        <v>285.0</v>
      </c>
      <c r="C4" s="47">
        <v>241.0</v>
      </c>
    </row>
    <row r="5">
      <c r="A5" s="47" t="s">
        <v>117</v>
      </c>
      <c r="B5" s="47">
        <v>300.0</v>
      </c>
      <c r="C5" s="47">
        <v>241.0</v>
      </c>
    </row>
    <row r="10">
      <c r="A10" s="47" t="s">
        <v>118</v>
      </c>
      <c r="B10" s="48">
        <v>0.0055</v>
      </c>
    </row>
    <row r="11">
      <c r="A11" s="47" t="s">
        <v>114</v>
      </c>
      <c r="B11" s="49">
        <v>0.05</v>
      </c>
    </row>
    <row r="21" ht="15.75" customHeight="1"/>
    <row r="22" ht="15.75" customHeight="1"/>
    <row r="23" ht="15.75" customHeight="1"/>
    <row r="24" ht="15.75" customHeight="1">
      <c r="A24" s="47" t="s">
        <v>119</v>
      </c>
      <c r="B24" s="47" t="s">
        <v>120</v>
      </c>
    </row>
    <row r="25" ht="15.75" customHeight="1">
      <c r="A25" s="47" t="s">
        <v>121</v>
      </c>
      <c r="B25" s="50">
        <v>36699.0</v>
      </c>
    </row>
    <row r="26" ht="15.75" customHeight="1">
      <c r="A26" s="47" t="s">
        <v>122</v>
      </c>
      <c r="B26" s="50">
        <v>24000.0</v>
      </c>
    </row>
    <row r="27" ht="15.75" customHeight="1"/>
    <row r="28" ht="15.75" customHeight="1"/>
    <row r="29" ht="15.75" customHeight="1"/>
    <row r="30" ht="15.75" customHeight="1">
      <c r="B30" s="47" t="s">
        <v>115</v>
      </c>
      <c r="C30" s="47" t="s">
        <v>116</v>
      </c>
      <c r="D30" s="47" t="s">
        <v>117</v>
      </c>
    </row>
    <row r="31" ht="15.75" customHeight="1">
      <c r="A31" s="47" t="s">
        <v>123</v>
      </c>
      <c r="B31" s="47">
        <v>378.0</v>
      </c>
      <c r="C31" s="47">
        <v>501.0</v>
      </c>
      <c r="D31" s="47">
        <v>445.0</v>
      </c>
    </row>
    <row r="32" ht="15.75" customHeight="1"/>
    <row r="33" ht="15.75" customHeight="1">
      <c r="B33" s="47" t="s">
        <v>115</v>
      </c>
      <c r="C33" s="47" t="s">
        <v>116</v>
      </c>
      <c r="D33" s="47" t="s">
        <v>117</v>
      </c>
    </row>
    <row r="34" ht="15.75" customHeight="1">
      <c r="A34" s="47" t="s">
        <v>124</v>
      </c>
      <c r="B34" s="51">
        <v>0.13125</v>
      </c>
      <c r="C34" s="51">
        <v>0.21074074074074073</v>
      </c>
      <c r="D34" s="51">
        <v>0.13873842592592592</v>
      </c>
    </row>
    <row r="35" ht="15.75" customHeight="1">
      <c r="A35" s="47" t="s">
        <v>114</v>
      </c>
      <c r="B35" s="52">
        <v>0.08333333333333333</v>
      </c>
      <c r="C35" s="52">
        <v>0.08333333333333333</v>
      </c>
      <c r="D35" s="52">
        <v>0.08333333333333333</v>
      </c>
    </row>
    <row r="36" ht="15.75" customHeight="1"/>
    <row r="37" ht="15.75" customHeight="1"/>
    <row r="38" ht="15.75" customHeight="1">
      <c r="B38" s="47" t="s">
        <v>115</v>
      </c>
      <c r="C38" s="47" t="s">
        <v>116</v>
      </c>
      <c r="D38" s="47" t="s">
        <v>117</v>
      </c>
    </row>
    <row r="39" ht="15.75" customHeight="1">
      <c r="A39" s="47" t="s">
        <v>125</v>
      </c>
      <c r="B39" s="49">
        <v>0.88</v>
      </c>
      <c r="C39" s="49">
        <v>0.81</v>
      </c>
      <c r="D39" s="49">
        <v>0.96</v>
      </c>
    </row>
    <row r="40" ht="15.75" customHeight="1">
      <c r="A40" s="47" t="s">
        <v>114</v>
      </c>
      <c r="B40" s="49">
        <v>0.8</v>
      </c>
      <c r="C40" s="49">
        <v>0.8</v>
      </c>
      <c r="D40" s="49">
        <v>0.8</v>
      </c>
    </row>
    <row r="41" ht="15.75" customHeight="1"/>
    <row r="42" ht="15.75" customHeight="1">
      <c r="B42" s="47" t="s">
        <v>115</v>
      </c>
      <c r="C42" s="47" t="s">
        <v>116</v>
      </c>
      <c r="D42" s="47" t="s">
        <v>117</v>
      </c>
    </row>
    <row r="43" ht="15.75" customHeight="1">
      <c r="A43" s="47" t="s">
        <v>126</v>
      </c>
      <c r="B43" s="37">
        <v>455.0</v>
      </c>
      <c r="C43" s="37">
        <v>396.0</v>
      </c>
      <c r="D43" s="37">
        <v>320.0</v>
      </c>
    </row>
    <row r="44" ht="15.75" customHeight="1">
      <c r="A44" s="47" t="s">
        <v>127</v>
      </c>
      <c r="B44" s="53">
        <v>1.0</v>
      </c>
      <c r="C44" s="53">
        <v>1.0</v>
      </c>
      <c r="D44" s="53">
        <v>1.0</v>
      </c>
    </row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75"/>
    <col customWidth="1" min="2" max="2" width="35.88"/>
    <col customWidth="1" min="3" max="3" width="10.0"/>
    <col customWidth="1" min="4" max="4" width="12.25"/>
    <col customWidth="1" min="5" max="5" width="9.88"/>
    <col customWidth="1" min="6" max="6" width="12.38"/>
    <col customWidth="1" min="7" max="7" width="8.75"/>
    <col customWidth="1" min="8" max="8" width="17.0"/>
    <col customWidth="1" min="9" max="12" width="8.63"/>
    <col customWidth="1" min="13" max="13" width="40.25"/>
    <col customWidth="1" min="14" max="16" width="15.75"/>
    <col customWidth="1" min="17" max="26" width="8.63"/>
  </cols>
  <sheetData>
    <row r="1" ht="29.25" customHeight="1">
      <c r="A1" s="54" t="s">
        <v>128</v>
      </c>
      <c r="B1" s="54" t="s">
        <v>114</v>
      </c>
      <c r="C1" s="55" t="s">
        <v>129</v>
      </c>
      <c r="D1" s="56"/>
      <c r="E1" s="57" t="s">
        <v>130</v>
      </c>
      <c r="F1" s="54" t="s">
        <v>131</v>
      </c>
      <c r="G1" s="57" t="s">
        <v>132</v>
      </c>
      <c r="H1" s="58" t="s">
        <v>133</v>
      </c>
    </row>
    <row r="2">
      <c r="A2" s="59">
        <v>1.0</v>
      </c>
      <c r="B2" s="59" t="s">
        <v>134</v>
      </c>
      <c r="C2" s="60" t="s">
        <v>114</v>
      </c>
      <c r="D2" s="60" t="s">
        <v>135</v>
      </c>
      <c r="E2" s="61" t="str">
        <f>'INDICADORES UPAS'!#REF!</f>
        <v>#ERROR!</v>
      </c>
      <c r="F2" s="61" t="str">
        <f>'INDICADORES UPAS'!#REF!</f>
        <v>#ERROR!</v>
      </c>
      <c r="G2" s="61" t="str">
        <f>'INDICADORES UPAS'!#REF!</f>
        <v>#ERROR!</v>
      </c>
      <c r="H2" s="62" t="str">
        <f t="shared" ref="H2:H41" si="1">AVERAGE(E2:G2)</f>
        <v>#ERROR!</v>
      </c>
      <c r="I2" s="47" t="s">
        <v>136</v>
      </c>
      <c r="J2" s="50">
        <f>SUM(E30:G30)</f>
        <v>0</v>
      </c>
      <c r="T2" s="52">
        <v>0.08333333333333333</v>
      </c>
      <c r="U2" s="52">
        <v>0.08333333333333333</v>
      </c>
      <c r="V2" s="52">
        <v>0.08333333333333333</v>
      </c>
      <c r="W2" s="49">
        <v>0.8</v>
      </c>
      <c r="X2" s="49">
        <v>0.8</v>
      </c>
      <c r="Y2" s="49">
        <v>0.8</v>
      </c>
    </row>
    <row r="3">
      <c r="A3" s="63"/>
      <c r="B3" s="63"/>
      <c r="C3" s="60" t="s">
        <v>137</v>
      </c>
      <c r="D3" s="60">
        <v>10.0</v>
      </c>
      <c r="E3" s="64">
        <v>10.0</v>
      </c>
      <c r="F3" s="64">
        <v>10.0</v>
      </c>
      <c r="G3" s="64">
        <v>10.0</v>
      </c>
      <c r="H3" s="65">
        <f t="shared" si="1"/>
        <v>10</v>
      </c>
      <c r="I3" s="47" t="s">
        <v>122</v>
      </c>
      <c r="J3" s="50">
        <f>8000*3</f>
        <v>24000</v>
      </c>
    </row>
    <row r="4" ht="20.25" customHeight="1">
      <c r="A4" s="66">
        <v>2.0</v>
      </c>
      <c r="B4" s="66" t="s">
        <v>138</v>
      </c>
      <c r="C4" s="67" t="s">
        <v>114</v>
      </c>
      <c r="D4" s="67" t="s">
        <v>139</v>
      </c>
      <c r="E4" s="68" t="str">
        <f>'INDICADORES UPAS'!#REF!</f>
        <v>#ERROR!</v>
      </c>
      <c r="F4" s="68" t="str">
        <f>'INDICADORES UPAS'!#REF!</f>
        <v>#ERROR!</v>
      </c>
      <c r="G4" s="68" t="str">
        <f>'INDICADORES UPAS'!#REF!</f>
        <v>#ERROR!</v>
      </c>
      <c r="H4" s="62" t="str">
        <f t="shared" si="1"/>
        <v>#ERROR!</v>
      </c>
    </row>
    <row r="5" ht="20.25" customHeight="1">
      <c r="A5" s="63"/>
      <c r="B5" s="63"/>
      <c r="C5" s="67" t="s">
        <v>137</v>
      </c>
      <c r="D5" s="67">
        <v>20.0</v>
      </c>
      <c r="E5" s="69">
        <v>20.0</v>
      </c>
      <c r="F5" s="69">
        <v>20.0</v>
      </c>
      <c r="G5" s="69">
        <v>20.0</v>
      </c>
      <c r="H5" s="65">
        <f t="shared" si="1"/>
        <v>20</v>
      </c>
    </row>
    <row r="6">
      <c r="A6" s="59">
        <v>3.0</v>
      </c>
      <c r="B6" s="59" t="s">
        <v>140</v>
      </c>
      <c r="C6" s="60" t="s">
        <v>114</v>
      </c>
      <c r="D6" s="60" t="s">
        <v>141</v>
      </c>
      <c r="E6" s="70" t="str">
        <f>'INDICADORES UPAS'!#REF!</f>
        <v>#ERROR!</v>
      </c>
      <c r="F6" s="70" t="str">
        <f>'INDICADORES UPAS'!#REF!</f>
        <v>#ERROR!</v>
      </c>
      <c r="G6" s="70" t="str">
        <f>'INDICADORES UPAS'!#REF!</f>
        <v>#ERROR!</v>
      </c>
      <c r="H6" s="71" t="str">
        <f t="shared" si="1"/>
        <v>#ERROR!</v>
      </c>
    </row>
    <row r="7">
      <c r="A7" s="63"/>
      <c r="B7" s="63"/>
      <c r="C7" s="60" t="s">
        <v>137</v>
      </c>
      <c r="D7" s="60">
        <v>20.0</v>
      </c>
      <c r="E7" s="72">
        <v>20.0</v>
      </c>
      <c r="F7" s="72">
        <v>20.0</v>
      </c>
      <c r="G7" s="72">
        <v>20.0</v>
      </c>
      <c r="H7" s="65">
        <f t="shared" si="1"/>
        <v>20</v>
      </c>
    </row>
    <row r="8" ht="20.25" customHeight="1">
      <c r="A8" s="66">
        <v>4.0</v>
      </c>
      <c r="B8" s="66" t="s">
        <v>142</v>
      </c>
      <c r="C8" s="67" t="s">
        <v>114</v>
      </c>
      <c r="D8" s="67" t="s">
        <v>143</v>
      </c>
      <c r="E8" s="73" t="str">
        <f>'INDICADORES UPAS'!#REF!</f>
        <v>#ERROR!</v>
      </c>
      <c r="F8" s="73" t="str">
        <f>'INDICADORES UPAS'!#REF!</f>
        <v>#ERROR!</v>
      </c>
      <c r="G8" s="73" t="str">
        <f>'INDICADORES UPAS'!#REF!</f>
        <v>#ERROR!</v>
      </c>
      <c r="H8" s="62" t="str">
        <f t="shared" si="1"/>
        <v>#ERROR!</v>
      </c>
    </row>
    <row r="9" ht="20.25" customHeight="1">
      <c r="A9" s="63"/>
      <c r="B9" s="63"/>
      <c r="C9" s="67" t="s">
        <v>137</v>
      </c>
      <c r="D9" s="67">
        <v>20.0</v>
      </c>
      <c r="E9" s="74">
        <v>20.0</v>
      </c>
      <c r="F9" s="74">
        <v>20.0</v>
      </c>
      <c r="G9" s="74">
        <v>20.0</v>
      </c>
      <c r="H9" s="65">
        <f t="shared" si="1"/>
        <v>20</v>
      </c>
    </row>
    <row r="10">
      <c r="A10" s="59">
        <v>5.0</v>
      </c>
      <c r="B10" s="59" t="s">
        <v>144</v>
      </c>
      <c r="C10" s="60" t="s">
        <v>114</v>
      </c>
      <c r="D10" s="60" t="s">
        <v>145</v>
      </c>
      <c r="E10" s="75" t="str">
        <f>'INDICADORES UPAS'!#REF!</f>
        <v>#ERROR!</v>
      </c>
      <c r="F10" s="75" t="str">
        <f>'INDICADORES UPAS'!#REF!</f>
        <v>#ERROR!</v>
      </c>
      <c r="G10" s="75" t="str">
        <f>'INDICADORES UPAS'!#REF!</f>
        <v>#ERROR!</v>
      </c>
      <c r="H10" s="71" t="str">
        <f t="shared" si="1"/>
        <v>#ERROR!</v>
      </c>
    </row>
    <row r="11">
      <c r="A11" s="63"/>
      <c r="B11" s="63"/>
      <c r="C11" s="60" t="s">
        <v>137</v>
      </c>
      <c r="D11" s="60">
        <v>20.0</v>
      </c>
      <c r="E11" s="64">
        <v>20.0</v>
      </c>
      <c r="F11" s="64">
        <v>20.0</v>
      </c>
      <c r="G11" s="64">
        <v>20.0</v>
      </c>
      <c r="H11" s="65">
        <f t="shared" si="1"/>
        <v>20</v>
      </c>
    </row>
    <row r="12" ht="20.25" customHeight="1">
      <c r="A12" s="66">
        <v>6.0</v>
      </c>
      <c r="B12" s="66" t="s">
        <v>146</v>
      </c>
      <c r="C12" s="67" t="s">
        <v>114</v>
      </c>
      <c r="D12" s="67" t="s">
        <v>147</v>
      </c>
      <c r="E12" s="73" t="str">
        <f>'INDICADORES UPAS'!#REF!</f>
        <v>#ERROR!</v>
      </c>
      <c r="F12" s="73" t="str">
        <f>'INDICADORES UPAS'!#REF!</f>
        <v>#ERROR!</v>
      </c>
      <c r="G12" s="73" t="str">
        <f>'INDICADORES UPAS'!#REF!</f>
        <v>#ERROR!</v>
      </c>
      <c r="H12" s="62" t="str">
        <f t="shared" si="1"/>
        <v>#ERROR!</v>
      </c>
    </row>
    <row r="13" ht="20.25" customHeight="1">
      <c r="A13" s="63"/>
      <c r="B13" s="63"/>
      <c r="C13" s="67" t="s">
        <v>137</v>
      </c>
      <c r="D13" s="67">
        <v>15.0</v>
      </c>
      <c r="E13" s="74">
        <v>15.0</v>
      </c>
      <c r="F13" s="74">
        <v>15.0</v>
      </c>
      <c r="G13" s="74">
        <v>15.0</v>
      </c>
      <c r="H13" s="65">
        <f t="shared" si="1"/>
        <v>15</v>
      </c>
    </row>
    <row r="14">
      <c r="A14" s="59">
        <v>7.0</v>
      </c>
      <c r="B14" s="59" t="s">
        <v>148</v>
      </c>
      <c r="C14" s="60" t="s">
        <v>114</v>
      </c>
      <c r="D14" s="60" t="s">
        <v>149</v>
      </c>
      <c r="E14" s="75" t="str">
        <f>'INDICADORES UPAS'!#REF!</f>
        <v>#ERROR!</v>
      </c>
      <c r="F14" s="75" t="str">
        <f>'INDICADORES UPAS'!#REF!</f>
        <v>#ERROR!</v>
      </c>
      <c r="G14" s="75" t="str">
        <f>'INDICADORES UPAS'!#REF!</f>
        <v>#ERROR!</v>
      </c>
      <c r="H14" s="71" t="str">
        <f t="shared" si="1"/>
        <v>#ERROR!</v>
      </c>
    </row>
    <row r="15">
      <c r="A15" s="63"/>
      <c r="B15" s="63"/>
      <c r="C15" s="60" t="s">
        <v>137</v>
      </c>
      <c r="D15" s="60">
        <v>15.0</v>
      </c>
      <c r="E15" s="64">
        <v>15.0</v>
      </c>
      <c r="F15" s="64">
        <v>15.0</v>
      </c>
      <c r="G15" s="64">
        <v>15.0</v>
      </c>
      <c r="H15" s="65">
        <f t="shared" si="1"/>
        <v>15</v>
      </c>
    </row>
    <row r="16" ht="20.25" customHeight="1">
      <c r="A16" s="66">
        <v>8.0</v>
      </c>
      <c r="B16" s="66" t="s">
        <v>150</v>
      </c>
      <c r="C16" s="67" t="s">
        <v>114</v>
      </c>
      <c r="D16" s="67" t="s">
        <v>135</v>
      </c>
      <c r="E16" s="73" t="str">
        <f>'INDICADORES UPAS'!#REF!</f>
        <v>#ERROR!</v>
      </c>
      <c r="F16" s="73" t="str">
        <f>'INDICADORES UPAS'!#REF!</f>
        <v>#ERROR!</v>
      </c>
      <c r="G16" s="73" t="str">
        <f>'INDICADORES UPAS'!#REF!</f>
        <v>#ERROR!</v>
      </c>
      <c r="H16" s="62" t="str">
        <f t="shared" si="1"/>
        <v>#ERROR!</v>
      </c>
    </row>
    <row r="17" ht="20.25" customHeight="1">
      <c r="A17" s="63"/>
      <c r="B17" s="63"/>
      <c r="C17" s="67" t="s">
        <v>137</v>
      </c>
      <c r="D17" s="67">
        <v>15.0</v>
      </c>
      <c r="E17" s="74">
        <v>15.0</v>
      </c>
      <c r="F17" s="74">
        <v>15.0</v>
      </c>
      <c r="G17" s="74">
        <v>15.0</v>
      </c>
      <c r="H17" s="65">
        <f t="shared" si="1"/>
        <v>15</v>
      </c>
    </row>
    <row r="18">
      <c r="A18" s="59">
        <v>9.0</v>
      </c>
      <c r="B18" s="59" t="s">
        <v>151</v>
      </c>
      <c r="C18" s="60" t="s">
        <v>114</v>
      </c>
      <c r="D18" s="60" t="s">
        <v>152</v>
      </c>
      <c r="E18" s="75" t="str">
        <f>'INDICADORES UPAS'!#REF!</f>
        <v>#ERROR!</v>
      </c>
      <c r="F18" s="75" t="str">
        <f>'INDICADORES UPAS'!#REF!</f>
        <v>#ERROR!</v>
      </c>
      <c r="G18" s="75" t="str">
        <f>'INDICADORES UPAS'!#REF!</f>
        <v>#ERROR!</v>
      </c>
      <c r="H18" s="71" t="str">
        <f t="shared" si="1"/>
        <v>#ERROR!</v>
      </c>
    </row>
    <row r="19">
      <c r="A19" s="63"/>
      <c r="B19" s="63"/>
      <c r="C19" s="60" t="s">
        <v>137</v>
      </c>
      <c r="D19" s="60">
        <v>15.0</v>
      </c>
      <c r="E19" s="64">
        <v>15.0</v>
      </c>
      <c r="F19" s="64">
        <v>15.0</v>
      </c>
      <c r="G19" s="64">
        <v>15.0</v>
      </c>
      <c r="H19" s="65">
        <f t="shared" si="1"/>
        <v>15</v>
      </c>
    </row>
    <row r="20" ht="20.25" customHeight="1">
      <c r="A20" s="66">
        <v>10.0</v>
      </c>
      <c r="B20" s="66" t="s">
        <v>153</v>
      </c>
      <c r="C20" s="67" t="s">
        <v>114</v>
      </c>
      <c r="D20" s="67" t="s">
        <v>135</v>
      </c>
      <c r="E20" s="73" t="str">
        <f>'INDICADORES UPAS'!#REF!</f>
        <v>#ERROR!</v>
      </c>
      <c r="F20" s="73" t="str">
        <f>'INDICADORES UPAS'!#REF!</f>
        <v>#ERROR!</v>
      </c>
      <c r="G20" s="73" t="str">
        <f>'INDICADORES UPAS'!#REF!</f>
        <v>#ERROR!</v>
      </c>
      <c r="H20" s="62" t="str">
        <f t="shared" si="1"/>
        <v>#ERROR!</v>
      </c>
    </row>
    <row r="21" ht="20.25" customHeight="1">
      <c r="A21" s="63"/>
      <c r="B21" s="63"/>
      <c r="C21" s="67" t="s">
        <v>137</v>
      </c>
      <c r="D21" s="67">
        <v>10.0</v>
      </c>
      <c r="E21" s="74">
        <v>10.0</v>
      </c>
      <c r="F21" s="74">
        <v>10.0</v>
      </c>
      <c r="G21" s="74">
        <v>10.0</v>
      </c>
      <c r="H21" s="65">
        <f t="shared" si="1"/>
        <v>10</v>
      </c>
    </row>
    <row r="22" ht="15.75" customHeight="1">
      <c r="A22" s="59">
        <v>11.0</v>
      </c>
      <c r="B22" s="59" t="s">
        <v>154</v>
      </c>
      <c r="C22" s="60" t="s">
        <v>114</v>
      </c>
      <c r="D22" s="60" t="s">
        <v>155</v>
      </c>
      <c r="E22" s="75" t="str">
        <f>'INDICADORES UPAS'!#REF!</f>
        <v>#ERROR!</v>
      </c>
      <c r="F22" s="75" t="str">
        <f>'INDICADORES UPAS'!#REF!</f>
        <v>#ERROR!</v>
      </c>
      <c r="G22" s="75" t="str">
        <f>'INDICADORES UPAS'!#REF!</f>
        <v>#ERROR!</v>
      </c>
      <c r="H22" s="71" t="str">
        <f t="shared" si="1"/>
        <v>#ERROR!</v>
      </c>
    </row>
    <row r="23" ht="15.75" customHeight="1">
      <c r="A23" s="63"/>
      <c r="B23" s="63"/>
      <c r="C23" s="60" t="s">
        <v>137</v>
      </c>
      <c r="D23" s="60">
        <v>10.0</v>
      </c>
      <c r="E23" s="64">
        <v>10.0</v>
      </c>
      <c r="F23" s="64">
        <v>10.0</v>
      </c>
      <c r="G23" s="64">
        <v>10.0</v>
      </c>
      <c r="H23" s="65">
        <f t="shared" si="1"/>
        <v>10</v>
      </c>
    </row>
    <row r="24" ht="20.25" customHeight="1">
      <c r="A24" s="66">
        <v>12.0</v>
      </c>
      <c r="B24" s="66" t="s">
        <v>156</v>
      </c>
      <c r="C24" s="67" t="s">
        <v>114</v>
      </c>
      <c r="D24" s="76">
        <f>100%</f>
        <v>1</v>
      </c>
      <c r="E24" s="73">
        <v>1.0</v>
      </c>
      <c r="F24" s="73">
        <v>1.0</v>
      </c>
      <c r="G24" s="73">
        <v>1.0</v>
      </c>
      <c r="H24" s="62">
        <f t="shared" si="1"/>
        <v>1</v>
      </c>
    </row>
    <row r="25" ht="20.25" customHeight="1">
      <c r="A25" s="63"/>
      <c r="B25" s="63"/>
      <c r="C25" s="67" t="s">
        <v>137</v>
      </c>
      <c r="D25" s="67">
        <v>15.0</v>
      </c>
      <c r="E25" s="74">
        <v>15.0</v>
      </c>
      <c r="F25" s="74">
        <v>15.0</v>
      </c>
      <c r="G25" s="74">
        <v>15.0</v>
      </c>
      <c r="H25" s="65">
        <f t="shared" si="1"/>
        <v>15</v>
      </c>
    </row>
    <row r="26" ht="15.75" customHeight="1">
      <c r="A26" s="59">
        <v>13.0</v>
      </c>
      <c r="B26" s="59" t="s">
        <v>157</v>
      </c>
      <c r="C26" s="60" t="s">
        <v>114</v>
      </c>
      <c r="D26" s="60" t="s">
        <v>145</v>
      </c>
      <c r="E26" s="75" t="str">
        <f>'INDICADORES UPA LUZIÂNIA'!I28</f>
        <v/>
      </c>
      <c r="F26" s="75" t="str">
        <f>'INDICADORES UPA LUZIÂNIA'!J28</f>
        <v/>
      </c>
      <c r="G26" s="75" t="str">
        <f>'INDICADORES UPA LUZIÂNIA'!K28</f>
        <v/>
      </c>
      <c r="H26" s="71" t="str">
        <f t="shared" si="1"/>
        <v>#DIV/0!</v>
      </c>
    </row>
    <row r="27" ht="15.75" customHeight="1">
      <c r="A27" s="63"/>
      <c r="B27" s="63"/>
      <c r="C27" s="60" t="s">
        <v>137</v>
      </c>
      <c r="D27" s="60">
        <v>15.0</v>
      </c>
      <c r="E27" s="77">
        <v>15.0</v>
      </c>
      <c r="F27" s="77">
        <v>15.0</v>
      </c>
      <c r="G27" s="77">
        <v>15.0</v>
      </c>
      <c r="H27" s="65">
        <f t="shared" si="1"/>
        <v>15</v>
      </c>
    </row>
    <row r="28" ht="15.75" customHeight="1">
      <c r="A28" s="66">
        <v>14.0</v>
      </c>
      <c r="B28" s="66" t="s">
        <v>158</v>
      </c>
      <c r="C28" s="67" t="s">
        <v>114</v>
      </c>
      <c r="D28" s="67" t="s">
        <v>159</v>
      </c>
      <c r="E28" s="78" t="str">
        <f>'INDICADORES UPAS'!#REF!</f>
        <v>#ERROR!</v>
      </c>
      <c r="F28" s="78" t="str">
        <f>'INDICADORES UPAS'!#REF!</f>
        <v>#ERROR!</v>
      </c>
      <c r="G28" s="78" t="str">
        <f>'INDICADORES UPAS'!#REF!</f>
        <v>#ERROR!</v>
      </c>
      <c r="H28" s="79" t="str">
        <f t="shared" si="1"/>
        <v>#ERROR!</v>
      </c>
      <c r="I28" s="49">
        <v>0.05</v>
      </c>
    </row>
    <row r="29" ht="15.75" customHeight="1">
      <c r="A29" s="63"/>
      <c r="B29" s="63"/>
      <c r="C29" s="67" t="s">
        <v>137</v>
      </c>
      <c r="D29" s="67">
        <v>10.0</v>
      </c>
      <c r="E29" s="80">
        <v>10.0</v>
      </c>
      <c r="F29" s="80">
        <v>10.0</v>
      </c>
      <c r="G29" s="80">
        <v>10.0</v>
      </c>
      <c r="H29" s="65">
        <f t="shared" si="1"/>
        <v>10</v>
      </c>
    </row>
    <row r="30" ht="15.75" customHeight="1">
      <c r="A30" s="59">
        <v>15.0</v>
      </c>
      <c r="B30" s="59" t="s">
        <v>160</v>
      </c>
      <c r="C30" s="60" t="s">
        <v>114</v>
      </c>
      <c r="D30" s="60" t="s">
        <v>161</v>
      </c>
      <c r="E30" s="64" t="str">
        <f>'INDICADORES UPA LUZIÂNIA'!I8</f>
        <v/>
      </c>
      <c r="F30" s="64" t="str">
        <f>'INDICADORES UPA LUZIÂNIA'!J8</f>
        <v/>
      </c>
      <c r="G30" s="64" t="str">
        <f>'INDICADORES UPA LUZIÂNIA'!K8</f>
        <v/>
      </c>
      <c r="H30" s="65" t="str">
        <f t="shared" si="1"/>
        <v>#DIV/0!</v>
      </c>
    </row>
    <row r="31" ht="15.75" customHeight="1">
      <c r="A31" s="63"/>
      <c r="B31" s="63"/>
      <c r="C31" s="60" t="s">
        <v>137</v>
      </c>
      <c r="D31" s="60">
        <v>10.0</v>
      </c>
      <c r="E31" s="77">
        <v>10.0</v>
      </c>
      <c r="F31" s="77">
        <v>10.0</v>
      </c>
      <c r="G31" s="77">
        <v>10.0</v>
      </c>
      <c r="H31" s="65">
        <f t="shared" si="1"/>
        <v>10</v>
      </c>
    </row>
    <row r="32" ht="15.75" customHeight="1">
      <c r="A32" s="66">
        <v>16.0</v>
      </c>
      <c r="B32" s="66" t="s">
        <v>162</v>
      </c>
      <c r="C32" s="67" t="s">
        <v>114</v>
      </c>
      <c r="D32" s="76">
        <v>1.0</v>
      </c>
      <c r="E32" s="73">
        <v>1.0</v>
      </c>
      <c r="F32" s="73">
        <v>1.0</v>
      </c>
      <c r="G32" s="73">
        <v>1.0</v>
      </c>
      <c r="H32" s="79">
        <f t="shared" si="1"/>
        <v>1</v>
      </c>
    </row>
    <row r="33" ht="15.75" customHeight="1">
      <c r="A33" s="63"/>
      <c r="B33" s="63"/>
      <c r="C33" s="67" t="s">
        <v>137</v>
      </c>
      <c r="D33" s="67">
        <v>5.0</v>
      </c>
      <c r="E33" s="80">
        <v>5.0</v>
      </c>
      <c r="F33" s="80">
        <v>5.0</v>
      </c>
      <c r="G33" s="80">
        <v>5.0</v>
      </c>
      <c r="H33" s="65">
        <f t="shared" si="1"/>
        <v>5</v>
      </c>
    </row>
    <row r="34" ht="15.75" customHeight="1">
      <c r="A34" s="59">
        <v>17.0</v>
      </c>
      <c r="B34" s="59" t="s">
        <v>163</v>
      </c>
      <c r="C34" s="60" t="s">
        <v>114</v>
      </c>
      <c r="D34" s="81">
        <v>1.0</v>
      </c>
      <c r="E34" s="82">
        <v>1.0</v>
      </c>
      <c r="F34" s="82">
        <v>1.0</v>
      </c>
      <c r="G34" s="82">
        <v>1.0</v>
      </c>
      <c r="H34" s="79">
        <f t="shared" si="1"/>
        <v>1</v>
      </c>
    </row>
    <row r="35" ht="15.75" customHeight="1">
      <c r="A35" s="63"/>
      <c r="B35" s="63"/>
      <c r="C35" s="60" t="s">
        <v>137</v>
      </c>
      <c r="D35" s="60">
        <v>10.0</v>
      </c>
      <c r="E35" s="83">
        <v>10.0</v>
      </c>
      <c r="F35" s="83">
        <v>10.0</v>
      </c>
      <c r="G35" s="83">
        <v>10.0</v>
      </c>
      <c r="H35" s="65">
        <f t="shared" si="1"/>
        <v>10</v>
      </c>
    </row>
    <row r="36" ht="15.75" customHeight="1">
      <c r="A36" s="66">
        <v>18.0</v>
      </c>
      <c r="B36" s="66" t="s">
        <v>164</v>
      </c>
      <c r="C36" s="67" t="s">
        <v>114</v>
      </c>
      <c r="D36" s="67" t="s">
        <v>165</v>
      </c>
      <c r="E36" s="84" t="str">
        <f>'INDICADORES UPAS'!#REF!</f>
        <v>#ERROR!</v>
      </c>
      <c r="F36" s="84" t="str">
        <f>'INDICADORES UPAS'!#REF!</f>
        <v>#ERROR!</v>
      </c>
      <c r="G36" s="84" t="str">
        <f>'INDICADORES UPAS'!#REF!</f>
        <v>#ERROR!</v>
      </c>
      <c r="H36" s="85" t="str">
        <f t="shared" si="1"/>
        <v>#ERROR!</v>
      </c>
    </row>
    <row r="37" ht="15.75" customHeight="1">
      <c r="A37" s="63"/>
      <c r="B37" s="63"/>
      <c r="C37" s="67" t="s">
        <v>137</v>
      </c>
      <c r="D37" s="67">
        <v>5.0</v>
      </c>
      <c r="E37" s="86">
        <v>5.0</v>
      </c>
      <c r="F37" s="86">
        <v>5.0</v>
      </c>
      <c r="G37" s="86">
        <v>5.0</v>
      </c>
      <c r="H37" s="65">
        <f t="shared" si="1"/>
        <v>5</v>
      </c>
    </row>
    <row r="38" ht="15.75" customHeight="1">
      <c r="A38" s="59">
        <v>19.0</v>
      </c>
      <c r="B38" s="59" t="s">
        <v>166</v>
      </c>
      <c r="C38" s="60" t="s">
        <v>114</v>
      </c>
      <c r="D38" s="60" t="s">
        <v>167</v>
      </c>
      <c r="E38" s="82" t="str">
        <f>'INDICADORES UPAS'!#REF!</f>
        <v>#ERROR!</v>
      </c>
      <c r="F38" s="82" t="str">
        <f>'INDICADORES UPAS'!#REF!</f>
        <v>#ERROR!</v>
      </c>
      <c r="G38" s="82" t="str">
        <f>'INDICADORES UPAS'!#REF!</f>
        <v>#ERROR!</v>
      </c>
      <c r="H38" s="62" t="str">
        <f t="shared" si="1"/>
        <v>#ERROR!</v>
      </c>
    </row>
    <row r="39" ht="15.75" customHeight="1">
      <c r="A39" s="63"/>
      <c r="B39" s="63"/>
      <c r="C39" s="60" t="s">
        <v>137</v>
      </c>
      <c r="D39" s="60">
        <v>5.0</v>
      </c>
      <c r="E39" s="83">
        <v>5.0</v>
      </c>
      <c r="F39" s="83">
        <v>5.0</v>
      </c>
      <c r="G39" s="77">
        <v>5.0</v>
      </c>
      <c r="H39" s="65">
        <f t="shared" si="1"/>
        <v>5</v>
      </c>
    </row>
    <row r="40" ht="15.75" customHeight="1">
      <c r="A40" s="66">
        <v>20.0</v>
      </c>
      <c r="B40" s="66" t="s">
        <v>168</v>
      </c>
      <c r="C40" s="67" t="s">
        <v>114</v>
      </c>
      <c r="D40" s="76">
        <v>1.0</v>
      </c>
      <c r="E40" s="68">
        <v>1.0</v>
      </c>
      <c r="F40" s="68">
        <v>1.0</v>
      </c>
      <c r="G40" s="68">
        <v>1.0</v>
      </c>
      <c r="H40" s="62">
        <f t="shared" si="1"/>
        <v>1</v>
      </c>
    </row>
    <row r="41" ht="15.75" customHeight="1">
      <c r="A41" s="63"/>
      <c r="B41" s="63"/>
      <c r="C41" s="67" t="s">
        <v>137</v>
      </c>
      <c r="D41" s="67">
        <v>10.0</v>
      </c>
      <c r="E41" s="86">
        <v>10.0</v>
      </c>
      <c r="F41" s="86">
        <v>10.0</v>
      </c>
      <c r="G41" s="86">
        <v>10.0</v>
      </c>
      <c r="H41" s="65">
        <f t="shared" si="1"/>
        <v>10</v>
      </c>
    </row>
    <row r="42" ht="20.25" customHeight="1">
      <c r="A42" s="59">
        <v>21.0</v>
      </c>
      <c r="B42" s="59" t="s">
        <v>169</v>
      </c>
      <c r="C42" s="60" t="s">
        <v>114</v>
      </c>
      <c r="D42" s="81" t="s">
        <v>170</v>
      </c>
      <c r="E42" s="83" t="s">
        <v>171</v>
      </c>
      <c r="F42" s="83" t="s">
        <v>171</v>
      </c>
      <c r="G42" s="83" t="s">
        <v>171</v>
      </c>
      <c r="H42" s="87" t="s">
        <v>171</v>
      </c>
    </row>
    <row r="43" ht="20.25" customHeight="1">
      <c r="A43" s="63"/>
      <c r="B43" s="63"/>
      <c r="C43" s="60" t="s">
        <v>137</v>
      </c>
      <c r="D43" s="60">
        <v>15.0</v>
      </c>
      <c r="E43" s="83">
        <v>15.0</v>
      </c>
      <c r="F43" s="83">
        <v>15.0</v>
      </c>
      <c r="G43" s="83">
        <v>15.0</v>
      </c>
      <c r="H43" s="87">
        <v>15.0</v>
      </c>
      <c r="L43" s="47" t="s">
        <v>130</v>
      </c>
      <c r="M43" s="47" t="s">
        <v>131</v>
      </c>
      <c r="N43" s="47" t="s">
        <v>132</v>
      </c>
      <c r="O43" s="47" t="s">
        <v>13</v>
      </c>
    </row>
    <row r="44" ht="15.75" customHeight="1">
      <c r="A44" s="66">
        <v>22.0</v>
      </c>
      <c r="B44" s="66" t="s">
        <v>172</v>
      </c>
      <c r="C44" s="67" t="s">
        <v>114</v>
      </c>
      <c r="D44" s="76" t="s">
        <v>173</v>
      </c>
      <c r="E44" s="86" t="s">
        <v>171</v>
      </c>
      <c r="F44" s="86" t="s">
        <v>171</v>
      </c>
      <c r="G44" s="86" t="s">
        <v>171</v>
      </c>
      <c r="H44" s="87" t="s">
        <v>171</v>
      </c>
      <c r="K44" s="47" t="s">
        <v>163</v>
      </c>
      <c r="L44" s="47">
        <v>256.0</v>
      </c>
      <c r="M44" s="47">
        <v>338.0</v>
      </c>
      <c r="N44" s="47">
        <v>508.0</v>
      </c>
      <c r="O44" s="47">
        <f>SUM(L44:N44)</f>
        <v>1102</v>
      </c>
    </row>
    <row r="45" ht="15.75" customHeight="1">
      <c r="A45" s="63"/>
      <c r="B45" s="63"/>
      <c r="C45" s="67" t="s">
        <v>137</v>
      </c>
      <c r="D45" s="67">
        <v>15.0</v>
      </c>
      <c r="E45" s="86">
        <v>15.0</v>
      </c>
      <c r="F45" s="86">
        <v>15.0</v>
      </c>
      <c r="G45" s="86">
        <v>15.0</v>
      </c>
      <c r="H45" s="87">
        <v>15.0</v>
      </c>
    </row>
    <row r="46" ht="20.25" customHeight="1">
      <c r="A46" s="59">
        <v>23.0</v>
      </c>
      <c r="B46" s="59" t="s">
        <v>174</v>
      </c>
      <c r="C46" s="60" t="s">
        <v>114</v>
      </c>
      <c r="D46" s="60" t="s">
        <v>175</v>
      </c>
      <c r="E46" s="83" t="s">
        <v>171</v>
      </c>
      <c r="F46" s="83" t="s">
        <v>171</v>
      </c>
      <c r="G46" s="83" t="s">
        <v>171</v>
      </c>
      <c r="H46" s="88" t="s">
        <v>171</v>
      </c>
    </row>
    <row r="47" ht="20.25" customHeight="1">
      <c r="A47" s="63"/>
      <c r="B47" s="63"/>
      <c r="C47" s="60" t="s">
        <v>137</v>
      </c>
      <c r="D47" s="60">
        <v>15.0</v>
      </c>
      <c r="E47" s="83">
        <v>15.0</v>
      </c>
      <c r="F47" s="83">
        <v>15.0</v>
      </c>
      <c r="G47" s="83">
        <v>15.0</v>
      </c>
      <c r="H47" s="88">
        <v>15.0</v>
      </c>
    </row>
    <row r="48" ht="15.75" customHeight="1">
      <c r="A48" s="89" t="s">
        <v>176</v>
      </c>
      <c r="B48" s="90"/>
      <c r="C48" s="56"/>
      <c r="D48" s="88">
        <f t="shared" ref="D48:H48" si="2">SUM(D3,D5,D7,D9,D11,D13,D15,D17,D19,D21,D23,D25,D27,D29,D31,D33,D35,D37,D39,D41,D43,D45,D47)</f>
        <v>300</v>
      </c>
      <c r="E48" s="91">
        <f t="shared" si="2"/>
        <v>300</v>
      </c>
      <c r="F48" s="91">
        <f t="shared" si="2"/>
        <v>300</v>
      </c>
      <c r="G48" s="91">
        <f t="shared" si="2"/>
        <v>300</v>
      </c>
      <c r="H48" s="91">
        <f t="shared" si="2"/>
        <v>300</v>
      </c>
    </row>
    <row r="49" ht="15.75" customHeight="1">
      <c r="E49" s="47" t="s">
        <v>130</v>
      </c>
      <c r="F49" s="47" t="s">
        <v>131</v>
      </c>
      <c r="G49" s="47" t="s">
        <v>132</v>
      </c>
    </row>
    <row r="50" ht="15.75" customHeight="1">
      <c r="D50" s="47" t="s">
        <v>114</v>
      </c>
      <c r="E50" s="47">
        <v>300.0</v>
      </c>
      <c r="F50" s="47">
        <v>300.0</v>
      </c>
      <c r="G50" s="47">
        <v>300.0</v>
      </c>
    </row>
    <row r="51" ht="15.75" customHeight="1">
      <c r="D51" s="47" t="s">
        <v>113</v>
      </c>
      <c r="E51" s="47">
        <v>300.0</v>
      </c>
      <c r="F51" s="47">
        <v>300.0</v>
      </c>
      <c r="G51" s="47">
        <v>300.0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>
      <c r="M57" s="92" t="s">
        <v>177</v>
      </c>
      <c r="N57" s="93" t="s">
        <v>178</v>
      </c>
      <c r="O57" s="93" t="s">
        <v>179</v>
      </c>
      <c r="P57" s="93" t="s">
        <v>180</v>
      </c>
    </row>
    <row r="58" ht="15.75" customHeight="1">
      <c r="M58" s="94" t="s">
        <v>181</v>
      </c>
      <c r="N58" s="95"/>
      <c r="O58" s="96"/>
      <c r="P58" s="97"/>
    </row>
    <row r="59" ht="15.75" customHeight="1">
      <c r="M59" s="98" t="s">
        <v>182</v>
      </c>
    </row>
    <row r="60" ht="15.75" customHeight="1">
      <c r="M60" s="94" t="s">
        <v>183</v>
      </c>
    </row>
    <row r="61" ht="15.75" customHeight="1">
      <c r="M61" s="98" t="s">
        <v>184</v>
      </c>
    </row>
    <row r="62" ht="15.75" customHeight="1">
      <c r="M62" s="94" t="s">
        <v>185</v>
      </c>
    </row>
    <row r="63" ht="15.75" customHeight="1">
      <c r="M63" s="98" t="s">
        <v>186</v>
      </c>
    </row>
    <row r="64" ht="15.75" customHeight="1">
      <c r="M64" s="94" t="s">
        <v>187</v>
      </c>
    </row>
    <row r="65" ht="15.75" customHeight="1">
      <c r="M65" s="98" t="s">
        <v>188</v>
      </c>
    </row>
    <row r="66" ht="15.75" customHeight="1">
      <c r="M66" s="94" t="s">
        <v>189</v>
      </c>
      <c r="N66" s="99" t="s">
        <v>190</v>
      </c>
      <c r="O66" s="100"/>
      <c r="P66" s="6"/>
    </row>
    <row r="67" ht="15.75" customHeight="1">
      <c r="M67" s="101" t="s">
        <v>191</v>
      </c>
      <c r="N67" s="102" t="s">
        <v>190</v>
      </c>
      <c r="O67" s="103"/>
      <c r="P67" s="103"/>
    </row>
    <row r="68" ht="15.75" customHeight="1">
      <c r="M68" s="104" t="s">
        <v>192</v>
      </c>
      <c r="N68" s="105"/>
      <c r="O68" s="105"/>
      <c r="P68" s="105"/>
    </row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>
      <c r="K80" s="106" t="s">
        <v>193</v>
      </c>
      <c r="L80" s="106" t="s">
        <v>194</v>
      </c>
    </row>
    <row r="81" ht="15.75" customHeight="1">
      <c r="K81" s="107" t="s">
        <v>195</v>
      </c>
      <c r="L81" s="108">
        <v>1.0</v>
      </c>
    </row>
    <row r="82" ht="15.75" customHeight="1">
      <c r="K82" s="109" t="s">
        <v>196</v>
      </c>
      <c r="L82" s="110">
        <v>1.0</v>
      </c>
    </row>
    <row r="83" ht="15.75" customHeight="1">
      <c r="K83" s="111" t="s">
        <v>197</v>
      </c>
      <c r="L83" s="112">
        <v>1.0</v>
      </c>
    </row>
    <row r="84" ht="15.75" customHeight="1">
      <c r="K84" s="109" t="s">
        <v>198</v>
      </c>
      <c r="L84" s="110">
        <v>1.0</v>
      </c>
    </row>
    <row r="85" ht="15.75" customHeight="1">
      <c r="K85" s="109" t="s">
        <v>199</v>
      </c>
      <c r="L85" s="110">
        <v>1.0</v>
      </c>
    </row>
    <row r="86" ht="15.75" customHeight="1">
      <c r="K86" s="109" t="s">
        <v>200</v>
      </c>
      <c r="L86" s="110">
        <v>1.0</v>
      </c>
    </row>
    <row r="87" ht="15.75" customHeight="1">
      <c r="K87" s="109" t="s">
        <v>201</v>
      </c>
      <c r="L87" s="110">
        <v>2.0</v>
      </c>
    </row>
    <row r="88" ht="15.75" customHeight="1">
      <c r="K88" s="111" t="s">
        <v>202</v>
      </c>
      <c r="L88" s="112">
        <v>2.0</v>
      </c>
    </row>
    <row r="89" ht="15.75" customHeight="1">
      <c r="K89" s="109" t="s">
        <v>203</v>
      </c>
      <c r="L89" s="110">
        <v>3.0</v>
      </c>
    </row>
    <row r="90" ht="15.75" customHeight="1">
      <c r="K90" s="111" t="s">
        <v>204</v>
      </c>
      <c r="L90" s="112">
        <v>3.0</v>
      </c>
    </row>
    <row r="91" ht="15.75" customHeight="1">
      <c r="K91" s="109" t="s">
        <v>205</v>
      </c>
      <c r="L91" s="110">
        <v>4.0</v>
      </c>
    </row>
    <row r="92" ht="15.75" customHeight="1">
      <c r="K92" s="111" t="s">
        <v>206</v>
      </c>
      <c r="L92" s="112">
        <v>5.0</v>
      </c>
    </row>
    <row r="93" ht="15.75" customHeight="1">
      <c r="K93" s="109" t="s">
        <v>207</v>
      </c>
      <c r="L93" s="110">
        <v>6.0</v>
      </c>
    </row>
    <row r="94" ht="15.75" customHeight="1">
      <c r="K94" s="111" t="s">
        <v>208</v>
      </c>
      <c r="L94" s="112">
        <v>7.0</v>
      </c>
    </row>
    <row r="95" ht="15.75" customHeight="1">
      <c r="K95" s="109" t="s">
        <v>209</v>
      </c>
      <c r="L95" s="110">
        <v>8.0</v>
      </c>
    </row>
    <row r="96" ht="15.75" customHeight="1">
      <c r="K96" s="109" t="s">
        <v>210</v>
      </c>
      <c r="L96" s="110">
        <v>10.0</v>
      </c>
    </row>
    <row r="97" ht="15.75" customHeight="1">
      <c r="K97" s="111" t="s">
        <v>197</v>
      </c>
      <c r="L97" s="112">
        <v>14.0</v>
      </c>
    </row>
    <row r="98" ht="15.75" customHeight="1">
      <c r="K98" s="111" t="s">
        <v>211</v>
      </c>
      <c r="L98" s="112">
        <v>15.0</v>
      </c>
    </row>
    <row r="99" ht="15.75" customHeight="1">
      <c r="K99" s="111" t="s">
        <v>212</v>
      </c>
      <c r="L99" s="112">
        <v>16.0</v>
      </c>
    </row>
    <row r="100" ht="15.75" customHeight="1">
      <c r="K100" s="111" t="s">
        <v>213</v>
      </c>
      <c r="L100" s="112">
        <v>20.0</v>
      </c>
    </row>
    <row r="101" ht="15.75" customHeight="1">
      <c r="K101" s="109" t="s">
        <v>214</v>
      </c>
      <c r="L101" s="110">
        <v>28.0</v>
      </c>
    </row>
    <row r="102" ht="15.75" customHeight="1">
      <c r="K102" s="111" t="s">
        <v>215</v>
      </c>
      <c r="L102" s="112">
        <v>40.0</v>
      </c>
    </row>
    <row r="103" ht="15.75" customHeight="1">
      <c r="K103" s="109" t="s">
        <v>216</v>
      </c>
      <c r="L103" s="110">
        <v>47.0</v>
      </c>
    </row>
    <row r="104" ht="15.75" customHeight="1">
      <c r="K104" s="113" t="s">
        <v>207</v>
      </c>
      <c r="L104" s="114">
        <v>261.0</v>
      </c>
    </row>
    <row r="105" ht="15.75" customHeight="1">
      <c r="L105" s="47">
        <f>SUM(L81:L104)</f>
        <v>497</v>
      </c>
    </row>
    <row r="106" ht="15.75" customHeight="1">
      <c r="L106" s="48">
        <f>L104/L105</f>
        <v>0.5251509054</v>
      </c>
    </row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4">
    <mergeCell ref="N67:P67"/>
    <mergeCell ref="M68:P68"/>
    <mergeCell ref="B44:B45"/>
    <mergeCell ref="B46:B47"/>
    <mergeCell ref="A48:C48"/>
    <mergeCell ref="N58:N65"/>
    <mergeCell ref="O58:O65"/>
    <mergeCell ref="P58:P65"/>
    <mergeCell ref="N66:P66"/>
    <mergeCell ref="C1:D1"/>
    <mergeCell ref="A2:A3"/>
    <mergeCell ref="B2:B3"/>
    <mergeCell ref="A4:A5"/>
    <mergeCell ref="B4:B5"/>
    <mergeCell ref="A6:A7"/>
    <mergeCell ref="B6:B7"/>
    <mergeCell ref="A8:A9"/>
    <mergeCell ref="B8:B9"/>
    <mergeCell ref="A10:A11"/>
    <mergeCell ref="B10:B11"/>
    <mergeCell ref="A12:A13"/>
    <mergeCell ref="B12:B13"/>
    <mergeCell ref="B14:B15"/>
    <mergeCell ref="A14:A15"/>
    <mergeCell ref="A16:A17"/>
    <mergeCell ref="A18:A19"/>
    <mergeCell ref="A20:A21"/>
    <mergeCell ref="A22:A23"/>
    <mergeCell ref="A24:A25"/>
    <mergeCell ref="A26:A27"/>
    <mergeCell ref="B16:B17"/>
    <mergeCell ref="B18:B19"/>
    <mergeCell ref="B20:B21"/>
    <mergeCell ref="B22:B23"/>
    <mergeCell ref="B24:B25"/>
    <mergeCell ref="B26:B27"/>
    <mergeCell ref="B28:B29"/>
    <mergeCell ref="A42:A43"/>
    <mergeCell ref="A44:A45"/>
    <mergeCell ref="A46:A47"/>
    <mergeCell ref="A28:A29"/>
    <mergeCell ref="A30:A31"/>
    <mergeCell ref="A32:A33"/>
    <mergeCell ref="A34:A35"/>
    <mergeCell ref="A36:A37"/>
    <mergeCell ref="A38:A39"/>
    <mergeCell ref="A40:A41"/>
    <mergeCell ref="B30:B31"/>
    <mergeCell ref="B32:B33"/>
    <mergeCell ref="B34:B35"/>
    <mergeCell ref="B36:B37"/>
    <mergeCell ref="B38:B39"/>
    <mergeCell ref="B40:B41"/>
    <mergeCell ref="B42:B43"/>
  </mergeCells>
  <printOptions/>
  <pageMargins bottom="0.787401575" footer="0.0" header="0.0" left="0.511811024" right="0.511811024" top="0.787401575"/>
  <pageSetup orientation="landscape"/>
  <drawing r:id="rId1"/>
</worksheet>
</file>