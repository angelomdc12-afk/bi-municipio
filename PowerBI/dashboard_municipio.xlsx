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novar Soluções\Documents\PowerBI\"/>
    </mc:Choice>
  </mc:AlternateContent>
  <xr:revisionPtr revIDLastSave="0" documentId="13_ncr:1_{B606A4A4-3F53-40EE-A181-37FB0AC7D844}" xr6:coauthVersionLast="47" xr6:coauthVersionMax="47" xr10:uidLastSave="{00000000-0000-0000-0000-000000000000}"/>
  <bookViews>
    <workbookView xWindow="-108" yWindow="-108" windowWidth="23256" windowHeight="12456" firstSheet="6" activeTab="8" xr2:uid="{00000000-000D-0000-FFFF-FFFF00000000}"/>
  </bookViews>
  <sheets>
    <sheet name="METAS DO PLANO DE TRABALHO" sheetId="1" r:id="rId1"/>
    <sheet name="INDICADORES UPA LUZIÂNIA" sheetId="2" r:id="rId2"/>
    <sheet name="INDICADORES UPA JARDIM INGÁ" sheetId="3" r:id="rId3"/>
    <sheet name="INDICADORES HMJI" sheetId="4" r:id="rId4"/>
    <sheet name="INDICADORES ATENÇÃO SECUNDÁRIA" sheetId="5" r:id="rId5"/>
    <sheet name="INDICADORES SAÚDE MENTAL" sheetId="6" r:id="rId6"/>
    <sheet name="INDICADORES ATENÇÃO PRIMÁRIA" sheetId="7" r:id="rId7"/>
    <sheet name="INDICADORES RH" sheetId="10" r:id="rId8"/>
    <sheet name="Financeiro" sheetId="11" r:id="rId9"/>
    <sheet name="COLABORADORES" sheetId="12" r:id="rId10"/>
    <sheet name="GEO_UNIDADES" sheetId="14" r:id="rId11"/>
  </sheets>
  <definedNames>
    <definedName name="_xlnm._FilterDatabase" localSheetId="9" hidden="1">COLABORADORES!$A$1:$U$759</definedName>
  </definedNames>
  <calcPr calcId="191029"/>
</workbook>
</file>

<file path=xl/calcChain.xml><?xml version="1.0" encoding="utf-8"?>
<calcChain xmlns="http://schemas.openxmlformats.org/spreadsheetml/2006/main">
  <c r="F19" i="11" l="1"/>
  <c r="F4" i="6"/>
  <c r="F29" i="4"/>
  <c r="E18" i="11" l="1"/>
  <c r="O16" i="11"/>
  <c r="O17" i="11"/>
  <c r="E9" i="7"/>
  <c r="E18" i="4"/>
  <c r="D14" i="7" l="1"/>
  <c r="D13" i="7"/>
  <c r="D4" i="7" l="1"/>
  <c r="D18" i="4"/>
  <c r="D5" i="4"/>
  <c r="E5" i="4"/>
  <c r="F5" i="4"/>
  <c r="G5" i="4"/>
  <c r="H5" i="4"/>
  <c r="I5" i="4"/>
  <c r="J5" i="4"/>
  <c r="K5" i="4"/>
  <c r="L5" i="4"/>
  <c r="M5" i="4"/>
  <c r="N5" i="4"/>
  <c r="C5" i="4"/>
  <c r="D64" i="3" l="1"/>
  <c r="E64" i="3"/>
  <c r="F64" i="3"/>
  <c r="G64" i="3"/>
  <c r="H64" i="3"/>
  <c r="I64" i="3"/>
  <c r="J64" i="3"/>
  <c r="K64" i="3"/>
  <c r="L64" i="3"/>
  <c r="M64" i="3"/>
  <c r="N64" i="3"/>
  <c r="D59" i="3"/>
  <c r="E59" i="3"/>
  <c r="F59" i="3"/>
  <c r="G59" i="3"/>
  <c r="H59" i="3"/>
  <c r="I59" i="3"/>
  <c r="J59" i="3"/>
  <c r="K59" i="3"/>
  <c r="L59" i="3"/>
  <c r="M59" i="3"/>
  <c r="N59" i="3"/>
  <c r="D47" i="3"/>
  <c r="E47" i="3"/>
  <c r="F47" i="3"/>
  <c r="G47" i="3"/>
  <c r="H47" i="3"/>
  <c r="I47" i="3"/>
  <c r="J47" i="3"/>
  <c r="K47" i="3"/>
  <c r="L47" i="3"/>
  <c r="M47" i="3"/>
  <c r="N47" i="3"/>
  <c r="D5" i="2"/>
  <c r="C18" i="1"/>
  <c r="C19" i="11"/>
  <c r="O14" i="11"/>
  <c r="O15" i="11"/>
  <c r="C5" i="2"/>
  <c r="N19" i="11"/>
  <c r="M19" i="11"/>
  <c r="L19" i="11"/>
  <c r="K19" i="11"/>
  <c r="J19" i="11"/>
  <c r="I19" i="11"/>
  <c r="H19" i="11"/>
  <c r="G19" i="11"/>
  <c r="E19" i="11"/>
  <c r="D19" i="11"/>
  <c r="O18" i="11"/>
  <c r="O13" i="11"/>
  <c r="O12" i="11"/>
  <c r="O11" i="11"/>
  <c r="O10" i="11"/>
  <c r="O9" i="11"/>
  <c r="O8" i="11"/>
  <c r="O7" i="11"/>
  <c r="O6" i="11"/>
  <c r="O5" i="11"/>
  <c r="O4" i="11"/>
  <c r="O19" i="11" l="1"/>
  <c r="C20" i="2"/>
  <c r="O22" i="10" l="1"/>
  <c r="O20" i="10"/>
  <c r="O17" i="10"/>
  <c r="O14" i="10"/>
  <c r="O12" i="10"/>
  <c r="O10" i="10"/>
  <c r="O8" i="10"/>
  <c r="O6" i="10"/>
  <c r="O4" i="10"/>
  <c r="O8" i="7"/>
  <c r="O14" i="5"/>
  <c r="O11" i="5"/>
  <c r="O8" i="5"/>
  <c r="O32" i="4"/>
  <c r="O30" i="4"/>
  <c r="O29" i="4"/>
  <c r="O26" i="4"/>
  <c r="O24" i="4"/>
  <c r="O23" i="4"/>
  <c r="N20" i="4"/>
  <c r="M20" i="4"/>
  <c r="L20" i="4"/>
  <c r="K20" i="4"/>
  <c r="J20" i="4"/>
  <c r="I20" i="4"/>
  <c r="H20" i="4"/>
  <c r="G20" i="4"/>
  <c r="F20" i="4"/>
  <c r="E20" i="4"/>
  <c r="D20" i="4"/>
  <c r="C20" i="4"/>
  <c r="O19" i="4"/>
  <c r="O17" i="4"/>
  <c r="O16" i="4"/>
  <c r="O13" i="4"/>
  <c r="O12" i="4"/>
  <c r="O11" i="4"/>
  <c r="O8" i="4"/>
  <c r="O5" i="4"/>
  <c r="O4" i="4"/>
  <c r="O67" i="3"/>
  <c r="C64" i="3"/>
  <c r="O64" i="3" s="1"/>
  <c r="O63" i="3"/>
  <c r="O62" i="3"/>
  <c r="C59" i="3"/>
  <c r="O58" i="3"/>
  <c r="O57" i="3"/>
  <c r="O56" i="3"/>
  <c r="O55" i="3"/>
  <c r="O54" i="3"/>
  <c r="O53" i="3"/>
  <c r="O52" i="3"/>
  <c r="O51" i="3"/>
  <c r="O50" i="3"/>
  <c r="C47" i="3"/>
  <c r="O46" i="3"/>
  <c r="O45" i="3"/>
  <c r="O44" i="3"/>
  <c r="O41" i="3"/>
  <c r="O38" i="3"/>
  <c r="O35" i="3"/>
  <c r="O32" i="3"/>
  <c r="O28" i="3"/>
  <c r="N18" i="3"/>
  <c r="N21" i="3" s="1"/>
  <c r="M18" i="3"/>
  <c r="M23" i="3" s="1"/>
  <c r="L18" i="3"/>
  <c r="L20" i="3" s="1"/>
  <c r="K18" i="3"/>
  <c r="K25" i="3" s="1"/>
  <c r="J18" i="3"/>
  <c r="J22" i="3" s="1"/>
  <c r="I18" i="3"/>
  <c r="I22" i="3" s="1"/>
  <c r="H18" i="3"/>
  <c r="H24" i="3" s="1"/>
  <c r="G18" i="3"/>
  <c r="G21" i="3" s="1"/>
  <c r="F18" i="3"/>
  <c r="F21" i="3" s="1"/>
  <c r="E18" i="3"/>
  <c r="E23" i="3" s="1"/>
  <c r="D18" i="3"/>
  <c r="D20" i="3" s="1"/>
  <c r="C18" i="3"/>
  <c r="C25" i="3" s="1"/>
  <c r="O17" i="3"/>
  <c r="O16" i="3"/>
  <c r="O15" i="3"/>
  <c r="O14" i="3"/>
  <c r="O13" i="3"/>
  <c r="O12" i="3"/>
  <c r="O9" i="3"/>
  <c r="O8" i="3"/>
  <c r="N5" i="3"/>
  <c r="M5" i="3"/>
  <c r="L5" i="3"/>
  <c r="K5" i="3"/>
  <c r="J5" i="3"/>
  <c r="I5" i="3"/>
  <c r="H5" i="3"/>
  <c r="G5" i="3"/>
  <c r="F5" i="3"/>
  <c r="E5" i="3"/>
  <c r="D5" i="3"/>
  <c r="C5" i="3"/>
  <c r="O4" i="3"/>
  <c r="O67" i="2"/>
  <c r="N64" i="2"/>
  <c r="M64" i="2"/>
  <c r="L64" i="2"/>
  <c r="K64" i="2"/>
  <c r="J64" i="2"/>
  <c r="I64" i="2"/>
  <c r="H64" i="2"/>
  <c r="G64" i="2"/>
  <c r="F64" i="2"/>
  <c r="E64" i="2"/>
  <c r="D64" i="2"/>
  <c r="C64" i="2"/>
  <c r="O63" i="2"/>
  <c r="O62" i="2"/>
  <c r="N59" i="2"/>
  <c r="M59" i="2"/>
  <c r="L59" i="2"/>
  <c r="K59" i="2"/>
  <c r="J59" i="2"/>
  <c r="I59" i="2"/>
  <c r="H59" i="2"/>
  <c r="G59" i="2"/>
  <c r="F59" i="2"/>
  <c r="E59" i="2"/>
  <c r="D59" i="2"/>
  <c r="C59" i="2"/>
  <c r="O58" i="2"/>
  <c r="O57" i="2"/>
  <c r="O56" i="2"/>
  <c r="O55" i="2"/>
  <c r="O54" i="2"/>
  <c r="O53" i="2"/>
  <c r="O52" i="2"/>
  <c r="O51" i="2"/>
  <c r="O50" i="2"/>
  <c r="N47" i="2"/>
  <c r="M47" i="2"/>
  <c r="L47" i="2"/>
  <c r="K47" i="2"/>
  <c r="J47" i="2"/>
  <c r="I47" i="2"/>
  <c r="H47" i="2"/>
  <c r="G47" i="2"/>
  <c r="F47" i="2"/>
  <c r="E47" i="2"/>
  <c r="D47" i="2"/>
  <c r="C47" i="2"/>
  <c r="O46" i="2"/>
  <c r="O45" i="2"/>
  <c r="O44" i="2"/>
  <c r="O41" i="2"/>
  <c r="O38" i="2"/>
  <c r="O35" i="2"/>
  <c r="O32" i="2"/>
  <c r="O28" i="2"/>
  <c r="N18" i="2"/>
  <c r="N22" i="2" s="1"/>
  <c r="M18" i="2"/>
  <c r="M22" i="2" s="1"/>
  <c r="L18" i="2"/>
  <c r="L24" i="2" s="1"/>
  <c r="K18" i="2"/>
  <c r="K21" i="2" s="1"/>
  <c r="J18" i="2"/>
  <c r="J21" i="2" s="1"/>
  <c r="I18" i="2"/>
  <c r="I23" i="2" s="1"/>
  <c r="H18" i="2"/>
  <c r="H20" i="2" s="1"/>
  <c r="G18" i="2"/>
  <c r="G25" i="2" s="1"/>
  <c r="F18" i="2"/>
  <c r="E18" i="2"/>
  <c r="E22" i="2" s="1"/>
  <c r="D18" i="2"/>
  <c r="D24" i="2" s="1"/>
  <c r="C18" i="2"/>
  <c r="C21" i="2" s="1"/>
  <c r="O17" i="2"/>
  <c r="O16" i="2"/>
  <c r="O15" i="2"/>
  <c r="O14" i="2"/>
  <c r="O13" i="2"/>
  <c r="O12" i="2"/>
  <c r="O9" i="2"/>
  <c r="O8" i="2"/>
  <c r="N5" i="2"/>
  <c r="M5" i="2"/>
  <c r="L5" i="2"/>
  <c r="K5" i="2"/>
  <c r="J5" i="2"/>
  <c r="I5" i="2"/>
  <c r="H5" i="2"/>
  <c r="G5" i="2"/>
  <c r="F5" i="2"/>
  <c r="E5" i="2"/>
  <c r="O5" i="2"/>
  <c r="O4" i="2"/>
  <c r="N18" i="1"/>
  <c r="M18" i="1"/>
  <c r="L18" i="1"/>
  <c r="K18" i="1"/>
  <c r="J18" i="1"/>
  <c r="I18" i="1"/>
  <c r="H18" i="1"/>
  <c r="G18" i="1"/>
  <c r="F18" i="1"/>
  <c r="E18" i="1"/>
  <c r="D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F22" i="2" l="1"/>
  <c r="F20" i="2"/>
  <c r="O18" i="1"/>
  <c r="M20" i="3"/>
  <c r="K22" i="3"/>
  <c r="N23" i="3"/>
  <c r="M25" i="3"/>
  <c r="N20" i="3"/>
  <c r="L22" i="3"/>
  <c r="I24" i="3"/>
  <c r="H21" i="3"/>
  <c r="M22" i="3"/>
  <c r="D25" i="3"/>
  <c r="E20" i="3"/>
  <c r="I21" i="3"/>
  <c r="N22" i="3"/>
  <c r="E25" i="3"/>
  <c r="F20" i="3"/>
  <c r="D22" i="3"/>
  <c r="F23" i="3"/>
  <c r="F25" i="3"/>
  <c r="G20" i="3"/>
  <c r="E22" i="3"/>
  <c r="G23" i="3"/>
  <c r="G25" i="3"/>
  <c r="H20" i="3"/>
  <c r="F22" i="3"/>
  <c r="H23" i="3"/>
  <c r="H25" i="3"/>
  <c r="I20" i="3"/>
  <c r="G22" i="3"/>
  <c r="I23" i="3"/>
  <c r="L25" i="3"/>
  <c r="O64" i="2"/>
  <c r="O47" i="2"/>
  <c r="M21" i="2"/>
  <c r="G22" i="2"/>
  <c r="H22" i="2"/>
  <c r="M23" i="2"/>
  <c r="M24" i="2"/>
  <c r="D20" i="2"/>
  <c r="E21" i="2"/>
  <c r="D23" i="2"/>
  <c r="D25" i="2"/>
  <c r="L20" i="2"/>
  <c r="I22" i="2"/>
  <c r="D21" i="2"/>
  <c r="E20" i="2"/>
  <c r="L21" i="2"/>
  <c r="E23" i="2"/>
  <c r="H25" i="2"/>
  <c r="J23" i="2"/>
  <c r="I25" i="2"/>
  <c r="K23" i="2"/>
  <c r="J25" i="2"/>
  <c r="I20" i="2"/>
  <c r="J20" i="2"/>
  <c r="K20" i="2"/>
  <c r="L23" i="2"/>
  <c r="K25" i="2"/>
  <c r="L25" i="2"/>
  <c r="M20" i="2"/>
  <c r="J22" i="2"/>
  <c r="E24" i="2"/>
  <c r="K22" i="2"/>
  <c r="O20" i="4"/>
  <c r="O59" i="3"/>
  <c r="O47" i="3"/>
  <c r="C22" i="3"/>
  <c r="O5" i="3"/>
  <c r="O59" i="2"/>
  <c r="C23" i="2"/>
  <c r="C25" i="2"/>
  <c r="C22" i="2"/>
  <c r="N25" i="3"/>
  <c r="G24" i="2"/>
  <c r="J21" i="3"/>
  <c r="L24" i="3"/>
  <c r="F23" i="2"/>
  <c r="I24" i="2"/>
  <c r="D21" i="3"/>
  <c r="L21" i="3"/>
  <c r="N20" i="2"/>
  <c r="I21" i="2"/>
  <c r="D22" i="2"/>
  <c r="L22" i="2"/>
  <c r="G23" i="2"/>
  <c r="J24" i="2"/>
  <c r="E25" i="2"/>
  <c r="M25" i="2"/>
  <c r="O18" i="3"/>
  <c r="J20" i="3"/>
  <c r="E21" i="3"/>
  <c r="M21" i="3"/>
  <c r="H22" i="3"/>
  <c r="C23" i="3"/>
  <c r="K23" i="3"/>
  <c r="F24" i="3"/>
  <c r="N24" i="3"/>
  <c r="I25" i="3"/>
  <c r="F24" i="2"/>
  <c r="N24" i="2"/>
  <c r="F21" i="2"/>
  <c r="C24" i="3"/>
  <c r="H24" i="2"/>
  <c r="C21" i="3"/>
  <c r="K21" i="3"/>
  <c r="D24" i="3"/>
  <c r="J23" i="3"/>
  <c r="E24" i="3"/>
  <c r="M24" i="3"/>
  <c r="G20" i="2"/>
  <c r="H23" i="2"/>
  <c r="C24" i="2"/>
  <c r="K24" i="2"/>
  <c r="F25" i="2"/>
  <c r="N25" i="2"/>
  <c r="C20" i="3"/>
  <c r="K20" i="3"/>
  <c r="D23" i="3"/>
  <c r="L23" i="3"/>
  <c r="G24" i="3"/>
  <c r="J25" i="3"/>
  <c r="O18" i="2"/>
  <c r="J24" i="3"/>
  <c r="N21" i="2"/>
  <c r="K24" i="3"/>
  <c r="G21" i="2"/>
  <c r="H21" i="2"/>
  <c r="N23" i="2"/>
  <c r="O25" i="3" l="1"/>
  <c r="O24" i="2"/>
  <c r="O22" i="3"/>
  <c r="O20" i="3"/>
  <c r="O21" i="3"/>
  <c r="O21" i="2"/>
  <c r="O23" i="2"/>
  <c r="O20" i="2"/>
  <c r="O25" i="2"/>
  <c r="O22" i="2"/>
  <c r="O23" i="3"/>
  <c r="O24" i="3"/>
</calcChain>
</file>

<file path=xl/sharedStrings.xml><?xml version="1.0" encoding="utf-8"?>
<sst xmlns="http://schemas.openxmlformats.org/spreadsheetml/2006/main" count="9739" uniqueCount="3863">
  <si>
    <t>METAS</t>
  </si>
  <si>
    <t>MARÇO.26</t>
  </si>
  <si>
    <t>ABRIL.26</t>
  </si>
  <si>
    <t>MAIO.26</t>
  </si>
  <si>
    <t>JUNHO.26</t>
  </si>
  <si>
    <t>JULHO.26</t>
  </si>
  <si>
    <t>AGOSTO.26</t>
  </si>
  <si>
    <t>SETEMBRO.26</t>
  </si>
  <si>
    <t>OUTUBRO.26</t>
  </si>
  <si>
    <t>NOVEMBRO.26</t>
  </si>
  <si>
    <t>DEZEMBRO.26</t>
  </si>
  <si>
    <t>JANEIRO.27</t>
  </si>
  <si>
    <t>FEVEREIRO.27</t>
  </si>
  <si>
    <t>TOTAL</t>
  </si>
  <si>
    <t>METAS POR SUB-GRUPO PLANO DE TRABALHO</t>
  </si>
  <si>
    <t>AÇÕES COLETIVA</t>
  </si>
  <si>
    <t xml:space="preserve">META </t>
  </si>
  <si>
    <t>ATENÇÃO PRIMÁRIA</t>
  </si>
  <si>
    <t>ATENÇÃO ESPECIALIZADA</t>
  </si>
  <si>
    <t>MÉDICOS</t>
  </si>
  <si>
    <t>ODONTOLOGIA</t>
  </si>
  <si>
    <t>ENFERMAGEM</t>
  </si>
  <si>
    <t>EQUIPE MULTIDISCIPLINAR (EXCETO MÉDICOS)</t>
  </si>
  <si>
    <t xml:space="preserve">TOTAL GERAL </t>
  </si>
  <si>
    <t>UPA DE LUZIÂNIA - UPA II</t>
  </si>
  <si>
    <t>PACIENTES RECEPCIONADOS</t>
  </si>
  <si>
    <t>MÉDIA DIÁRIA</t>
  </si>
  <si>
    <t>ATENDIMENTOS MÉDICOS</t>
  </si>
  <si>
    <t>META</t>
  </si>
  <si>
    <t>ATENDIMENTOS POR CLASSIFICAÇÃO DE RISCO</t>
  </si>
  <si>
    <t>NÃO URGENTE (AZUL)</t>
  </si>
  <si>
    <t>POUCO URGENTE (VERDE)</t>
  </si>
  <si>
    <t>URGENTE (AMARELO)</t>
  </si>
  <si>
    <t>MUITO URGENTE (LARANJA)</t>
  </si>
  <si>
    <t>EMERGÊNCIA (VERMELHO)</t>
  </si>
  <si>
    <t>Não informado</t>
  </si>
  <si>
    <t>TOTAL DE ATENDIMENTOS POR CLASSIFICAÇÃO DE RISCO</t>
  </si>
  <si>
    <t>PERCENTUAL DE ATENDIMENTOS POR CLASSIFICAÇÃO DE RISCOS</t>
  </si>
  <si>
    <t>Não Informado</t>
  </si>
  <si>
    <t>TEMPO DE ESPERA PARA CLASSIFICAÇÃO DE RISCO</t>
  </si>
  <si>
    <t>MÉDIA GERAL</t>
  </si>
  <si>
    <t>TEMPO MÉDIO DE ESPERA DE ATENDIMENTO MÉDICO POR CLASSIFICAÇÃO DE RISCO</t>
  </si>
  <si>
    <t>TEMPO DE PERMANÊNCIA DE PACIENTES INTERNADOS</t>
  </si>
  <si>
    <t>TEMPO MÉDIO DE PERMANÊNCIA GERAL</t>
  </si>
  <si>
    <t>TEMPO DE PERMANÊNCIA DE PACIENTES SEM INTERNAÇÃO</t>
  </si>
  <si>
    <t>TEMPO MÉDIO DE PERMANÊNCIA ATENDIMENTOS DE PORTA</t>
  </si>
  <si>
    <t>TRANSFERÊNCIAS (REMOÇÕES)</t>
  </si>
  <si>
    <t>PERCENTUAL DE TRANSFERÊNCIAS PACIENTES INTERNADOS POR USA</t>
  </si>
  <si>
    <t>EXAMES INTERNOS</t>
  </si>
  <si>
    <t>RAIO-X</t>
  </si>
  <si>
    <t>PATOLOGIA CLINICA</t>
  </si>
  <si>
    <t>ELETROCARDIOGRAMA</t>
  </si>
  <si>
    <t xml:space="preserve">ATENDIMENTOS DIVIDIDOS POR FAIXA ETARIA </t>
  </si>
  <si>
    <t>&lt; 1 ANO</t>
  </si>
  <si>
    <t>1 - 4 ANOS</t>
  </si>
  <si>
    <t>5 - 9 ANOS</t>
  </si>
  <si>
    <t>10 - 14 ANOS</t>
  </si>
  <si>
    <t>15 - 19 ANOS</t>
  </si>
  <si>
    <t>20 - 39 ANOS</t>
  </si>
  <si>
    <t>40 - 49 ANOS</t>
  </si>
  <si>
    <t>50 - 59 ANOS</t>
  </si>
  <si>
    <t>60 OU MAIS</t>
  </si>
  <si>
    <t>ATENDIMENTOS DE  PACIENTES</t>
  </si>
  <si>
    <t>DA CIDADE</t>
  </si>
  <si>
    <t>DE OUTRAS CIDADES</t>
  </si>
  <si>
    <t>ÓBITOS</t>
  </si>
  <si>
    <t>UPA JARDIM INGÁ - UPA I</t>
  </si>
  <si>
    <t>INDICADOR</t>
  </si>
  <si>
    <t>HMJI</t>
  </si>
  <si>
    <t>PACIENTES CLÍNICOS ATENDIDOS</t>
  </si>
  <si>
    <t>CIRURGIA GERAL</t>
  </si>
  <si>
    <t>CONSULTAS ESPECIALIZADAS</t>
  </si>
  <si>
    <t>UROLOGIA</t>
  </si>
  <si>
    <t>GINECOLOGIA</t>
  </si>
  <si>
    <t>MAMOGRAFIAS</t>
  </si>
  <si>
    <t>ULTRASOM</t>
  </si>
  <si>
    <t>CIRURGIAS GRANDES</t>
  </si>
  <si>
    <t>PROCEDIMENTOS CIRÚRGICOS</t>
  </si>
  <si>
    <t>BIÓPSIAS</t>
  </si>
  <si>
    <t>VASECTOMIAS</t>
  </si>
  <si>
    <t>PEQUENAS CIRURGIAS</t>
  </si>
  <si>
    <t>RAQUIANESTESIA</t>
  </si>
  <si>
    <t>ANESTESIAS</t>
  </si>
  <si>
    <t>ANESTESIA GERAL</t>
  </si>
  <si>
    <t xml:space="preserve">BLOQUEIO </t>
  </si>
  <si>
    <t>ANESTESIA LOCAL</t>
  </si>
  <si>
    <t>ATENÇÃO SECUNDÁRIA</t>
  </si>
  <si>
    <t>CONSULTAS ESPECIALIZADAS (CAIS)</t>
  </si>
  <si>
    <t>DERMATOLOGICAS</t>
  </si>
  <si>
    <t>CLÍNICA MÉDICA</t>
  </si>
  <si>
    <t>ORTOPÉDICAS</t>
  </si>
  <si>
    <t>CARDIOLOGICAS</t>
  </si>
  <si>
    <t>UROLOGICAS</t>
  </si>
  <si>
    <t>OFTAMOLOGICAS</t>
  </si>
  <si>
    <t>FISIOTERAPIA</t>
  </si>
  <si>
    <t>NUTRIÇÃO</t>
  </si>
  <si>
    <t>CONSULTAS ESPECIALIZADAS (MATERNO INFANTIL)</t>
  </si>
  <si>
    <t>PEDIATRICAS</t>
  </si>
  <si>
    <t>NEUROPED</t>
  </si>
  <si>
    <t>GENICOLOGICAS</t>
  </si>
  <si>
    <t>GINECOLOGICAS ONCOLÓGICA</t>
  </si>
  <si>
    <t>ALTO RISCO</t>
  </si>
  <si>
    <t>PSICOLOGICA</t>
  </si>
  <si>
    <t>CONSULTAS ESPECIALIZADAS (FARMÁCIA CENTRAL)</t>
  </si>
  <si>
    <t>SAÚDE MENTAL</t>
  </si>
  <si>
    <t>CONSULTAS ESPECIALIZADAS (CAPS II)</t>
  </si>
  <si>
    <t>PSIQUIATRICA</t>
  </si>
  <si>
    <t>ASSISTENTE SOCIAL</t>
  </si>
  <si>
    <t>CONSULTAS ESPECIALIZADAS (CAPS AD III)</t>
  </si>
  <si>
    <t>CONSULTAS ESPECIALIZADAS (CLÍNICA PSICOLOGIA)</t>
  </si>
  <si>
    <t>CONSULTAS/TERAPIAS</t>
  </si>
  <si>
    <t>CONSULTAS MÉDICAS</t>
  </si>
  <si>
    <t>PRÉ-NATAL</t>
  </si>
  <si>
    <t>PRÉ-NATAL ALTO RISCO</t>
  </si>
  <si>
    <t>PUERPERAL</t>
  </si>
  <si>
    <t>RENOVAÇÕES DE RECEITAS</t>
  </si>
  <si>
    <t>CRESCIMENTO E DESENVOLVIMENTO</t>
  </si>
  <si>
    <t>NÍVEL SUPERIOR (EXCETO MÉDICO)</t>
  </si>
  <si>
    <t>ACOLHIMENTOS</t>
  </si>
  <si>
    <t>CURATIVOS</t>
  </si>
  <si>
    <t>CONSULTAS</t>
  </si>
  <si>
    <t>TOTAL/MÉDIA</t>
  </si>
  <si>
    <t>TOTAL DE COLABORADORES CLT</t>
  </si>
  <si>
    <t>TOTAL DE MÉDICOS</t>
  </si>
  <si>
    <t>TOTAL DE ENFERMAGEM</t>
  </si>
  <si>
    <t>ADMISSÕES</t>
  </si>
  <si>
    <t>DESLIGAMENTOS</t>
  </si>
  <si>
    <t>TAXA DE TURNOVER</t>
  </si>
  <si>
    <t>ABSENTEÍSMO</t>
  </si>
  <si>
    <t>AFASTAMENTOS</t>
  </si>
  <si>
    <t>ACIDENTES DE TRABALHO</t>
  </si>
  <si>
    <t>RH</t>
  </si>
  <si>
    <t>SÉRIE</t>
  </si>
  <si>
    <t>GASTOS PARCEIRO PATRIS</t>
  </si>
  <si>
    <t>GASTOS MENSAL CONTRATADOS</t>
  </si>
  <si>
    <t>SERVICOS DE ANESTESIOLOGIA DE LUZIANIA – SAL LTDA</t>
  </si>
  <si>
    <t>CLODOVIL CORREIA DE QUEIROZ MEI</t>
  </si>
  <si>
    <t>CORREIA &amp; CHADUD LTDA</t>
  </si>
  <si>
    <t>INTELLEXMED SERVIÇOS TECNOLÓGICOS E ESPECIALIZADOS LTDA</t>
  </si>
  <si>
    <t>ACF TREINAMENTOS ASSESSORIA E GESTÃO DE PESSOAS LTDA</t>
  </si>
  <si>
    <t>AUDIFOR CONSULTORES ASSOCIADOS SS LTDA</t>
  </si>
  <si>
    <t>INOVAR SOLUÇÕES ESTRATÉGICAS LTDA</t>
  </si>
  <si>
    <t>NOVA CLINICA MEDICA &amp; DIAGNOSTICO LTDA</t>
  </si>
  <si>
    <t>D3 SOLUÇÕES LTDA</t>
  </si>
  <si>
    <t>OUTROS/PG AVULSO</t>
  </si>
  <si>
    <t>66.157.761 ANGELO MIGUEL DIAS CAMPOS</t>
  </si>
  <si>
    <t>QNT</t>
  </si>
  <si>
    <t>COLABORADOR</t>
  </si>
  <si>
    <t>CARGO</t>
  </si>
  <si>
    <t>ABIGAIL PINTO DE ALMEIDA</t>
  </si>
  <si>
    <t>TEC DE ENFERMAGEM</t>
  </si>
  <si>
    <t>UBSF - LESTE CAETANO</t>
  </si>
  <si>
    <t>ACACIA ARAUJO TEIXEIRA DE FREITAS</t>
  </si>
  <si>
    <t>ENFERMEIRO (A) RT</t>
  </si>
  <si>
    <t>CTA-CENTRO DE TESTAGEM E ACONSELHA</t>
  </si>
  <si>
    <t>ADELAIDE PEREIRA CARDOSO</t>
  </si>
  <si>
    <t>UBS - NORTE MARAVILHA</t>
  </si>
  <si>
    <t>ADILIANE ALVES DE OLIVEIRA</t>
  </si>
  <si>
    <t>ENFERMEIRO (A)</t>
  </si>
  <si>
    <t>HMJI - HOSPITAL MUNICIPAL</t>
  </si>
  <si>
    <t>ADLA SOARES SILVA</t>
  </si>
  <si>
    <t>UPA I - UPA DO JARDIM INGÁ</t>
  </si>
  <si>
    <t>ADRIANA DOS SANTOS BORGES</t>
  </si>
  <si>
    <t>UPA II - UPA DE LUZIANIA</t>
  </si>
  <si>
    <t>ADRIANA MENDONÇA DA SILVA</t>
  </si>
  <si>
    <t>ADRIANA RODRIGUES VIDAL</t>
  </si>
  <si>
    <t>TEC EM RADIOLOGIA</t>
  </si>
  <si>
    <t>AILTON RODRIGUES DA COSTA</t>
  </si>
  <si>
    <t>SAMU LUZIANIA</t>
  </si>
  <si>
    <t>ALESSANDRA DE OLIVEIRA RUSTIGUEL</t>
  </si>
  <si>
    <t>EMAD - EQ. MULTIPROFISSIONAL DE APOIO</t>
  </si>
  <si>
    <t>ALINE ALVES DA ROCHA</t>
  </si>
  <si>
    <t>ALINE DA SILVA ADONIAS GOMES</t>
  </si>
  <si>
    <t>CAPS AD III-CENTRO DE ATENÇÃO PSICOSOCIA</t>
  </si>
  <si>
    <t>ALINE DE CAMPOS LIMA</t>
  </si>
  <si>
    <t>ALINE DE FRANCA LEITE FERNANDES</t>
  </si>
  <si>
    <t>ALINE DE OLIVEIRA CUNHA</t>
  </si>
  <si>
    <t>NVE - CENTRAL DE VIGILANGIA EPIDEMIOLOGI</t>
  </si>
  <si>
    <t>ALINE GOMES ALVES MACHADO</t>
  </si>
  <si>
    <t>ODONTOLOGO</t>
  </si>
  <si>
    <t>CIS - CENTRO DE INSERÇÃO SOCIAL</t>
  </si>
  <si>
    <t>ALINE GOMES PINHEIRO FREITAS</t>
  </si>
  <si>
    <t>UBSF - VILA ESPERANÇA</t>
  </si>
  <si>
    <t>ALINE GONCALVES DE LIMA</t>
  </si>
  <si>
    <t>NUTRICIONISTA</t>
  </si>
  <si>
    <t>UNIDADE DE ATENÇÃO A SAUDE MATERNO INFAN</t>
  </si>
  <si>
    <t>ALINE MOREIRA DE FREITAS</t>
  </si>
  <si>
    <t>UBSF - MANIRATUBA</t>
  </si>
  <si>
    <t>ALINE SHEILA BUENO E SILVA</t>
  </si>
  <si>
    <t>ALINE VASCONCELOS</t>
  </si>
  <si>
    <t>ALISSON ADRIANO RORIZ</t>
  </si>
  <si>
    <t>GERENCIA DAS AÇÕES BASICAS</t>
  </si>
  <si>
    <t>ALMIRENE MARTINS OLIVEIRA</t>
  </si>
  <si>
    <t>UBS JARDIM INGÁ - UNIDADE BASICA DE SAUD</t>
  </si>
  <si>
    <t>ALVARO HENRIQUE SANTOS BORGES</t>
  </si>
  <si>
    <t>FARMACEUTICO (A) RT</t>
  </si>
  <si>
    <t>AMANDA CAROLINE PEREIRA DE JESUS</t>
  </si>
  <si>
    <t>AMANDA XAVIER DUARTE BATISTA</t>
  </si>
  <si>
    <t>SMS - SECRETARIA MUNICIPAL DE SAUDE</t>
  </si>
  <si>
    <t>ANA JULIA FREIRE DUARTE</t>
  </si>
  <si>
    <t>UBSF - JARDIM MARILIA</t>
  </si>
  <si>
    <t>ANA KAROLINE GONCALVES DE SOUZA</t>
  </si>
  <si>
    <t>ANA LUCIA DA SILVA REZENDE</t>
  </si>
  <si>
    <t>ANA LUCIA RODRIGUES DE SOUSA</t>
  </si>
  <si>
    <t>AUXILIAR DE ENFERMAGEM</t>
  </si>
  <si>
    <t>ANA LUIZA RAMOS DO NASCIMENTO</t>
  </si>
  <si>
    <t>ANA MARIA NOGUEIRA DE VASCONCELOS SANTOS</t>
  </si>
  <si>
    <t>TEC EM NECROPSIA</t>
  </si>
  <si>
    <t>SVO - SERVIÇO DE VERIFICAÇÃO DE OBITOS</t>
  </si>
  <si>
    <t>ANA MARIA RODRIGUES DOS SANTOS</t>
  </si>
  <si>
    <t>AUX DE FARMACIA</t>
  </si>
  <si>
    <t>ANA PAULA ALVES DE OLIVEIRA</t>
  </si>
  <si>
    <t>ANA PAULA DE OLIVEIRA</t>
  </si>
  <si>
    <t>ANA PAULA NOGUEIRA DE SOUSA</t>
  </si>
  <si>
    <t>TECNICO DE RADIOLOGIA</t>
  </si>
  <si>
    <t>ANDRE LUIS FERREIRA ROCHA</t>
  </si>
  <si>
    <t>PSICOLOGO</t>
  </si>
  <si>
    <t>ANDRE LUIZ DOS SANTOS</t>
  </si>
  <si>
    <t>ENFERMEIRO (A) ASSIST</t>
  </si>
  <si>
    <t>ANDRESSA SANTOS DE FREITAS</t>
  </si>
  <si>
    <t>ANDREZA MAFRA BEZERRA</t>
  </si>
  <si>
    <t>ANDREZA SOUSA SIQUEIRA</t>
  </si>
  <si>
    <t>ANGEL WELS RODRIGUES DA SILVA</t>
  </si>
  <si>
    <t>CENTRAL DE REMOÇÕES</t>
  </si>
  <si>
    <t>ANNY KAROLLINY SANGALI MOREIRA</t>
  </si>
  <si>
    <t>ANTONIA LIMA DE OLIVEIRA</t>
  </si>
  <si>
    <t>ANTONIA NEIDE TEIXEIRA DA SILVA</t>
  </si>
  <si>
    <t>ANTONISIA MARIA DE OLIVEIRA ROSA</t>
  </si>
  <si>
    <t>APARECIDA GOMES PEREIRA FONTELES</t>
  </si>
  <si>
    <t>APARECIDA MOREIRA BERTOLDO</t>
  </si>
  <si>
    <t>APARECIDA SHAMANDA SANTOS PASTANA</t>
  </si>
  <si>
    <t>ARACELES MACHADO DE OLIVEIRA</t>
  </si>
  <si>
    <t>ARIELLE TEIXEIRA RESENDE</t>
  </si>
  <si>
    <t>FISIOTERAPEUTA</t>
  </si>
  <si>
    <t>CAIS-CENTRO DE ATENDIMENTO INTEGRADO A S</t>
  </si>
  <si>
    <t>ARIELLY LORRANY BOAVENTURA SILVA ANTUNES</t>
  </si>
  <si>
    <t>ATAISIA SANTOS SANTIAGO</t>
  </si>
  <si>
    <t>UBSF - VILA JURACY</t>
  </si>
  <si>
    <t>BARBARA ARAUJO VAZ</t>
  </si>
  <si>
    <t>COORDENADOR(a) PSICOLOGA</t>
  </si>
  <si>
    <t>CAPS II - CENTRO PSICOSOCIAL TIPO II</t>
  </si>
  <si>
    <t>BARBARA FERNANDES MAIA BALBINO</t>
  </si>
  <si>
    <t>BARBARA KALLINE CARNEIRO DE CARVALHO</t>
  </si>
  <si>
    <t>BEATRIZ DE JESUS DA SILVA FERREIRA</t>
  </si>
  <si>
    <t>BEATRIZ RIBEIRO MOREIRA</t>
  </si>
  <si>
    <t>UBSF - JARDIM IPÊ</t>
  </si>
  <si>
    <t>BENEDITA SOUSA MELO RESENDE</t>
  </si>
  <si>
    <t>BIANCA PEREIRA DOS SANTOS</t>
  </si>
  <si>
    <t>FARMACEUTICO (A)</t>
  </si>
  <si>
    <t>BIANCA PEREIRA RODRIGUES</t>
  </si>
  <si>
    <t>BLITON MALEY OLIVEIRA</t>
  </si>
  <si>
    <t>BRENDA ALVES JESSER</t>
  </si>
  <si>
    <t>BRENDA POLLYANNA BRANDAO LIMA DA SILVA</t>
  </si>
  <si>
    <t>AUXILIAR EM SAUDE BUCAL</t>
  </si>
  <si>
    <t>UBS INDUSTRIAL - UNIDADE BASICA DE SAUDE</t>
  </si>
  <si>
    <t>BRENDHA APARECIDA MACHADO GOMES</t>
  </si>
  <si>
    <t>BRENDHA XAVIER DA SILVA</t>
  </si>
  <si>
    <t>UBSF - JARDIM PLANALTO</t>
  </si>
  <si>
    <t>BRENO FERREIRA</t>
  </si>
  <si>
    <t>BRUNA ARIADENE OLIVEIRA PIRES CARVALHO</t>
  </si>
  <si>
    <t>AUXILIAR DE FARMACIA</t>
  </si>
  <si>
    <t>BRUNA BATISTA VELOSO DA SILVA</t>
  </si>
  <si>
    <t>UBSF - DALVA IX PRAÇA DA BIBLIA</t>
  </si>
  <si>
    <t>BRUNA LIMA DOS SANTOS</t>
  </si>
  <si>
    <t>BRUNA LUIZA DE OLIVEIRA SILVA</t>
  </si>
  <si>
    <t>BRUNA MEIRELES CAMPOS SOARES</t>
  </si>
  <si>
    <t>BRUNA MOREIRA DE CARVALHO</t>
  </si>
  <si>
    <t>PNAISAIRI</t>
  </si>
  <si>
    <t>BRUNA MUNIZ DOS SANTOS</t>
  </si>
  <si>
    <t>BRUNO CLAYBERT DE JESUS MENEZES</t>
  </si>
  <si>
    <t>CPP - CENTRO DE PRISÃO PROVISORIA</t>
  </si>
  <si>
    <t>BRUNO CORREIA DE ARAUJO</t>
  </si>
  <si>
    <t>CAF - CENTRO DE ABASTECIMENTO FARMACETIC</t>
  </si>
  <si>
    <t>BYANKA FERREIRA DE ALMEIDA</t>
  </si>
  <si>
    <t>CAMILA CHAVES DE MACEDO</t>
  </si>
  <si>
    <t>CARLA DIAS LISBOA</t>
  </si>
  <si>
    <t>UBS - SETOR AEROPORTO</t>
  </si>
  <si>
    <t>CARLA HENRIQUE DE LIMA</t>
  </si>
  <si>
    <t>UAI - UNIDADE DE ACOLHIMENTO INFANTO JUV</t>
  </si>
  <si>
    <t>CARLA POLIANA CHAVES SOUTO</t>
  </si>
  <si>
    <t>CARLOS WELLINGTON DE OLIVEIRA</t>
  </si>
  <si>
    <t>CAROLINA ESPINDOLA DE OLIVEIRA</t>
  </si>
  <si>
    <t>CAROLINE MOROZOFF LIMA</t>
  </si>
  <si>
    <t>CELIA MARIA CRISPIM PEREIRA</t>
  </si>
  <si>
    <t>UBS - OSFAYA</t>
  </si>
  <si>
    <t>CELIO DE MORAIS SOUZA</t>
  </si>
  <si>
    <t>CINARIA ANE OLIVEIRA LEITE</t>
  </si>
  <si>
    <t>CIRLENE NASCIMENTO TEIXEIRA</t>
  </si>
  <si>
    <t>CLAUDIA MARIA DE OLIVEIRA MATOS</t>
  </si>
  <si>
    <t>CLAUDIANE RUFINO TEIXEIRA</t>
  </si>
  <si>
    <t>CLECIA FIALHO BATISTA</t>
  </si>
  <si>
    <t>UBSF - SOL NASCENTE</t>
  </si>
  <si>
    <t>CLEILTON GOMES DA SILVA</t>
  </si>
  <si>
    <t>CLEISE MATOS CORREA</t>
  </si>
  <si>
    <t>CLEO ANITA MOREIRA CAMELO</t>
  </si>
  <si>
    <t>CLEUSA DE SOUSA BERTOLDO FERREIRA</t>
  </si>
  <si>
    <t>UBSF - PARQUE ESTRELA DALVA IX FEIRINHA</t>
  </si>
  <si>
    <t>CRISLAYNE DE SOUZA FREIRE</t>
  </si>
  <si>
    <t>CRISTIANA FERNANDES ROCHA</t>
  </si>
  <si>
    <t>CRISTIANE ARAUJO DE MORAIS</t>
  </si>
  <si>
    <t>CRISTIANE DE SOUZA LEMOS</t>
  </si>
  <si>
    <t>SAMU JARDIM INGÁ</t>
  </si>
  <si>
    <t>CRISTIANE GOMES MOREIRA ALMEIDA</t>
  </si>
  <si>
    <t>CRISTIANE TENORIO DA SILVA RODRIGUES</t>
  </si>
  <si>
    <t>DAIANA SOUTO BARBOSA DE QUEIROZ</t>
  </si>
  <si>
    <t>UBSF - PARQUE ALVORADA</t>
  </si>
  <si>
    <t>DAIANE ALVES VAZ GOMES</t>
  </si>
  <si>
    <t>DAIANE CRISTINA ESPINDOLA DA SILVA</t>
  </si>
  <si>
    <t>UBS - JARDIM SAO PAULO</t>
  </si>
  <si>
    <t>DAISY DE CARVALHO RORIZ</t>
  </si>
  <si>
    <t>DALILA ELIAS SOUZA CARNEIRO</t>
  </si>
  <si>
    <t>DANIEL ALVES NASCIMENTO AMORIM</t>
  </si>
  <si>
    <t>DANIELA ABREU DOS SANTOS</t>
  </si>
  <si>
    <t>DANIELA CESAR SILVA</t>
  </si>
  <si>
    <t>DANIELE CRISTINA DE SOUZA</t>
  </si>
  <si>
    <t>UBSF - MANDÚ II</t>
  </si>
  <si>
    <t>DANIELLA FREIRE CARVALHO PICCIRILLI</t>
  </si>
  <si>
    <t>CEO - CENTRO DE ESPECIALIDADES ODONTOLOG</t>
  </si>
  <si>
    <t>DANIELLE ABREU SOUZA</t>
  </si>
  <si>
    <t>DANUBIA SAAVEDRA DA SILVA SOUSA</t>
  </si>
  <si>
    <t>UBSF - TRÊS VENDAS</t>
  </si>
  <si>
    <t>DAVID JHERISTON CAMPOS VELOSO</t>
  </si>
  <si>
    <t>UBSF - ALTO DAS CARAÍBAS</t>
  </si>
  <si>
    <t>DAYANA KELLY DA SILVA</t>
  </si>
  <si>
    <t>DAYANE RODRIGUES DE LIMA</t>
  </si>
  <si>
    <t>UBSF - AMERICANOS</t>
  </si>
  <si>
    <t>DEBORA DA ROCHA PEREIRA</t>
  </si>
  <si>
    <t>DEBORA MEIRELES AFFONSO SILVA</t>
  </si>
  <si>
    <t>DELIA LIMA DE MENDONCA</t>
  </si>
  <si>
    <t>DELIMAR LOPES DA SILVA</t>
  </si>
  <si>
    <t>UBSF - MINGONE II A</t>
  </si>
  <si>
    <t>DENISE SILVA DE MELO FERREIRA</t>
  </si>
  <si>
    <t>DEUSERAN VIEIRA DE FRANÇA</t>
  </si>
  <si>
    <t>DIANACY SILVA MEIRELES</t>
  </si>
  <si>
    <t>DINAMAR SILVA DOS SANTOS</t>
  </si>
  <si>
    <t>DIVIMARA CRISTINA ABREU BRAZ</t>
  </si>
  <si>
    <t>FONOAUDIOLOGO</t>
  </si>
  <si>
    <t>CLINICA DE ESPECIALIDADES</t>
  </si>
  <si>
    <t>DIVINA ANGELICA DA SILVA SOUZA</t>
  </si>
  <si>
    <t>DIVINA RICARDINA DE OLIVEIRA</t>
  </si>
  <si>
    <t>DORIS MEIRELES DE PAULA</t>
  </si>
  <si>
    <t>PRESIDIO FEMININO</t>
  </si>
  <si>
    <t>DRIELE LANA VIEIRA DE SOUZA</t>
  </si>
  <si>
    <t>UBSF - PARQUE ESTRELA DALVA VIII</t>
  </si>
  <si>
    <t>EDILENE FERREIRA DE SOUSA</t>
  </si>
  <si>
    <t>EDILEUSA MOREIRA DA SILVA</t>
  </si>
  <si>
    <t>EDILEUZA BRITO DOS SANTOS SILVA</t>
  </si>
  <si>
    <t>CER-CENTRO DE REABILITAÇÃO</t>
  </si>
  <si>
    <t>EDINEIA VIEIRA DE BRITO</t>
  </si>
  <si>
    <t>EDIVANDA MARTINS DE MEDEIROS</t>
  </si>
  <si>
    <t>EDMAR FONSECA GOMES</t>
  </si>
  <si>
    <t>EDNA ALVES DE OLIVEIRA</t>
  </si>
  <si>
    <t>EDNA PAULA FONSECA DE FARIA</t>
  </si>
  <si>
    <t>EDNA PINHEIRO DE ARAUJO</t>
  </si>
  <si>
    <t>EDNA SOUZA DE OLIVEIRA</t>
  </si>
  <si>
    <t>UBSF - PARQUE ESTRELA DALVA X</t>
  </si>
  <si>
    <t>EDNEIA BUENO MEIRELES GOMES</t>
  </si>
  <si>
    <t>EDYLANDO FERREIRA LOPES</t>
  </si>
  <si>
    <t>ELAINE ALVES GOMES TORRES</t>
  </si>
  <si>
    <t>ELAINE DA SILVA GONCALVES</t>
  </si>
  <si>
    <t>ELCIANE VIEIRA DA SILVA</t>
  </si>
  <si>
    <t>ELENICE ALVES DE OLIVEIRA</t>
  </si>
  <si>
    <t>ELEUSA MOREIRA DA SILVA</t>
  </si>
  <si>
    <t>ELIANA DE FATIMA OLIVEIRA CARDOZO</t>
  </si>
  <si>
    <t>ELIANE DA SILVA BOTELHO JESUS</t>
  </si>
  <si>
    <t>ELIANE DE JESUS TAVARES MATOS</t>
  </si>
  <si>
    <t>CASA DE PASSAGEM</t>
  </si>
  <si>
    <t>ELIANE GONÇALVES DE SOUZA</t>
  </si>
  <si>
    <t>ELIENE MENDES DE SOUSA</t>
  </si>
  <si>
    <t>ELIETE ALVES RABELO DOS SANTOS</t>
  </si>
  <si>
    <t>ELIEZER GOMES CAMPELO FILHO</t>
  </si>
  <si>
    <t>ELISAMARA MOREIRA DA CUNHA</t>
  </si>
  <si>
    <t>UBS JARDIM LUZILIA</t>
  </si>
  <si>
    <t>ELISANDRA RODRIGUES RIBEIRO MATOS</t>
  </si>
  <si>
    <t>ELISANGELA MARIA DE FREITAS</t>
  </si>
  <si>
    <t>ELIZABETH CRISOSTOMO RAMOS FERREIRA</t>
  </si>
  <si>
    <t>ELMA BISPO DOS SANTOS FERNANDES</t>
  </si>
  <si>
    <t>ELMA RIBEIRO DA SILVA</t>
  </si>
  <si>
    <t>EMILCE DA SILVA BOTELHO</t>
  </si>
  <si>
    <t>EMILIA GASPARETE NASCIMENTO</t>
  </si>
  <si>
    <t>EMILTON ALVES DA SILVA</t>
  </si>
  <si>
    <t>ENILDA DA COSTA MEIRELES CRUZ</t>
  </si>
  <si>
    <t>COORDENADOR DE ENFERMAGEM</t>
  </si>
  <si>
    <t>ERICA APARECIDA BORGES SORGATTO</t>
  </si>
  <si>
    <t>FISIOTERAPEUTA RT</t>
  </si>
  <si>
    <t>FARMACIA CENTRAL</t>
  </si>
  <si>
    <t>ERICA FERNANDA MATOS DA SILVA</t>
  </si>
  <si>
    <t>ERICA WANESSA FERREIRA DE SA SALES</t>
  </si>
  <si>
    <t>ERIKA OLIVEIRA DO NASCIMENTO</t>
  </si>
  <si>
    <t>ERIKA PEREIRA DA SILVA</t>
  </si>
  <si>
    <t>UBSF - RESIDENCIAL COPÁIBAS</t>
  </si>
  <si>
    <t>ERNANDE DAVSON OLIVEIRA SANTOS</t>
  </si>
  <si>
    <t>ESILANDIA GOMES MARTINS</t>
  </si>
  <si>
    <t>ESTEFANIA MILENE GARCIA</t>
  </si>
  <si>
    <t>ESTHER DO NASCIMENTO SILVA</t>
  </si>
  <si>
    <t>FABIANA BATISTA RABELO MAIA</t>
  </si>
  <si>
    <t>FABIANA RODRIGUES DOS SANTOS DOURADO</t>
  </si>
  <si>
    <t>FABIANA SANTOS DE MATOS</t>
  </si>
  <si>
    <t>FABIANE APARECIDA MAGALHAES SANTANA</t>
  </si>
  <si>
    <t>FABIANE DE ALMEIDA COSTA</t>
  </si>
  <si>
    <t>FABIANE MEIRELES DE CARVALHO</t>
  </si>
  <si>
    <t>FABIANE MOREIRA DA COSTA</t>
  </si>
  <si>
    <t>FABIANE RORIZ ARRUDA</t>
  </si>
  <si>
    <t>FABIO VIEGAS DE ANDRADE</t>
  </si>
  <si>
    <t>FATIMA PATRICIA OLIVEIRA</t>
  </si>
  <si>
    <t>FERNANDA DA COSTA BORGES</t>
  </si>
  <si>
    <t>FERNANDA DE SANTANA</t>
  </si>
  <si>
    <t>FERNANDA DE SOUZA PAULA</t>
  </si>
  <si>
    <t>FERNANDA DOS SANTOS ROSADA CATELI</t>
  </si>
  <si>
    <t>FERNANDA DOS SANTOS SILVA LIMA</t>
  </si>
  <si>
    <t>FERNANDA FERREIRA DA SILVA</t>
  </si>
  <si>
    <t>FERNANDA FRANCYELLE CHAVES RORIZ</t>
  </si>
  <si>
    <t>FERNANDO ROCHA PAULINO</t>
  </si>
  <si>
    <t>FLAVIA DE FREITAS GONCALVES</t>
  </si>
  <si>
    <t>FLAVIA LOPES CAETANO</t>
  </si>
  <si>
    <t>FRANCIELLY SERACENE BORGES SOUZA</t>
  </si>
  <si>
    <t>FRANCIENE DE JESUS SOUZA PINTO</t>
  </si>
  <si>
    <t>FRANCINETE COSTA PARENTE</t>
  </si>
  <si>
    <t>FRANCINY CARDOSO DE ALMEIDA</t>
  </si>
  <si>
    <t>FRANCISCA DE FATIMA RODIGUES CIPRIANO</t>
  </si>
  <si>
    <t>FRANCISCO DE SALES SEVERO</t>
  </si>
  <si>
    <t>FRANCISCO RENYS BATISTA BEZERRA</t>
  </si>
  <si>
    <t>FRANCIVALTER RAMALHO NETO</t>
  </si>
  <si>
    <t>RT TEC RADIOLOGIA</t>
  </si>
  <si>
    <t>GABRIEL MACHADO GONÇALVES</t>
  </si>
  <si>
    <t>GABRIELA CARDOSO DOS ANJOS</t>
  </si>
  <si>
    <t>GABRIELA MATIAS DOS REIS</t>
  </si>
  <si>
    <t>GABRIELA XAVIER BERTONZIN</t>
  </si>
  <si>
    <t>GABRIELLA NUNES FERREIRA</t>
  </si>
  <si>
    <t>GABRIELLE ARAUJO CHAPARONI DE FREITAS NOVAES</t>
  </si>
  <si>
    <t>GABRIELLY FRANCA SILVA</t>
  </si>
  <si>
    <t>GABRIELY RODRIGUES PIRES</t>
  </si>
  <si>
    <t>GEIZIANE DE SOUZA COELHO</t>
  </si>
  <si>
    <t>GERALDO DE SOUZA LEMOS</t>
  </si>
  <si>
    <t>GIZELE DE SOUSA</t>
  </si>
  <si>
    <t>GIZELLY LIMA CARVALHO</t>
  </si>
  <si>
    <t>GLEISSIANE FERREIRA MENDES</t>
  </si>
  <si>
    <t>GLEUMA RIBEIRO DA SILVA</t>
  </si>
  <si>
    <t>GLEYCE DOS PRAZERES SILVA</t>
  </si>
  <si>
    <t>HAYLLA ROCHA DE JESUS SILVA</t>
  </si>
  <si>
    <t>HELEN CRISTINA DE OLIVEIRA GOMES</t>
  </si>
  <si>
    <t>HELIANE LEMOS DE ARAUJO NERES</t>
  </si>
  <si>
    <t>HELLEN CRISTINA DE JESUS RIBEIRO</t>
  </si>
  <si>
    <t>CLINICA DE PSICOLOGIA</t>
  </si>
  <si>
    <t>HELY CLAUDIA TAVARES ALVES</t>
  </si>
  <si>
    <t>HILDA DO NASCIMENTO BARROS</t>
  </si>
  <si>
    <t>IANA GOMES DOS SANTOS LIMA</t>
  </si>
  <si>
    <t>IANDRA DA SILVA PIRES</t>
  </si>
  <si>
    <t>PROFISSIONAL DE EDUCAÇAO FISICA</t>
  </si>
  <si>
    <t>QUALIFICA APS</t>
  </si>
  <si>
    <t>IANE DE FARIAS ROSA</t>
  </si>
  <si>
    <t>ILMA NUNES DUARTE MEIRELES</t>
  </si>
  <si>
    <t>INDIARA CRISTINA ALCOFORADO</t>
  </si>
  <si>
    <t>INGRID JORDANA DE ARAUJO NERIS</t>
  </si>
  <si>
    <t>INGRID PEREIRA DE FREITAS</t>
  </si>
  <si>
    <t>IRINALDA RAMOS DE ALMEIDA</t>
  </si>
  <si>
    <t>IRIS APARECIDA BORGES DOS SANTOS</t>
  </si>
  <si>
    <t>IRISNEIDE SOUSA PRIMO</t>
  </si>
  <si>
    <t>IRLANE CUNHA DE ALMEIDA</t>
  </si>
  <si>
    <t>ISABEL LIMA DE ALMEIDA MAIA</t>
  </si>
  <si>
    <t>ISABELA DE OLIVEIRA CHAVES DOS REIS</t>
  </si>
  <si>
    <t>ISABELA RODRIGUES RUSTIGUEL VIANA</t>
  </si>
  <si>
    <t>UBSF - SANTA FÉ</t>
  </si>
  <si>
    <t>ISABELLA GONCALVES PEREIRA</t>
  </si>
  <si>
    <t>IVANILZA MARTINS BARROS</t>
  </si>
  <si>
    <t>IVONEIDE MARIA RORIZ</t>
  </si>
  <si>
    <t>IZABEL CECILIA GUEDES RODRIGUES</t>
  </si>
  <si>
    <t>JACINTA CORDEIRO OLIVEIRA</t>
  </si>
  <si>
    <t>JANAINE DE FRANCA SOUZA</t>
  </si>
  <si>
    <t>JANAYNA EULALIA TEIXEIRA PEREIRA</t>
  </si>
  <si>
    <t>JAQUELINA NESSI DOS SANTOS ALVES</t>
  </si>
  <si>
    <t>JAQUELINE DA SILVA MARQUES</t>
  </si>
  <si>
    <t>JEAN DA SILVA MOREIRA</t>
  </si>
  <si>
    <t>JEFFERSON DE ALMEIDA VIEIRA</t>
  </si>
  <si>
    <t>JEFFERSON RODRIGUES DA SILVA</t>
  </si>
  <si>
    <t>JEMIMA CARDOZO DA SILVA</t>
  </si>
  <si>
    <t>JENIFER KELLY ROCHA AMARO DA SILVA</t>
  </si>
  <si>
    <t>JENIFFER PAOLA DE SOUSA DUARTE</t>
  </si>
  <si>
    <t>JESSICA ASSUNÇÃO DOS SANTOS</t>
  </si>
  <si>
    <t>JESSICA GONCALVES DE FREITAS</t>
  </si>
  <si>
    <t>JESSICA KELLY DOS SANTOS OLIVEIRA</t>
  </si>
  <si>
    <t>JESSICA LORRANE DE SOUSA MOTA</t>
  </si>
  <si>
    <t>JESSICA MEIRELES BRAGA</t>
  </si>
  <si>
    <t>JESSIKA ALMEIDA BEZERRA</t>
  </si>
  <si>
    <t>JEZREEL LEONE ROCHA DA SILVA</t>
  </si>
  <si>
    <t>JOANA DA SILVA SOUSA</t>
  </si>
  <si>
    <t>JOAO BATISTA MARTINS LOUBAH</t>
  </si>
  <si>
    <t>JOAO CARLOS VAZ ROCHA</t>
  </si>
  <si>
    <t>JOAO PAULO CUNHA TORRES</t>
  </si>
  <si>
    <t>JOELMA ARAUJO PEREIRA DA COSTA</t>
  </si>
  <si>
    <t>UBSF - MINGONE I</t>
  </si>
  <si>
    <t>JONAS ALVES FERREIRA</t>
  </si>
  <si>
    <t>JOQUEBEDE MELODY PEREIRA</t>
  </si>
  <si>
    <t>JOSIANE GONÇALVES PEREIRA</t>
  </si>
  <si>
    <t>EMAD2-EQUIPE MULTIPROFISSIONAL DE ATENÇÃ</t>
  </si>
  <si>
    <t>JUCELIA DE SPINDOLA LEITE NASCIMENTO</t>
  </si>
  <si>
    <t>JUCILEIA PEREIRA DA CRUZ</t>
  </si>
  <si>
    <t>JULIA DOURADO FERREIRA</t>
  </si>
  <si>
    <t>JULIA FERNANDA RORIZ MEIRELES</t>
  </si>
  <si>
    <t>JULIA MARIA PEREIRA DA CRUZ</t>
  </si>
  <si>
    <t>JULIANA DA MATA FURLAN</t>
  </si>
  <si>
    <t>JULIANA DA SILVA OLIVEIRA</t>
  </si>
  <si>
    <t>JULIANA DE ALMEIDA PINHEIRO</t>
  </si>
  <si>
    <t>JULIANA LOPES GONÇALVES</t>
  </si>
  <si>
    <t>UBS - SETOR LESTE</t>
  </si>
  <si>
    <t>JULIANNA DOS SANTOS BARTELI</t>
  </si>
  <si>
    <t>JULLY DOS SANTOS PEREIRA APRA</t>
  </si>
  <si>
    <t>JULLY VIEIRA SOARES</t>
  </si>
  <si>
    <t>JUSSARA DOS SANTOS CAMARGO</t>
  </si>
  <si>
    <t>KALLITA LORRANE VAZ MARIANO</t>
  </si>
  <si>
    <t>KAMILA KAROLINA DE ARAUJO</t>
  </si>
  <si>
    <t>KAMILA RESENDE BRAZ</t>
  </si>
  <si>
    <t>KANANDA BATISTA VIEIRA RIBEIRO</t>
  </si>
  <si>
    <t>KARINA BARBOSA DE SOUZA</t>
  </si>
  <si>
    <t>KARINA CARVALHO DE BRITO</t>
  </si>
  <si>
    <t>KARINA RIBEIRO LEAL DA SILVA</t>
  </si>
  <si>
    <t>KARINE GONCALVES</t>
  </si>
  <si>
    <t>KARLEANE FERREIRA DOS SANTOS</t>
  </si>
  <si>
    <t>UBSF PED IX PRAÇA DA BIBLIA- UNIDADE BÁ</t>
  </si>
  <si>
    <t>KAROLLINE GONÇALVES SANCHES</t>
  </si>
  <si>
    <t>UBS CRUZEIRO - UNIDADE BASICA DE SAUDE</t>
  </si>
  <si>
    <t>KATIA BUENO DE SOUZA</t>
  </si>
  <si>
    <t>KATIA COSTA DOS SANTOS</t>
  </si>
  <si>
    <t>KATIA KELLY SANTOS SANTANA</t>
  </si>
  <si>
    <t>KEILA SUZANI CASTRO MAGNO TRINDADE</t>
  </si>
  <si>
    <t>KELBIA VIEIRA COTRIM</t>
  </si>
  <si>
    <t>KELCIA APARECIDA BUENO</t>
  </si>
  <si>
    <t>KELLY ALBERNAZ CAVALCANTE DE MOURA</t>
  </si>
  <si>
    <t>KELLY CRISTINA DE CASTRO</t>
  </si>
  <si>
    <t>KELLY JESUS DA SILVA</t>
  </si>
  <si>
    <t>KELY DAYANE FREIRE DUARTE</t>
  </si>
  <si>
    <t>KETLEN FONTOURA VIEIRA</t>
  </si>
  <si>
    <t>KETLEY CRISTINA BRITO DA SILVA</t>
  </si>
  <si>
    <t>KEYLLA DAYANNE COELHO MARINHO DE MELO</t>
  </si>
  <si>
    <t>ODONTOLOGO RT</t>
  </si>
  <si>
    <t>KLEISLA EIQUER LEITE MAGNO</t>
  </si>
  <si>
    <t>LAIANA KELLY DUARTE LIBERATO</t>
  </si>
  <si>
    <t>LAIENE SOUSA MENDES</t>
  </si>
  <si>
    <t>COORDENADOR (a) FARMACEUTICO</t>
  </si>
  <si>
    <t>LAIZA RODRIGUES FERREIRA</t>
  </si>
  <si>
    <t>LARA FARIAS BASTOS</t>
  </si>
  <si>
    <t>LARISSA MENDOCA RODRIGUES VIDAL</t>
  </si>
  <si>
    <t>LARISSA PEIXOTO DOS SANTOS</t>
  </si>
  <si>
    <t>LAURINDA SABINO DE OLIVEIRA</t>
  </si>
  <si>
    <t>LAVINIA CHADUD LEITE</t>
  </si>
  <si>
    <t>LAYS SILVA DE ARAUJO</t>
  </si>
  <si>
    <t>FARMACIA DE ALTO CUSTO</t>
  </si>
  <si>
    <t>LEANDRO PEREIRA DOS ANJOS</t>
  </si>
  <si>
    <t>LEONARDO ANDRE SOARES ANDRADE</t>
  </si>
  <si>
    <t>LETICIA CARVALHO DUTRA</t>
  </si>
  <si>
    <t>LETICIA DE OLIVEIRA COSTA</t>
  </si>
  <si>
    <t>LETICIA MARA GUIMARAES</t>
  </si>
  <si>
    <t>LETICIA OLIVEIRA DA SILVA</t>
  </si>
  <si>
    <t>LETICIA RODRIGUES CIRIACO</t>
  </si>
  <si>
    <t>LETYCIA BRAZ MATOS</t>
  </si>
  <si>
    <t>LHORENA RICARDO DA SILVEIRA GOMES</t>
  </si>
  <si>
    <t>LIGIA GONCALVES DE QUEIROZ</t>
  </si>
  <si>
    <t>LILIAN CRISTINA VARGAS PEREIRA</t>
  </si>
  <si>
    <t>LILIAN DA SILVA VENANCIO</t>
  </si>
  <si>
    <t>LILIAN VASONCELOS BRITO</t>
  </si>
  <si>
    <t>LINDSAY CIRILA GONCALVES SIQUEIRA DE OLIVEIRA</t>
  </si>
  <si>
    <t>LIVIA RORIZ ALBERNAZ MEIRELES</t>
  </si>
  <si>
    <t>LIZANDRA DINIZ DE SOUZA</t>
  </si>
  <si>
    <t>LOISE DA SILVA SANTOS</t>
  </si>
  <si>
    <t>LORENA ENEAS AMARAL DE FREITAS</t>
  </si>
  <si>
    <t>LORENA GOMES DA CRUZ</t>
  </si>
  <si>
    <t>LOURDIANE SALAZAR REZENDE MONTEIRO</t>
  </si>
  <si>
    <t>LUANA AMARO DA SILVA</t>
  </si>
  <si>
    <t>LUCAS MONTEIRO MENDANHA</t>
  </si>
  <si>
    <t>LUCAS OLIVEIRA AMORIM</t>
  </si>
  <si>
    <t>LUCIANA ATTIE</t>
  </si>
  <si>
    <t>LUCIANA MARIA ESTEVAM ROCHA FELIX</t>
  </si>
  <si>
    <t>LUCIANA SILVA QUEIROZ</t>
  </si>
  <si>
    <t>LUCIANE RORIZ MEIRELES DE OLIVEIRA</t>
  </si>
  <si>
    <t>LUCINEIDE CARVALHO MACHADO</t>
  </si>
  <si>
    <t>LUCIVANI PIRES DE ARAUJO</t>
  </si>
  <si>
    <t>LUISA GONCALVES INACIO ELEUTERIO</t>
  </si>
  <si>
    <t>LUIZ CARLOS RIBEIRO</t>
  </si>
  <si>
    <t>LUIZA MACIEL MONTEIRO</t>
  </si>
  <si>
    <t>LUZYANNY GARDENY SILVA LUZ</t>
  </si>
  <si>
    <t>MACIEL DE OLIVEIRA ABREU</t>
  </si>
  <si>
    <t>PEDAGOGO RT</t>
  </si>
  <si>
    <t>MAIARA DE QUEIROZ SILVA</t>
  </si>
  <si>
    <t>MAIARA LEMES PEREIRA</t>
  </si>
  <si>
    <t>MANOEL MATHEUS DUARTE DA SILVA</t>
  </si>
  <si>
    <t>MARCELA FALCAO OLIVEIRA</t>
  </si>
  <si>
    <t>MARCELLE GILMARA ROCHA</t>
  </si>
  <si>
    <t>MARCIA PEREIRA VIEIRA DE SOUZA</t>
  </si>
  <si>
    <t>MARCIA RIBEIRO GUIMARAES</t>
  </si>
  <si>
    <t>MARCIA ROSA DE VASCONCELOS</t>
  </si>
  <si>
    <t>MARCIA SOUZA DO NASCIMENTO</t>
  </si>
  <si>
    <t>MARCILENE DE JESUS VIEIRA LOPES</t>
  </si>
  <si>
    <t>MARCOS FELIPE MARTINS MENDONÇA</t>
  </si>
  <si>
    <t>MARCOS IONAN BRAZ JUNIOR</t>
  </si>
  <si>
    <t>BIOLOGO</t>
  </si>
  <si>
    <t>MARCUS VINICIUS SOUSA DE MORAIS CUNHA</t>
  </si>
  <si>
    <t>MARIA ADELIA VELOSO DE ABREU</t>
  </si>
  <si>
    <t>TECNICO EM GESSO HOSPITALAR</t>
  </si>
  <si>
    <t>MARIA BEATRIZ ARNEITZ GALANTE</t>
  </si>
  <si>
    <t>MARIA CAROLINE MEDEIROS LOPES</t>
  </si>
  <si>
    <t>MARIA CLARA PIRES DE SOUSA</t>
  </si>
  <si>
    <t>MARIA CRISTINA CALDEIRA SILVEIRA</t>
  </si>
  <si>
    <t>MARIA DA CONCEICAO CARDOSO DE SOUZA</t>
  </si>
  <si>
    <t>MARIA DANIELA DA COSTA PIMENTEL</t>
  </si>
  <si>
    <t>MARIA DAS GRAÇAS SANTOS FERNANDES</t>
  </si>
  <si>
    <t>UOM-UNIDADE ODONTOLOGICA MOVEL</t>
  </si>
  <si>
    <t>MARIA DAS VITORIAS DANTAS SANTOS</t>
  </si>
  <si>
    <t>MARIA DE FATIMA DE OLIVEIRA SANTOS</t>
  </si>
  <si>
    <t>MARIA DE JESUS DIAS DA SILVA</t>
  </si>
  <si>
    <t>MARIA DIVINA RESENDE MOREIRA</t>
  </si>
  <si>
    <t>MARIA DO CARMO SILVA</t>
  </si>
  <si>
    <t>MARIA DO SOCORRO DE ARAUJO FREITAS</t>
  </si>
  <si>
    <t>MARIA DO SOCORRO RODRIGUES NASCIMENTO</t>
  </si>
  <si>
    <t>MARIA ESTER NASCIMENTO DUTRA DE OLIVEIRA</t>
  </si>
  <si>
    <t>MARIA GABRIELA MARQUES VIEIRA</t>
  </si>
  <si>
    <t>MARIA HELENA MACEDO BESERRA FELIX</t>
  </si>
  <si>
    <t>MARIA JOSE ALVES DE SOUSA</t>
  </si>
  <si>
    <t>MARIA JOSE ARAUJO XAVIER RODRIGUES</t>
  </si>
  <si>
    <t>MARIA LUCENELDA BARBOSA FERREIRA</t>
  </si>
  <si>
    <t>MARIA LUCIA PEREIRA DE SOUSA</t>
  </si>
  <si>
    <t>MARIA LUCILE MACHADO</t>
  </si>
  <si>
    <t>MARIA LUISA ALVES DOS SANTOS</t>
  </si>
  <si>
    <t>MARIA NADIR DE LIMA SOARES SANTOS</t>
  </si>
  <si>
    <t xml:space="preserve">PEDAGOGO
</t>
  </si>
  <si>
    <t>MARIA NIVIA DOS SANTOS SILVA</t>
  </si>
  <si>
    <t>MARIA RITA RIBEIRO PEDROSO</t>
  </si>
  <si>
    <t>MARIA ROSENIR MACIEL JORDAO</t>
  </si>
  <si>
    <t>MARIA SOUZA DOS SANTOS</t>
  </si>
  <si>
    <t>MARIA TEREZA BERTOLDO MUNIZ</t>
  </si>
  <si>
    <t>FILANTROPICA</t>
  </si>
  <si>
    <t>MARIA ZULMA TEIXEIRA DE OLIVEIRA</t>
  </si>
  <si>
    <t>MARIANA ABRAO VELOSO CARVALHO</t>
  </si>
  <si>
    <t>MARIANA MARTINS DE PAULA</t>
  </si>
  <si>
    <t>MARIANA SENA BORGANN RODRIGUES DA SILVA</t>
  </si>
  <si>
    <t>MARIANE COSTA BARRETO</t>
  </si>
  <si>
    <t>MARIANGELA PEREIRA GOMES</t>
  </si>
  <si>
    <t>MARIELLEN DA SILVA CAIXETA TELES</t>
  </si>
  <si>
    <t>MARIETA BARBOSA DA CUNHA</t>
  </si>
  <si>
    <t>MARILENE DE CARVALHO CUNHA</t>
  </si>
  <si>
    <t>MARINA DE OLIVEIRA FREITAS</t>
  </si>
  <si>
    <t>MARINA LOPES</t>
  </si>
  <si>
    <t>MARINALVA MARCIA DA COSTA</t>
  </si>
  <si>
    <t>MARINEIDE GONÇALVES LOIOLA OLIVEIRA</t>
  </si>
  <si>
    <t>UBS RURAL - UNIDADE BASICA DE SAUDE INDA</t>
  </si>
  <si>
    <t>MARISTELA TAVARES DA SILVA PORTES</t>
  </si>
  <si>
    <t>MARLENE PEREIRA DA CUNHA</t>
  </si>
  <si>
    <t>MARLETE BATISTA DE OLIVEIRA BARREIROS</t>
  </si>
  <si>
    <t>MARLI APARECIDA CABRAL SANTOS</t>
  </si>
  <si>
    <t>MARTA MORAIS BORGES</t>
  </si>
  <si>
    <t>MARTA MOREIRA ALVES QUEIROZ</t>
  </si>
  <si>
    <t>MARY NILCE ALVES</t>
  </si>
  <si>
    <t>MATEUS DUARTE COELHO</t>
  </si>
  <si>
    <t>MATHEUS DA SILVA TURIBIO DIAS</t>
  </si>
  <si>
    <t>MATHEUS LOPES SANTOS</t>
  </si>
  <si>
    <t>MAURINA MACEDO PEREIRA</t>
  </si>
  <si>
    <t>MAYARA DE NASCIMENTO SANTANA</t>
  </si>
  <si>
    <t>MEIRES NATALIA DE JESUS MORAIS</t>
  </si>
  <si>
    <t>MICAELE ARAUJO DE SOUZA</t>
  </si>
  <si>
    <t>MICAELLE DAIANE DE SOUZA</t>
  </si>
  <si>
    <t>MICHELE BITENCOURT ALVES SANTANA</t>
  </si>
  <si>
    <t>MICHELE FERREIRA LOPES</t>
  </si>
  <si>
    <t>MICHELLE CRISTINE COUTINHO</t>
  </si>
  <si>
    <t>MICHELLE LIMA MORAES SILVA</t>
  </si>
  <si>
    <t>MICHELLE MOREIRA DE SOUSA</t>
  </si>
  <si>
    <t>MIRIAM ALVES SANTANA</t>
  </si>
  <si>
    <t>MIRIAM MEIRELES</t>
  </si>
  <si>
    <t>MONICA GOMES NORONHA</t>
  </si>
  <si>
    <t>MORGANNA HENRIQUE DE ANICETO</t>
  </si>
  <si>
    <t>MYLENA ADRYELLY CARNEIRO DE MELO</t>
  </si>
  <si>
    <t>MYRELLE DA CUNHA CARDOSO</t>
  </si>
  <si>
    <t>NAIDE ALVES LEAO</t>
  </si>
  <si>
    <t>NAILA BRUNA NUNES DE OLIVEIRA</t>
  </si>
  <si>
    <t>NAJILA DE SOUSA LIRA</t>
  </si>
  <si>
    <t>NARA PAULA SOARES RODRIGUES DOS SANTOS</t>
  </si>
  <si>
    <t>NATALIA NEPUMUCENO DA SILVA</t>
  </si>
  <si>
    <t>NATECIA RODRIGUES LIMA DOS SANTOS</t>
  </si>
  <si>
    <t>NATHALIA DE SOUSA DANTAS</t>
  </si>
  <si>
    <t>NATHALIA GOMES DOS SANTOS</t>
  </si>
  <si>
    <t>NATHELLY RIBEIRO DE MELO RESENDE</t>
  </si>
  <si>
    <t>NATHIELLY THAIRINE FREITAS FERREIRA</t>
  </si>
  <si>
    <t>NAYARA PATRICIA NASCIMENTO ARAUJO</t>
  </si>
  <si>
    <t>NEIDE ALVES DE SOUSA ROCHA</t>
  </si>
  <si>
    <t>NIKOLAS VICTOR MARTINS CASSIMIRO</t>
  </si>
  <si>
    <t>NIKOLLY VITORIA MEIRELES DOS SANTOS</t>
  </si>
  <si>
    <t>NILVA PEREIRA DA SILVA DA ROCHA</t>
  </si>
  <si>
    <t>NILZA MARIA MATOS LOBATO</t>
  </si>
  <si>
    <t>NINA LIDIA MOREIRA DE ALCANTARA</t>
  </si>
  <si>
    <t>NUBIA DANTAS DIAS</t>
  </si>
  <si>
    <t>NUBIA LOPES MONTEIRO</t>
  </si>
  <si>
    <t>OCIONEIDE CARVALHO MACHADO</t>
  </si>
  <si>
    <t>OSMIRENE MARIA GOMES CAIXETA</t>
  </si>
  <si>
    <t>OTILIA MARIA DA SILVA</t>
  </si>
  <si>
    <t>PALOMA SOARES DOS SANTOS</t>
  </si>
  <si>
    <t>PAOLA AMANDA LIMA SOUTO</t>
  </si>
  <si>
    <t>PATRICIA DANTAS SANTOS</t>
  </si>
  <si>
    <t>PATRICIA LILIAN DA COSTA MELO</t>
  </si>
  <si>
    <t>PATRICIA LOPES RAMOS</t>
  </si>
  <si>
    <t>PAULA DE FREITAS VIEIRA</t>
  </si>
  <si>
    <t>PAULO HENRIQUE FARIAS DOS SANTOS</t>
  </si>
  <si>
    <t>PAULO MOREIRA DA SILVA OLIVEIRA</t>
  </si>
  <si>
    <t>PAULO ROBERTO TONELLI</t>
  </si>
  <si>
    <t>PEDRO HENRIQUE DUTRA DE SOUZA</t>
  </si>
  <si>
    <t>POLIANA MELO MARTINS PEREIRA</t>
  </si>
  <si>
    <t>POLIANA SOARES DA SILVA</t>
  </si>
  <si>
    <t>POLLIANNA CAMELO DE OLIVEIRA CAMARGO</t>
  </si>
  <si>
    <t>PRISCILA FARIAS BUENO SOARES</t>
  </si>
  <si>
    <t>PRISCILA FERNANDES SILVA</t>
  </si>
  <si>
    <t>PRISCILA MACEDO ALVES</t>
  </si>
  <si>
    <t>PRISCILA MARIA DE MATOS</t>
  </si>
  <si>
    <t>RAFAEL BARROS FERREIRA</t>
  </si>
  <si>
    <t>RAFAELA SANTOS GUSMAO</t>
  </si>
  <si>
    <t>RAFAELLA DOS SANTOS RAMOS</t>
  </si>
  <si>
    <t>RAFAELLA PRATES BERTOLETTI</t>
  </si>
  <si>
    <t>RAISSA CARVALHO MACHADO</t>
  </si>
  <si>
    <t>RAMON OLIVEIRA NUNES</t>
  </si>
  <si>
    <t>RANIEL MOURAO DE MELO</t>
  </si>
  <si>
    <t>RAPHAELLA OLIVEIRA DUTRA</t>
  </si>
  <si>
    <t>RAQUEL CARVALHO NUNES DA SILVA</t>
  </si>
  <si>
    <t>RAQUEL DA SILVA LIMA</t>
  </si>
  <si>
    <t>RAQUEL SOUZA MIRANDA SILVA</t>
  </si>
  <si>
    <t>RAQUELMA ARAUJO DE LIMA</t>
  </si>
  <si>
    <t>RAYANE NUNES DE LIMA</t>
  </si>
  <si>
    <t>RAYNNARA MARIA MADEIRO BRASIL</t>
  </si>
  <si>
    <t>RAYONE COELHO DOS SANTOS</t>
  </si>
  <si>
    <t>RAYRA KETLLEY COSTA ALBUQUERQUE</t>
  </si>
  <si>
    <t>RAYSSA MENDES LELES</t>
  </si>
  <si>
    <t>REGINA TAVARES BRITO ROSA</t>
  </si>
  <si>
    <t>RENATA AIRES DOS SANTOS</t>
  </si>
  <si>
    <t>RENATA APARECIDA LIMA DA SILVA</t>
  </si>
  <si>
    <t>RICARDO FELIPE FERREIRA ROCHA</t>
  </si>
  <si>
    <t>RITA RORIZ CIQUEIRA</t>
  </si>
  <si>
    <t>RIVIELLY ILDEFONSO DA SILVA</t>
  </si>
  <si>
    <t>ROBERTA CELESTINO DE SOUZA</t>
  </si>
  <si>
    <t>ROSALIA DOS SANTOS SILVA</t>
  </si>
  <si>
    <t>ROSANA SOUZA COUTINHO</t>
  </si>
  <si>
    <t>ROSANGELA SAMPAIO FRANCA</t>
  </si>
  <si>
    <t>ROSIANE OLIVEIRA SANTOS</t>
  </si>
  <si>
    <t>ROSICLEIA SILVA DE LACERDA</t>
  </si>
  <si>
    <t>ROSILEIDE ALVES ALBUQUERQUE FREIXO</t>
  </si>
  <si>
    <t>ROSIMARIA SOARES RIBEIRO</t>
  </si>
  <si>
    <t>ROSIMARY ALVES DE OLIVEIRA</t>
  </si>
  <si>
    <t>ROSIMERI DE MORAES OLIVEIRA</t>
  </si>
  <si>
    <t>ROSSANA OLIVEIRA BORGES SOUZA</t>
  </si>
  <si>
    <t>ROZANA OLIVEIRA DE AZEVEDO CARDOSO</t>
  </si>
  <si>
    <t>RUAN VITOR ARAUJO DOS REIS</t>
  </si>
  <si>
    <t>SABRYNE SILVA MONTALVAO VIEIRA</t>
  </si>
  <si>
    <t>SAGORAH FERNANDA FERREIRA NEVES</t>
  </si>
  <si>
    <t>SAMILLY LARISSA BARBOSA DE OLIVEIRA</t>
  </si>
  <si>
    <t>SAMUEL MARCONI PIMENTEL PAULO</t>
  </si>
  <si>
    <t>SANARA SILVA ROBERTO</t>
  </si>
  <si>
    <t>SANDRA DA ROCHA SILVA</t>
  </si>
  <si>
    <t>SANDRA REGINA BRITO E SILVA</t>
  </si>
  <si>
    <t>SARA ALVES DA SILVA</t>
  </si>
  <si>
    <t>SARA DE JESUS SOUZA</t>
  </si>
  <si>
    <t>SARA DIAS VIEIRA DE ALBUQUERQUE RORIZ</t>
  </si>
  <si>
    <t>SARA FONSECA DIAS</t>
  </si>
  <si>
    <t>SARA SILVA MONTALVAO DA ROCHA</t>
  </si>
  <si>
    <t>COORDENADORA GERAL NUTRIÇÃO/RT</t>
  </si>
  <si>
    <t>SARAH GOMES MAGALHÃES</t>
  </si>
  <si>
    <t>UBSF PED 9 FEIRINHA-PARQ ESTRELA DALV IX</t>
  </si>
  <si>
    <t>SILONIR SOLANE MOREIRA CUNHA</t>
  </si>
  <si>
    <t>SILVANA PINTO SILVA</t>
  </si>
  <si>
    <t>SIMEIA DA SILVA SOUSA</t>
  </si>
  <si>
    <t>SIMONE APARECIDA PINHEIRO VIEIRA DOS SANTOS</t>
  </si>
  <si>
    <t>SIMONE APARECIDA RODRIGUES BARCELOS</t>
  </si>
  <si>
    <t>SIMONE FRANCISCO RIBEIRO</t>
  </si>
  <si>
    <t>SIMONE VIEIRA DA SILVA</t>
  </si>
  <si>
    <t>SOLANGE SOARES DE OLIVEIRA</t>
  </si>
  <si>
    <t>STEFANE GUIMARAES FARIAS</t>
  </si>
  <si>
    <t>STEFANE ROCHA DA SILVA</t>
  </si>
  <si>
    <t>STEPHANIE DE SOUZA ROCHA</t>
  </si>
  <si>
    <t>SUELI PEREIRA DOS SANTOS</t>
  </si>
  <si>
    <t>SUELY DE SOUSA</t>
  </si>
  <si>
    <t>SUZANA CRISTINA GAZOLA GOTALDO</t>
  </si>
  <si>
    <t>SUZANA DE MORAES MEIRELES NEVES</t>
  </si>
  <si>
    <t>VIGILANCIA SANITARIA</t>
  </si>
  <si>
    <t>SUZANA OLIVEIRA DE SENA</t>
  </si>
  <si>
    <t>TAINARA ALMEIDA DE MORAIS</t>
  </si>
  <si>
    <t>TAISE CRISTINA GONÇALVES DE OLIVEIRA</t>
  </si>
  <si>
    <t>TAMARA RODRIGUES CAIXETA COUTO</t>
  </si>
  <si>
    <t>TATIANA LOJOR DE FRANÇA</t>
  </si>
  <si>
    <t>TATIANE ARAUJO DE SOUZA</t>
  </si>
  <si>
    <t>TATIANE DE OLIVEIRA BRAGA HIROSHIMA</t>
  </si>
  <si>
    <t>TATIANE XAVIER SANTANA</t>
  </si>
  <si>
    <t>TAYNARA LIMA PEREIRA</t>
  </si>
  <si>
    <t>TAYS LACERDA MONTEIRO</t>
  </si>
  <si>
    <t>TEREZINHA MARIA DA ROCHA CARVALHO</t>
  </si>
  <si>
    <t>TEREZINHA MARIA DE JESUS SOUZA</t>
  </si>
  <si>
    <t>THAIANE DOS SANTOS MELO</t>
  </si>
  <si>
    <t>THAINA MARIA SEMIAO</t>
  </si>
  <si>
    <t>THAIS ALMEIDA ALVES</t>
  </si>
  <si>
    <t>THAIS ALVES GONCALVES DO CARMO</t>
  </si>
  <si>
    <t>ENFERMEIRO (a) DE CCIH</t>
  </si>
  <si>
    <t>THAIS LORENA BARBOSA DE ARAUJO COSTA</t>
  </si>
  <si>
    <t>THAIS RANELLY SANTOS MESQUITA</t>
  </si>
  <si>
    <t>THAIS VIEIRA TOLEDO</t>
  </si>
  <si>
    <t>THAMARA CARDOSO BARBOSA</t>
  </si>
  <si>
    <t>THAMIRES VIEIRA BRAZ DE SIQUEIRA</t>
  </si>
  <si>
    <t>THAMMY HADAD SIQUEIRA</t>
  </si>
  <si>
    <t>THAYS TELES GOMES</t>
  </si>
  <si>
    <t>THIAGO RODRIGO COSTA</t>
  </si>
  <si>
    <t>THUANNE VICTORIA DIAS GOMES</t>
  </si>
  <si>
    <t>TIAGO MARTINS DE OLIVEIRA CABREIRA</t>
  </si>
  <si>
    <t>VALDA LOPES DUARTE DE MELO</t>
  </si>
  <si>
    <t>VALDIRENE MARTINS DUARTE</t>
  </si>
  <si>
    <t>VALERIA FARIAS PINHO RODRIGUES</t>
  </si>
  <si>
    <t>VALMIRA MARIA DA SILVA</t>
  </si>
  <si>
    <t>VANESSA MARIA DA SILVA GOMES</t>
  </si>
  <si>
    <t>VANESSA MOURA SENA DA MATA</t>
  </si>
  <si>
    <t>VANIA ALVES MAGALHAES</t>
  </si>
  <si>
    <t>VANUSIA DA SILVA LIMA</t>
  </si>
  <si>
    <t>VERA LUCIA DA SILVA MARIANO</t>
  </si>
  <si>
    <t>VERONIKA PEIXOTO BRAZ</t>
  </si>
  <si>
    <t>VICTOR RODRIGUES SANTOS</t>
  </si>
  <si>
    <t>VICTOR ROSA REIS</t>
  </si>
  <si>
    <t>VILANI BARBOSA DE OLIVEIRA ALCANTARA</t>
  </si>
  <si>
    <t>VILMA BATISTA DA SILVA</t>
  </si>
  <si>
    <t>VIRGILIO AUGUSTO DE SOUSA SANTOS</t>
  </si>
  <si>
    <t>VITOR ANTONIO FREITAS NASCIMENTO</t>
  </si>
  <si>
    <t>VITORIA CAROLINA DA CONCEICAO CARVALHO</t>
  </si>
  <si>
    <t>VITORIA DE SOUZA RODRIGUES</t>
  </si>
  <si>
    <t>VIVIAN MEIRELES FLORES DE ALMEIDA</t>
  </si>
  <si>
    <t>VIVIANE BARBOSA DE SOUSA</t>
  </si>
  <si>
    <t>VIVIANE MOREIRA DA SILVA</t>
  </si>
  <si>
    <t>VIVIANE VIEIRA DA SILVA</t>
  </si>
  <si>
    <t>WANESSA FREITAS DOS SANTOS</t>
  </si>
  <si>
    <t>WANESSA SOUZA SILVA</t>
  </si>
  <si>
    <t>WERONICA TAMYRIE SILVA DE PAULA</t>
  </si>
  <si>
    <t>WESLIANE COELHO SOARES MEIRELES</t>
  </si>
  <si>
    <t>WOLNEY RODRIGUES LIMA</t>
  </si>
  <si>
    <t>YANNE LARA COELHO CARVALHO</t>
  </si>
  <si>
    <t>YASMIN BERTOLDO DA SILVA</t>
  </si>
  <si>
    <t>ZELIA ROCHA DE MATOS</t>
  </si>
  <si>
    <t>ZULEIDE BATISTA DOS SANTOS FARIAS</t>
  </si>
  <si>
    <t xml:space="preserve">UNIDADE </t>
  </si>
  <si>
    <t>ADELINA FEITOSA SOUSA NETA</t>
  </si>
  <si>
    <t>068.564.401-46</t>
  </si>
  <si>
    <t>39724/GO</t>
  </si>
  <si>
    <t>PLANTÃO</t>
  </si>
  <si>
    <t>ADERBAL JOÃO DE JESUS SOUZA</t>
  </si>
  <si>
    <t>874.136.551-87</t>
  </si>
  <si>
    <t>38382/GO</t>
  </si>
  <si>
    <t>40H</t>
  </si>
  <si>
    <t>ALEF JORD SOUZA PIRES</t>
  </si>
  <si>
    <t>060.758.125-55</t>
  </si>
  <si>
    <t>31878/GO</t>
  </si>
  <si>
    <t>ALESSANDRA FERNANDES DA SILVA SOUZA</t>
  </si>
  <si>
    <t>052.129.581-56</t>
  </si>
  <si>
    <t>37824 /GO</t>
  </si>
  <si>
    <t>ALEXIA SILVA MACEDO</t>
  </si>
  <si>
    <t>125.815.036-02</t>
  </si>
  <si>
    <t>36903/GO</t>
  </si>
  <si>
    <t>AMANDA DE AMORIM MEIRELES</t>
  </si>
  <si>
    <t>039.582.291-23</t>
  </si>
  <si>
    <t>37569/GO</t>
  </si>
  <si>
    <t>40H/RT</t>
  </si>
  <si>
    <t>ANA GABRIELA BATISTA PINHEIRO BRITO</t>
  </si>
  <si>
    <t>698.388.281-49</t>
  </si>
  <si>
    <t>35767/GO</t>
  </si>
  <si>
    <t>PLANTÃO/PLANTÃO</t>
  </si>
  <si>
    <t>ANA LUÍSA BERTUOL BOAVENTURA</t>
  </si>
  <si>
    <t>070.841.371-86</t>
  </si>
  <si>
    <t>37571/GO</t>
  </si>
  <si>
    <t>ANA LUIZA VELOSO DA CONCEIÇÃO</t>
  </si>
  <si>
    <t>065.453.591-92</t>
  </si>
  <si>
    <t>35810/GO</t>
  </si>
  <si>
    <t>ANA PAULA DE FREITAS</t>
  </si>
  <si>
    <t>732.993.406-20</t>
  </si>
  <si>
    <t>8313/GO</t>
  </si>
  <si>
    <t>PRODUÇÃO</t>
  </si>
  <si>
    <t>ANA PAULA SALLES</t>
  </si>
  <si>
    <t>007.145.881-64</t>
  </si>
  <si>
    <t>12667/GO</t>
  </si>
  <si>
    <t>ANDRE LEAL GODINHO NETO PRIMEIRO</t>
  </si>
  <si>
    <t>057.397.513-22</t>
  </si>
  <si>
    <t>34765/GO</t>
  </si>
  <si>
    <t>ANDREY ARANTES TEODORO FILHO</t>
  </si>
  <si>
    <t>701.092.531-32</t>
  </si>
  <si>
    <t>39154/GO</t>
  </si>
  <si>
    <t>ANNA LUIZA ARANTES NERES BORGES</t>
  </si>
  <si>
    <t>700.224.911-80</t>
  </si>
  <si>
    <t>38943/GO</t>
  </si>
  <si>
    <t>ANYER JOEL ROJAS RICARDO</t>
  </si>
  <si>
    <t>802.476.409-13</t>
  </si>
  <si>
    <t>39634/GO</t>
  </si>
  <si>
    <t>ARACELLE DELANE SILVA DE CARVALHO</t>
  </si>
  <si>
    <t>027.143.245-41</t>
  </si>
  <si>
    <t>23015/GO</t>
  </si>
  <si>
    <t>PROD/</t>
  </si>
  <si>
    <t>ARLEN RAMOS DE OLIVEIRA</t>
  </si>
  <si>
    <t>053.605.206-98</t>
  </si>
  <si>
    <t>15397/GO - 44162MG</t>
  </si>
  <si>
    <t>AUGUSTO HENRIQUE TELES RODRIGUES</t>
  </si>
  <si>
    <t>027.559.541-24</t>
  </si>
  <si>
    <t>30880/GO</t>
  </si>
  <si>
    <t>BARBARA LUCENA PRADO</t>
  </si>
  <si>
    <t>961.783.372-72</t>
  </si>
  <si>
    <t>31601/GO</t>
  </si>
  <si>
    <t>PLANTÃO/PRODUÇÃO</t>
  </si>
  <si>
    <t>BEATRIZ REIS AFONSO</t>
  </si>
  <si>
    <t>059.088.021-74</t>
  </si>
  <si>
    <t>33579/GO</t>
  </si>
  <si>
    <t>40H/PLANTÃO</t>
  </si>
  <si>
    <t>BRENDA DE SOUSA OLIVEIRA</t>
  </si>
  <si>
    <t>619.825.588-36</t>
  </si>
  <si>
    <t>37819/GO</t>
  </si>
  <si>
    <t>BRENO CASTRO NEVES</t>
  </si>
  <si>
    <t>030.177.991-13</t>
  </si>
  <si>
    <t>26727/GO</t>
  </si>
  <si>
    <t>BRUNNA MENDES FREITAS</t>
  </si>
  <si>
    <t>006.756.251-57</t>
  </si>
  <si>
    <t>31734/GO</t>
  </si>
  <si>
    <t>BRUNO HENRIQUE AMANCIO DA SILVA</t>
  </si>
  <si>
    <t>050.395.811-57</t>
  </si>
  <si>
    <t>34382/GO</t>
  </si>
  <si>
    <t>BRUNO RAMOS CARNEIRO</t>
  </si>
  <si>
    <t>068.816.041-73</t>
  </si>
  <si>
    <t>33584/GO</t>
  </si>
  <si>
    <t>CAMILA DE OLIVEIRA ROCHA</t>
  </si>
  <si>
    <t>034.498.451-60</t>
  </si>
  <si>
    <t>30265/GO</t>
  </si>
  <si>
    <t>CARINA QUINTANILHA DE MORAES</t>
  </si>
  <si>
    <t>011.778.361-99</t>
  </si>
  <si>
    <t>37450/GO</t>
  </si>
  <si>
    <t>CRISTIANY MARQUES DE MELO MILANEZ</t>
  </si>
  <si>
    <t>946.236.351-04</t>
  </si>
  <si>
    <t>21938/GO</t>
  </si>
  <si>
    <t>DARIONE MELO DE OLIVEIRA</t>
  </si>
  <si>
    <t>34009/GO</t>
  </si>
  <si>
    <t>PLANTÃO/PLANTÃO/PLANTÃO</t>
  </si>
  <si>
    <t>DIEGO LUCIANO VAZ DE SOUZA</t>
  </si>
  <si>
    <t>028.305.181-79</t>
  </si>
  <si>
    <t>18542/GO</t>
  </si>
  <si>
    <t>20H/PLANTÃO</t>
  </si>
  <si>
    <t>DIOGENES RODRIGUES DE LIMA</t>
  </si>
  <si>
    <t>008.196.711-00</t>
  </si>
  <si>
    <t>26083/GO</t>
  </si>
  <si>
    <t>ERIX DE SOUZA CASTRO</t>
  </si>
  <si>
    <t>021.648.435-92</t>
  </si>
  <si>
    <t>20395/GO</t>
  </si>
  <si>
    <t>ERNANDI ARAUJO LIMA NETO</t>
  </si>
  <si>
    <t>053.527.594-31</t>
  </si>
  <si>
    <t>27439/GO</t>
  </si>
  <si>
    <t>FABRÍCIO AURÉLIO MENEZES</t>
  </si>
  <si>
    <t>623.138.351-20</t>
  </si>
  <si>
    <t>30315/GO</t>
  </si>
  <si>
    <t>FRANCISCA JANAINA CARVALHO DE SOUZA</t>
  </si>
  <si>
    <t>702.111.861-98</t>
  </si>
  <si>
    <t>38253 /GO</t>
  </si>
  <si>
    <t>20H/REMOÇÃO</t>
  </si>
  <si>
    <t>FRANCISCO TEIXEIRA DE SOUSA</t>
  </si>
  <si>
    <t>872.963.301-04</t>
  </si>
  <si>
    <t>25785/GO</t>
  </si>
  <si>
    <t>FREDERICO FERNANDES QUEIROGA</t>
  </si>
  <si>
    <t>090.033.976-43</t>
  </si>
  <si>
    <t>37780/GO</t>
  </si>
  <si>
    <t>GABRIELA ALMEIDA LÔBO</t>
  </si>
  <si>
    <t>035.498.121-83</t>
  </si>
  <si>
    <t>35365/GO</t>
  </si>
  <si>
    <t>GABRIELA HUDSON CARNEIRO</t>
  </si>
  <si>
    <t>044.660.501-80</t>
  </si>
  <si>
    <t>38842/GO</t>
  </si>
  <si>
    <t>GABRIELE DURANTE</t>
  </si>
  <si>
    <t>041.607.801-05</t>
  </si>
  <si>
    <t>35026/GO</t>
  </si>
  <si>
    <t>GABRIELLA MARTUCCI MANCA</t>
  </si>
  <si>
    <t>470.094.618-05</t>
  </si>
  <si>
    <t>35371/GO</t>
  </si>
  <si>
    <t>GILMAR GOMES GONÇALVES FILHO</t>
  </si>
  <si>
    <t>032.826.041-06</t>
  </si>
  <si>
    <t>17030/GO</t>
  </si>
  <si>
    <t>GUILHERME HENRIQUE ROS</t>
  </si>
  <si>
    <t>044.492.331-40</t>
  </si>
  <si>
    <t>38833/GO</t>
  </si>
  <si>
    <t>GUILHERME MACHADO MOURA</t>
  </si>
  <si>
    <t>060.414.081-90</t>
  </si>
  <si>
    <t>34162/GO</t>
  </si>
  <si>
    <t>GUSTAVO RIVELLI LAMBOGLIA</t>
  </si>
  <si>
    <t>022.469.241-03</t>
  </si>
  <si>
    <t>22537/GO</t>
  </si>
  <si>
    <t>CIRURGIÃO</t>
  </si>
  <si>
    <t>GREGORY MATHEUS XAVIER DOS SANTOS</t>
  </si>
  <si>
    <t>052.041.821-28</t>
  </si>
  <si>
    <t>34615/GO</t>
  </si>
  <si>
    <t>20H</t>
  </si>
  <si>
    <t>HELENA SPINDOLA CAMARGO CENCI</t>
  </si>
  <si>
    <t>022.382.161-62</t>
  </si>
  <si>
    <t>17032/GO</t>
  </si>
  <si>
    <t>HELENTON MARANHÃO PORTO MARINHO</t>
  </si>
  <si>
    <t>908.700.851-15</t>
  </si>
  <si>
    <t>31654/GO</t>
  </si>
  <si>
    <t>DIRETOR INTELLEXMED</t>
  </si>
  <si>
    <t>HENIA RODRIGUES COELHO</t>
  </si>
  <si>
    <t>887.008.521-04</t>
  </si>
  <si>
    <t>18589/GO</t>
  </si>
  <si>
    <t>HENRIQUE DANTONIO BRAZ</t>
  </si>
  <si>
    <t>077.996.951-02</t>
  </si>
  <si>
    <t>39558/GO</t>
  </si>
  <si>
    <t>IASMIN DANTAS SAKR KHOURI</t>
  </si>
  <si>
    <t>055.666.621-61</t>
  </si>
  <si>
    <t>26806 /GO</t>
  </si>
  <si>
    <t>ISA CARLA DA SILVA JORGE</t>
  </si>
  <si>
    <t>051.857.121-12</t>
  </si>
  <si>
    <t>28053/GO</t>
  </si>
  <si>
    <t>ISABELLA RORIZ QUEIROZ</t>
  </si>
  <si>
    <t>549.433.428-76</t>
  </si>
  <si>
    <t>59380/GO</t>
  </si>
  <si>
    <t>IVO INÁCIO DA SILVA</t>
  </si>
  <si>
    <t>133.598.511-53</t>
  </si>
  <si>
    <t>2226/GO</t>
  </si>
  <si>
    <t>JADE TORRES GOLDFELD NEIVA MORONI</t>
  </si>
  <si>
    <t>041.303.221-53</t>
  </si>
  <si>
    <t>38150/GO</t>
  </si>
  <si>
    <t>JESSICA BRANDÃO BRETA</t>
  </si>
  <si>
    <t>046.262.271-12</t>
  </si>
  <si>
    <t>32809/GO</t>
  </si>
  <si>
    <t>JESSYCA MUNIZ RUFINO</t>
  </si>
  <si>
    <t>021.332.341-95</t>
  </si>
  <si>
    <t>35792/GO</t>
  </si>
  <si>
    <t>JOÃO MARCOS PEREIRA NEIVA RODRIGUES</t>
  </si>
  <si>
    <t>065.857.991-60</t>
  </si>
  <si>
    <t>38774/GO</t>
  </si>
  <si>
    <t>JOANA CAROLINE OLIVEIRDA DE FARIA</t>
  </si>
  <si>
    <t>029.510.331-09</t>
  </si>
  <si>
    <t>37320/GO</t>
  </si>
  <si>
    <t>JOSE CARLOS DELFINO</t>
  </si>
  <si>
    <t>512.581.701-59</t>
  </si>
  <si>
    <t>28512/GO</t>
  </si>
  <si>
    <t>JOSÉ DONATO DE SOUSA NETTO</t>
  </si>
  <si>
    <t>034.270.931-31</t>
  </si>
  <si>
    <t>32914/GO</t>
  </si>
  <si>
    <t>JOSE WALTER MARQUES FARIA</t>
  </si>
  <si>
    <t>219.431.761-49</t>
  </si>
  <si>
    <t>5741/GO</t>
  </si>
  <si>
    <t>JULIA ALESSIO AMORIM</t>
  </si>
  <si>
    <t>100.444.279-30</t>
  </si>
  <si>
    <t>37081/GO</t>
  </si>
  <si>
    <t>JULIANA LUIZA ARAUJO DA SILVA</t>
  </si>
  <si>
    <t>030.289.981-22</t>
  </si>
  <si>
    <t>30576 /GO</t>
  </si>
  <si>
    <t>JULIANA SILVA FAVILLA</t>
  </si>
  <si>
    <t>060.558.881-30</t>
  </si>
  <si>
    <t>36342/GO</t>
  </si>
  <si>
    <t>KAMILLA GONÇALVES DE SOUZA</t>
  </si>
  <si>
    <t>861.859.342-72</t>
  </si>
  <si>
    <t>30269/GO</t>
  </si>
  <si>
    <t>LARA PRATA SILVA ALBUQUERQUE</t>
  </si>
  <si>
    <t>067.251.611-03</t>
  </si>
  <si>
    <t>36577/GO</t>
  </si>
  <si>
    <t>LARISSA GRACIELA BENEDETTI DA SILVA</t>
  </si>
  <si>
    <t>024.595.601-84</t>
  </si>
  <si>
    <t>17011/GO</t>
  </si>
  <si>
    <t>LAURA ABDALLA VIEIRA</t>
  </si>
  <si>
    <t>070.346.071-41</t>
  </si>
  <si>
    <t>34632/GO</t>
  </si>
  <si>
    <t>LAURA DOURADO PAIVA</t>
  </si>
  <si>
    <t>010.527.311-20</t>
  </si>
  <si>
    <t>35339/DF</t>
  </si>
  <si>
    <t>LAURA OLIVEIRA MELO</t>
  </si>
  <si>
    <t>069.574.611-14</t>
  </si>
  <si>
    <t>36682/GO</t>
  </si>
  <si>
    <t>LEONARDO VICTOR MENEZES PIMENTA</t>
  </si>
  <si>
    <t>061.086941-81</t>
  </si>
  <si>
    <t>36226/GO</t>
  </si>
  <si>
    <t>LETICIA MIRANDA FARIAS</t>
  </si>
  <si>
    <t>048.039.721-09</t>
  </si>
  <si>
    <t>37836 /GO</t>
  </si>
  <si>
    <t>LUANA MENDANHA NETO</t>
  </si>
  <si>
    <t>042.111.851-28</t>
  </si>
  <si>
    <t>34617/GO</t>
  </si>
  <si>
    <t>LUCAS GOMES GONÇALVES</t>
  </si>
  <si>
    <t>032.880.691-99</t>
  </si>
  <si>
    <t>24512/GO</t>
  </si>
  <si>
    <t>LUCAS MARTINS LOPES</t>
  </si>
  <si>
    <t>065.290.561-73</t>
  </si>
  <si>
    <t>37337/GO</t>
  </si>
  <si>
    <t>LUCAS MARQUES VOLPONI</t>
  </si>
  <si>
    <t>034.561.511-52</t>
  </si>
  <si>
    <t>30572/GO</t>
  </si>
  <si>
    <t>PLANTÃO/RT</t>
  </si>
  <si>
    <t>LUCAS NUNES FERREIRA</t>
  </si>
  <si>
    <t>047.339.301-86</t>
  </si>
  <si>
    <t>37708/GO</t>
  </si>
  <si>
    <t>LUCAS SILVA RODRIGUES</t>
  </si>
  <si>
    <t>037.955.501-81</t>
  </si>
  <si>
    <t>37648/GO</t>
  </si>
  <si>
    <t>LUID RODRIGUES VIDAL</t>
  </si>
  <si>
    <t>019.464.161-93</t>
  </si>
  <si>
    <t>15323/GO</t>
  </si>
  <si>
    <t>LUISA NUNES DO NASCIMENTO</t>
  </si>
  <si>
    <t>052.546.421-22</t>
  </si>
  <si>
    <t>33370/GO</t>
  </si>
  <si>
    <t>LUIZ FERNANDO MELO LIMA</t>
  </si>
  <si>
    <t>094.511.716-73</t>
  </si>
  <si>
    <t>34634/GO</t>
  </si>
  <si>
    <t>LUIZ FERNANDO SOUZA DA SILVA</t>
  </si>
  <si>
    <t>028.168.531-28</t>
  </si>
  <si>
    <t>27943/GO</t>
  </si>
  <si>
    <t>LUIZ PAULO BONFIM SILVA</t>
  </si>
  <si>
    <t>813.422.501-25</t>
  </si>
  <si>
    <t>36257/GO</t>
  </si>
  <si>
    <t>MARCELO BARRETO RORIZ FILHO</t>
  </si>
  <si>
    <t>069.994.281-07</t>
  </si>
  <si>
    <t>39547/GO</t>
  </si>
  <si>
    <t>UBS - VOLANTE</t>
  </si>
  <si>
    <t>MARIA CAROLINE SCHIAVANI GONGOLESKI</t>
  </si>
  <si>
    <t>034.637.941-52</t>
  </si>
  <si>
    <t>38453/GO</t>
  </si>
  <si>
    <t>MARIA LUIZA ABREU MEIRELES BRAZ</t>
  </si>
  <si>
    <t>006.577.161-38</t>
  </si>
  <si>
    <t>34653/GO</t>
  </si>
  <si>
    <t>MARIANA QUEIROZ ABREU</t>
  </si>
  <si>
    <t>040.157.071-17</t>
  </si>
  <si>
    <t>34342/GO</t>
  </si>
  <si>
    <t>MARIANA RODRIGUES VIEIRA</t>
  </si>
  <si>
    <t>064.213.171-62</t>
  </si>
  <si>
    <t>31040/GO</t>
  </si>
  <si>
    <t>MARILLIA ALVES DE LIMA</t>
  </si>
  <si>
    <t>701.898.341-02</t>
  </si>
  <si>
    <t>37626/GO</t>
  </si>
  <si>
    <t>MATHEUS CANEDO DE MELO</t>
  </si>
  <si>
    <t>701.197.791-02</t>
  </si>
  <si>
    <t>38949/GO</t>
  </si>
  <si>
    <t>MATHEUS MACHADO MELO SPOSITO</t>
  </si>
  <si>
    <t>035.338.461-56</t>
  </si>
  <si>
    <t>30263/GO</t>
  </si>
  <si>
    <t>MATHEUS DOS SANTOS RORIZ</t>
  </si>
  <si>
    <t>053.686.941-30</t>
  </si>
  <si>
    <t>36836/GO</t>
  </si>
  <si>
    <t>MOYARA RAFAELLA CORDEIRO</t>
  </si>
  <si>
    <t>023.582.341-41</t>
  </si>
  <si>
    <t>30264/GO</t>
  </si>
  <si>
    <t>MOZART BORGES DE PAULA</t>
  </si>
  <si>
    <t>125.796.566-26</t>
  </si>
  <si>
    <t>29899/GO</t>
  </si>
  <si>
    <t>NATHALIA ALVES DO AMARAL</t>
  </si>
  <si>
    <t>048.283.331-93</t>
  </si>
  <si>
    <t>36111/GO</t>
  </si>
  <si>
    <t>NAZARETH CRISTINA SANTOS ARAUJO</t>
  </si>
  <si>
    <t>259.383.202-91</t>
  </si>
  <si>
    <t>11711/GO</t>
  </si>
  <si>
    <t>DIARIA</t>
  </si>
  <si>
    <t>NELISSA ABUD DE CASTRO</t>
  </si>
  <si>
    <t>002.013.471-13</t>
  </si>
  <si>
    <t>36416/GO</t>
  </si>
  <si>
    <t>NICYAN DANTAS FERREIRA</t>
  </si>
  <si>
    <t>021.252.371-64</t>
  </si>
  <si>
    <t>23386/GO</t>
  </si>
  <si>
    <t>OSMAN RODRIGUES RORIZ</t>
  </si>
  <si>
    <t>978.950.401-20</t>
  </si>
  <si>
    <t>14729/GO</t>
  </si>
  <si>
    <t>PATRICIA ALVES DE CASTRO PORTO MARINHO</t>
  </si>
  <si>
    <t>704.109.171-68</t>
  </si>
  <si>
    <t>29903/GO</t>
  </si>
  <si>
    <t>SER</t>
  </si>
  <si>
    <t>RT</t>
  </si>
  <si>
    <t>PAULA DO CARMO VASCONCELOS XAVIER</t>
  </si>
  <si>
    <t>018.823.591-43</t>
  </si>
  <si>
    <t>27149/GO</t>
  </si>
  <si>
    <t>20H/PLANTÃO/RT</t>
  </si>
  <si>
    <t>PAULO ROBERTO ALVES SEIXAS</t>
  </si>
  <si>
    <t>059.353.516-25</t>
  </si>
  <si>
    <t>17510/DF - 18579/GO</t>
  </si>
  <si>
    <t>PEDRO ANTÔNIO BONFIM DE SOUSA</t>
  </si>
  <si>
    <t>008.769.481-66</t>
  </si>
  <si>
    <t>21957/GO</t>
  </si>
  <si>
    <t>PEDRO HENRIQUE MEIRELES DE ARAUJO</t>
  </si>
  <si>
    <t>008.237.311-62</t>
  </si>
  <si>
    <t>31976/GO</t>
  </si>
  <si>
    <t>PRISCILA NUNES MARTINS DE ALMEIDA</t>
  </si>
  <si>
    <t>719.015.401-07</t>
  </si>
  <si>
    <t>37992/GO</t>
  </si>
  <si>
    <t>RAFAELA FREITAS VARGAS</t>
  </si>
  <si>
    <t>073.458.371-06</t>
  </si>
  <si>
    <t>38802/GO</t>
  </si>
  <si>
    <t>RAFAELLA PERES RAMALHO</t>
  </si>
  <si>
    <t>063.835.281-90</t>
  </si>
  <si>
    <t>38869/GO</t>
  </si>
  <si>
    <t>RAFAEL RONNIELI CANDIDO CARDOSO</t>
  </si>
  <si>
    <t>035.476.931-60</t>
  </si>
  <si>
    <t>37645/GO</t>
  </si>
  <si>
    <t>RAFAEL TEIXEIRA BARBOSA</t>
  </si>
  <si>
    <t>975.326.491-72</t>
  </si>
  <si>
    <t>17584/GO</t>
  </si>
  <si>
    <t>RAIANE LAIS VALENÇA ALVES</t>
  </si>
  <si>
    <t>108.233.074-41</t>
  </si>
  <si>
    <t>39683/GO</t>
  </si>
  <si>
    <t>RENATA BRAZ CAIXETA</t>
  </si>
  <si>
    <t>706.071.371-93</t>
  </si>
  <si>
    <t>38814/GO</t>
  </si>
  <si>
    <t>RODOLFO PERSCH TONIN</t>
  </si>
  <si>
    <t>042.820.389-26</t>
  </si>
  <si>
    <t>24664/GO</t>
  </si>
  <si>
    <t>RODRIGO ARAUJO BELEM</t>
  </si>
  <si>
    <t>022.304.911-56</t>
  </si>
  <si>
    <t>28294/DF</t>
  </si>
  <si>
    <t>RODRIGO GALVÃO CARDOSO JUNIOR</t>
  </si>
  <si>
    <t>123.965.376-01</t>
  </si>
  <si>
    <t>37161 /GO</t>
  </si>
  <si>
    <t>RADIOLOGISTA</t>
  </si>
  <si>
    <t>ROMULO LELES DA SILVA ARAUJO</t>
  </si>
  <si>
    <t>018.258.161-66</t>
  </si>
  <si>
    <t>37771/GO</t>
  </si>
  <si>
    <t>SANDRO MARCELO DE SOUZA MURATO</t>
  </si>
  <si>
    <t>037.853.106-92</t>
  </si>
  <si>
    <t>9256/GO</t>
  </si>
  <si>
    <t>SIMÃO EDUARDO GOMES DE SOUZA</t>
  </si>
  <si>
    <t>373.546.203-00</t>
  </si>
  <si>
    <t>24669/GO</t>
  </si>
  <si>
    <t>SKARLATT QUEZIA PIRES SOUZA RIVELLI</t>
  </si>
  <si>
    <t>047.122.875-35</t>
  </si>
  <si>
    <t>31847/GO</t>
  </si>
  <si>
    <t>STHEFANY ORELLANA MARQUES</t>
  </si>
  <si>
    <t>756.074.761-20</t>
  </si>
  <si>
    <t>32721/GO</t>
  </si>
  <si>
    <t>THAYNA PEREIRA DA SILVA RODRIGUES</t>
  </si>
  <si>
    <t>022.544.061-08</t>
  </si>
  <si>
    <t>31864/GO</t>
  </si>
  <si>
    <t>THAYNARA GIOVANNA TITO DELFINO</t>
  </si>
  <si>
    <t>052.752.511-14</t>
  </si>
  <si>
    <t>32357/GO</t>
  </si>
  <si>
    <t>THOMAS RAFAEL BATISTA SOTELO</t>
  </si>
  <si>
    <t>007.058.902-01</t>
  </si>
  <si>
    <t>32559/GO</t>
  </si>
  <si>
    <t>VALDIR SOARES DA COSTA</t>
  </si>
  <si>
    <t>372.863.073-04</t>
  </si>
  <si>
    <t>8382/GO</t>
  </si>
  <si>
    <t>VANESSA HENRIQUES NOGUEIRA BUZOGANY</t>
  </si>
  <si>
    <t>038.844.441-07</t>
  </si>
  <si>
    <t>35703/DF</t>
  </si>
  <si>
    <t>VICTOR LUCAS JANUARIO MARQUES</t>
  </si>
  <si>
    <t>014.966.151-74</t>
  </si>
  <si>
    <t>28566/GO</t>
  </si>
  <si>
    <t>VINICIUS RODRIGUES BORGES</t>
  </si>
  <si>
    <t>018.353.971-07</t>
  </si>
  <si>
    <t>34476/GO</t>
  </si>
  <si>
    <t>VINICIUS DE LIMA OLIVEIRA</t>
  </si>
  <si>
    <t>026.615.971-07</t>
  </si>
  <si>
    <t>38113/GO</t>
  </si>
  <si>
    <t>VITOR GONÇALVES FONSECA</t>
  </si>
  <si>
    <t>714.359.131-91</t>
  </si>
  <si>
    <t>29524/GO</t>
  </si>
  <si>
    <t>VITOR HUGO CARDOZO MEIRELES</t>
  </si>
  <si>
    <t>025.056.211-10</t>
  </si>
  <si>
    <t>29829/GO</t>
  </si>
  <si>
    <t>VITOR HUGO MATIAS FREITAS VIEIRA</t>
  </si>
  <si>
    <t>701.570.051-43</t>
  </si>
  <si>
    <t>39611/GO</t>
  </si>
  <si>
    <t>WALDERLENE SOARES QUEIROZ</t>
  </si>
  <si>
    <t>533.154.992-68</t>
  </si>
  <si>
    <t>28095/GO</t>
  </si>
  <si>
    <t>WANESSA CARVALHO PINTO</t>
  </si>
  <si>
    <t>037.314.593-45</t>
  </si>
  <si>
    <t>26059/GO</t>
  </si>
  <si>
    <t>WENDELL DOS SANTOS MOTA</t>
  </si>
  <si>
    <t>788.007.221-72</t>
  </si>
  <si>
    <t>31934/GO</t>
  </si>
  <si>
    <t>WENDELL SEGANTINE DE SOUZA FILHO</t>
  </si>
  <si>
    <t>700.486.521-56</t>
  </si>
  <si>
    <t>30267/GO</t>
  </si>
  <si>
    <t>WENDER SOARES SANTIAGO</t>
  </si>
  <si>
    <t>043.591.881-88</t>
  </si>
  <si>
    <t>32944/GO</t>
  </si>
  <si>
    <t>YAGO ORNELAS ATAIDE</t>
  </si>
  <si>
    <t>138.691.636-66</t>
  </si>
  <si>
    <t>39999/GO</t>
  </si>
  <si>
    <t>YGOR DE OLIVEIRA DO AMARAL</t>
  </si>
  <si>
    <t>003.861.681-56</t>
  </si>
  <si>
    <t>37116/GO</t>
  </si>
  <si>
    <t>MÉDICO</t>
  </si>
  <si>
    <t>UNIDADE 2</t>
  </si>
  <si>
    <t>UNIDADE 3</t>
  </si>
  <si>
    <t>CRM</t>
  </si>
  <si>
    <t>REGIME DE TRABALHO</t>
  </si>
  <si>
    <t>CPF</t>
  </si>
  <si>
    <t>ANGIO MASTER COMÉRCIO DE ARTIGOS MEDICOS LTDA</t>
  </si>
  <si>
    <t>ALFA CONSULTORIA SERVICOS E GESTAO EM SAUDE LTDA</t>
  </si>
  <si>
    <t>FOLHA DE PAGAMENTO</t>
  </si>
  <si>
    <t>UNIDADE</t>
  </si>
  <si>
    <t>ENDERECO</t>
  </si>
  <si>
    <t>LATITUDE</t>
  </si>
  <si>
    <t>LONGITUDE</t>
  </si>
  <si>
    <t>Jardim São Paulo, Luziânia - GO</t>
  </si>
  <si>
    <t>Rua 08, Quadra 07, Lote 34, Norte Maravilha</t>
  </si>
  <si>
    <t>Bairro Osfaya, Luziânia - GO</t>
  </si>
  <si>
    <t>Av. Central, Setor Aeroporto</t>
  </si>
  <si>
    <t>Setor Leste, Luziânia - GO</t>
  </si>
  <si>
    <t>Bairro Cruzeiro do Sul</t>
  </si>
  <si>
    <t>Jardim Industrial</t>
  </si>
  <si>
    <t>Jardim Ingá, Luziânia - GO</t>
  </si>
  <si>
    <t>Jardim Luzília</t>
  </si>
  <si>
    <t>Zona Rural / Indaiá</t>
  </si>
  <si>
    <t>Alto das Caraíbas</t>
  </si>
  <si>
    <t>Quadra 01, Lote 01, PED VI</t>
  </si>
  <si>
    <t>Praça da Bíblia, PED IX</t>
  </si>
  <si>
    <t>Rua 20 – Jardim Zuleika</t>
  </si>
  <si>
    <t>Avenida Brasília, Jardim Marília</t>
  </si>
  <si>
    <t>Rua 05, Quadra 44, Jardim Planalto</t>
  </si>
  <si>
    <t>Rua Helena Rodrigues Pereira, Setor Leste</t>
  </si>
  <si>
    <t>Rua 28, Setor Mandú II</t>
  </si>
  <si>
    <t>Comunidade Maniratuba</t>
  </si>
  <si>
    <t>Praça 1-A, Parque Mingone I</t>
  </si>
  <si>
    <t>Praça 2C, Parque Mingone II</t>
  </si>
  <si>
    <t>Avenida Sara Kubstcheck</t>
  </si>
  <si>
    <t>PED IX Feirinha</t>
  </si>
  <si>
    <t>Rua 51, Quadra 105</t>
  </si>
  <si>
    <t>Rua 262, Quadra 514</t>
  </si>
  <si>
    <t>Rua Aníbal Machado</t>
  </si>
  <si>
    <t>Parque Estrela Dalva VIII</t>
  </si>
  <si>
    <t>Rua 18 esquina Rua 02</t>
  </si>
  <si>
    <t>Rodovia GO-010</t>
  </si>
  <si>
    <t>Rua JK, Quadra 01</t>
  </si>
  <si>
    <t>Vila Juracy</t>
  </si>
  <si>
    <t>R. Portugal, 749-807 - Jardim do Inga</t>
  </si>
  <si>
    <t>R. Joaquim Nabuco, s/n - Parque Estrela Dalva II</t>
  </si>
  <si>
    <t>TIPO</t>
  </si>
  <si>
    <t>REGIÃO</t>
  </si>
  <si>
    <t>UBSF</t>
  </si>
  <si>
    <t>UPA</t>
  </si>
  <si>
    <t>Centro-Sul</t>
  </si>
  <si>
    <t>Norte</t>
  </si>
  <si>
    <t>Centro</t>
  </si>
  <si>
    <t>Leste</t>
  </si>
  <si>
    <t>Sul</t>
  </si>
  <si>
    <t>Industrial / Sul</t>
  </si>
  <si>
    <t>Jardim Ingá</t>
  </si>
  <si>
    <t>Oeste</t>
  </si>
  <si>
    <t>Estrela Dalva</t>
  </si>
  <si>
    <t>Zona Rural / GO-010</t>
  </si>
  <si>
    <t>Estrela Dalva / Centro</t>
  </si>
  <si>
    <t>-16,28166</t>
  </si>
  <si>
    <t>-47,86737</t>
  </si>
  <si>
    <t>-16,24576</t>
  </si>
  <si>
    <t>-47,96065</t>
  </si>
  <si>
    <t>-16,17173</t>
  </si>
  <si>
    <t>-47,92170</t>
  </si>
  <si>
    <t>-16,26162</t>
  </si>
  <si>
    <t>-47,96077</t>
  </si>
  <si>
    <t>-16,25309</t>
  </si>
  <si>
    <t>-47,91969</t>
  </si>
  <si>
    <t>-16,21213</t>
  </si>
  <si>
    <t>-47,86851</t>
  </si>
  <si>
    <t>-16,14286</t>
  </si>
  <si>
    <t>-48,95058</t>
  </si>
  <si>
    <t>-16,22781</t>
  </si>
  <si>
    <t>-47,93267</t>
  </si>
  <si>
    <t>-16,23748</t>
  </si>
  <si>
    <t>-47,94784</t>
  </si>
  <si>
    <t>-16,21171</t>
  </si>
  <si>
    <t>-47,86950</t>
  </si>
  <si>
    <t>-16,14846</t>
  </si>
  <si>
    <t>-47,94365</t>
  </si>
  <si>
    <t>-16,12694</t>
  </si>
  <si>
    <t>-47,96382</t>
  </si>
  <si>
    <t>-16,14043</t>
  </si>
  <si>
    <t>-47,93348</t>
  </si>
  <si>
    <t>-16,13086</t>
  </si>
  <si>
    <t>-47,94883</t>
  </si>
  <si>
    <t>-16,26085</t>
  </si>
  <si>
    <t>-47,93211</t>
  </si>
  <si>
    <t>-16,24907</t>
  </si>
  <si>
    <t>-47,93107</t>
  </si>
  <si>
    <t>-16,15978</t>
  </si>
  <si>
    <t>-47,93819</t>
  </si>
  <si>
    <t>-16,15206</t>
  </si>
  <si>
    <t>-47,93296</t>
  </si>
  <si>
    <t>-16,20701</t>
  </si>
  <si>
    <t>-47,92629</t>
  </si>
  <si>
    <t>-16,16033</t>
  </si>
  <si>
    <t>-47,96281</t>
  </si>
  <si>
    <t>-16,26625</t>
  </si>
  <si>
    <t>-47,90944</t>
  </si>
  <si>
    <t>-16,17923</t>
  </si>
  <si>
    <t>-47,96287</t>
  </si>
  <si>
    <t>-16,23635</t>
  </si>
  <si>
    <t>-47,90706</t>
  </si>
  <si>
    <t>-16,22225</t>
  </si>
  <si>
    <t>-47,92010</t>
  </si>
  <si>
    <t>-16,18236</t>
  </si>
  <si>
    <t>-47,93850</t>
  </si>
  <si>
    <t>-16,31362</t>
  </si>
  <si>
    <t>-47,01486</t>
  </si>
  <si>
    <t>-16,24573</t>
  </si>
  <si>
    <t>-16,25576</t>
  </si>
  <si>
    <t>-47,94189</t>
  </si>
  <si>
    <t>-16,25238</t>
  </si>
  <si>
    <t>-47,91575</t>
  </si>
  <si>
    <t>-16,14757</t>
  </si>
  <si>
    <t>-47,95934</t>
  </si>
  <si>
    <t>Adm</t>
  </si>
  <si>
    <t>Cod.</t>
  </si>
  <si>
    <t>Proventos MARÇO</t>
  </si>
  <si>
    <t>Descontos MARÇO</t>
  </si>
  <si>
    <t>Líquido MARÇO</t>
  </si>
  <si>
    <t>Proventos ABRIL</t>
  </si>
  <si>
    <t>Descontos ABRIL</t>
  </si>
  <si>
    <t>Líquido ABRIL</t>
  </si>
  <si>
    <t>572</t>
  </si>
  <si>
    <t>07/10/2025</t>
  </si>
  <si>
    <t>5.029,00</t>
  </si>
  <si>
    <t>1.825,57</t>
  </si>
  <si>
    <t>3.203,43</t>
  </si>
  <si>
    <t>442</t>
  </si>
  <si>
    <t>01/09/2025</t>
  </si>
  <si>
    <t>7.002,76</t>
  </si>
  <si>
    <t>1.729,88</t>
  </si>
  <si>
    <t>5.272,88</t>
  </si>
  <si>
    <t>360</t>
  </si>
  <si>
    <t>53</t>
  </si>
  <si>
    <t>5.245,77</t>
  </si>
  <si>
    <t>1.826,84</t>
  </si>
  <si>
    <t>3.418,93</t>
  </si>
  <si>
    <t>330</t>
  </si>
  <si>
    <t>6.779,19</t>
  </si>
  <si>
    <t>1.963,68</t>
  </si>
  <si>
    <t>4.815,51</t>
  </si>
  <si>
    <t>440</t>
  </si>
  <si>
    <t>564</t>
  </si>
  <si>
    <t>4.618,44</t>
  </si>
  <si>
    <t>448,08</t>
  </si>
  <si>
    <t>4.170,36</t>
  </si>
  <si>
    <t>309</t>
  </si>
  <si>
    <t>5.096,54</t>
  </si>
  <si>
    <t>3.270,97</t>
  </si>
  <si>
    <t>576</t>
  </si>
  <si>
    <t>6.066,66</t>
  </si>
  <si>
    <t>1.617,25</t>
  </si>
  <si>
    <t>4.449,41</t>
  </si>
  <si>
    <t>155</t>
  </si>
  <si>
    <t>5.141,63</t>
  </si>
  <si>
    <t>1.829,62</t>
  </si>
  <si>
    <t>3.312,01</t>
  </si>
  <si>
    <t>223</t>
  </si>
  <si>
    <t>5.059,07</t>
  </si>
  <si>
    <t>1.828,27</t>
  </si>
  <si>
    <t>3.230,80</t>
  </si>
  <si>
    <t>567</t>
  </si>
  <si>
    <t>5.306,99</t>
  </si>
  <si>
    <t>1.844,51</t>
  </si>
  <si>
    <t>3.462,48</t>
  </si>
  <si>
    <t>558</t>
  </si>
  <si>
    <t>5.164,08</t>
  </si>
  <si>
    <t>3.338,51</t>
  </si>
  <si>
    <t>555</t>
  </si>
  <si>
    <t>05/09/2025</t>
  </si>
  <si>
    <t>551</t>
  </si>
  <si>
    <t>5.564,00</t>
  </si>
  <si>
    <t>703,15</t>
  </si>
  <si>
    <t>4.860,85</t>
  </si>
  <si>
    <t>371</t>
  </si>
  <si>
    <t>264</t>
  </si>
  <si>
    <t>3.818,40</t>
  </si>
  <si>
    <t>346,79</t>
  </si>
  <si>
    <t>3.471,61</t>
  </si>
  <si>
    <t>463</t>
  </si>
  <si>
    <t>91</t>
  </si>
  <si>
    <t>6.409,99</t>
  </si>
  <si>
    <t>1.919,38</t>
  </si>
  <si>
    <t>4.490,61</t>
  </si>
  <si>
    <t>167</t>
  </si>
  <si>
    <t>464</t>
  </si>
  <si>
    <t>5.061,36</t>
  </si>
  <si>
    <t>616,18</t>
  </si>
  <si>
    <t>4.445,18</t>
  </si>
  <si>
    <t>271</t>
  </si>
  <si>
    <t>81</t>
  </si>
  <si>
    <t>5.192,40</t>
  </si>
  <si>
    <t>572,40</t>
  </si>
  <si>
    <t>4.620,00</t>
  </si>
  <si>
    <t>453</t>
  </si>
  <si>
    <t>5.035,73</t>
  </si>
  <si>
    <t>612,59</t>
  </si>
  <si>
    <t>4.423,14</t>
  </si>
  <si>
    <t>478</t>
  </si>
  <si>
    <t>235</t>
  </si>
  <si>
    <t>1.812,17</t>
  </si>
  <si>
    <t>4.254,49</t>
  </si>
  <si>
    <t>181</t>
  </si>
  <si>
    <t>1.887,32</t>
  </si>
  <si>
    <t>3.171,75</t>
  </si>
  <si>
    <t>225</t>
  </si>
  <si>
    <t>5.096,85</t>
  </si>
  <si>
    <t>1.825,59</t>
  </si>
  <si>
    <t>3.271,26</t>
  </si>
  <si>
    <t>468</t>
  </si>
  <si>
    <t>3.264,08</t>
  </si>
  <si>
    <t>923,94</t>
  </si>
  <si>
    <t>2.340,14</t>
  </si>
  <si>
    <t>43</t>
  </si>
  <si>
    <t>289</t>
  </si>
  <si>
    <t>3.180,40</t>
  </si>
  <si>
    <t>579,24</t>
  </si>
  <si>
    <t>2.601,16</t>
  </si>
  <si>
    <t>131</t>
  </si>
  <si>
    <t>2.035,50</t>
  </si>
  <si>
    <t>158,87</t>
  </si>
  <si>
    <t>1.876,63</t>
  </si>
  <si>
    <t>359</t>
  </si>
  <si>
    <t>573</t>
  </si>
  <si>
    <t>5.053,29</t>
  </si>
  <si>
    <t>2.407,81</t>
  </si>
  <si>
    <t>2.645,48</t>
  </si>
  <si>
    <t>119</t>
  </si>
  <si>
    <t>482</t>
  </si>
  <si>
    <t>4.836,00</t>
  </si>
  <si>
    <t>478,54</t>
  </si>
  <si>
    <t>4.357,46</t>
  </si>
  <si>
    <t>75</t>
  </si>
  <si>
    <t>459</t>
  </si>
  <si>
    <t>4.280,00</t>
  </si>
  <si>
    <t>402,18</t>
  </si>
  <si>
    <t>3.877,82</t>
  </si>
  <si>
    <t>121</t>
  </si>
  <si>
    <t>5.239,45</t>
  </si>
  <si>
    <t>2.038,03</t>
  </si>
  <si>
    <t>3.201,42</t>
  </si>
  <si>
    <t>239</t>
  </si>
  <si>
    <t>164</t>
  </si>
  <si>
    <t>5.029,16</t>
  </si>
  <si>
    <t>1.825,58</t>
  </si>
  <si>
    <t>3.203,58</t>
  </si>
  <si>
    <t>108</t>
  </si>
  <si>
    <t>100</t>
  </si>
  <si>
    <t>5.407,06</t>
  </si>
  <si>
    <t>1.859,59</t>
  </si>
  <si>
    <t>3.547,47</t>
  </si>
  <si>
    <t>14</t>
  </si>
  <si>
    <t>5.044,03</t>
  </si>
  <si>
    <t>1.826,92</t>
  </si>
  <si>
    <t>3.217,11</t>
  </si>
  <si>
    <t>374</t>
  </si>
  <si>
    <t>644</t>
  </si>
  <si>
    <t>11/02/2026</t>
  </si>
  <si>
    <t>3.325,00</t>
  </si>
  <si>
    <t>121,57</t>
  </si>
  <si>
    <t>61</t>
  </si>
  <si>
    <t>372</t>
  </si>
  <si>
    <t>623</t>
  </si>
  <si>
    <t>17/12/2025</t>
  </si>
  <si>
    <t>2.800,00</t>
  </si>
  <si>
    <t>227,68</t>
  </si>
  <si>
    <t>2.572,32</t>
  </si>
  <si>
    <t>307</t>
  </si>
  <si>
    <t>574</t>
  </si>
  <si>
    <t>158</t>
  </si>
  <si>
    <t>5.700,60</t>
  </si>
  <si>
    <t>871,93</t>
  </si>
  <si>
    <t>4.828,67</t>
  </si>
  <si>
    <t>287</t>
  </si>
  <si>
    <t>3.250,38</t>
  </si>
  <si>
    <t>1.225,77</t>
  </si>
  <si>
    <t>2.024,61</t>
  </si>
  <si>
    <t>560</t>
  </si>
  <si>
    <t>522</t>
  </si>
  <si>
    <t>305</t>
  </si>
  <si>
    <t>6.410,82</t>
  </si>
  <si>
    <t>1.919,48</t>
  </si>
  <si>
    <t>4.491,34</t>
  </si>
  <si>
    <t>236</t>
  </si>
  <si>
    <t>4.327,00</t>
  </si>
  <si>
    <t>407,82</t>
  </si>
  <si>
    <t>3.919,18</t>
  </si>
  <si>
    <t>633</t>
  </si>
  <si>
    <t>02/02/2026</t>
  </si>
  <si>
    <t>4.559,54</t>
  </si>
  <si>
    <t>1.523,30</t>
  </si>
  <si>
    <t>3.036,24</t>
  </si>
  <si>
    <t>71</t>
  </si>
  <si>
    <t>375</t>
  </si>
  <si>
    <t>400</t>
  </si>
  <si>
    <t>1.621,00</t>
  </si>
  <si>
    <t>1.499,43</t>
  </si>
  <si>
    <t>554</t>
  </si>
  <si>
    <t>597</t>
  </si>
  <si>
    <t>01/11/2025</t>
  </si>
  <si>
    <t>252</t>
  </si>
  <si>
    <t>163</t>
  </si>
  <si>
    <t>1.983,62</t>
  </si>
  <si>
    <t>275,29</t>
  </si>
  <si>
    <t>1.708,33</t>
  </si>
  <si>
    <t>563</t>
  </si>
  <si>
    <t>369</t>
  </si>
  <si>
    <t>312</t>
  </si>
  <si>
    <t>4.863,68</t>
  </si>
  <si>
    <t>482,41</t>
  </si>
  <si>
    <t>4.381,27</t>
  </si>
  <si>
    <t>82</t>
  </si>
  <si>
    <t>570</t>
  </si>
  <si>
    <t>4.639,25</t>
  </si>
  <si>
    <t>1.427,41</t>
  </si>
  <si>
    <t>571</t>
  </si>
  <si>
    <t>5.238,25</t>
  </si>
  <si>
    <t>1.844,40</t>
  </si>
  <si>
    <t>3.393,85</t>
  </si>
  <si>
    <t>275</t>
  </si>
  <si>
    <t>7.096,66</t>
  </si>
  <si>
    <t>1.743,02</t>
  </si>
  <si>
    <t>5.353,64</t>
  </si>
  <si>
    <t>458</t>
  </si>
  <si>
    <t>1.800,00</t>
  </si>
  <si>
    <t>137,68</t>
  </si>
  <si>
    <t>1.662,32</t>
  </si>
  <si>
    <t>55</t>
  </si>
  <si>
    <t>5.179,11</t>
  </si>
  <si>
    <t>3.352,19</t>
  </si>
  <si>
    <t>134</t>
  </si>
  <si>
    <t>494</t>
  </si>
  <si>
    <t>222</t>
  </si>
  <si>
    <t>5.399,63</t>
  </si>
  <si>
    <t>1.858,92</t>
  </si>
  <si>
    <t>3.540,71</t>
  </si>
  <si>
    <t>224</t>
  </si>
  <si>
    <t>6.775,06</t>
  </si>
  <si>
    <t>2.388,04</t>
  </si>
  <si>
    <t>4.387,02</t>
  </si>
  <si>
    <t>20</t>
  </si>
  <si>
    <t>5.213,54</t>
  </si>
  <si>
    <t>1.931,26</t>
  </si>
  <si>
    <t>3.282,28</t>
  </si>
  <si>
    <t>234</t>
  </si>
  <si>
    <t>297</t>
  </si>
  <si>
    <t>6.811,17</t>
  </si>
  <si>
    <t>3.169,25</t>
  </si>
  <si>
    <t>3.641,92</t>
  </si>
  <si>
    <t>438</t>
  </si>
  <si>
    <t>25</t>
  </si>
  <si>
    <t>4.375,01</t>
  </si>
  <si>
    <t>414,00</t>
  </si>
  <si>
    <t>3.961,01</t>
  </si>
  <si>
    <t>437</t>
  </si>
  <si>
    <t>142</t>
  </si>
  <si>
    <t>230</t>
  </si>
  <si>
    <t>3.000,00</t>
  </si>
  <si>
    <t>686,00</t>
  </si>
  <si>
    <t>2.314,00</t>
  </si>
  <si>
    <t>361</t>
  </si>
  <si>
    <t>328</t>
  </si>
  <si>
    <t>251</t>
  </si>
  <si>
    <t>5.062,83</t>
  </si>
  <si>
    <t>1.685,76</t>
  </si>
  <si>
    <t>3.377,07</t>
  </si>
  <si>
    <t>607</t>
  </si>
  <si>
    <t>15/11/2025</t>
  </si>
  <si>
    <t>5.889,68</t>
  </si>
  <si>
    <t>1.528,76</t>
  </si>
  <si>
    <t>4.360,92</t>
  </si>
  <si>
    <t>166</t>
  </si>
  <si>
    <t>5.238,33</t>
  </si>
  <si>
    <t>3.393,93</t>
  </si>
  <si>
    <t>279</t>
  </si>
  <si>
    <t>310</t>
  </si>
  <si>
    <t>646</t>
  </si>
  <si>
    <t>23/02/2026</t>
  </si>
  <si>
    <t>3.172,00</t>
  </si>
  <si>
    <t>395,68</t>
  </si>
  <si>
    <t>2.776,32</t>
  </si>
  <si>
    <t>332</t>
  </si>
  <si>
    <t>548</t>
  </si>
  <si>
    <t>2.190,71</t>
  </si>
  <si>
    <t>3.048,74</t>
  </si>
  <si>
    <t>68</t>
  </si>
  <si>
    <t>84</t>
  </si>
  <si>
    <t>325</t>
  </si>
  <si>
    <t>825,07</t>
  </si>
  <si>
    <t>3.501,93</t>
  </si>
  <si>
    <t>62</t>
  </si>
  <si>
    <t>5.238,57</t>
  </si>
  <si>
    <t>1.844,43</t>
  </si>
  <si>
    <t>3.394,14</t>
  </si>
  <si>
    <t>414</t>
  </si>
  <si>
    <t>475</t>
  </si>
  <si>
    <t>1.688,54</t>
  </si>
  <si>
    <t>1.566,97</t>
  </si>
  <si>
    <t>556</t>
  </si>
  <si>
    <t>303</t>
  </si>
  <si>
    <t>1.873,94</t>
  </si>
  <si>
    <t>3.222,60</t>
  </si>
  <si>
    <t>368</t>
  </si>
  <si>
    <t>165</t>
  </si>
  <si>
    <t>612</t>
  </si>
  <si>
    <t>26/11/2025</t>
  </si>
  <si>
    <t>504</t>
  </si>
  <si>
    <t>5.309,13</t>
  </si>
  <si>
    <t>626,87</t>
  </si>
  <si>
    <t>4.682,26</t>
  </si>
  <si>
    <t>649</t>
  </si>
  <si>
    <t>451</t>
  </si>
  <si>
    <t>365</t>
  </si>
  <si>
    <t>1.633,52</t>
  </si>
  <si>
    <t>2.646,48</t>
  </si>
  <si>
    <t>487</t>
  </si>
  <si>
    <t>452</t>
  </si>
  <si>
    <t>608</t>
  </si>
  <si>
    <t>506</t>
  </si>
  <si>
    <t>5.136,00</t>
  </si>
  <si>
    <t>569,24</t>
  </si>
  <si>
    <t>4.566,76</t>
  </si>
  <si>
    <t>299</t>
  </si>
  <si>
    <t>5.626,74</t>
  </si>
  <si>
    <t>1.879,36</t>
  </si>
  <si>
    <t>3.747,38</t>
  </si>
  <si>
    <t>336</t>
  </si>
  <si>
    <t>2.116,41</t>
  </si>
  <si>
    <t>2.912,59</t>
  </si>
  <si>
    <t>405</t>
  </si>
  <si>
    <t>97</t>
  </si>
  <si>
    <t>449</t>
  </si>
  <si>
    <t>2.938,05</t>
  </si>
  <si>
    <t>2.090,95</t>
  </si>
  <si>
    <t>423</t>
  </si>
  <si>
    <t>497</t>
  </si>
  <si>
    <t>367</t>
  </si>
  <si>
    <t>122</t>
  </si>
  <si>
    <t>175</t>
  </si>
  <si>
    <t>248,58</t>
  </si>
  <si>
    <t>2.751,42</t>
  </si>
  <si>
    <t>416</t>
  </si>
  <si>
    <t>632</t>
  </si>
  <si>
    <t>481</t>
  </si>
  <si>
    <t>489</t>
  </si>
  <si>
    <t>589</t>
  </si>
  <si>
    <t>13/10/2025</t>
  </si>
  <si>
    <t>5.374,53</t>
  </si>
  <si>
    <t>3.530,02</t>
  </si>
  <si>
    <t>637</t>
  </si>
  <si>
    <t>147</t>
  </si>
  <si>
    <t>1.860,21</t>
  </si>
  <si>
    <t>2.758,23</t>
  </si>
  <si>
    <t>114</t>
  </si>
  <si>
    <t>5.194,36</t>
  </si>
  <si>
    <t>2.179,27</t>
  </si>
  <si>
    <t>3.015,09</t>
  </si>
  <si>
    <t>420</t>
  </si>
  <si>
    <t>2.306,54</t>
  </si>
  <si>
    <t>2.722,46</t>
  </si>
  <si>
    <t>102</t>
  </si>
  <si>
    <t>250</t>
  </si>
  <si>
    <t>446</t>
  </si>
  <si>
    <t>467</t>
  </si>
  <si>
    <t>460</t>
  </si>
  <si>
    <t>72</t>
  </si>
  <si>
    <t>5.438,75</t>
  </si>
  <si>
    <t>1.862,44</t>
  </si>
  <si>
    <t>3.576,31</t>
  </si>
  <si>
    <t>126</t>
  </si>
  <si>
    <t>362</t>
  </si>
  <si>
    <t>580</t>
  </si>
  <si>
    <t>34</t>
  </si>
  <si>
    <t>5.239,77</t>
  </si>
  <si>
    <t>1.844,53</t>
  </si>
  <si>
    <t>3.395,24</t>
  </si>
  <si>
    <t>448</t>
  </si>
  <si>
    <t>426</t>
  </si>
  <si>
    <t>5.806,56</t>
  </si>
  <si>
    <t>1.895,55</t>
  </si>
  <si>
    <t>3.911,01</t>
  </si>
  <si>
    <t>477</t>
  </si>
  <si>
    <t>1.524,67</t>
  </si>
  <si>
    <t>3.536,69</t>
  </si>
  <si>
    <t>357</t>
  </si>
  <si>
    <t>42</t>
  </si>
  <si>
    <t>5.074,09</t>
  </si>
  <si>
    <t>2.146,96</t>
  </si>
  <si>
    <t>2.927,13</t>
  </si>
  <si>
    <t>284</t>
  </si>
  <si>
    <t>3.375,58</t>
  </si>
  <si>
    <t>293,65</t>
  </si>
  <si>
    <t>3.081,93</t>
  </si>
  <si>
    <t>348</t>
  </si>
  <si>
    <t>566</t>
  </si>
  <si>
    <t>470</t>
  </si>
  <si>
    <t>10</t>
  </si>
  <si>
    <t>5.062,26</t>
  </si>
  <si>
    <t>1.828,56</t>
  </si>
  <si>
    <t>3.233,70</t>
  </si>
  <si>
    <t>249</t>
  </si>
  <si>
    <t>1.756,08</t>
  </si>
  <si>
    <t>1.634,51</t>
  </si>
  <si>
    <t>228</t>
  </si>
  <si>
    <t>4.759,70</t>
  </si>
  <si>
    <t>467,86</t>
  </si>
  <si>
    <t>4.291,84</t>
  </si>
  <si>
    <t>619</t>
  </si>
  <si>
    <t>291</t>
  </si>
  <si>
    <t>5.459,78</t>
  </si>
  <si>
    <t>1.864,34</t>
  </si>
  <si>
    <t>3.595,44</t>
  </si>
  <si>
    <t>69</t>
  </si>
  <si>
    <t>1.808,07</t>
  </si>
  <si>
    <t>2.810,37</t>
  </si>
  <si>
    <t>290</t>
  </si>
  <si>
    <t>520</t>
  </si>
  <si>
    <t>4.369,44</t>
  </si>
  <si>
    <t>413,22</t>
  </si>
  <si>
    <t>3.956,22</t>
  </si>
  <si>
    <t>433</t>
  </si>
  <si>
    <t>337</t>
  </si>
  <si>
    <t>334</t>
  </si>
  <si>
    <t>345</t>
  </si>
  <si>
    <t>74</t>
  </si>
  <si>
    <t>92</t>
  </si>
  <si>
    <t>5.224,42</t>
  </si>
  <si>
    <t>1.843,15</t>
  </si>
  <si>
    <t>3.381,27</t>
  </si>
  <si>
    <t>408</t>
  </si>
  <si>
    <t>1</t>
  </si>
  <si>
    <t>5.043,90</t>
  </si>
  <si>
    <t>1.826,91</t>
  </si>
  <si>
    <t>3.216,99</t>
  </si>
  <si>
    <t>274</t>
  </si>
  <si>
    <t>447</t>
  </si>
  <si>
    <t>587</t>
  </si>
  <si>
    <t>146</t>
  </si>
  <si>
    <t>5.343,20</t>
  </si>
  <si>
    <t>2.217,92</t>
  </si>
  <si>
    <t>3.125,28</t>
  </si>
  <si>
    <t>622</t>
  </si>
  <si>
    <t>539</t>
  </si>
  <si>
    <t>237</t>
  </si>
  <si>
    <t>258</t>
  </si>
  <si>
    <t>1.744,68</t>
  </si>
  <si>
    <t>4.321,98</t>
  </si>
  <si>
    <t>353</t>
  </si>
  <si>
    <t>194</t>
  </si>
  <si>
    <t>5.031,23</t>
  </si>
  <si>
    <t>1.882,64</t>
  </si>
  <si>
    <t>3.148,59</t>
  </si>
  <si>
    <t>157</t>
  </si>
  <si>
    <t>5.718,63</t>
  </si>
  <si>
    <t>1.887,63</t>
  </si>
  <si>
    <t>3.831,00</t>
  </si>
  <si>
    <t>398</t>
  </si>
  <si>
    <t>797,05</t>
  </si>
  <si>
    <t>4.766,95</t>
  </si>
  <si>
    <t>605</t>
  </si>
  <si>
    <t>11/11/2025</t>
  </si>
  <si>
    <t>3.720,00</t>
  </si>
  <si>
    <t>334,98</t>
  </si>
  <si>
    <t>3.385,02</t>
  </si>
  <si>
    <t>511</t>
  </si>
  <si>
    <t>598</t>
  </si>
  <si>
    <t>5.546,35</t>
  </si>
  <si>
    <t>1.487,56</t>
  </si>
  <si>
    <t>4.058,79</t>
  </si>
  <si>
    <t>85</t>
  </si>
  <si>
    <t>7.229,57</t>
  </si>
  <si>
    <t>1.601,11</t>
  </si>
  <si>
    <t>5.628,46</t>
  </si>
  <si>
    <t>552</t>
  </si>
  <si>
    <t>103</t>
  </si>
  <si>
    <t>1.967,52</t>
  </si>
  <si>
    <t>4.843,65</t>
  </si>
  <si>
    <t>301</t>
  </si>
  <si>
    <t>517</t>
  </si>
  <si>
    <t>490</t>
  </si>
  <si>
    <t>101</t>
  </si>
  <si>
    <t>641</t>
  </si>
  <si>
    <t>3.325,88</t>
  </si>
  <si>
    <t>121,64</t>
  </si>
  <si>
    <t>3.204,24</t>
  </si>
  <si>
    <t>214</t>
  </si>
  <si>
    <t>272</t>
  </si>
  <si>
    <t>3.125,73</t>
  </si>
  <si>
    <t>263,67</t>
  </si>
  <si>
    <t>2.862,06</t>
  </si>
  <si>
    <t>316</t>
  </si>
  <si>
    <t>3.900,00</t>
  </si>
  <si>
    <t>434,65</t>
  </si>
  <si>
    <t>3.465,35</t>
  </si>
  <si>
    <t>120</t>
  </si>
  <si>
    <t>6.016,66</t>
  </si>
  <si>
    <t>1.035,10</t>
  </si>
  <si>
    <t>4.981,56</t>
  </si>
  <si>
    <t>616</t>
  </si>
  <si>
    <t>01/12/2025</t>
  </si>
  <si>
    <t>370</t>
  </si>
  <si>
    <t>496</t>
  </si>
  <si>
    <t>208</t>
  </si>
  <si>
    <t>104</t>
  </si>
  <si>
    <t>9.239,79</t>
  </si>
  <si>
    <t>2.645,72</t>
  </si>
  <si>
    <t>6.594,07</t>
  </si>
  <si>
    <t>502</t>
  </si>
  <si>
    <t>439</t>
  </si>
  <si>
    <t>402</t>
  </si>
  <si>
    <t>65</t>
  </si>
  <si>
    <t>6.456,05</t>
  </si>
  <si>
    <t>3.005,92</t>
  </si>
  <si>
    <t>3.450,13</t>
  </si>
  <si>
    <t>58</t>
  </si>
  <si>
    <t>4.557,59</t>
  </si>
  <si>
    <t>2.177,65</t>
  </si>
  <si>
    <t>2.379,94</t>
  </si>
  <si>
    <t>162</t>
  </si>
  <si>
    <t>89</t>
  </si>
  <si>
    <t>6.782,50</t>
  </si>
  <si>
    <t>2.910,48</t>
  </si>
  <si>
    <t>3.872,02</t>
  </si>
  <si>
    <t>412</t>
  </si>
  <si>
    <t>154</t>
  </si>
  <si>
    <t>366</t>
  </si>
  <si>
    <t>320</t>
  </si>
  <si>
    <t>443</t>
  </si>
  <si>
    <t>24</t>
  </si>
  <si>
    <t>6.541,90</t>
  </si>
  <si>
    <t>1.968,65</t>
  </si>
  <si>
    <t>4.573,25</t>
  </si>
  <si>
    <t>635</t>
  </si>
  <si>
    <t>383</t>
  </si>
  <si>
    <t>645</t>
  </si>
  <si>
    <t>2.107,30</t>
  </si>
  <si>
    <t>165,33</t>
  </si>
  <si>
    <t>1.941,97</t>
  </si>
  <si>
    <t>526</t>
  </si>
  <si>
    <t>430</t>
  </si>
  <si>
    <t>4.034,28</t>
  </si>
  <si>
    <t>372,70</t>
  </si>
  <si>
    <t>3.661,58</t>
  </si>
  <si>
    <t>432</t>
  </si>
  <si>
    <t>1.922,31</t>
  </si>
  <si>
    <t>3.106,69</t>
  </si>
  <si>
    <t>35</t>
  </si>
  <si>
    <t>11</t>
  </si>
  <si>
    <t>5.392,34</t>
  </si>
  <si>
    <t>1.858,27</t>
  </si>
  <si>
    <t>3.534,07</t>
  </si>
  <si>
    <t>150</t>
  </si>
  <si>
    <t>1.867,54</t>
  </si>
  <si>
    <t>719,56</t>
  </si>
  <si>
    <t>1.147,98</t>
  </si>
  <si>
    <t>618</t>
  </si>
  <si>
    <t>651</t>
  </si>
  <si>
    <t>12/03/2026</t>
  </si>
  <si>
    <t>3.221,72</t>
  </si>
  <si>
    <t>155,09</t>
  </si>
  <si>
    <t>3.066,63</t>
  </si>
  <si>
    <t>56</t>
  </si>
  <si>
    <t>4.610,18</t>
  </si>
  <si>
    <t>446,92</t>
  </si>
  <si>
    <t>4.163,26</t>
  </si>
  <si>
    <t>640</t>
  </si>
  <si>
    <t>3.534,31</t>
  </si>
  <si>
    <t>140,40</t>
  </si>
  <si>
    <t>3.393,91</t>
  </si>
  <si>
    <t>132</t>
  </si>
  <si>
    <t>6.412,16</t>
  </si>
  <si>
    <t>1.919,64</t>
  </si>
  <si>
    <t>4.492,52</t>
  </si>
  <si>
    <t>393</t>
  </si>
  <si>
    <t>30</t>
  </si>
  <si>
    <t>597,33</t>
  </si>
  <si>
    <t>4.595,07</t>
  </si>
  <si>
    <t>422</t>
  </si>
  <si>
    <t>376</t>
  </si>
  <si>
    <t>133</t>
  </si>
  <si>
    <t>7.030,21</t>
  </si>
  <si>
    <t>1.927,79</t>
  </si>
  <si>
    <t>5.102,42</t>
  </si>
  <si>
    <t>500</t>
  </si>
  <si>
    <t>45</t>
  </si>
  <si>
    <t>7.391,44</t>
  </si>
  <si>
    <t>2.610,33</t>
  </si>
  <si>
    <t>4.781,11</t>
  </si>
  <si>
    <t>350</t>
  </si>
  <si>
    <t>5.231,62</t>
  </si>
  <si>
    <t>3.406,05</t>
  </si>
  <si>
    <t>115</t>
  </si>
  <si>
    <t>6.750,66</t>
  </si>
  <si>
    <t>3.127,16</t>
  </si>
  <si>
    <t>3.623,50</t>
  </si>
  <si>
    <t>229</t>
  </si>
  <si>
    <t>246</t>
  </si>
  <si>
    <t>276</t>
  </si>
  <si>
    <t>263</t>
  </si>
  <si>
    <t>5.110,61</t>
  </si>
  <si>
    <t>1.826,83</t>
  </si>
  <si>
    <t>3.283,78</t>
  </si>
  <si>
    <t>227</t>
  </si>
  <si>
    <t>5.709,14</t>
  </si>
  <si>
    <t>1.813,03</t>
  </si>
  <si>
    <t>3.896,11</t>
  </si>
  <si>
    <t>397</t>
  </si>
  <si>
    <t>6.490,50</t>
  </si>
  <si>
    <t>1.224,45</t>
  </si>
  <si>
    <t>5.266,05</t>
  </si>
  <si>
    <t>421</t>
  </si>
  <si>
    <t>3.290,14</t>
  </si>
  <si>
    <t>626</t>
  </si>
  <si>
    <t>05/01/2026</t>
  </si>
  <si>
    <t>609</t>
  </si>
  <si>
    <t>38</t>
  </si>
  <si>
    <t>277</t>
  </si>
  <si>
    <t>549</t>
  </si>
  <si>
    <t>5.515,30</t>
  </si>
  <si>
    <t>1.869,33</t>
  </si>
  <si>
    <t>3.645,97</t>
  </si>
  <si>
    <t>168</t>
  </si>
  <si>
    <t>6.495,96</t>
  </si>
  <si>
    <t>1.929,69</t>
  </si>
  <si>
    <t>4.566,27</t>
  </si>
  <si>
    <t>610</t>
  </si>
  <si>
    <t>4.911,79</t>
  </si>
  <si>
    <t>1.567,15</t>
  </si>
  <si>
    <t>3.344,64</t>
  </si>
  <si>
    <t>259</t>
  </si>
  <si>
    <t>160</t>
  </si>
  <si>
    <t>1.904,13</t>
  </si>
  <si>
    <t>2.714,31</t>
  </si>
  <si>
    <t>529</t>
  </si>
  <si>
    <t>1.701,55</t>
  </si>
  <si>
    <t>128,81</t>
  </si>
  <si>
    <t>1.572,74</t>
  </si>
  <si>
    <t>346</t>
  </si>
  <si>
    <t>342</t>
  </si>
  <si>
    <t>80</t>
  </si>
  <si>
    <t>6.307,23</t>
  </si>
  <si>
    <t>1.078,91</t>
  </si>
  <si>
    <t>5.228,32</t>
  </si>
  <si>
    <t>313</t>
  </si>
  <si>
    <t>22</t>
  </si>
  <si>
    <t>613</t>
  </si>
  <si>
    <t>29/11/2025</t>
  </si>
  <si>
    <t>6.919,68</t>
  </si>
  <si>
    <t>1.654,53</t>
  </si>
  <si>
    <t>5.265,15</t>
  </si>
  <si>
    <t>519</t>
  </si>
  <si>
    <t>650</t>
  </si>
  <si>
    <t>3.539,84</t>
  </si>
  <si>
    <t>134,82</t>
  </si>
  <si>
    <t>3.405,02</t>
  </si>
  <si>
    <t>241</t>
  </si>
  <si>
    <t>37</t>
  </si>
  <si>
    <t>6.753,85</t>
  </si>
  <si>
    <t>1.960,64</t>
  </si>
  <si>
    <t>4.793,21</t>
  </si>
  <si>
    <t>499</t>
  </si>
  <si>
    <t>546,08</t>
  </si>
  <si>
    <t>4.589,92</t>
  </si>
  <si>
    <t>389</t>
  </si>
  <si>
    <t>524</t>
  </si>
  <si>
    <t>615</t>
  </si>
  <si>
    <t>2.317,02</t>
  </si>
  <si>
    <t>2.711,98</t>
  </si>
  <si>
    <t>144</t>
  </si>
  <si>
    <t>599</t>
  </si>
  <si>
    <t>501</t>
  </si>
  <si>
    <t>390</t>
  </si>
  <si>
    <t>462</t>
  </si>
  <si>
    <t>630</t>
  </si>
  <si>
    <t>4.794,27</t>
  </si>
  <si>
    <t>2.968,70</t>
  </si>
  <si>
    <t>347</t>
  </si>
  <si>
    <t>428</t>
  </si>
  <si>
    <t>49</t>
  </si>
  <si>
    <t>202</t>
  </si>
  <si>
    <t>33</t>
  </si>
  <si>
    <t>188</t>
  </si>
  <si>
    <t>1.982,14</t>
  </si>
  <si>
    <t>3.257,31</t>
  </si>
  <si>
    <t>642</t>
  </si>
  <si>
    <t>418</t>
  </si>
  <si>
    <t>705,23</t>
  </si>
  <si>
    <t>983,31</t>
  </si>
  <si>
    <t>200</t>
  </si>
  <si>
    <t>206</t>
  </si>
  <si>
    <t>5.191,31</t>
  </si>
  <si>
    <t>1.840,17</t>
  </si>
  <si>
    <t>3.351,14</t>
  </si>
  <si>
    <t>292</t>
  </si>
  <si>
    <t>5.195,43</t>
  </si>
  <si>
    <t>1.840,54</t>
  </si>
  <si>
    <t>3.354,89</t>
  </si>
  <si>
    <t>324</t>
  </si>
  <si>
    <t>509</t>
  </si>
  <si>
    <t>5.144,70</t>
  </si>
  <si>
    <t>550,14</t>
  </si>
  <si>
    <t>4.594,56</t>
  </si>
  <si>
    <t>109</t>
  </si>
  <si>
    <t>9</t>
  </si>
  <si>
    <t>434</t>
  </si>
  <si>
    <t>545</t>
  </si>
  <si>
    <t>1.729,86</t>
  </si>
  <si>
    <t>78</t>
  </si>
  <si>
    <t>527</t>
  </si>
  <si>
    <t>243</t>
  </si>
  <si>
    <t>218,31</t>
  </si>
  <si>
    <t>1.402,69</t>
  </si>
  <si>
    <t>483</t>
  </si>
  <si>
    <t>125</t>
  </si>
  <si>
    <t>5.265,22</t>
  </si>
  <si>
    <t>1.846,82</t>
  </si>
  <si>
    <t>3.418,40</t>
  </si>
  <si>
    <t>295</t>
  </si>
  <si>
    <t>474</t>
  </si>
  <si>
    <t>117</t>
  </si>
  <si>
    <t>514</t>
  </si>
  <si>
    <t>326</t>
  </si>
  <si>
    <t>373</t>
  </si>
  <si>
    <t>581</t>
  </si>
  <si>
    <t>257</t>
  </si>
  <si>
    <t>1.686,18</t>
  </si>
  <si>
    <t>2.593,82</t>
  </si>
  <si>
    <t>349</t>
  </si>
  <si>
    <t>394</t>
  </si>
  <si>
    <t>226</t>
  </si>
  <si>
    <t>4.664,14</t>
  </si>
  <si>
    <t>560,57</t>
  </si>
  <si>
    <t>4.103,57</t>
  </si>
  <si>
    <t>221</t>
  </si>
  <si>
    <t>479</t>
  </si>
  <si>
    <t>278</t>
  </si>
  <si>
    <t>534</t>
  </si>
  <si>
    <t>04/09/2025</t>
  </si>
  <si>
    <t>262</t>
  </si>
  <si>
    <t>493</t>
  </si>
  <si>
    <t>317</t>
  </si>
  <si>
    <t>93</t>
  </si>
  <si>
    <t>654</t>
  </si>
  <si>
    <t>19/03/2026</t>
  </si>
  <si>
    <t>1.258,06</t>
  </si>
  <si>
    <t>94,35</t>
  </si>
  <si>
    <t>1.163,71</t>
  </si>
  <si>
    <t>231</t>
  </si>
  <si>
    <t>311</t>
  </si>
  <si>
    <t>327</t>
  </si>
  <si>
    <t>298</t>
  </si>
  <si>
    <t>129</t>
  </si>
  <si>
    <t>4.611,66</t>
  </si>
  <si>
    <t>447,13</t>
  </si>
  <si>
    <t>4.164,53</t>
  </si>
  <si>
    <t>454</t>
  </si>
  <si>
    <t>2.148,58</t>
  </si>
  <si>
    <t>3.015,50</t>
  </si>
  <si>
    <t>544</t>
  </si>
  <si>
    <t>535</t>
  </si>
  <si>
    <t>66</t>
  </si>
  <si>
    <t>5.111,57</t>
  </si>
  <si>
    <t>3.284,65</t>
  </si>
  <si>
    <t>12</t>
  </si>
  <si>
    <t>51</t>
  </si>
  <si>
    <t>2.724,21</t>
  </si>
  <si>
    <t>220,85</t>
  </si>
  <si>
    <t>2.503,36</t>
  </si>
  <si>
    <t>31</t>
  </si>
  <si>
    <t>8.902,06</t>
  </si>
  <si>
    <t>2.466,95</t>
  </si>
  <si>
    <t>6.435,11</t>
  </si>
  <si>
    <t>542</t>
  </si>
  <si>
    <t>4.766,66</t>
  </si>
  <si>
    <t>468,83</t>
  </si>
  <si>
    <t>4.297,83</t>
  </si>
  <si>
    <t>492</t>
  </si>
  <si>
    <t>538</t>
  </si>
  <si>
    <t>380</t>
  </si>
  <si>
    <t>67</t>
  </si>
  <si>
    <t>537</t>
  </si>
  <si>
    <t>1.658,44</t>
  </si>
  <si>
    <t>4.751,55</t>
  </si>
  <si>
    <t>427</t>
  </si>
  <si>
    <t>177</t>
  </si>
  <si>
    <t>4.679,30</t>
  </si>
  <si>
    <t>456,60</t>
  </si>
  <si>
    <t>4.222,70</t>
  </si>
  <si>
    <t>136</t>
  </si>
  <si>
    <t>269</t>
  </si>
  <si>
    <t>3.166,92</t>
  </si>
  <si>
    <t>268,61</t>
  </si>
  <si>
    <t>2.898,31</t>
  </si>
  <si>
    <t>217</t>
  </si>
  <si>
    <t>4.841,14</t>
  </si>
  <si>
    <t>479,26</t>
  </si>
  <si>
    <t>4.361,88</t>
  </si>
  <si>
    <t>503</t>
  </si>
  <si>
    <t>5.181,00</t>
  </si>
  <si>
    <t>764,30</t>
  </si>
  <si>
    <t>4.416,70</t>
  </si>
  <si>
    <t>329</t>
  </si>
  <si>
    <t>530</t>
  </si>
  <si>
    <t>469</t>
  </si>
  <si>
    <t>151</t>
  </si>
  <si>
    <t>7.173,02</t>
  </si>
  <si>
    <t>2.010,94</t>
  </si>
  <si>
    <t>5.162,08</t>
  </si>
  <si>
    <t>579</t>
  </si>
  <si>
    <t>323</t>
  </si>
  <si>
    <t>595</t>
  </si>
  <si>
    <t>96</t>
  </si>
  <si>
    <t>260</t>
  </si>
  <si>
    <t>6.068,61</t>
  </si>
  <si>
    <t>1.617,48</t>
  </si>
  <si>
    <t>4.451,13</t>
  </si>
  <si>
    <t>99</t>
  </si>
  <si>
    <t>1.206,34</t>
  </si>
  <si>
    <t>3.855,02</t>
  </si>
  <si>
    <t>384</t>
  </si>
  <si>
    <t>2.026,45</t>
  </si>
  <si>
    <t>2.007,83</t>
  </si>
  <si>
    <t>486</t>
  </si>
  <si>
    <t>4.914,01</t>
  </si>
  <si>
    <t>105</t>
  </si>
  <si>
    <t>113</t>
  </si>
  <si>
    <t>198</t>
  </si>
  <si>
    <t>5.114,58</t>
  </si>
  <si>
    <t>1.827,19</t>
  </si>
  <si>
    <t>3.287,39</t>
  </si>
  <si>
    <t>19</t>
  </si>
  <si>
    <t>5.342,83</t>
  </si>
  <si>
    <t>1.841,65</t>
  </si>
  <si>
    <t>3.501,18</t>
  </si>
  <si>
    <t>314</t>
  </si>
  <si>
    <t>98</t>
  </si>
  <si>
    <t>6.780,30</t>
  </si>
  <si>
    <t>1.963,81</t>
  </si>
  <si>
    <t>4.816,49</t>
  </si>
  <si>
    <t>485</t>
  </si>
  <si>
    <t>159</t>
  </si>
  <si>
    <t>1.131,05</t>
  </si>
  <si>
    <t>5.176,18</t>
  </si>
  <si>
    <t>145</t>
  </si>
  <si>
    <t>247</t>
  </si>
  <si>
    <t>218</t>
  </si>
  <si>
    <t>5.403,52</t>
  </si>
  <si>
    <t>1.859,27</t>
  </si>
  <si>
    <t>3.544,25</t>
  </si>
  <si>
    <t>161</t>
  </si>
  <si>
    <t>7.095,88</t>
  </si>
  <si>
    <t>2.177,12</t>
  </si>
  <si>
    <t>4.918,76</t>
  </si>
  <si>
    <t>568</t>
  </si>
  <si>
    <t>638</t>
  </si>
  <si>
    <t>3.518,48</t>
  </si>
  <si>
    <t>138,98</t>
  </si>
  <si>
    <t>3.379,50</t>
  </si>
  <si>
    <t>283</t>
  </si>
  <si>
    <t>606</t>
  </si>
  <si>
    <t>624</t>
  </si>
  <si>
    <t>18/12/2025</t>
  </si>
  <si>
    <t>153</t>
  </si>
  <si>
    <t>255</t>
  </si>
  <si>
    <t>338</t>
  </si>
  <si>
    <t>281</t>
  </si>
  <si>
    <t>3.129,00</t>
  </si>
  <si>
    <t>875,57</t>
  </si>
  <si>
    <t>2.253,43</t>
  </si>
  <si>
    <t>584</t>
  </si>
  <si>
    <t>7</t>
  </si>
  <si>
    <t>3.144,03</t>
  </si>
  <si>
    <t>876,92</t>
  </si>
  <si>
    <t>2.267,11</t>
  </si>
  <si>
    <t>212</t>
  </si>
  <si>
    <t>424</t>
  </si>
  <si>
    <t>625</t>
  </si>
  <si>
    <t>636</t>
  </si>
  <si>
    <t>3.022,73</t>
  </si>
  <si>
    <t>2.901,16</t>
  </si>
  <si>
    <t>54</t>
  </si>
  <si>
    <t>5.357,63</t>
  </si>
  <si>
    <t>1.842,98</t>
  </si>
  <si>
    <t>3.514,65</t>
  </si>
  <si>
    <t>352</t>
  </si>
  <si>
    <t>304</t>
  </si>
  <si>
    <t>15</t>
  </si>
  <si>
    <t>2.411,78</t>
  </si>
  <si>
    <t>3.998,21</t>
  </si>
  <si>
    <t>523</t>
  </si>
  <si>
    <t>588</t>
  </si>
  <si>
    <t>5.236,71</t>
  </si>
  <si>
    <t>1.838,18</t>
  </si>
  <si>
    <t>3.398,53</t>
  </si>
  <si>
    <t>532</t>
  </si>
  <si>
    <t>209</t>
  </si>
  <si>
    <t>23</t>
  </si>
  <si>
    <t>205</t>
  </si>
  <si>
    <t>135</t>
  </si>
  <si>
    <t>386</t>
  </si>
  <si>
    <t>429</t>
  </si>
  <si>
    <t>401</t>
  </si>
  <si>
    <t>550</t>
  </si>
  <si>
    <t>594</t>
  </si>
  <si>
    <t>16/10/2025</t>
  </si>
  <si>
    <t>382,95</t>
  </si>
  <si>
    <t>1.238,05</t>
  </si>
  <si>
    <t>441</t>
  </si>
  <si>
    <t>179</t>
  </si>
  <si>
    <t>8.353,84</t>
  </si>
  <si>
    <t>2.178,35</t>
  </si>
  <si>
    <t>6.175,49</t>
  </si>
  <si>
    <t>128</t>
  </si>
  <si>
    <t>216</t>
  </si>
  <si>
    <t>5.424,91</t>
  </si>
  <si>
    <t>1.861,20</t>
  </si>
  <si>
    <t>3.563,71</t>
  </si>
  <si>
    <t>183</t>
  </si>
  <si>
    <t>435</t>
  </si>
  <si>
    <t>16</t>
  </si>
  <si>
    <t>7.342,57</t>
  </si>
  <si>
    <t>2.064,73</t>
  </si>
  <si>
    <t>5.277,84</t>
  </si>
  <si>
    <t>343</t>
  </si>
  <si>
    <t>1.442,23</t>
  </si>
  <si>
    <t>2.837,77</t>
  </si>
  <si>
    <t>213</t>
  </si>
  <si>
    <t>399</t>
  </si>
  <si>
    <t>647</t>
  </si>
  <si>
    <t>3.475,11</t>
  </si>
  <si>
    <t>122,92</t>
  </si>
  <si>
    <t>256</t>
  </si>
  <si>
    <t>253</t>
  </si>
  <si>
    <t>197</t>
  </si>
  <si>
    <t>358</t>
  </si>
  <si>
    <t>95</t>
  </si>
  <si>
    <t>2.511,57</t>
  </si>
  <si>
    <t>201,72</t>
  </si>
  <si>
    <t>2.309,85</t>
  </si>
  <si>
    <t>495</t>
  </si>
  <si>
    <t>273</t>
  </si>
  <si>
    <t>456</t>
  </si>
  <si>
    <t>152</t>
  </si>
  <si>
    <t>6.751,35</t>
  </si>
  <si>
    <t>1.960,70</t>
  </si>
  <si>
    <t>4.790,65</t>
  </si>
  <si>
    <t>254</t>
  </si>
  <si>
    <t>143</t>
  </si>
  <si>
    <t>40</t>
  </si>
  <si>
    <t>3.244,47</t>
  </si>
  <si>
    <t>461</t>
  </si>
  <si>
    <t>29</t>
  </si>
  <si>
    <t>6.842,37</t>
  </si>
  <si>
    <t>1.971,26</t>
  </si>
  <si>
    <t>4.871,11</t>
  </si>
  <si>
    <t>406</t>
  </si>
  <si>
    <t>211</t>
  </si>
  <si>
    <t>48</t>
  </si>
  <si>
    <t>611</t>
  </si>
  <si>
    <t>578</t>
  </si>
  <si>
    <t>340</t>
  </si>
  <si>
    <t>265</t>
  </si>
  <si>
    <t>5</t>
  </si>
  <si>
    <t>5.126,61</t>
  </si>
  <si>
    <t>1.886,81</t>
  </si>
  <si>
    <t>3.239,80</t>
  </si>
  <si>
    <t>339</t>
  </si>
  <si>
    <t>444</t>
  </si>
  <si>
    <t>431</t>
  </si>
  <si>
    <t>565,22</t>
  </si>
  <si>
    <t>2.601,70</t>
  </si>
  <si>
    <t>86</t>
  </si>
  <si>
    <t>547</t>
  </si>
  <si>
    <t>652</t>
  </si>
  <si>
    <t>1.161,29</t>
  </si>
  <si>
    <t>87,09</t>
  </si>
  <si>
    <t>1.074,20</t>
  </si>
  <si>
    <t>586</t>
  </si>
  <si>
    <t>318</t>
  </si>
  <si>
    <t>288</t>
  </si>
  <si>
    <t>118</t>
  </si>
  <si>
    <t>63</t>
  </si>
  <si>
    <t>3.298,34</t>
  </si>
  <si>
    <t>425</t>
  </si>
  <si>
    <t>238</t>
  </si>
  <si>
    <t>268</t>
  </si>
  <si>
    <t>403</t>
  </si>
  <si>
    <t>6.233,02</t>
  </si>
  <si>
    <t>1.311,20</t>
  </si>
  <si>
    <t>4.921,82</t>
  </si>
  <si>
    <t>242</t>
  </si>
  <si>
    <t>648</t>
  </si>
  <si>
    <t>344</t>
  </si>
  <si>
    <t>148</t>
  </si>
  <si>
    <t>455</t>
  </si>
  <si>
    <t>294</t>
  </si>
  <si>
    <t>2.006,14</t>
  </si>
  <si>
    <t>3.037,89</t>
  </si>
  <si>
    <t>293</t>
  </si>
  <si>
    <t>1.973,10</t>
  </si>
  <si>
    <t>3.123,44</t>
  </si>
  <si>
    <t>525</t>
  </si>
  <si>
    <t>351</t>
  </si>
  <si>
    <t>73</t>
  </si>
  <si>
    <t>2.290,04</t>
  </si>
  <si>
    <t>3.084,49</t>
  </si>
  <si>
    <t>296</t>
  </si>
  <si>
    <t>21</t>
  </si>
  <si>
    <t>2.244,18</t>
  </si>
  <si>
    <t>3.062,81</t>
  </si>
  <si>
    <t>379</t>
  </si>
  <si>
    <t>139</t>
  </si>
  <si>
    <t>5.357,84</t>
  </si>
  <si>
    <t>1.843,00</t>
  </si>
  <si>
    <t>3.514,84</t>
  </si>
  <si>
    <t>240</t>
  </si>
  <si>
    <t>377</t>
  </si>
  <si>
    <t>232</t>
  </si>
  <si>
    <t>83</t>
  </si>
  <si>
    <t>600</t>
  </si>
  <si>
    <t>5.887,15</t>
  </si>
  <si>
    <t>1.528,45</t>
  </si>
  <si>
    <t>4.358,70</t>
  </si>
  <si>
    <t>192</t>
  </si>
  <si>
    <t>631</t>
  </si>
  <si>
    <t>465</t>
  </si>
  <si>
    <t>601</t>
  </si>
  <si>
    <t>137</t>
  </si>
  <si>
    <t>1.902,39</t>
  </si>
  <si>
    <t>3.322,03</t>
  </si>
  <si>
    <t>282</t>
  </si>
  <si>
    <t>2.299,30</t>
  </si>
  <si>
    <t>3.216,00</t>
  </si>
  <si>
    <t>488</t>
  </si>
  <si>
    <t>201</t>
  </si>
  <si>
    <t>267</t>
  </si>
  <si>
    <t>3.162,99</t>
  </si>
  <si>
    <t>268,14</t>
  </si>
  <si>
    <t>2.894,85</t>
  </si>
  <si>
    <t>138</t>
  </si>
  <si>
    <t>2.115,09</t>
  </si>
  <si>
    <t>3.124,36</t>
  </si>
  <si>
    <t>585</t>
  </si>
  <si>
    <t>5.947,53</t>
  </si>
  <si>
    <t>1.535,70</t>
  </si>
  <si>
    <t>4.411,83</t>
  </si>
  <si>
    <t>634</t>
  </si>
  <si>
    <t>06/02/2026</t>
  </si>
  <si>
    <t>4.318,18</t>
  </si>
  <si>
    <t>300,59</t>
  </si>
  <si>
    <t>4.017,59</t>
  </si>
  <si>
    <t>643</t>
  </si>
  <si>
    <t>59</t>
  </si>
  <si>
    <t>190</t>
  </si>
  <si>
    <t>557</t>
  </si>
  <si>
    <t>210</t>
  </si>
  <si>
    <t>6.467,30</t>
  </si>
  <si>
    <t>1.926,25</t>
  </si>
  <si>
    <t>4.541,05</t>
  </si>
  <si>
    <t>184</t>
  </si>
  <si>
    <t>603</t>
  </si>
  <si>
    <t>621</t>
  </si>
  <si>
    <t>3</t>
  </si>
  <si>
    <t>6.427,27</t>
  </si>
  <si>
    <t>1.921,45</t>
  </si>
  <si>
    <t>4.505,82</t>
  </si>
  <si>
    <t>90</t>
  </si>
  <si>
    <t>5.036,30</t>
  </si>
  <si>
    <t>1.826,22</t>
  </si>
  <si>
    <t>3.210,08</t>
  </si>
  <si>
    <t>2</t>
  </si>
  <si>
    <t>300</t>
  </si>
  <si>
    <t>123</t>
  </si>
  <si>
    <t>5.306,09</t>
  </si>
  <si>
    <t>1.953,68</t>
  </si>
  <si>
    <t>3.352,41</t>
  </si>
  <si>
    <t>540</t>
  </si>
  <si>
    <t>541</t>
  </si>
  <si>
    <t>106</t>
  </si>
  <si>
    <t>5.305,85</t>
  </si>
  <si>
    <t>3.461,45</t>
  </si>
  <si>
    <t>528</t>
  </si>
  <si>
    <t>569</t>
  </si>
  <si>
    <t>10/10/2025</t>
  </si>
  <si>
    <t>472</t>
  </si>
  <si>
    <t>473,82</t>
  </si>
  <si>
    <t>1.326,18</t>
  </si>
  <si>
    <t>77</t>
  </si>
  <si>
    <t>6.509,71</t>
  </si>
  <si>
    <t>2.106,78</t>
  </si>
  <si>
    <t>4.402,93</t>
  </si>
  <si>
    <t>627</t>
  </si>
  <si>
    <t>19/01/2026</t>
  </si>
  <si>
    <t>2.265,63</t>
  </si>
  <si>
    <t>264,22</t>
  </si>
  <si>
    <t>2.001,41</t>
  </si>
  <si>
    <t>614</t>
  </si>
  <si>
    <t>27</t>
  </si>
  <si>
    <t>409</t>
  </si>
  <si>
    <t>331</t>
  </si>
  <si>
    <t>270</t>
  </si>
  <si>
    <t>6.083,82</t>
  </si>
  <si>
    <t>1.619,30</t>
  </si>
  <si>
    <t>4.464,52</t>
  </si>
  <si>
    <t>182</t>
  </si>
  <si>
    <t>1.964,08</t>
  </si>
  <si>
    <t>4.818,42</t>
  </si>
  <si>
    <t>28</t>
  </si>
  <si>
    <t>498</t>
  </si>
  <si>
    <t>5.522,44</t>
  </si>
  <si>
    <t>683,76</t>
  </si>
  <si>
    <t>4.838,68</t>
  </si>
  <si>
    <t>382</t>
  </si>
  <si>
    <t>4.464,00</t>
  </si>
  <si>
    <t>426,46</t>
  </si>
  <si>
    <t>4.037,54</t>
  </si>
  <si>
    <t>156</t>
  </si>
  <si>
    <t>6.650,70</t>
  </si>
  <si>
    <t>2.232,64</t>
  </si>
  <si>
    <t>4.418,06</t>
  </si>
  <si>
    <t>604</t>
  </si>
  <si>
    <t>388</t>
  </si>
  <si>
    <t>286</t>
  </si>
  <si>
    <t>186</t>
  </si>
  <si>
    <t>111</t>
  </si>
  <si>
    <t>245</t>
  </si>
  <si>
    <t>407</t>
  </si>
  <si>
    <t>94</t>
  </si>
  <si>
    <t>315</t>
  </si>
  <si>
    <t>46</t>
  </si>
  <si>
    <t>5.062,05</t>
  </si>
  <si>
    <t>1.828,54</t>
  </si>
  <si>
    <t>3.233,51</t>
  </si>
  <si>
    <t>562</t>
  </si>
  <si>
    <t>5.304,85</t>
  </si>
  <si>
    <t>1.964,19</t>
  </si>
  <si>
    <t>3.340,66</t>
  </si>
  <si>
    <t>531</t>
  </si>
  <si>
    <t>546</t>
  </si>
  <si>
    <t>180</t>
  </si>
  <si>
    <t>439,56</t>
  </si>
  <si>
    <t>4.118,03</t>
  </si>
  <si>
    <t>76</t>
  </si>
  <si>
    <t>419</t>
  </si>
  <si>
    <t>171</t>
  </si>
  <si>
    <t>5.352,88</t>
  </si>
  <si>
    <t>1.922,83</t>
  </si>
  <si>
    <t>3.430,05</t>
  </si>
  <si>
    <t>87</t>
  </si>
  <si>
    <t>6.807,57</t>
  </si>
  <si>
    <t>1.967,09</t>
  </si>
  <si>
    <t>4.840,48</t>
  </si>
  <si>
    <t>457</t>
  </si>
  <si>
    <t>515</t>
  </si>
  <si>
    <t>591</t>
  </si>
  <si>
    <t>107</t>
  </si>
  <si>
    <t>5.209,38</t>
  </si>
  <si>
    <t>2.218,03</t>
  </si>
  <si>
    <t>2.991,35</t>
  </si>
  <si>
    <t>476</t>
  </si>
  <si>
    <t>6.808,17</t>
  </si>
  <si>
    <t>2.950,06</t>
  </si>
  <si>
    <t>3.858,11</t>
  </si>
  <si>
    <t>124</t>
  </si>
  <si>
    <t>18</t>
  </si>
  <si>
    <t>445</t>
  </si>
  <si>
    <t>536</t>
  </si>
  <si>
    <t>141</t>
  </si>
  <si>
    <t>617</t>
  </si>
  <si>
    <t>10/12/2025</t>
  </si>
  <si>
    <t>417</t>
  </si>
  <si>
    <t>471</t>
  </si>
  <si>
    <t>174</t>
  </si>
  <si>
    <t>285</t>
  </si>
  <si>
    <t>356</t>
  </si>
  <si>
    <t>199</t>
  </si>
  <si>
    <t>582</t>
  </si>
  <si>
    <t>6.345,27</t>
  </si>
  <si>
    <t>1.650,68</t>
  </si>
  <si>
    <t>4.694,59</t>
  </si>
  <si>
    <t>385</t>
  </si>
  <si>
    <t>821,88</t>
  </si>
  <si>
    <t>4.878,72</t>
  </si>
  <si>
    <t>575</t>
  </si>
  <si>
    <t>561</t>
  </si>
  <si>
    <t>411</t>
  </si>
  <si>
    <t>248</t>
  </si>
  <si>
    <t>261</t>
  </si>
  <si>
    <t>1.887,13</t>
  </si>
  <si>
    <t>3.142,03</t>
  </si>
  <si>
    <t>178</t>
  </si>
  <si>
    <t>5.612,45</t>
  </si>
  <si>
    <t>1.878,08</t>
  </si>
  <si>
    <t>3.734,37</t>
  </si>
  <si>
    <t>203</t>
  </si>
  <si>
    <t>5.179,33</t>
  </si>
  <si>
    <t>1.839,09</t>
  </si>
  <si>
    <t>3.340,24</t>
  </si>
  <si>
    <t>195</t>
  </si>
  <si>
    <t>3.394,94</t>
  </si>
  <si>
    <t>57</t>
  </si>
  <si>
    <t>6.436,69</t>
  </si>
  <si>
    <t>1.922,58</t>
  </si>
  <si>
    <t>4.514,11</t>
  </si>
  <si>
    <t>565</t>
  </si>
  <si>
    <t>2.065,62</t>
  </si>
  <si>
    <t>291,13</t>
  </si>
  <si>
    <t>1.774,49</t>
  </si>
  <si>
    <t>196</t>
  </si>
  <si>
    <t>510</t>
  </si>
  <si>
    <t>17</t>
  </si>
  <si>
    <t>6.418,30</t>
  </si>
  <si>
    <t>1.920,37</t>
  </si>
  <si>
    <t>4.497,93</t>
  </si>
  <si>
    <t>204</t>
  </si>
  <si>
    <t>169</t>
  </si>
  <si>
    <t>5.056,98</t>
  </si>
  <si>
    <t>1.876,04</t>
  </si>
  <si>
    <t>3.180,94</t>
  </si>
  <si>
    <t>52</t>
  </si>
  <si>
    <t>6.753,32</t>
  </si>
  <si>
    <t>1.960,58</t>
  </si>
  <si>
    <t>4.792,74</t>
  </si>
  <si>
    <t>480</t>
  </si>
  <si>
    <t>602</t>
  </si>
  <si>
    <t>3.157,81</t>
  </si>
  <si>
    <t>346,85</t>
  </si>
  <si>
    <t>2.810,96</t>
  </si>
  <si>
    <t>189</t>
  </si>
  <si>
    <t>5.459,10</t>
  </si>
  <si>
    <t>814,86</t>
  </si>
  <si>
    <t>4.644,24</t>
  </si>
  <si>
    <t>364</t>
  </si>
  <si>
    <t>533</t>
  </si>
  <si>
    <t>266</t>
  </si>
  <si>
    <t>348,10</t>
  </si>
  <si>
    <t>2.818,82</t>
  </si>
  <si>
    <t>577</t>
  </si>
  <si>
    <t>2.086,70</t>
  </si>
  <si>
    <t>3.152,75</t>
  </si>
  <si>
    <t>518</t>
  </si>
  <si>
    <t>8.035,39</t>
  </si>
  <si>
    <t>2.121,64</t>
  </si>
  <si>
    <t>5.913,75</t>
  </si>
  <si>
    <t>140</t>
  </si>
  <si>
    <t>2.228,04</t>
  </si>
  <si>
    <t>176,20</t>
  </si>
  <si>
    <t>2.051,84</t>
  </si>
  <si>
    <t>319</t>
  </si>
  <si>
    <t>521</t>
  </si>
  <si>
    <t>191</t>
  </si>
  <si>
    <t>88</t>
  </si>
  <si>
    <t>629</t>
  </si>
  <si>
    <t>404</t>
  </si>
  <si>
    <t>296,19</t>
  </si>
  <si>
    <t>1.503,81</t>
  </si>
  <si>
    <t>127</t>
  </si>
  <si>
    <t>5.223,00</t>
  </si>
  <si>
    <t>1.843,03</t>
  </si>
  <si>
    <t>3.379,97</t>
  </si>
  <si>
    <t>505</t>
  </si>
  <si>
    <t>331.598.741-68</t>
  </si>
  <si>
    <t>000.286.991-81</t>
  </si>
  <si>
    <t>438.824.551-87</t>
  </si>
  <si>
    <t>041.801.951-78</t>
  </si>
  <si>
    <t>973.349.523-91</t>
  </si>
  <si>
    <t>019.241.341-44</t>
  </si>
  <si>
    <t>003.036.471-08</t>
  </si>
  <si>
    <t>049.233.851-54</t>
  </si>
  <si>
    <t>065.236.771-25</t>
  </si>
  <si>
    <t>035.736.101-61</t>
  </si>
  <si>
    <t>826.969.001-59</t>
  </si>
  <si>
    <t>051.421.111-33</t>
  </si>
  <si>
    <t>039.363.961-40</t>
  </si>
  <si>
    <t>918.831.481-20</t>
  </si>
  <si>
    <t>038.390.191-09</t>
  </si>
  <si>
    <t>073.653.856-93</t>
  </si>
  <si>
    <t>705.060.101-20</t>
  </si>
  <si>
    <t>005.282.751-86</t>
  </si>
  <si>
    <t>041.058.151-80</t>
  </si>
  <si>
    <t>025.059.891-41</t>
  </si>
  <si>
    <t>046.266.291-80</t>
  </si>
  <si>
    <t>028.496.281-31</t>
  </si>
  <si>
    <t>020.861.161-44</t>
  </si>
  <si>
    <t>023.235.231-39</t>
  </si>
  <si>
    <t>034.656.791-21</t>
  </si>
  <si>
    <t>070.747.041-21</t>
  </si>
  <si>
    <t>710.842.451-75</t>
  </si>
  <si>
    <t>002.817.411-90</t>
  </si>
  <si>
    <t>937.853.641-72</t>
  </si>
  <si>
    <t>706.896.371-44</t>
  </si>
  <si>
    <t>949.000.511-87</t>
  </si>
  <si>
    <t>031.695.551-54</t>
  </si>
  <si>
    <t>886.825.791-20</t>
  </si>
  <si>
    <t>881.945.741-53</t>
  </si>
  <si>
    <t>068.204.944-16</t>
  </si>
  <si>
    <t>936.575.601-49</t>
  </si>
  <si>
    <t>052.290.351-70</t>
  </si>
  <si>
    <t>049.370.361-65</t>
  </si>
  <si>
    <t>015.199.821-35</t>
  </si>
  <si>
    <t>052.666.951-96</t>
  </si>
  <si>
    <t>068.192.111-04</t>
  </si>
  <si>
    <t>046.757.431-61</t>
  </si>
  <si>
    <t>635.761.711-34</t>
  </si>
  <si>
    <t>003.643.231-83</t>
  </si>
  <si>
    <t>341.641.111-00</t>
  </si>
  <si>
    <t>014.204.521-77</t>
  </si>
  <si>
    <t>397.347.491-53</t>
  </si>
  <si>
    <t>039.207.103-71</t>
  </si>
  <si>
    <t>056.783.301-10</t>
  </si>
  <si>
    <t>016.169.461-64</t>
  </si>
  <si>
    <t>050.448.165-74</t>
  </si>
  <si>
    <t>049.137.891-20</t>
  </si>
  <si>
    <t>035.246.071-79</t>
  </si>
  <si>
    <t>017.870.601-95</t>
  </si>
  <si>
    <t>039.723.901-73</t>
  </si>
  <si>
    <t>761.673.721-87</t>
  </si>
  <si>
    <t>709.176.811-69</t>
  </si>
  <si>
    <t>051.152.203-77</t>
  </si>
  <si>
    <t>280.127.631-68</t>
  </si>
  <si>
    <t>059.176.921-22</t>
  </si>
  <si>
    <t>710.311.591-50</t>
  </si>
  <si>
    <t>035.942.611-58</t>
  </si>
  <si>
    <t>074.868.221-05</t>
  </si>
  <si>
    <t>044.127.311-46</t>
  </si>
  <si>
    <t>026.987.831-92</t>
  </si>
  <si>
    <t>036.711.421-62</t>
  </si>
  <si>
    <t>709.302.401-70</t>
  </si>
  <si>
    <t>034.641.061-44</t>
  </si>
  <si>
    <t>699.067.851-87</t>
  </si>
  <si>
    <t>951.756.281-00</t>
  </si>
  <si>
    <t>062.710.271-99</t>
  </si>
  <si>
    <t>577.352.121-00</t>
  </si>
  <si>
    <t>081.830.771-45</t>
  </si>
  <si>
    <t>056.286.771-67</t>
  </si>
  <si>
    <t>986.542.091-00</t>
  </si>
  <si>
    <t>046.805.391-35</t>
  </si>
  <si>
    <t>011.628.501-08</t>
  </si>
  <si>
    <t>044.713.601-16</t>
  </si>
  <si>
    <t>578.573.931-34</t>
  </si>
  <si>
    <t>017.159.181-00</t>
  </si>
  <si>
    <t>991.977.901-68</t>
  </si>
  <si>
    <t>006.438.701-13</t>
  </si>
  <si>
    <t>967.111.081-91</t>
  </si>
  <si>
    <t>074.116.514-78</t>
  </si>
  <si>
    <t>004.704.661-97</t>
  </si>
  <si>
    <t>599.101.431-00</t>
  </si>
  <si>
    <t>019.465.321-85</t>
  </si>
  <si>
    <t>034.447.781-98</t>
  </si>
  <si>
    <t>055.324.511-25</t>
  </si>
  <si>
    <t>012.510.061-24</t>
  </si>
  <si>
    <t>546.557.061-04</t>
  </si>
  <si>
    <t>039.396.446-92</t>
  </si>
  <si>
    <t>023.895.721-70</t>
  </si>
  <si>
    <t>702.108.741-12</t>
  </si>
  <si>
    <t>955.481.491-72</t>
  </si>
  <si>
    <t>997.118.341-20</t>
  </si>
  <si>
    <t>036.848.111-57</t>
  </si>
  <si>
    <t>004.374.731-04</t>
  </si>
  <si>
    <t>939.299.191-68</t>
  </si>
  <si>
    <t>936.615.091-87</t>
  </si>
  <si>
    <t>081.855.641-24</t>
  </si>
  <si>
    <t>064.098.871-75</t>
  </si>
  <si>
    <t>012.414.161-76</t>
  </si>
  <si>
    <t>022.027.261-10</t>
  </si>
  <si>
    <t>010.249.371-51</t>
  </si>
  <si>
    <t>051.968.261-06</t>
  </si>
  <si>
    <t>039.957.701-77</t>
  </si>
  <si>
    <t>026.876.351-89</t>
  </si>
  <si>
    <t>062.713.821-77</t>
  </si>
  <si>
    <t>026.302.251-00</t>
  </si>
  <si>
    <t>074.374.181-18</t>
  </si>
  <si>
    <t>072.780.661-07</t>
  </si>
  <si>
    <t>028.774.481-77</t>
  </si>
  <si>
    <t>031.050.281-02</t>
  </si>
  <si>
    <t>056.627.061-74</t>
  </si>
  <si>
    <t>590.957.681-04</t>
  </si>
  <si>
    <t>493.048.521-53</t>
  </si>
  <si>
    <t>037.424.061-24</t>
  </si>
  <si>
    <t>045.735.554-98</t>
  </si>
  <si>
    <t>606.460.653-35</t>
  </si>
  <si>
    <t>710.212.053-20</t>
  </si>
  <si>
    <t>645.084.391-87</t>
  </si>
  <si>
    <t>030.144.641-55</t>
  </si>
  <si>
    <t>691.536.716-00</t>
  </si>
  <si>
    <t>628.983.371-53</t>
  </si>
  <si>
    <t>703.947.211-28</t>
  </si>
  <si>
    <t>903.180.991-87</t>
  </si>
  <si>
    <t>001.674.401-28</t>
  </si>
  <si>
    <t>032.685.465-79</t>
  </si>
  <si>
    <t>906.580.781-00</t>
  </si>
  <si>
    <t>644.178.831-49</t>
  </si>
  <si>
    <t>896.746.181-04</t>
  </si>
  <si>
    <t>640.965.801-04</t>
  </si>
  <si>
    <t>079.403.136-65</t>
  </si>
  <si>
    <t>010.652.301-50</t>
  </si>
  <si>
    <t>706.235.861-42</t>
  </si>
  <si>
    <t>973.873.471-15</t>
  </si>
  <si>
    <t>034.303.971-03</t>
  </si>
  <si>
    <t>004.575.851-45</t>
  </si>
  <si>
    <t>640.938.911-68</t>
  </si>
  <si>
    <t>000.644.981-66</t>
  </si>
  <si>
    <t>649.460.611-34</t>
  </si>
  <si>
    <t>955.570.831-20</t>
  </si>
  <si>
    <t>243.630.901-97</t>
  </si>
  <si>
    <t>645.084.551-15</t>
  </si>
  <si>
    <t>863.653.551-49</t>
  </si>
  <si>
    <t>798.987.691-49</t>
  </si>
  <si>
    <t>008.372.977-10</t>
  </si>
  <si>
    <t>717.956.001-44</t>
  </si>
  <si>
    <t>497.828.941-68</t>
  </si>
  <si>
    <t>702.621.821-22</t>
  </si>
  <si>
    <t>713.054.321-34</t>
  </si>
  <si>
    <t>603.215.631-15</t>
  </si>
  <si>
    <t>711.671.571-17</t>
  </si>
  <si>
    <t>018.587.271-97</t>
  </si>
  <si>
    <t>018.868.611-88</t>
  </si>
  <si>
    <t>924.205.591-34</t>
  </si>
  <si>
    <t>260.585.178-85</t>
  </si>
  <si>
    <t>030.758.951-05</t>
  </si>
  <si>
    <t>461.751.801-00</t>
  </si>
  <si>
    <t>976.604.931-91</t>
  </si>
  <si>
    <t>869.992.811-49</t>
  </si>
  <si>
    <t>030.221.551-40</t>
  </si>
  <si>
    <t>702.731.311-17</t>
  </si>
  <si>
    <t>044.872.761-79</t>
  </si>
  <si>
    <t>110.482.356-02</t>
  </si>
  <si>
    <t>024.725.731-11</t>
  </si>
  <si>
    <t>053.207.236-79</t>
  </si>
  <si>
    <t>711.584.791-66</t>
  </si>
  <si>
    <t>056.769.486-04</t>
  </si>
  <si>
    <t>000.465.351-36</t>
  </si>
  <si>
    <t>057.359.151-26</t>
  </si>
  <si>
    <t>957.950.061-49</t>
  </si>
  <si>
    <t>040.418.731-50</t>
  </si>
  <si>
    <t>022.506.091-44</t>
  </si>
  <si>
    <t>055.123.621-35</t>
  </si>
  <si>
    <t>736.283.951-00</t>
  </si>
  <si>
    <t>053.854.011-70</t>
  </si>
  <si>
    <t>983.719.081-72</t>
  </si>
  <si>
    <t>019.464.641-63</t>
  </si>
  <si>
    <t>705.031.881-74</t>
  </si>
  <si>
    <t>012.083.271-27</t>
  </si>
  <si>
    <t>019.104.371-07</t>
  </si>
  <si>
    <t>019.488.871-18</t>
  </si>
  <si>
    <t>018.162.281-50</t>
  </si>
  <si>
    <t>048.467.931-76</t>
  </si>
  <si>
    <t>470.296.843-20</t>
  </si>
  <si>
    <t>939.326.341-87</t>
  </si>
  <si>
    <t>042.369.261-56</t>
  </si>
  <si>
    <t>014.803.381-41</t>
  </si>
  <si>
    <t>610.447.251-68</t>
  </si>
  <si>
    <t>003.036.571-62</t>
  </si>
  <si>
    <t>324.837.591-49</t>
  </si>
  <si>
    <t>297.534.221-72</t>
  </si>
  <si>
    <t>017.883.481-50</t>
  </si>
  <si>
    <t>553.937.211-53</t>
  </si>
  <si>
    <t>043.169.941-07</t>
  </si>
  <si>
    <t>081.708.441-00</t>
  </si>
  <si>
    <t>003.889.641-97</t>
  </si>
  <si>
    <t>994.411.951-20</t>
  </si>
  <si>
    <t>700.405.081-53</t>
  </si>
  <si>
    <t>052.988.351-12</t>
  </si>
  <si>
    <t>081.532.241-07</t>
  </si>
  <si>
    <t>704.984.481-00</t>
  </si>
  <si>
    <t>006.992.611-55</t>
  </si>
  <si>
    <t>784.526.781-34</t>
  </si>
  <si>
    <t>983.101.271-20</t>
  </si>
  <si>
    <t>043.944.981-20</t>
  </si>
  <si>
    <t>000.301.571-88</t>
  </si>
  <si>
    <t>084.271.977-64</t>
  </si>
  <si>
    <t>035.621.771-00</t>
  </si>
  <si>
    <t>704.751.391-43</t>
  </si>
  <si>
    <t>049.734.201-40</t>
  </si>
  <si>
    <t>975.672.131-68</t>
  </si>
  <si>
    <t>709.697.331-19</t>
  </si>
  <si>
    <t>852.322.381-91</t>
  </si>
  <si>
    <t>007.157.711-40</t>
  </si>
  <si>
    <t>537.052.621-49</t>
  </si>
  <si>
    <t>049.509.021-21</t>
  </si>
  <si>
    <t>078.010.291-60</t>
  </si>
  <si>
    <t>972.182.001-68</t>
  </si>
  <si>
    <t>008.520.651-24</t>
  </si>
  <si>
    <t>705.057.611-57</t>
  </si>
  <si>
    <t>024.003.581-09</t>
  </si>
  <si>
    <t>014.532.231-93</t>
  </si>
  <si>
    <t>004.782.771-80</t>
  </si>
  <si>
    <t>952.224.991-20</t>
  </si>
  <si>
    <t>026.996.971-33</t>
  </si>
  <si>
    <t>809.827.861-15</t>
  </si>
  <si>
    <t>058.226.441-39</t>
  </si>
  <si>
    <t>063.914.321-04</t>
  </si>
  <si>
    <t>705.617.331-47</t>
  </si>
  <si>
    <t>488.245.691-53</t>
  </si>
  <si>
    <t>497.788.891-04</t>
  </si>
  <si>
    <t>431.406.451-04</t>
  </si>
  <si>
    <t>034.727.161-85</t>
  </si>
  <si>
    <t>063.834.111-60</t>
  </si>
  <si>
    <t>011.598.801-74</t>
  </si>
  <si>
    <t>398.239.621-20</t>
  </si>
  <si>
    <t>012.680.971-28</t>
  </si>
  <si>
    <t>052.639.681-40</t>
  </si>
  <si>
    <t>056.096.611-37</t>
  </si>
  <si>
    <t>040.901.481-89</t>
  </si>
  <si>
    <t>700.276.151-03</t>
  </si>
  <si>
    <t>708.864.341-30</t>
  </si>
  <si>
    <t>700.534.661-01</t>
  </si>
  <si>
    <t>065.812.221-51</t>
  </si>
  <si>
    <t>709.609.541-12</t>
  </si>
  <si>
    <t>053.281.591-28</t>
  </si>
  <si>
    <t>056.743.961-59</t>
  </si>
  <si>
    <t>033.165.621-33</t>
  </si>
  <si>
    <t>052.113.531-10</t>
  </si>
  <si>
    <t>704.760.581-98</t>
  </si>
  <si>
    <t>112.192.543-04</t>
  </si>
  <si>
    <t>821.992.561-20</t>
  </si>
  <si>
    <t>050.437.441-97</t>
  </si>
  <si>
    <t>888.670.721-53</t>
  </si>
  <si>
    <t>863.793.801-91</t>
  </si>
  <si>
    <t>692.750.251-34</t>
  </si>
  <si>
    <t>053.641.411-44</t>
  </si>
  <si>
    <t>948.291.441-49</t>
  </si>
  <si>
    <t>000.828.651-59</t>
  </si>
  <si>
    <t>034.893.743-12</t>
  </si>
  <si>
    <t>065.089.591-66</t>
  </si>
  <si>
    <t>057.769.231-31</t>
  </si>
  <si>
    <t>059.694.041-60</t>
  </si>
  <si>
    <t>007.300.281-00</t>
  </si>
  <si>
    <t>042.626.571-83</t>
  </si>
  <si>
    <t>041.111.051-90</t>
  </si>
  <si>
    <t>030.024.511-42</t>
  </si>
  <si>
    <t>051.366.901-94</t>
  </si>
  <si>
    <t>033.459.661-07</t>
  </si>
  <si>
    <t>065.957.971-51</t>
  </si>
  <si>
    <t>055.928.421-71</t>
  </si>
  <si>
    <t>034.772.701-85</t>
  </si>
  <si>
    <t>016.982.851-40</t>
  </si>
  <si>
    <t>073.898.933-97</t>
  </si>
  <si>
    <t>026.866.401-38</t>
  </si>
  <si>
    <t>020.778.011-07</t>
  </si>
  <si>
    <t>023.579.561-51</t>
  </si>
  <si>
    <t>052.023.781-14</t>
  </si>
  <si>
    <t>056.538.251-90</t>
  </si>
  <si>
    <t>036.958.391-47</t>
  </si>
  <si>
    <t>021.876.241-02</t>
  </si>
  <si>
    <t>051.087.745-16</t>
  </si>
  <si>
    <t>008.376.262-00</t>
  </si>
  <si>
    <t>953.973.021-04</t>
  </si>
  <si>
    <t>529.614.191-15</t>
  </si>
  <si>
    <t>042.264.621-06</t>
  </si>
  <si>
    <t>001.560.131-50</t>
  </si>
  <si>
    <t>041.033.201-17</t>
  </si>
  <si>
    <t>020.958.381-90</t>
  </si>
  <si>
    <t>705.104.381-13</t>
  </si>
  <si>
    <t>067.003.261-17</t>
  </si>
  <si>
    <t>065.011.876-64</t>
  </si>
  <si>
    <t>709.454.761-75</t>
  </si>
  <si>
    <t>004.456.551-86</t>
  </si>
  <si>
    <t>031.866.181-00</t>
  </si>
  <si>
    <t>054.736.723-61</t>
  </si>
  <si>
    <t>708.015.421-97</t>
  </si>
  <si>
    <t>035.938.091-33</t>
  </si>
  <si>
    <t>708.323.791-31</t>
  </si>
  <si>
    <t>067.887.001-25</t>
  </si>
  <si>
    <t>702.316.611-42</t>
  </si>
  <si>
    <t>061.285.031-52</t>
  </si>
  <si>
    <t>726.746.791-15</t>
  </si>
  <si>
    <t>070.925.311-79</t>
  </si>
  <si>
    <t>705.088.381-69</t>
  </si>
  <si>
    <t>070.055.451-33</t>
  </si>
  <si>
    <t>036.496.991-17</t>
  </si>
  <si>
    <t>026.598.171-97</t>
  </si>
  <si>
    <t>050.033.081-67</t>
  </si>
  <si>
    <t>048.470.621-75</t>
  </si>
  <si>
    <t>100.756.016-99</t>
  </si>
  <si>
    <t>036.721.051-71</t>
  </si>
  <si>
    <t>009.628.321-11</t>
  </si>
  <si>
    <t>066.196.021-85</t>
  </si>
  <si>
    <t>002.976.851-98</t>
  </si>
  <si>
    <t>032.549.371-55</t>
  </si>
  <si>
    <t>002.131.851-48</t>
  </si>
  <si>
    <t>069.219.231-00</t>
  </si>
  <si>
    <t>037.554.811-46</t>
  </si>
  <si>
    <t>052.227.841-85</t>
  </si>
  <si>
    <t>059.704.761-88</t>
  </si>
  <si>
    <t>000.032.511-28</t>
  </si>
  <si>
    <t>709.306.491-41</t>
  </si>
  <si>
    <t>706.889.881-56</t>
  </si>
  <si>
    <t>026.126.451-60</t>
  </si>
  <si>
    <t>255.265.728-11</t>
  </si>
  <si>
    <t>029.575.691-83</t>
  </si>
  <si>
    <t>721.560.071-87</t>
  </si>
  <si>
    <t>954.054.021-68</t>
  </si>
  <si>
    <t>688.239.751-15</t>
  </si>
  <si>
    <t>305.142.402-10</t>
  </si>
  <si>
    <t>047.907.011-31</t>
  </si>
  <si>
    <t>108.151.986-04</t>
  </si>
  <si>
    <t>706.373.671-03</t>
  </si>
  <si>
    <t>055.730.553-56</t>
  </si>
  <si>
    <t>972.208.681-20</t>
  </si>
  <si>
    <t>019.870.981-10</t>
  </si>
  <si>
    <t>044.017.461-98</t>
  </si>
  <si>
    <t>063.005.241-75</t>
  </si>
  <si>
    <t>074.352.591-44</t>
  </si>
  <si>
    <t>124.381.276-19</t>
  </si>
  <si>
    <t>013.515.281-06</t>
  </si>
  <si>
    <t>768.265.461-91</t>
  </si>
  <si>
    <t>598.483.401-49</t>
  </si>
  <si>
    <t>003.262.451-46</t>
  </si>
  <si>
    <t>036.340.641-70</t>
  </si>
  <si>
    <t>026.894.761-93</t>
  </si>
  <si>
    <t>015.870.091-02</t>
  </si>
  <si>
    <t>009.063.561-21</t>
  </si>
  <si>
    <t>881.018.781-49</t>
  </si>
  <si>
    <t>443.864.511-53</t>
  </si>
  <si>
    <t>054.329.421-86</t>
  </si>
  <si>
    <t>037.391.531-48</t>
  </si>
  <si>
    <t>820.716.161-20</t>
  </si>
  <si>
    <t>624.707.873-00</t>
  </si>
  <si>
    <t>707.329.541-42</t>
  </si>
  <si>
    <t>886.234.831-20</t>
  </si>
  <si>
    <t>434.066.021-34</t>
  </si>
  <si>
    <t>796.908.311-00</t>
  </si>
  <si>
    <t>499.841.791-68</t>
  </si>
  <si>
    <t>007.232.161-00</t>
  </si>
  <si>
    <t>499.822.301-15</t>
  </si>
  <si>
    <t>006.083.903-13</t>
  </si>
  <si>
    <t>824.454.861-49</t>
  </si>
  <si>
    <t>709.194.791-62</t>
  </si>
  <si>
    <t>006.880.911-56</t>
  </si>
  <si>
    <t>057.207.683-51</t>
  </si>
  <si>
    <t>977.143.481-00</t>
  </si>
  <si>
    <t>032.219.641-88</t>
  </si>
  <si>
    <t>635.862.231-53</t>
  </si>
  <si>
    <t>301.430.206-68</t>
  </si>
  <si>
    <t>568.992.704-04</t>
  </si>
  <si>
    <t>341.599.401-53</t>
  </si>
  <si>
    <t>702.956.181-32</t>
  </si>
  <si>
    <t>074.517.911-81</t>
  </si>
  <si>
    <t>000.208.481-37</t>
  </si>
  <si>
    <t>052.370.385-65</t>
  </si>
  <si>
    <t>007.483.851-26</t>
  </si>
  <si>
    <t>604.909.341-53</t>
  </si>
  <si>
    <t>014.425.391-78</t>
  </si>
  <si>
    <t>049.337.121-40</t>
  </si>
  <si>
    <t>043.621.941-77</t>
  </si>
  <si>
    <t>061.494.851-70</t>
  </si>
  <si>
    <t>054.485.706-23</t>
  </si>
  <si>
    <t>056.277.131-00</t>
  </si>
  <si>
    <t>493.737.571-72</t>
  </si>
  <si>
    <t>017.131.103-50</t>
  </si>
  <si>
    <t>045.164.711-40</t>
  </si>
  <si>
    <t>017.590.251-86</t>
  </si>
  <si>
    <t>885.247.281-91</t>
  </si>
  <si>
    <t>400.800.803-91</t>
  </si>
  <si>
    <t>038.806.141-30</t>
  </si>
  <si>
    <t>634.033.581-00</t>
  </si>
  <si>
    <t>926.872.451-00</t>
  </si>
  <si>
    <t>524.148.761-15</t>
  </si>
  <si>
    <t>014.009.931-05</t>
  </si>
  <si>
    <t>883.428.161-68</t>
  </si>
  <si>
    <t>251.555.121-15</t>
  </si>
  <si>
    <t>059.007.491-18</t>
  </si>
  <si>
    <t>074.574.681-02</t>
  </si>
  <si>
    <t>018.914.571-44</t>
  </si>
  <si>
    <t>893.307.901-78</t>
  </si>
  <si>
    <t>052.056.021-39</t>
  </si>
  <si>
    <t>341.625.261-68</t>
  </si>
  <si>
    <t>043.489.021-94</t>
  </si>
  <si>
    <t>047.423.681-18</t>
  </si>
  <si>
    <t>043.197.571-06</t>
  </si>
  <si>
    <t>044.472.991-78</t>
  </si>
  <si>
    <t>051.585.731-90</t>
  </si>
  <si>
    <t>038.898.361-27</t>
  </si>
  <si>
    <t>026.654.461-46</t>
  </si>
  <si>
    <t>779.162.801-59</t>
  </si>
  <si>
    <t>008.838.071-81</t>
  </si>
  <si>
    <t>028.255.071-21</t>
  </si>
  <si>
    <t>057.813.671-60</t>
  </si>
  <si>
    <t>063.967.771-18</t>
  </si>
  <si>
    <t>020.775.541-85</t>
  </si>
  <si>
    <t>032.241.591-89</t>
  </si>
  <si>
    <t>702.770.591-51</t>
  </si>
  <si>
    <t>037.910.233-14</t>
  </si>
  <si>
    <t>035.480.011-65</t>
  </si>
  <si>
    <t>054.264.031-71</t>
  </si>
  <si>
    <t>029.380.711-67</t>
  </si>
  <si>
    <t>069.973.691-97</t>
  </si>
  <si>
    <t>035.360.771-10</t>
  </si>
  <si>
    <t>051.791.261-93</t>
  </si>
  <si>
    <t>028.403.861-00</t>
  </si>
  <si>
    <t>702.899.191-18</t>
  </si>
  <si>
    <t>805.094.361-53</t>
  </si>
  <si>
    <t>057.794.611-04</t>
  </si>
  <si>
    <t>710.268.301-41</t>
  </si>
  <si>
    <t>556.096.271-68</t>
  </si>
  <si>
    <t>959.622.983-49</t>
  </si>
  <si>
    <t>003.772.971-35</t>
  </si>
  <si>
    <t>019.238.191-19</t>
  </si>
  <si>
    <t>002.148.573-95</t>
  </si>
  <si>
    <t>042.594.057-80</t>
  </si>
  <si>
    <t>717.561.321-00</t>
  </si>
  <si>
    <t>313.844.551-91</t>
  </si>
  <si>
    <t>924.916.501-34</t>
  </si>
  <si>
    <t>105.883.626-97</t>
  </si>
  <si>
    <t>860.355.091-34</t>
  </si>
  <si>
    <t>055.622.351-96</t>
  </si>
  <si>
    <t>909.000.141-72</t>
  </si>
  <si>
    <t>049.596.971-05</t>
  </si>
  <si>
    <t>054.047.681-18</t>
  </si>
  <si>
    <t>033.093.961-00</t>
  </si>
  <si>
    <t>517.469.996-91</t>
  </si>
  <si>
    <t>066.037.961-98</t>
  </si>
  <si>
    <t>056.557.051-09</t>
  </si>
  <si>
    <t>726.104.761-91</t>
  </si>
  <si>
    <t>047.835.071-63</t>
  </si>
  <si>
    <t>037.980.711-44</t>
  </si>
  <si>
    <t>050.411.751-36</t>
  </si>
  <si>
    <t>038.818.671-20</t>
  </si>
  <si>
    <t>009.389.931-94</t>
  </si>
  <si>
    <t>017.225.285-75</t>
  </si>
  <si>
    <t>025.288.641-08</t>
  </si>
  <si>
    <t>072.299.541-50</t>
  </si>
  <si>
    <t>726.550.031-87</t>
  </si>
  <si>
    <t>071.488.341-71</t>
  </si>
  <si>
    <t>055.646.481-88</t>
  </si>
  <si>
    <t>041.059.241-25</t>
  </si>
  <si>
    <t>706.822.841-06</t>
  </si>
  <si>
    <t>999.662.041-72</t>
  </si>
  <si>
    <t>008.723.711-31</t>
  </si>
  <si>
    <t>048.471.021-42</t>
  </si>
  <si>
    <t>737.133.501-59</t>
  </si>
  <si>
    <t>706.402.101-39</t>
  </si>
  <si>
    <t>014.321.491-80</t>
  </si>
  <si>
    <t>074.716.461-44</t>
  </si>
  <si>
    <t>709.603.041-77</t>
  </si>
  <si>
    <t>001.873.671-83</t>
  </si>
  <si>
    <t>034.131.355-62</t>
  </si>
  <si>
    <t>703.122.241-92</t>
  </si>
  <si>
    <t>023.207.671-50</t>
  </si>
  <si>
    <t>037.072.115-25</t>
  </si>
  <si>
    <t>052.174.521-70</t>
  </si>
  <si>
    <t>701.887.134-41</t>
  </si>
  <si>
    <t>874.841.371-20</t>
  </si>
  <si>
    <t>698.857.295-34</t>
  </si>
  <si>
    <t>007.338.431-31</t>
  </si>
  <si>
    <t>039.406.811-48</t>
  </si>
  <si>
    <t>054.323.661-77</t>
  </si>
  <si>
    <t>923.607.931-87</t>
  </si>
  <si>
    <t>939.008.991-34</t>
  </si>
  <si>
    <t>634.028.741-72</t>
  </si>
  <si>
    <t>343.933.663-87</t>
  </si>
  <si>
    <t>920.840.877-91</t>
  </si>
  <si>
    <t>705.263.711-10</t>
  </si>
  <si>
    <t>021.687.451-37</t>
  </si>
  <si>
    <t>091.546.531-00</t>
  </si>
  <si>
    <t>046.598.381-29</t>
  </si>
  <si>
    <t>075.464.871-02</t>
  </si>
  <si>
    <t>027.275.481-17</t>
  </si>
  <si>
    <t>020.340.531-50</t>
  </si>
  <si>
    <t>588.830.611-87</t>
  </si>
  <si>
    <t>059.750.101-79</t>
  </si>
  <si>
    <t>076.199.191-39</t>
  </si>
  <si>
    <t>046.745.381-06</t>
  </si>
  <si>
    <t>044.566.191-71</t>
  </si>
  <si>
    <t>731.947.781-53</t>
  </si>
  <si>
    <t>035.942.071-02</t>
  </si>
  <si>
    <t>260.495.621-72</t>
  </si>
  <si>
    <t>025.060.721-28</t>
  </si>
  <si>
    <t>001.534.811-37</t>
  </si>
  <si>
    <t>891.439.651-72</t>
  </si>
  <si>
    <t>828.478.001-15</t>
  </si>
  <si>
    <t>042.682.936-04</t>
  </si>
  <si>
    <t>008.776.531-43</t>
  </si>
  <si>
    <t>105.777.546-02</t>
  </si>
  <si>
    <t>705.357.511-09</t>
  </si>
  <si>
    <t>019.459.251-08</t>
  </si>
  <si>
    <t>705.467.771-47</t>
  </si>
  <si>
    <t>470.438.731-34</t>
  </si>
  <si>
    <t>916.983.831-34</t>
  </si>
  <si>
    <t>033.430.851-89</t>
  </si>
  <si>
    <t>006.652.961-18</t>
  </si>
  <si>
    <t>041.182.361-25</t>
  </si>
  <si>
    <t>052.008.381-42</t>
  </si>
  <si>
    <t>059.016.884-30</t>
  </si>
  <si>
    <t>045.380.651-10</t>
  </si>
  <si>
    <t>010.989.741-23</t>
  </si>
  <si>
    <t>012.351.631-56</t>
  </si>
  <si>
    <t>001.316.141-50</t>
  </si>
  <si>
    <t>051.970.941-17</t>
  </si>
  <si>
    <t>065.422.731-40</t>
  </si>
  <si>
    <t>045.031.741-26</t>
  </si>
  <si>
    <t>324.936.571-87</t>
  </si>
  <si>
    <t>009.166.671-62</t>
  </si>
  <si>
    <t>054.293.271-74</t>
  </si>
  <si>
    <t>705.845.791-36</t>
  </si>
  <si>
    <t>705.244.651-00</t>
  </si>
  <si>
    <t>051.421.101-61</t>
  </si>
  <si>
    <t>032.208.571-32</t>
  </si>
  <si>
    <t>069.796.141-93</t>
  </si>
  <si>
    <t>707.570.421-47</t>
  </si>
  <si>
    <t>069.567.791-88</t>
  </si>
  <si>
    <t>038.783.561-02</t>
  </si>
  <si>
    <t>031.081.691-22</t>
  </si>
  <si>
    <t>037.454.541-38</t>
  </si>
  <si>
    <t>086.759.806-98</t>
  </si>
  <si>
    <t>057.556.571-30</t>
  </si>
  <si>
    <t>958.494.591-20</t>
  </si>
  <si>
    <t>964.095.331-87</t>
  </si>
  <si>
    <t>527.499.241-20</t>
  </si>
  <si>
    <t>902.414.011-00</t>
  </si>
  <si>
    <t>039.626.211-21</t>
  </si>
  <si>
    <t>012.047.791-20</t>
  </si>
  <si>
    <t>998.477.871-15</t>
  </si>
  <si>
    <t>014.945.631-00</t>
  </si>
  <si>
    <t>585.161.311-49</t>
  </si>
  <si>
    <t>067.750.891-39</t>
  </si>
  <si>
    <t>068.555.263-22</t>
  </si>
  <si>
    <t>017.021.381-19</t>
  </si>
  <si>
    <t>552.615.823-34</t>
  </si>
  <si>
    <t>748.250.201-78</t>
  </si>
  <si>
    <t>051.846.391-52</t>
  </si>
  <si>
    <t>033.967.291-96</t>
  </si>
  <si>
    <t>703.131.041-58</t>
  </si>
  <si>
    <t>981.254.351-15</t>
  </si>
  <si>
    <t>020.844.531-51</t>
  </si>
  <si>
    <t>859.022.411-20</t>
  </si>
  <si>
    <t>057.127.801-94</t>
  </si>
  <si>
    <t>705.007.371-77</t>
  </si>
  <si>
    <t>042.913.251-42</t>
  </si>
  <si>
    <t>645.112.001-49</t>
  </si>
  <si>
    <t>954.689.001-49</t>
  </si>
  <si>
    <t>069.228.241-64</t>
  </si>
  <si>
    <t>705.319.201-60</t>
  </si>
  <si>
    <t>317.089.431-53</t>
  </si>
  <si>
    <t>903.589.451-00</t>
  </si>
  <si>
    <t>2.472,01</t>
  </si>
  <si>
    <t>1.823,62</t>
  </si>
  <si>
    <t>4.316,67</t>
  </si>
  <si>
    <t>4.689,75</t>
  </si>
  <si>
    <t>3.433,34</t>
  </si>
  <si>
    <t>2.004,45</t>
  </si>
  <si>
    <t>1.636,76</t>
  </si>
  <si>
    <t>1.892,23</t>
  </si>
  <si>
    <t>3.090,01</t>
  </si>
  <si>
    <t>3.595,39</t>
  </si>
  <si>
    <t>1.652,53</t>
  </si>
  <si>
    <t>1.689,53</t>
  </si>
  <si>
    <t>1.871,13</t>
  </si>
  <si>
    <t>3.200,88</t>
  </si>
  <si>
    <t>2.062,50</t>
  </si>
  <si>
    <t>4.754,37</t>
  </si>
  <si>
    <t>3.142,67</t>
  </si>
  <si>
    <t>1.841,64</t>
  </si>
  <si>
    <t>1.623,56</t>
  </si>
  <si>
    <t>2.297,04</t>
  </si>
  <si>
    <t>1.054,99</t>
  </si>
  <si>
    <t>3.181,77</t>
  </si>
  <si>
    <t>3.371,63</t>
  </si>
  <si>
    <t>3.091,39</t>
  </si>
  <si>
    <t>3.709,70</t>
  </si>
  <si>
    <t>3.433,77</t>
  </si>
  <si>
    <t>1.856,39</t>
  </si>
  <si>
    <t>4.463,34</t>
  </si>
  <si>
    <t>2.023,05</t>
  </si>
  <si>
    <t>3.468,52</t>
  </si>
  <si>
    <t>1.877,65</t>
  </si>
  <si>
    <t>3.450,51</t>
  </si>
  <si>
    <t>4.431,26</t>
  </si>
  <si>
    <t>1.621,54</t>
  </si>
  <si>
    <t>5.932,01</t>
  </si>
  <si>
    <t>4.463,33</t>
  </si>
  <si>
    <t>1.871,99</t>
  </si>
  <si>
    <t>1.857,40</t>
  </si>
  <si>
    <t>4.993,33</t>
  </si>
  <si>
    <t>3.639,34</t>
  </si>
  <si>
    <t>4.800,00</t>
  </si>
  <si>
    <t>1.992,48</t>
  </si>
  <si>
    <t>1.839,76</t>
  </si>
  <si>
    <t>1.939,03</t>
  </si>
  <si>
    <t>2.260,40</t>
  </si>
  <si>
    <t>4.624,78</t>
  </si>
  <si>
    <t>1.871,49</t>
  </si>
  <si>
    <t>2.371,99</t>
  </si>
  <si>
    <t>1.857,35</t>
  </si>
  <si>
    <t>3.087,50</t>
  </si>
  <si>
    <t>1.668,28</t>
  </si>
  <si>
    <t>5.257,22</t>
  </si>
  <si>
    <t>1.975,21</t>
  </si>
  <si>
    <t>1.624,18</t>
  </si>
  <si>
    <t>2.566,90</t>
  </si>
  <si>
    <t>5.336,63</t>
  </si>
  <si>
    <t>3.562,40</t>
  </si>
  <si>
    <t>3.089,50</t>
  </si>
  <si>
    <t>6.072,91</t>
  </si>
  <si>
    <t>1.872,49</t>
  </si>
  <si>
    <t>3.698,90</t>
  </si>
  <si>
    <t>3.130,40</t>
  </si>
  <si>
    <t>3.510,60</t>
  </si>
  <si>
    <t>3.597,33</t>
  </si>
  <si>
    <t>2.187,50</t>
  </si>
  <si>
    <t>3.120,05</t>
  </si>
  <si>
    <t>1.621,20</t>
  </si>
  <si>
    <t>3.538,54</t>
  </si>
  <si>
    <t>1.694,03</t>
  </si>
  <si>
    <t>5.712,48</t>
  </si>
  <si>
    <t>1.893,42</t>
  </si>
  <si>
    <t>3.150,10</t>
  </si>
  <si>
    <t>6.380,82</t>
  </si>
  <si>
    <t>3.570,67</t>
  </si>
  <si>
    <t>4.394,68</t>
  </si>
  <si>
    <t>1.924,94</t>
  </si>
  <si>
    <t>3.491,71</t>
  </si>
  <si>
    <t>1.296,80</t>
  </si>
  <si>
    <t>3.540,64</t>
  </si>
  <si>
    <t>1.350,83</t>
  </si>
  <si>
    <t>1.909,18</t>
  </si>
  <si>
    <t>5.952,00</t>
  </si>
  <si>
    <t>1.873,61</t>
  </si>
  <si>
    <t>4.708,00</t>
  </si>
  <si>
    <t>1.911,10</t>
  </si>
  <si>
    <t>1.651,13</t>
  </si>
  <si>
    <t>3.480,55</t>
  </si>
  <si>
    <t>4.748,10</t>
  </si>
  <si>
    <t>1.735,82</t>
  </si>
  <si>
    <t>2.256,12</t>
  </si>
  <si>
    <t>5.879,08</t>
  </si>
  <si>
    <t>1.664,30</t>
  </si>
  <si>
    <t>3.776,67</t>
  </si>
  <si>
    <t>3.170,50</t>
  </si>
  <si>
    <t>5.050,40</t>
  </si>
  <si>
    <t>5.707,19</t>
  </si>
  <si>
    <t>6.383,45</t>
  </si>
  <si>
    <t>1.691,92</t>
  </si>
  <si>
    <t>1.987,62</t>
  </si>
  <si>
    <t>3.424,00</t>
  </si>
  <si>
    <t>2.242,89</t>
  </si>
  <si>
    <t>3.803,94</t>
  </si>
  <si>
    <t>1.833,41</t>
  </si>
  <si>
    <t>1.880,38</t>
  </si>
  <si>
    <t>1.975,65</t>
  </si>
  <si>
    <t>1.876,58</t>
  </si>
  <si>
    <t>3.931,40</t>
  </si>
  <si>
    <t>3.804,90</t>
  </si>
  <si>
    <t>2.192,34</t>
  </si>
  <si>
    <t>4.131,29</t>
  </si>
  <si>
    <t>1.770,66</t>
  </si>
  <si>
    <t>2.247,50</t>
  </si>
  <si>
    <t>4.278,59</t>
  </si>
  <si>
    <t>3.180,14</t>
  </si>
  <si>
    <t>3.280,14</t>
  </si>
  <si>
    <t>1.720,07</t>
  </si>
  <si>
    <t>2.061,42</t>
  </si>
  <si>
    <t>3.177,05</t>
  </si>
  <si>
    <t>1.833,53</t>
  </si>
  <si>
    <t>3.386,14</t>
  </si>
  <si>
    <t>1.719,24</t>
  </si>
  <si>
    <t>927,00</t>
  </si>
  <si>
    <t>1.855,69</t>
  </si>
  <si>
    <t>3.388,75</t>
  </si>
  <si>
    <t>1.840,49</t>
  </si>
  <si>
    <t>3.503,69</t>
  </si>
  <si>
    <t>3.107,74</t>
  </si>
  <si>
    <t>1.872,24</t>
  </si>
  <si>
    <t>1.914,27</t>
  </si>
  <si>
    <t>2.302,50</t>
  </si>
  <si>
    <t>3.438,62</t>
  </si>
  <si>
    <t>3.506,82</t>
  </si>
  <si>
    <t>5.107,47</t>
  </si>
  <si>
    <t>1.704,30</t>
  </si>
  <si>
    <t>1.898,67</t>
  </si>
  <si>
    <t>1.923,48</t>
  </si>
  <si>
    <t>2.179,08</t>
  </si>
  <si>
    <t>3.876,19</t>
  </si>
  <si>
    <t>1.855,71</t>
  </si>
  <si>
    <t>3.446,74</t>
  </si>
  <si>
    <t>3.237,56</t>
  </si>
  <si>
    <t>5.333,30</t>
  </si>
  <si>
    <t>3.493,81</t>
  </si>
  <si>
    <t>2.244,35</t>
  </si>
  <si>
    <t>1.873,15</t>
  </si>
  <si>
    <t>2.746,67</t>
  </si>
  <si>
    <t>1.840,33</t>
  </si>
  <si>
    <t>3.172,59</t>
  </si>
  <si>
    <t>3.285,00</t>
  </si>
  <si>
    <t>1.340,54</t>
  </si>
  <si>
    <t>3.437,50</t>
  </si>
  <si>
    <t>3.566,02</t>
  </si>
  <si>
    <t>1.804,10</t>
  </si>
  <si>
    <t>198,16</t>
  </si>
  <si>
    <t>406,58</t>
  </si>
  <si>
    <t>458,06</t>
  </si>
  <si>
    <t>593,19</t>
  </si>
  <si>
    <t>502,00</t>
  </si>
  <si>
    <t>150,00</t>
  </si>
  <si>
    <t>122,98</t>
  </si>
  <si>
    <t>139,90</t>
  </si>
  <si>
    <t>533,83</t>
  </si>
  <si>
    <t>1.723,24</t>
  </si>
  <si>
    <t>259,39</t>
  </si>
  <si>
    <t>320,03</t>
  </si>
  <si>
    <t>186,50</t>
  </si>
  <si>
    <t>121,65</t>
  </si>
  <si>
    <t>144,08</t>
  </si>
  <si>
    <t>581,70</t>
  </si>
  <si>
    <t>161,30</t>
  </si>
  <si>
    <t>701,99</t>
  </si>
  <si>
    <t>467,11</t>
  </si>
  <si>
    <t>1.321,70</t>
  </si>
  <si>
    <t>265,70</t>
  </si>
  <si>
    <t>384,11</t>
  </si>
  <si>
    <t>121,80</t>
  </si>
  <si>
    <t>182,41</t>
  </si>
  <si>
    <t>124,40</t>
  </si>
  <si>
    <t>270,40</t>
  </si>
  <si>
    <t>1.240,32</t>
  </si>
  <si>
    <t>259,55</t>
  </si>
  <si>
    <t>117,52</t>
  </si>
  <si>
    <t>495,15</t>
  </si>
  <si>
    <t>300,64</t>
  </si>
  <si>
    <t>282,39</t>
  </si>
  <si>
    <t>142,75</t>
  </si>
  <si>
    <t>426,36</t>
  </si>
  <si>
    <t>506,73</t>
  </si>
  <si>
    <t>729,67</t>
  </si>
  <si>
    <t>138,58</t>
  </si>
  <si>
    <t>1.483,64</t>
  </si>
  <si>
    <t>421,87</t>
  </si>
  <si>
    <t>121,61</t>
  </si>
  <si>
    <t>2.061,33</t>
  </si>
  <si>
    <t>144,15</t>
  </si>
  <si>
    <t>489,04</t>
  </si>
  <si>
    <t>142,84</t>
  </si>
  <si>
    <t>521,42</t>
  </si>
  <si>
    <t>1.546,08</t>
  </si>
  <si>
    <t>500,56</t>
  </si>
  <si>
    <t>141,42</t>
  </si>
  <si>
    <t>610,90</t>
  </si>
  <si>
    <t>325,31</t>
  </si>
  <si>
    <t>519,45</t>
  </si>
  <si>
    <t>473,50</t>
  </si>
  <si>
    <t>1.751,05</t>
  </si>
  <si>
    <t>666,97</t>
  </si>
  <si>
    <t>602,54</t>
  </si>
  <si>
    <t>144,11</t>
  </si>
  <si>
    <t>179,11</t>
  </si>
  <si>
    <t>1.927,52</t>
  </si>
  <si>
    <t>189,15</t>
  </si>
  <si>
    <t>1.377,32</t>
  </si>
  <si>
    <t>460,18</t>
  </si>
  <si>
    <t>259,08</t>
  </si>
  <si>
    <t>171,55</t>
  </si>
  <si>
    <t>125,82</t>
  </si>
  <si>
    <t>1.886,29</t>
  </si>
  <si>
    <t>629,62</t>
  </si>
  <si>
    <t>256,46</t>
  </si>
  <si>
    <t>605,97</t>
  </si>
  <si>
    <t>517,52</t>
  </si>
  <si>
    <t>428,02</t>
  </si>
  <si>
    <t>180,98</t>
  </si>
  <si>
    <t>206,70</t>
  </si>
  <si>
    <t>639,71</t>
  </si>
  <si>
    <t>316,07</t>
  </si>
  <si>
    <t>192,01</t>
  </si>
  <si>
    <t>259,32</t>
  </si>
  <si>
    <t>1.063,76</t>
  </si>
  <si>
    <t>144,20</t>
  </si>
  <si>
    <t>332,45</t>
  </si>
  <si>
    <t>1.147,84</t>
  </si>
  <si>
    <t>2.282,95</t>
  </si>
  <si>
    <t>1.381,00</t>
  </si>
  <si>
    <t>416,06</t>
  </si>
  <si>
    <t>320,26</t>
  </si>
  <si>
    <t>172,55</t>
  </si>
  <si>
    <t>262,99</t>
  </si>
  <si>
    <t>121,58</t>
  </si>
  <si>
    <t>1.253,21</t>
  </si>
  <si>
    <t>1.474,39</t>
  </si>
  <si>
    <t>122,06</t>
  </si>
  <si>
    <t>1.814,73</t>
  </si>
  <si>
    <t>157,54</t>
  </si>
  <si>
    <t>140,00</t>
  </si>
  <si>
    <t>266,60</t>
  </si>
  <si>
    <t>1.754,66</t>
  </si>
  <si>
    <t>1.116,41</t>
  </si>
  <si>
    <t>317,06</t>
  </si>
  <si>
    <t>617,36</t>
  </si>
  <si>
    <t>307,59</t>
  </si>
  <si>
    <t>613,02</t>
  </si>
  <si>
    <t>97,26</t>
  </si>
  <si>
    <t>313,46</t>
  </si>
  <si>
    <t>280,47</t>
  </si>
  <si>
    <t>971,25</t>
  </si>
  <si>
    <t>1.002,15</t>
  </si>
  <si>
    <t>144,30</t>
  </si>
  <si>
    <t>460,62</t>
  </si>
  <si>
    <t>141,60</t>
  </si>
  <si>
    <t>904,37</t>
  </si>
  <si>
    <t>124,28</t>
  </si>
  <si>
    <t>306,25</t>
  </si>
  <si>
    <t>466,23</t>
  </si>
  <si>
    <t>444,58</t>
  </si>
  <si>
    <t>178,73</t>
  </si>
  <si>
    <t>964,98</t>
  </si>
  <si>
    <t>125,46</t>
  </si>
  <si>
    <t>341,78</t>
  </si>
  <si>
    <t>269,04</t>
  </si>
  <si>
    <t>876,63</t>
  </si>
  <si>
    <t>875,53</t>
  </si>
  <si>
    <t>1.846,85</t>
  </si>
  <si>
    <t>1.991,36</t>
  </si>
  <si>
    <t>1.784,09</t>
  </si>
  <si>
    <t>171,80</t>
  </si>
  <si>
    <t>154,56</t>
  </si>
  <si>
    <t>299,46</t>
  </si>
  <si>
    <t>309,86</t>
  </si>
  <si>
    <t>1.168,55</t>
  </si>
  <si>
    <t>177,54</t>
  </si>
  <si>
    <t>345,06</t>
  </si>
  <si>
    <t>140,68</t>
  </si>
  <si>
    <t>132,75</t>
  </si>
  <si>
    <t>141,33</t>
  </si>
  <si>
    <t>138,49</t>
  </si>
  <si>
    <t>386,17</t>
  </si>
  <si>
    <t>360,35</t>
  </si>
  <si>
    <t>345,17</t>
  </si>
  <si>
    <t>172,99</t>
  </si>
  <si>
    <t>384,34</t>
  </si>
  <si>
    <t>122,88</t>
  </si>
  <si>
    <t>177,95</t>
  </si>
  <si>
    <t>402,02</t>
  </si>
  <si>
    <t>270,20</t>
  </si>
  <si>
    <t>282,20</t>
  </si>
  <si>
    <t>513,39</t>
  </si>
  <si>
    <t>370,41</t>
  </si>
  <si>
    <t>184,84</t>
  </si>
  <si>
    <t>555,69</t>
  </si>
  <si>
    <t>161,20</t>
  </si>
  <si>
    <t>821,30</t>
  </si>
  <si>
    <t>269,83</t>
  </si>
  <si>
    <t>300,79</t>
  </si>
  <si>
    <t>269,10</t>
  </si>
  <si>
    <t>588,37</t>
  </si>
  <si>
    <t>542,51</t>
  </si>
  <si>
    <t>128,54</t>
  </si>
  <si>
    <t>294,92</t>
  </si>
  <si>
    <t>124,33</t>
  </si>
  <si>
    <t>69,52</t>
  </si>
  <si>
    <t>204,16</t>
  </si>
  <si>
    <t>595,30</t>
  </si>
  <si>
    <t>692,11</t>
  </si>
  <si>
    <t>295,23</t>
  </si>
  <si>
    <t>411,90</t>
  </si>
  <si>
    <t>309,03</t>
  </si>
  <si>
    <t>1.177,61</t>
  </si>
  <si>
    <t>261,51</t>
  </si>
  <si>
    <t>679,29</t>
  </si>
  <si>
    <t>141,88</t>
  </si>
  <si>
    <t>267,54</t>
  </si>
  <si>
    <t>301,22</t>
  </si>
  <si>
    <t>309,40</t>
  </si>
  <si>
    <t>516,54</t>
  </si>
  <si>
    <t>342,68</t>
  </si>
  <si>
    <t>142,71</t>
  </si>
  <si>
    <t>239,90</t>
  </si>
  <si>
    <t>353,73</t>
  </si>
  <si>
    <t>518,92</t>
  </si>
  <si>
    <t>1.285,09</t>
  </si>
  <si>
    <t>277,09</t>
  </si>
  <si>
    <t>720,71</t>
  </si>
  <si>
    <t>670,59</t>
  </si>
  <si>
    <t>307,84</t>
  </si>
  <si>
    <t>189,12</t>
  </si>
  <si>
    <t>177,67</t>
  </si>
  <si>
    <t>144,26</t>
  </si>
  <si>
    <t>222,88</t>
  </si>
  <si>
    <t>141,30</t>
  </si>
  <si>
    <t>269,30</t>
  </si>
  <si>
    <t>412,33</t>
  </si>
  <si>
    <t>554,68</t>
  </si>
  <si>
    <t>300,46</t>
  </si>
  <si>
    <t>380,57</t>
  </si>
  <si>
    <t>316,51</t>
  </si>
  <si>
    <t>383,61</t>
  </si>
  <si>
    <t>138,04</t>
  </si>
  <si>
    <t>2.273,85</t>
  </si>
  <si>
    <t>1.702,05</t>
  </si>
  <si>
    <t>3.910,09</t>
  </si>
  <si>
    <t>4.231,69</t>
  </si>
  <si>
    <t>1.095,35</t>
  </si>
  <si>
    <t>2.931,34</t>
  </si>
  <si>
    <t>1.854,45</t>
  </si>
  <si>
    <t>1.513,78</t>
  </si>
  <si>
    <t>1.752,33</t>
  </si>
  <si>
    <t>1.222,25</t>
  </si>
  <si>
    <t>3.132,75</t>
  </si>
  <si>
    <t>3.840,76</t>
  </si>
  <si>
    <t>2.830,62</t>
  </si>
  <si>
    <t>3.275,36</t>
  </si>
  <si>
    <t>1.466,03</t>
  </si>
  <si>
    <t>1.567,88</t>
  </si>
  <si>
    <t>1.727,05</t>
  </si>
  <si>
    <t>2.619,18</t>
  </si>
  <si>
    <t>1.901,20</t>
  </si>
  <si>
    <t>919,01</t>
  </si>
  <si>
    <t>4.287,26</t>
  </si>
  <si>
    <t>3.514,30</t>
  </si>
  <si>
    <t>2.876,97</t>
  </si>
  <si>
    <t>1.457,53</t>
  </si>
  <si>
    <t>1.501,76</t>
  </si>
  <si>
    <t>2.114,63</t>
  </si>
  <si>
    <t>1.528,13</t>
  </si>
  <si>
    <t>0,00</t>
  </si>
  <si>
    <t>2.911,37</t>
  </si>
  <si>
    <t>2.131,31</t>
  </si>
  <si>
    <t>2.831,84</t>
  </si>
  <si>
    <t>1.449,45</t>
  </si>
  <si>
    <t>3.214,55</t>
  </si>
  <si>
    <t>3.133,13</t>
  </si>
  <si>
    <t>1.780,11</t>
  </si>
  <si>
    <t>1.713,64</t>
  </si>
  <si>
    <t>4.036,98</t>
  </si>
  <si>
    <t>1.516,32</t>
  </si>
  <si>
    <t>2.738,85</t>
  </si>
  <si>
    <t>1.739,07</t>
  </si>
  <si>
    <t>1.966,87</t>
  </si>
  <si>
    <t>4.009,39</t>
  </si>
  <si>
    <t>1.499,93</t>
  </si>
  <si>
    <t>3.870,68</t>
  </si>
  <si>
    <t>4.036,97</t>
  </si>
  <si>
    <t>1.727,84</t>
  </si>
  <si>
    <t>1.368,36</t>
  </si>
  <si>
    <t>1.714,56</t>
  </si>
  <si>
    <t>1.099,58</t>
  </si>
  <si>
    <t>3.589,92</t>
  </si>
  <si>
    <t>4.492,77</t>
  </si>
  <si>
    <t>1.700,22</t>
  </si>
  <si>
    <t>1.010,10</t>
  </si>
  <si>
    <t>3.314,03</t>
  </si>
  <si>
    <t>1.101,55</t>
  </si>
  <si>
    <t>4.326,50</t>
  </si>
  <si>
    <t>1.849,64</t>
  </si>
  <si>
    <t>2.938,70</t>
  </si>
  <si>
    <t>1.172,79</t>
  </si>
  <si>
    <t>1.018,46</t>
  </si>
  <si>
    <t>1.794,92</t>
  </si>
  <si>
    <t>2.081,29</t>
  </si>
  <si>
    <t>2.697,26</t>
  </si>
  <si>
    <t>1.727,38</t>
  </si>
  <si>
    <t>2.182,84</t>
  </si>
  <si>
    <t>3.389,34</t>
  </si>
  <si>
    <t>1.397,17</t>
  </si>
  <si>
    <t>2.828,42</t>
  </si>
  <si>
    <t>1.542,46</t>
  </si>
  <si>
    <t>2.803,46</t>
  </si>
  <si>
    <t>4.627,60</t>
  </si>
  <si>
    <t>1.585,18</t>
  </si>
  <si>
    <t>1.194,03</t>
  </si>
  <si>
    <t>1.457,69</t>
  </si>
  <si>
    <t>3.005,32</t>
  </si>
  <si>
    <t>1.443,20</t>
  </si>
  <si>
    <t>2.360,20</t>
  </si>
  <si>
    <t>4.696,92</t>
  </si>
  <si>
    <t>3.246,33</t>
  </si>
  <si>
    <t>1.665,39</t>
  </si>
  <si>
    <t>2.830,18</t>
  </si>
  <si>
    <t>5.009,15</t>
  </si>
  <si>
    <t>1.728,29</t>
  </si>
  <si>
    <t>3.366,45</t>
  </si>
  <si>
    <t>1.982,56</t>
  </si>
  <si>
    <t>2.471,42</t>
  </si>
  <si>
    <t>2.129,60</t>
  </si>
  <si>
    <t>1.272,48</t>
  </si>
  <si>
    <t>3.277,07</t>
  </si>
  <si>
    <t>2.014,95</t>
  </si>
  <si>
    <t>2.857,06</t>
  </si>
  <si>
    <t>1.499,62</t>
  </si>
  <si>
    <t>1.866,84</t>
  </si>
  <si>
    <t>2.064,15</t>
  </si>
  <si>
    <t>1.571,97</t>
  </si>
  <si>
    <t>3.897,75</t>
  </si>
  <si>
    <t>1.598,54</t>
  </si>
  <si>
    <t>1.753,42</t>
  </si>
  <si>
    <t>2.883,50</t>
  </si>
  <si>
    <t>2.999,71</t>
  </si>
  <si>
    <t>5.264,41</t>
  </si>
  <si>
    <t>3.253,61</t>
  </si>
  <si>
    <t>3.777,32</t>
  </si>
  <si>
    <t>1.782,10</t>
  </si>
  <si>
    <t>3.184,12</t>
  </si>
  <si>
    <t>1.007,98</t>
  </si>
  <si>
    <t>1.199,54</t>
  </si>
  <si>
    <t>3.227,18</t>
  </si>
  <si>
    <t>1.576,93</t>
  </si>
  <si>
    <t>717,29</t>
  </si>
  <si>
    <t>1.253,57</t>
  </si>
  <si>
    <t>1.767,76</t>
  </si>
  <si>
    <t>4.949,85</t>
  </si>
  <si>
    <t>1.729,31</t>
  </si>
  <si>
    <t>4.247,38</t>
  </si>
  <si>
    <t>1.769,50</t>
  </si>
  <si>
    <t>3.375,63</t>
  </si>
  <si>
    <t>1.526,85</t>
  </si>
  <si>
    <t>3.174,30</t>
  </si>
  <si>
    <t>4.281,87</t>
  </si>
  <si>
    <t>1.311,50</t>
  </si>
  <si>
    <t>1.610,00</t>
  </si>
  <si>
    <t>2.077,39</t>
  </si>
  <si>
    <t>4.914,10</t>
  </si>
  <si>
    <t>1.538,84</t>
  </si>
  <si>
    <t>3.434,89</t>
  </si>
  <si>
    <t>2.901,46</t>
  </si>
  <si>
    <t>4.173,77</t>
  </si>
  <si>
    <t>4.831,66</t>
  </si>
  <si>
    <t>1.586,49</t>
  </si>
  <si>
    <t>4.392,09</t>
  </si>
  <si>
    <t>2.250,19</t>
  </si>
  <si>
    <t>1.520,12</t>
  </si>
  <si>
    <t>1.833,06</t>
  </si>
  <si>
    <t>3.124,54</t>
  </si>
  <si>
    <t>3.200,74</t>
  </si>
  <si>
    <t>5.212,27</t>
  </si>
  <si>
    <t>2.065,35</t>
  </si>
  <si>
    <t>3.458,88</t>
  </si>
  <si>
    <t>1.692,73</t>
  </si>
  <si>
    <t>1.747,63</t>
  </si>
  <si>
    <t>1.834,32</t>
  </si>
  <si>
    <t>1.738,09</t>
  </si>
  <si>
    <t>1.234,83</t>
  </si>
  <si>
    <t>3.571,05</t>
  </si>
  <si>
    <t>3.459,73</t>
  </si>
  <si>
    <t>2.019,35</t>
  </si>
  <si>
    <t>3.746,95</t>
  </si>
  <si>
    <t>1.647,78</t>
  </si>
  <si>
    <t>2.069,55</t>
  </si>
  <si>
    <t>3.876,57</t>
  </si>
  <si>
    <t>2.909,94</t>
  </si>
  <si>
    <t>2.997,94</t>
  </si>
  <si>
    <t>2.486,61</t>
  </si>
  <si>
    <t>1.250,59</t>
  </si>
  <si>
    <t>1.535,23</t>
  </si>
  <si>
    <t>2.531,81</t>
  </si>
  <si>
    <t>1.900,22</t>
  </si>
  <si>
    <t>799,70</t>
  </si>
  <si>
    <t>2.907,22</t>
  </si>
  <si>
    <t>1.320,21</t>
  </si>
  <si>
    <t>1.419,44</t>
  </si>
  <si>
    <t>1.404,11</t>
  </si>
  <si>
    <t>1.382,43</t>
  </si>
  <si>
    <t>1.704,99</t>
  </si>
  <si>
    <t>3.091,22</t>
  </si>
  <si>
    <t>1.594,91</t>
  </si>
  <si>
    <t>857,48</t>
  </si>
  <si>
    <t>1.651,53</t>
  </si>
  <si>
    <t>1.512,00</t>
  </si>
  <si>
    <t>1.415,19</t>
  </si>
  <si>
    <t>3.093,52</t>
  </si>
  <si>
    <t>1.428,59</t>
  </si>
  <si>
    <t>3.194,66</t>
  </si>
  <si>
    <t>2.255,73</t>
  </si>
  <si>
    <t>2.846,23</t>
  </si>
  <si>
    <t>1.192,95</t>
  </si>
  <si>
    <t>1.772,39</t>
  </si>
  <si>
    <t>2.034,96</t>
  </si>
  <si>
    <t>3.137,40</t>
  </si>
  <si>
    <t>3.197,42</t>
  </si>
  <si>
    <t>4.590,93</t>
  </si>
  <si>
    <t>1.581,32</t>
  </si>
  <si>
    <t>1.555,99</t>
  </si>
  <si>
    <t>1.780,77</t>
  </si>
  <si>
    <t>1.939,18</t>
  </si>
  <si>
    <t>3.522,46</t>
  </si>
  <si>
    <t>1.336,79</t>
  </si>
  <si>
    <t>2.161,65</t>
  </si>
  <si>
    <t>2.960,47</t>
  </si>
  <si>
    <t>2.712,63</t>
  </si>
  <si>
    <t>4.662,71</t>
  </si>
  <si>
    <t>3.185,97</t>
  </si>
  <si>
    <t>1.431,88</t>
  </si>
  <si>
    <t>2.066,68</t>
  </si>
  <si>
    <t>1.728,89</t>
  </si>
  <si>
    <t>2.523,79</t>
  </si>
  <si>
    <t>1.699,03</t>
  </si>
  <si>
    <t>2.903,29</t>
  </si>
  <si>
    <t>2.872,67</t>
  </si>
  <si>
    <t>1.201,40</t>
  </si>
  <si>
    <t>1.040,08</t>
  </si>
  <si>
    <t>3.056,93</t>
  </si>
  <si>
    <t>3.249,51</t>
  </si>
  <si>
    <t>1.458,03</t>
  </si>
  <si>
    <t>1.666,06</t>
  </si>
  <si>
    <t>658</t>
  </si>
  <si>
    <t>07/04/2026</t>
  </si>
  <si>
    <t>656</t>
  </si>
  <si>
    <t>02/04/2026</t>
  </si>
  <si>
    <t>657</t>
  </si>
  <si>
    <t>215</t>
  </si>
  <si>
    <t>659</t>
  </si>
  <si>
    <t>660</t>
  </si>
  <si>
    <t>662</t>
  </si>
  <si>
    <t>664</t>
  </si>
  <si>
    <t>22/04/2026</t>
  </si>
  <si>
    <t>663</t>
  </si>
  <si>
    <t>661</t>
  </si>
  <si>
    <t>655</t>
  </si>
  <si>
    <t>SITUAÇÃO</t>
  </si>
  <si>
    <t>ATIVO</t>
  </si>
  <si>
    <t xml:space="preserve"> 32:47:45</t>
  </si>
  <si>
    <t>MEDCORE ENGENHARIA LTDA</t>
  </si>
  <si>
    <t>-</t>
  </si>
  <si>
    <t>ADRIANA FREIRE CAMELO DE SOUSA</t>
  </si>
  <si>
    <t>CLEIDIANE DO NASCIMENTO BEZERRA</t>
  </si>
  <si>
    <t>CRISENE VERAS SANTANA AMARAL</t>
  </si>
  <si>
    <t>DAYANA MESSIAS LOPES SILVA</t>
  </si>
  <si>
    <t>GABRIELLA NUNES SANTOS</t>
  </si>
  <si>
    <t>GENEZI DIAS GONCALVES</t>
  </si>
  <si>
    <t>GISELE CRISTINA RODRIGUES DIAS</t>
  </si>
  <si>
    <t>GISLENE DE OLIVEIRA MARQUES JUVINO</t>
  </si>
  <si>
    <t>GLEUMA RIBEIRO DA SILVA LUSTOSA</t>
  </si>
  <si>
    <t>JEMIMA PEREIRA SILVA</t>
  </si>
  <si>
    <t>JULIA VALDENIR PEREIRA DA CRUZ</t>
  </si>
  <si>
    <t>LAENE JOAQUIM BORGES</t>
  </si>
  <si>
    <t>LIAM ILDEFONSO MARTINS REZENDE</t>
  </si>
  <si>
    <t>LIDIA MELO MENESES</t>
  </si>
  <si>
    <t>MARCELA OLIVEIRA SANTOS</t>
  </si>
  <si>
    <t>MARCOS DOS SANTOS LEITE</t>
  </si>
  <si>
    <t>MARICLEIDE MOREIRA DOS SANTOS</t>
  </si>
  <si>
    <t>MARILENE BATISTA DE SOUZA</t>
  </si>
  <si>
    <t>NAYARA DE SOUZA SANTOS</t>
  </si>
  <si>
    <t>RAYANA FERREIRA AGUIAR</t>
  </si>
  <si>
    <t>VALMIRA FERREIRA DOS SANTOS</t>
  </si>
  <si>
    <t>VITORIA ROMANA RODRIGUES DOS REIS</t>
  </si>
  <si>
    <t>977.135.621-68</t>
  </si>
  <si>
    <t>054.996.031-70</t>
  </si>
  <si>
    <t>602.566.721-72</t>
  </si>
  <si>
    <t>067.833.671-77</t>
  </si>
  <si>
    <t>088.620.931-52</t>
  </si>
  <si>
    <t>903.244.201-53</t>
  </si>
  <si>
    <t>031.694.371-19</t>
  </si>
  <si>
    <t>011.091.361-29</t>
  </si>
  <si>
    <t>068.255.373-50</t>
  </si>
  <si>
    <t>844.174.801-25</t>
  </si>
  <si>
    <t>818.029.191-04</t>
  </si>
  <si>
    <t>024.780.771-08</t>
  </si>
  <si>
    <t>240.031.231-15</t>
  </si>
  <si>
    <t>047.650.581-07</t>
  </si>
  <si>
    <t>608.912.943-76</t>
  </si>
  <si>
    <t>708.978.801-61</t>
  </si>
  <si>
    <t>760.099.802-59</t>
  </si>
  <si>
    <t>033.160.273-35</t>
  </si>
  <si>
    <t>070.298.261-08</t>
  </si>
  <si>
    <t>287.529.885-20</t>
  </si>
  <si>
    <t>071.078.671-99</t>
  </si>
  <si>
    <t>Proventos MAIO</t>
  </si>
  <si>
    <t>Descontos MAIO</t>
  </si>
  <si>
    <t>Líquido MAIO</t>
  </si>
  <si>
    <t>INATIVOS</t>
  </si>
  <si>
    <t>ALLEF LUCAS DE FREITAS COUTINHO</t>
  </si>
  <si>
    <t>ANA CLARA PELLIZZARO DA MOTTA</t>
  </si>
  <si>
    <t>ANIELE OTTONI</t>
  </si>
  <si>
    <t>BEATRIZ DO NASCIMENTO BACELAR</t>
  </si>
  <si>
    <t>FABIO PEREIRA DA SILVA JUNIOR</t>
  </si>
  <si>
    <t>FERNANDO PEREIRA DE MELO</t>
  </si>
  <si>
    <t>JOÃO NIKOLAI VARGAS GONÇALVES</t>
  </si>
  <si>
    <t>MARIA EDUARDA BARROS GALVÃO</t>
  </si>
  <si>
    <t>NATHALIA LIMA DINIZ</t>
  </si>
  <si>
    <t>THAIS DA SILVA MARQUES</t>
  </si>
  <si>
    <t>042.666.471-07</t>
  </si>
  <si>
    <t>049.132.121-09</t>
  </si>
  <si>
    <t>000.467.151-18</t>
  </si>
  <si>
    <t>078.012.801-05</t>
  </si>
  <si>
    <t>004.069.691-08</t>
  </si>
  <si>
    <t>97838.086-05</t>
  </si>
  <si>
    <t>059.075.441-63</t>
  </si>
  <si>
    <t>053.625.491-54</t>
  </si>
  <si>
    <t>047.042.911-13</t>
  </si>
  <si>
    <t>027.295.761-50</t>
  </si>
  <si>
    <t>ACELERA</t>
  </si>
  <si>
    <t>32650/DF</t>
  </si>
  <si>
    <t>34399/DF</t>
  </si>
  <si>
    <t>38274/GO</t>
  </si>
  <si>
    <t>39846/GO</t>
  </si>
  <si>
    <t>38190/GO</t>
  </si>
  <si>
    <t>32776/GO</t>
  </si>
  <si>
    <t>29780/GO</t>
  </si>
  <si>
    <t>37820/GO</t>
  </si>
  <si>
    <t>28229/DF</t>
  </si>
  <si>
    <t>40078/GO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</si>
</sst>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0.0"/>
    <numFmt numFmtId="165" formatCode="[$-F400]h:mm:ss\ AM/PM"/>
    <numFmt numFmtId="166" formatCode="[h]:mm:ss;@"/>
    <numFmt numFmtId="167" formatCode="_-[$R$-416]\ * #,##0.00_-;\-[$R$-416]\ * #,##0.00_-;_-[$R$-416]\ * &quot;-&quot;??_-;_-@_-"/>
  </numFmts>
  <fonts count="25" x14ac:knownFonts="1">
    <font>
      <sz val="11"/>
      <color theme="1"/>
      <name val="Aptos Narrow"/>
    </font>
    <font>
      <sz val="11"/>
      <color theme="1"/>
      <name val="Calibri"/>
      <family val="2"/>
      <scheme val="minor"/>
    </font>
    <font>
      <sz val="16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theme="0"/>
      <name val="Aptos Narrow"/>
      <family val="2"/>
    </font>
    <font>
      <sz val="11"/>
      <name val="Aptos Narrow"/>
      <family val="2"/>
    </font>
    <font>
      <b/>
      <sz val="11"/>
      <color theme="1"/>
      <name val="Aptos Narrow"/>
      <family val="2"/>
    </font>
    <font>
      <b/>
      <sz val="11"/>
      <color theme="0"/>
      <name val="Aptos Narrow"/>
      <family val="2"/>
    </font>
    <font>
      <b/>
      <sz val="11"/>
      <color theme="1"/>
      <name val="Aptos Narrow"/>
      <family val="2"/>
    </font>
    <font>
      <sz val="16"/>
      <color theme="1"/>
      <name val="Aptos Narrow"/>
      <family val="2"/>
    </font>
    <font>
      <b/>
      <sz val="14"/>
      <color rgb="FFFFFFFF"/>
      <name val="Aptos Narrow"/>
      <family val="2"/>
    </font>
    <font>
      <b/>
      <sz val="11"/>
      <color rgb="FFFFFFFF"/>
      <name val="Aptos Narrow"/>
      <family val="2"/>
    </font>
    <font>
      <b/>
      <sz val="11"/>
      <color rgb="FF0F172A"/>
      <name val="Aptos Narrow"/>
      <family val="2"/>
    </font>
    <font>
      <b/>
      <sz val="11"/>
      <color rgb="FF1E3A8A"/>
      <name val="Aptos Narrow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Aptos Narrow"/>
      <family val="2"/>
    </font>
    <font>
      <sz val="1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0F4861"/>
      </patternFill>
    </fill>
    <fill>
      <patternFill patternType="solid">
        <fgColor rgb="FFDBE9F7"/>
      </patternFill>
    </fill>
    <fill>
      <patternFill patternType="solid">
        <fgColor rgb="FFFFFF00"/>
      </patternFill>
    </fill>
    <fill>
      <patternFill patternType="solid">
        <fgColor rgb="FF002060"/>
      </patternFill>
    </fill>
    <fill>
      <patternFill patternType="solid">
        <fgColor rgb="FF00FF00"/>
      </patternFill>
    </fill>
    <fill>
      <patternFill patternType="solid">
        <fgColor rgb="FFDD5A09"/>
      </patternFill>
    </fill>
    <fill>
      <patternFill patternType="solid">
        <fgColor rgb="FFFF0000"/>
      </patternFill>
    </fill>
    <fill>
      <patternFill patternType="solid">
        <fgColor rgb="FFBFBFBF"/>
      </patternFill>
    </fill>
    <fill>
      <patternFill patternType="solid">
        <fgColor rgb="FFFFFF65"/>
      </patternFill>
    </fill>
    <fill>
      <patternFill patternType="solid">
        <fgColor theme="1"/>
      </patternFill>
    </fill>
    <fill>
      <patternFill patternType="solid">
        <fgColor theme="4" tint="-0.249977111117893"/>
        <bgColor indexed="65"/>
      </patternFill>
    </fill>
    <fill>
      <patternFill patternType="solid">
        <fgColor theme="3" tint="0.89996032593768116"/>
        <bgColor indexed="65"/>
      </patternFill>
    </fill>
    <fill>
      <patternFill patternType="solid">
        <fgColor theme="2" tint="-0.34998626667073579"/>
        <bgColor indexed="65"/>
      </patternFill>
    </fill>
    <fill>
      <patternFill patternType="solid">
        <fgColor rgb="FF0F172A"/>
      </patternFill>
    </fill>
    <fill>
      <patternFill patternType="solid">
        <fgColor rgb="FFE0F2FE"/>
      </patternFill>
    </fill>
    <fill>
      <patternFill patternType="solid">
        <fgColor rgb="FF0F6CBD"/>
      </patternFill>
    </fill>
    <fill>
      <patternFill patternType="solid">
        <fgColor rgb="FFDBEAFE"/>
      </patternFill>
    </fill>
    <fill>
      <patternFill patternType="solid">
        <fgColor rgb="FFF8FAFC"/>
      </patternFill>
    </fill>
    <fill>
      <patternFill patternType="solid">
        <fgColor rgb="FFFFF8DB"/>
      </patternFill>
    </fill>
    <fill>
      <patternFill patternType="solid">
        <fgColor rgb="FFEEF2FF"/>
      </patternFill>
    </fill>
    <fill>
      <patternFill patternType="solid">
        <fgColor rgb="FFFFFFFF"/>
      </patternFill>
    </fill>
    <fill>
      <patternFill patternType="solid">
        <fgColor rgb="FFBFDBFE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14" fillId="0" borderId="7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170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10" fontId="3" fillId="3" borderId="1" xfId="0" applyNumberFormat="1" applyFont="1" applyFill="1" applyBorder="1" applyAlignment="1">
      <alignment horizontal="center" vertical="center"/>
    </xf>
    <xf numFmtId="10" fontId="6" fillId="3" borderId="1" xfId="0" applyNumberFormat="1" applyFont="1" applyFill="1" applyBorder="1" applyAlignment="1">
      <alignment horizontal="center" vertical="center"/>
    </xf>
    <xf numFmtId="46" fontId="6" fillId="0" borderId="0" xfId="0" applyNumberFormat="1" applyFont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12" borderId="0" xfId="0" applyFont="1" applyFill="1" applyAlignment="1">
      <alignment horizontal="center" vertical="center" wrapText="1"/>
    </xf>
    <xf numFmtId="0" fontId="7" fillId="12" borderId="0" xfId="0" applyFont="1" applyFill="1" applyAlignment="1">
      <alignment horizontal="center" vertical="center"/>
    </xf>
    <xf numFmtId="0" fontId="7" fillId="12" borderId="8" xfId="0" applyFont="1" applyFill="1" applyBorder="1" applyAlignment="1">
      <alignment horizontal="center" vertical="center"/>
    </xf>
    <xf numFmtId="0" fontId="8" fillId="13" borderId="8" xfId="0" applyFont="1" applyFill="1" applyBorder="1" applyAlignment="1">
      <alignment horizontal="left" vertical="center"/>
    </xf>
    <xf numFmtId="0" fontId="8" fillId="13" borderId="8" xfId="0" applyFont="1" applyFill="1" applyBorder="1" applyAlignment="1">
      <alignment horizontal="center" vertical="center"/>
    </xf>
    <xf numFmtId="3" fontId="8" fillId="13" borderId="8" xfId="0" applyNumberFormat="1" applyFont="1" applyFill="1" applyBorder="1" applyAlignment="1">
      <alignment horizontal="center" vertical="center"/>
    </xf>
    <xf numFmtId="0" fontId="8" fillId="14" borderId="8" xfId="0" applyFont="1" applyFill="1" applyBorder="1" applyAlignment="1">
      <alignment horizontal="left" vertical="center"/>
    </xf>
    <xf numFmtId="0" fontId="8" fillId="14" borderId="8" xfId="0" applyFont="1" applyFill="1" applyBorder="1" applyAlignment="1">
      <alignment horizontal="center" vertical="center"/>
    </xf>
    <xf numFmtId="3" fontId="8" fillId="14" borderId="8" xfId="0" applyNumberFormat="1" applyFont="1" applyFill="1" applyBorder="1" applyAlignment="1">
      <alignment horizontal="center" vertical="center"/>
    </xf>
    <xf numFmtId="0" fontId="11" fillId="17" borderId="8" xfId="0" applyFont="1" applyFill="1" applyBorder="1" applyAlignment="1">
      <alignment horizontal="center" vertical="center"/>
    </xf>
    <xf numFmtId="164" fontId="0" fillId="20" borderId="8" xfId="0" applyNumberFormat="1" applyFill="1" applyBorder="1" applyAlignment="1">
      <alignment wrapText="1"/>
    </xf>
    <xf numFmtId="164" fontId="6" fillId="21" borderId="8" xfId="0" applyNumberFormat="1" applyFont="1" applyFill="1" applyBorder="1" applyAlignment="1">
      <alignment wrapText="1"/>
    </xf>
    <xf numFmtId="0" fontId="6" fillId="22" borderId="8" xfId="0" applyFont="1" applyFill="1" applyBorder="1" applyAlignment="1">
      <alignment wrapText="1"/>
    </xf>
    <xf numFmtId="0" fontId="0" fillId="22" borderId="8" xfId="0" applyFill="1" applyBorder="1" applyAlignment="1">
      <alignment wrapText="1"/>
    </xf>
    <xf numFmtId="0" fontId="13" fillId="18" borderId="8" xfId="0" applyFont="1" applyFill="1" applyBorder="1" applyAlignment="1">
      <alignment wrapText="1"/>
    </xf>
    <xf numFmtId="164" fontId="13" fillId="16" borderId="8" xfId="0" applyNumberFormat="1" applyFont="1" applyFill="1" applyBorder="1" applyAlignment="1">
      <alignment wrapText="1"/>
    </xf>
    <xf numFmtId="164" fontId="13" fillId="23" borderId="8" xfId="0" applyNumberFormat="1" applyFont="1" applyFill="1" applyBorder="1" applyAlignment="1">
      <alignment wrapText="1"/>
    </xf>
    <xf numFmtId="0" fontId="10" fillId="15" borderId="0" xfId="0" applyFont="1" applyFill="1" applyAlignment="1">
      <alignment vertical="center"/>
    </xf>
    <xf numFmtId="0" fontId="12" fillId="19" borderId="8" xfId="0" applyFont="1" applyFill="1" applyBorder="1"/>
    <xf numFmtId="0" fontId="6" fillId="22" borderId="8" xfId="0" applyFont="1" applyFill="1" applyBorder="1"/>
    <xf numFmtId="0" fontId="13" fillId="18" borderId="8" xfId="0" applyFont="1" applyFill="1" applyBorder="1"/>
    <xf numFmtId="0" fontId="12" fillId="24" borderId="8" xfId="0" applyFont="1" applyFill="1" applyBorder="1" applyAlignment="1">
      <alignment wrapText="1"/>
    </xf>
    <xf numFmtId="0" fontId="6" fillId="24" borderId="1" xfId="0" applyFont="1" applyFill="1" applyBorder="1" applyAlignment="1">
      <alignment horizontal="left" vertical="center"/>
    </xf>
    <xf numFmtId="0" fontId="15" fillId="25" borderId="0" xfId="0" applyFont="1" applyFill="1" applyAlignment="1">
      <alignment horizontal="center" vertical="center" wrapText="1"/>
    </xf>
    <xf numFmtId="44" fontId="15" fillId="25" borderId="0" xfId="0" applyNumberFormat="1" applyFont="1" applyFill="1" applyAlignment="1">
      <alignment horizontal="center" vertical="center"/>
    </xf>
    <xf numFmtId="0" fontId="15" fillId="25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44" fontId="0" fillId="0" borderId="0" xfId="0" applyNumberFormat="1" applyAlignment="1">
      <alignment horizontal="center" vertical="center"/>
    </xf>
    <xf numFmtId="0" fontId="16" fillId="26" borderId="8" xfId="0" applyFont="1" applyFill="1" applyBorder="1" applyAlignment="1">
      <alignment horizontal="left" vertical="center"/>
    </xf>
    <xf numFmtId="44" fontId="16" fillId="26" borderId="8" xfId="0" applyNumberFormat="1" applyFont="1" applyFill="1" applyBorder="1" applyAlignment="1">
      <alignment horizontal="center" vertical="center"/>
    </xf>
    <xf numFmtId="0" fontId="16" fillId="26" borderId="8" xfId="0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10" fontId="0" fillId="20" borderId="8" xfId="2" applyNumberFormat="1" applyFont="1" applyFill="1" applyBorder="1" applyAlignment="1">
      <alignment wrapText="1"/>
    </xf>
    <xf numFmtId="44" fontId="16" fillId="26" borderId="8" xfId="3" applyFont="1" applyFill="1" applyBorder="1" applyAlignment="1">
      <alignment horizontal="center" vertical="center"/>
    </xf>
    <xf numFmtId="46" fontId="6" fillId="3" borderId="1" xfId="0" applyNumberFormat="1" applyFont="1" applyFill="1" applyBorder="1" applyAlignment="1">
      <alignment horizontal="center" vertical="center"/>
    </xf>
    <xf numFmtId="166" fontId="3" fillId="3" borderId="1" xfId="0" applyNumberFormat="1" applyFont="1" applyFill="1" applyBorder="1" applyAlignment="1">
      <alignment horizontal="center" vertical="center"/>
    </xf>
    <xf numFmtId="22" fontId="3" fillId="3" borderId="1" xfId="0" applyNumberFormat="1" applyFont="1" applyFill="1" applyBorder="1" applyAlignment="1">
      <alignment horizontal="center" vertical="center"/>
    </xf>
    <xf numFmtId="2" fontId="10" fillId="15" borderId="0" xfId="0" applyNumberFormat="1" applyFont="1" applyFill="1" applyAlignment="1">
      <alignment vertical="center"/>
    </xf>
    <xf numFmtId="2" fontId="11" fillId="17" borderId="8" xfId="0" applyNumberFormat="1" applyFont="1" applyFill="1" applyBorder="1" applyAlignment="1">
      <alignment horizontal="center" vertical="center"/>
    </xf>
    <xf numFmtId="2" fontId="0" fillId="20" borderId="8" xfId="0" applyNumberFormat="1" applyFill="1" applyBorder="1" applyAlignment="1">
      <alignment wrapText="1"/>
    </xf>
    <xf numFmtId="2" fontId="0" fillId="22" borderId="8" xfId="0" applyNumberFormat="1" applyFill="1" applyBorder="1" applyAlignment="1">
      <alignment wrapText="1"/>
    </xf>
    <xf numFmtId="2" fontId="13" fillId="16" borderId="8" xfId="0" applyNumberFormat="1" applyFont="1" applyFill="1" applyBorder="1" applyAlignment="1">
      <alignment wrapText="1"/>
    </xf>
    <xf numFmtId="2" fontId="0" fillId="0" borderId="0" xfId="0" applyNumberFormat="1"/>
    <xf numFmtId="0" fontId="19" fillId="27" borderId="11" xfId="0" applyFont="1" applyFill="1" applyBorder="1" applyAlignment="1">
      <alignment vertical="top"/>
    </xf>
    <xf numFmtId="0" fontId="18" fillId="27" borderId="12" xfId="0" applyFont="1" applyFill="1" applyBorder="1" applyAlignment="1">
      <alignment horizontal="center" vertical="top"/>
    </xf>
    <xf numFmtId="0" fontId="18" fillId="27" borderId="9" xfId="0" applyFont="1" applyFill="1" applyBorder="1" applyAlignment="1">
      <alignment horizontal="center" vertical="top"/>
    </xf>
    <xf numFmtId="0" fontId="18" fillId="27" borderId="10" xfId="0" applyFont="1" applyFill="1" applyBorder="1" applyAlignment="1">
      <alignment horizontal="center" vertical="top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1" fillId="0" borderId="8" xfId="0" applyFont="1" applyBorder="1"/>
    <xf numFmtId="0" fontId="21" fillId="0" borderId="8" xfId="0" applyFont="1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vertical="center"/>
    </xf>
    <xf numFmtId="49" fontId="0" fillId="0" borderId="8" xfId="0" applyNumberFormat="1" applyBorder="1" applyAlignment="1">
      <alignment horizontal="right" vertical="center"/>
    </xf>
    <xf numFmtId="0" fontId="3" fillId="27" borderId="8" xfId="0" applyFont="1" applyFill="1" applyBorder="1" applyAlignment="1">
      <alignment vertical="top"/>
    </xf>
    <xf numFmtId="0" fontId="3" fillId="0" borderId="8" xfId="0" applyFont="1" applyBorder="1" applyAlignment="1">
      <alignment vertical="center"/>
    </xf>
    <xf numFmtId="49" fontId="3" fillId="0" borderId="8" xfId="0" applyNumberFormat="1" applyFont="1" applyBorder="1" applyAlignment="1">
      <alignment horizontal="right" vertical="center"/>
    </xf>
    <xf numFmtId="49" fontId="3" fillId="0" borderId="8" xfId="0" applyNumberFormat="1" applyFont="1" applyBorder="1" applyAlignment="1">
      <alignment horizontal="right"/>
    </xf>
    <xf numFmtId="0" fontId="3" fillId="0" borderId="8" xfId="0" applyFont="1" applyBorder="1"/>
    <xf numFmtId="0" fontId="18" fillId="0" borderId="18" xfId="0" applyFont="1" applyBorder="1" applyAlignment="1">
      <alignment horizontal="center"/>
    </xf>
    <xf numFmtId="0" fontId="22" fillId="0" borderId="17" xfId="0" applyFont="1" applyBorder="1" applyAlignment="1">
      <alignment horizontal="center" vertical="top"/>
    </xf>
    <xf numFmtId="0" fontId="22" fillId="28" borderId="17" xfId="3" applyNumberFormat="1" applyFont="1" applyFill="1" applyBorder="1" applyAlignment="1">
      <alignment horizontal="center" vertical="top"/>
    </xf>
    <xf numFmtId="0" fontId="0" fillId="28" borderId="0" xfId="3" applyNumberFormat="1" applyFont="1" applyFill="1" applyAlignment="1">
      <alignment horizontal="center"/>
    </xf>
    <xf numFmtId="0" fontId="22" fillId="29" borderId="17" xfId="3" applyNumberFormat="1" applyFont="1" applyFill="1" applyBorder="1" applyAlignment="1">
      <alignment horizontal="center" vertical="top"/>
    </xf>
    <xf numFmtId="0" fontId="0" fillId="29" borderId="0" xfId="3" applyNumberFormat="1" applyFont="1" applyFill="1" applyAlignment="1">
      <alignment horizontal="center"/>
    </xf>
    <xf numFmtId="0" fontId="21" fillId="28" borderId="17" xfId="3" applyNumberFormat="1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left" vertical="center" wrapText="1"/>
    </xf>
    <xf numFmtId="46" fontId="3" fillId="3" borderId="1" xfId="0" applyNumberFormat="1" applyFont="1" applyFill="1" applyBorder="1" applyAlignment="1">
      <alignment horizontal="center" vertical="center"/>
    </xf>
    <xf numFmtId="10" fontId="0" fillId="20" borderId="8" xfId="0" applyNumberFormat="1" applyFill="1" applyBorder="1" applyAlignment="1">
      <alignment wrapText="1"/>
    </xf>
    <xf numFmtId="167" fontId="16" fillId="26" borderId="8" xfId="0" applyNumberFormat="1" applyFont="1" applyFill="1" applyBorder="1" applyAlignment="1">
      <alignment horizontal="center" vertical="center"/>
    </xf>
    <xf numFmtId="0" fontId="19" fillId="27" borderId="20" xfId="0" applyFont="1" applyFill="1" applyBorder="1" applyAlignment="1">
      <alignment vertical="top"/>
    </xf>
    <xf numFmtId="0" fontId="1" fillId="0" borderId="17" xfId="0" applyFont="1" applyBorder="1"/>
    <xf numFmtId="0" fontId="1" fillId="0" borderId="17" xfId="0" applyFont="1" applyBorder="1" applyAlignment="1">
      <alignment horizontal="center"/>
    </xf>
    <xf numFmtId="0" fontId="1" fillId="28" borderId="17" xfId="3" applyNumberFormat="1" applyFont="1" applyFill="1" applyBorder="1" applyAlignment="1">
      <alignment horizontal="center"/>
    </xf>
    <xf numFmtId="0" fontId="1" fillId="29" borderId="17" xfId="3" applyNumberFormat="1" applyFont="1" applyFill="1" applyBorder="1" applyAlignment="1">
      <alignment horizontal="center"/>
    </xf>
    <xf numFmtId="44" fontId="1" fillId="28" borderId="17" xfId="3" applyFont="1" applyFill="1" applyBorder="1" applyAlignment="1">
      <alignment horizontal="center"/>
    </xf>
    <xf numFmtId="0" fontId="19" fillId="0" borderId="26" xfId="0" applyFont="1" applyBorder="1"/>
    <xf numFmtId="0" fontId="1" fillId="0" borderId="26" xfId="0" applyFont="1" applyBorder="1"/>
    <xf numFmtId="0" fontId="19" fillId="27" borderId="17" xfId="0" applyFont="1" applyFill="1" applyBorder="1" applyAlignment="1">
      <alignment vertical="top"/>
    </xf>
    <xf numFmtId="0" fontId="1" fillId="27" borderId="11" xfId="0" applyFont="1" applyFill="1" applyBorder="1" applyAlignment="1">
      <alignment vertical="top"/>
    </xf>
    <xf numFmtId="0" fontId="1" fillId="27" borderId="12" xfId="0" applyFont="1" applyFill="1" applyBorder="1" applyAlignment="1">
      <alignment vertical="top"/>
    </xf>
    <xf numFmtId="0" fontId="1" fillId="27" borderId="12" xfId="0" applyFont="1" applyFill="1" applyBorder="1" applyAlignment="1">
      <alignment horizontal="center" vertical="top"/>
    </xf>
    <xf numFmtId="0" fontId="1" fillId="0" borderId="13" xfId="0" applyFont="1" applyBorder="1" applyAlignment="1">
      <alignment horizontal="center"/>
    </xf>
    <xf numFmtId="0" fontId="1" fillId="0" borderId="18" xfId="0" applyFont="1" applyBorder="1" applyAlignment="1">
      <alignment horizontal="right"/>
    </xf>
    <xf numFmtId="0" fontId="1" fillId="0" borderId="12" xfId="0" applyFont="1" applyBorder="1" applyAlignment="1">
      <alignment vertical="top"/>
    </xf>
    <xf numFmtId="0" fontId="24" fillId="0" borderId="17" xfId="4" applyFont="1" applyBorder="1" applyAlignment="1">
      <alignment horizontal="center"/>
    </xf>
    <xf numFmtId="0" fontId="1" fillId="0" borderId="9" xfId="0" applyFont="1" applyBorder="1"/>
    <xf numFmtId="0" fontId="1" fillId="0" borderId="12" xfId="0" applyFont="1" applyBorder="1" applyAlignment="1">
      <alignment horizontal="center"/>
    </xf>
    <xf numFmtId="0" fontId="1" fillId="0" borderId="14" xfId="0" applyFont="1" applyBorder="1"/>
    <xf numFmtId="0" fontId="1" fillId="0" borderId="15" xfId="0" applyFont="1" applyBorder="1" applyAlignment="1">
      <alignment horizontal="center"/>
    </xf>
    <xf numFmtId="0" fontId="1" fillId="0" borderId="19" xfId="0" applyFont="1" applyBorder="1" applyAlignment="1">
      <alignment horizontal="right"/>
    </xf>
    <xf numFmtId="0" fontId="1" fillId="0" borderId="14" xfId="0" applyFont="1" applyBorder="1" applyAlignment="1">
      <alignment vertical="center"/>
    </xf>
    <xf numFmtId="0" fontId="1" fillId="0" borderId="15" xfId="0" applyFont="1" applyBorder="1"/>
    <xf numFmtId="0" fontId="1" fillId="0" borderId="19" xfId="0" applyFont="1" applyBorder="1" applyAlignment="1">
      <alignment horizontal="right" vertical="center"/>
    </xf>
    <xf numFmtId="0" fontId="1" fillId="0" borderId="7" xfId="0" applyFont="1" applyBorder="1" applyAlignment="1">
      <alignment horizontal="center"/>
    </xf>
    <xf numFmtId="0" fontId="1" fillId="24" borderId="15" xfId="0" applyFont="1" applyFill="1" applyBorder="1" applyAlignment="1">
      <alignment horizontal="center"/>
    </xf>
    <xf numFmtId="0" fontId="1" fillId="0" borderId="16" xfId="0" applyFont="1" applyBorder="1"/>
    <xf numFmtId="0" fontId="1" fillId="27" borderId="20" xfId="0" applyFont="1" applyFill="1" applyBorder="1" applyAlignment="1">
      <alignment vertical="top"/>
    </xf>
    <xf numFmtId="0" fontId="1" fillId="27" borderId="17" xfId="0" applyFont="1" applyFill="1" applyBorder="1" applyAlignment="1">
      <alignment vertical="top"/>
    </xf>
    <xf numFmtId="0" fontId="1" fillId="0" borderId="25" xfId="0" applyFont="1" applyBorder="1"/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right"/>
    </xf>
    <xf numFmtId="0" fontId="1" fillId="0" borderId="24" xfId="0" applyFont="1" applyBorder="1" applyAlignment="1">
      <alignment horizontal="center"/>
    </xf>
    <xf numFmtId="0" fontId="1" fillId="28" borderId="24" xfId="3" applyNumberFormat="1" applyFont="1" applyFill="1" applyBorder="1" applyAlignment="1">
      <alignment horizontal="center"/>
    </xf>
    <xf numFmtId="0" fontId="1" fillId="29" borderId="24" xfId="3" applyNumberFormat="1" applyFont="1" applyFill="1" applyBorder="1" applyAlignment="1">
      <alignment horizontal="center"/>
    </xf>
    <xf numFmtId="4" fontId="1" fillId="28" borderId="17" xfId="3" applyNumberFormat="1" applyFont="1" applyFill="1" applyBorder="1" applyAlignment="1">
      <alignment horizontal="center"/>
    </xf>
    <xf numFmtId="0" fontId="1" fillId="0" borderId="27" xfId="0" applyFont="1" applyBorder="1"/>
    <xf numFmtId="0" fontId="1" fillId="0" borderId="24" xfId="0" applyFont="1" applyBorder="1"/>
    <xf numFmtId="44" fontId="1" fillId="28" borderId="24" xfId="3" applyFont="1" applyFill="1" applyBorder="1" applyAlignment="1">
      <alignment horizontal="center"/>
    </xf>
    <xf numFmtId="0" fontId="1" fillId="27" borderId="17" xfId="0" applyFont="1" applyFill="1" applyBorder="1" applyAlignment="1">
      <alignment horizontal="center" vertical="top"/>
    </xf>
    <xf numFmtId="0" fontId="24" fillId="0" borderId="17" xfId="0" applyFont="1" applyBorder="1" applyAlignment="1">
      <alignment horizontal="center"/>
    </xf>
    <xf numFmtId="0" fontId="24" fillId="0" borderId="17" xfId="0" applyFont="1" applyBorder="1" applyAlignment="1">
      <alignment horizontal="right"/>
    </xf>
    <xf numFmtId="0" fontId="24" fillId="0" borderId="17" xfId="0" applyFont="1" applyBorder="1" applyAlignment="1">
      <alignment horizontal="right" vertical="center"/>
    </xf>
    <xf numFmtId="0" fontId="17" fillId="0" borderId="0" xfId="0" applyFont="1" applyAlignment="1">
      <alignment horizontal="left" vertical="center" wrapText="1" indent="61"/>
    </xf>
    <xf numFmtId="0" fontId="15" fillId="25" borderId="0" xfId="0" applyFont="1" applyFill="1" applyAlignment="1">
      <alignment horizontal="center" vertical="center" wrapText="1"/>
    </xf>
    <xf numFmtId="0" fontId="16" fillId="26" borderId="8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7" fillId="12" borderId="8" xfId="0" applyFont="1" applyFill="1" applyBorder="1" applyAlignment="1">
      <alignment horizontal="center" vertical="center" wrapText="1"/>
    </xf>
    <xf numFmtId="0" fontId="8" fillId="13" borderId="8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5" fillId="0" borderId="5" xfId="0" applyFont="1" applyBorder="1"/>
    <xf numFmtId="0" fontId="5" fillId="0" borderId="6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6" fillId="4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6" fillId="3" borderId="2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3" fontId="3" fillId="30" borderId="1" xfId="0" applyNumberFormat="1" applyFont="1" applyFill="1" applyBorder="1" applyAlignment="1">
      <alignment horizontal="center" vertical="center"/>
    </xf>
    <xf numFmtId="0" fontId="6" fillId="30" borderId="1" xfId="0" applyFont="1" applyFill="1" applyBorder="1" applyAlignment="1">
      <alignment horizontal="center" vertical="center"/>
    </xf>
  </cellXfs>
  <cellStyles count="5">
    <cellStyle name="Hiperlink" xfId="4" builtinId="8"/>
    <cellStyle name="Moeda" xfId="3" builtinId="4"/>
    <cellStyle name="Normal" xfId="0" builtinId="0"/>
    <cellStyle name="Normal 2" xfId="1" xr:uid="{B6D13EF8-1593-44AD-B7A9-3A9DF2CA949C}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0</xdr:row>
      <xdr:rowOff>180975</xdr:rowOff>
    </xdr:from>
    <xdr:ext cx="828675" cy="457200"/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248025" cy="781050"/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1154430</xdr:colOff>
      <xdr:row>0</xdr:row>
      <xdr:rowOff>59055</xdr:rowOff>
    </xdr:from>
    <xdr:ext cx="1914525" cy="685800"/>
    <xdr:pic>
      <xdr:nvPicPr>
        <xdr:cNvPr id="4" name="/xl/media/image3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104775</xdr:rowOff>
    </xdr:from>
    <xdr:ext cx="1314450" cy="609600"/>
    <xdr:pic>
      <xdr:nvPicPr>
        <xdr:cNvPr id="5" name="/xl/media/image4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0</xdr:row>
      <xdr:rowOff>180975</xdr:rowOff>
    </xdr:from>
    <xdr:ext cx="828675" cy="457200"/>
    <xdr:pic>
      <xdr:nvPicPr>
        <xdr:cNvPr id="2" name="/xl/media/image5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248025" cy="781050"/>
    <xdr:pic>
      <xdr:nvPicPr>
        <xdr:cNvPr id="3" name="/xl/media/image6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962025</xdr:colOff>
      <xdr:row>0</xdr:row>
      <xdr:rowOff>47625</xdr:rowOff>
    </xdr:from>
    <xdr:ext cx="1914525" cy="685800"/>
    <xdr:pic>
      <xdr:nvPicPr>
        <xdr:cNvPr id="4" name="/xl/media/image7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104775</xdr:rowOff>
    </xdr:from>
    <xdr:ext cx="1314450" cy="609600"/>
    <xdr:pic>
      <xdr:nvPicPr>
        <xdr:cNvPr id="5" name="/xl/media/image8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0</xdr:row>
      <xdr:rowOff>180975</xdr:rowOff>
    </xdr:from>
    <xdr:ext cx="828675" cy="457200"/>
    <xdr:pic>
      <xdr:nvPicPr>
        <xdr:cNvPr id="2" name="/xl/media/image9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248025" cy="781050"/>
    <xdr:pic>
      <xdr:nvPicPr>
        <xdr:cNvPr id="3" name="/xl/media/image10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962025</xdr:colOff>
      <xdr:row>0</xdr:row>
      <xdr:rowOff>47625</xdr:rowOff>
    </xdr:from>
    <xdr:ext cx="1914525" cy="685800"/>
    <xdr:pic>
      <xdr:nvPicPr>
        <xdr:cNvPr id="4" name="/xl/media/image11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104775</xdr:rowOff>
    </xdr:from>
    <xdr:ext cx="1314450" cy="609600"/>
    <xdr:pic>
      <xdr:nvPicPr>
        <xdr:cNvPr id="5" name="/xl/media/image12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0</xdr:row>
      <xdr:rowOff>180975</xdr:rowOff>
    </xdr:from>
    <xdr:ext cx="828675" cy="457200"/>
    <xdr:pic>
      <xdr:nvPicPr>
        <xdr:cNvPr id="2" name="/xl/media/image13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248025" cy="781050"/>
    <xdr:pic>
      <xdr:nvPicPr>
        <xdr:cNvPr id="3" name="/xl/media/image14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962025</xdr:colOff>
      <xdr:row>0</xdr:row>
      <xdr:rowOff>47625</xdr:rowOff>
    </xdr:from>
    <xdr:ext cx="1914525" cy="685800"/>
    <xdr:pic>
      <xdr:nvPicPr>
        <xdr:cNvPr id="4" name="/xl/media/image15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104775</xdr:rowOff>
    </xdr:from>
    <xdr:ext cx="1314450" cy="609600"/>
    <xdr:pic>
      <xdr:nvPicPr>
        <xdr:cNvPr id="5" name="/xl/media/image16.pn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0</xdr:row>
      <xdr:rowOff>180975</xdr:rowOff>
    </xdr:from>
    <xdr:ext cx="828675" cy="457200"/>
    <xdr:pic>
      <xdr:nvPicPr>
        <xdr:cNvPr id="2" name="/xl/media/image17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248025" cy="781050"/>
    <xdr:pic>
      <xdr:nvPicPr>
        <xdr:cNvPr id="3" name="/xl/media/image18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962025</xdr:colOff>
      <xdr:row>0</xdr:row>
      <xdr:rowOff>47625</xdr:rowOff>
    </xdr:from>
    <xdr:ext cx="1914525" cy="685800"/>
    <xdr:pic>
      <xdr:nvPicPr>
        <xdr:cNvPr id="4" name="/xl/media/image19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104775</xdr:rowOff>
    </xdr:from>
    <xdr:ext cx="1314450" cy="609600"/>
    <xdr:pic>
      <xdr:nvPicPr>
        <xdr:cNvPr id="5" name="/xl/media/image20.pn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0</xdr:row>
      <xdr:rowOff>180975</xdr:rowOff>
    </xdr:from>
    <xdr:ext cx="828675" cy="457200"/>
    <xdr:pic>
      <xdr:nvPicPr>
        <xdr:cNvPr id="2" name="/xl/media/image2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248025" cy="781050"/>
    <xdr:pic>
      <xdr:nvPicPr>
        <xdr:cNvPr id="3" name="/xl/media/image22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962025</xdr:colOff>
      <xdr:row>0</xdr:row>
      <xdr:rowOff>47625</xdr:rowOff>
    </xdr:from>
    <xdr:ext cx="1914525" cy="685800"/>
    <xdr:pic>
      <xdr:nvPicPr>
        <xdr:cNvPr id="4" name="/xl/media/image23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104775</xdr:rowOff>
    </xdr:from>
    <xdr:ext cx="1314450" cy="609600"/>
    <xdr:pic>
      <xdr:nvPicPr>
        <xdr:cNvPr id="5" name="/xl/media/image24.pn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3BEF2D"/>
      </a:accent2>
      <a:accent3>
        <a:srgbClr val="FFFF00"/>
      </a:accent3>
      <a:accent4>
        <a:srgbClr val="FFC000"/>
      </a:accent4>
      <a:accent5>
        <a:srgbClr val="FF0000"/>
      </a:accent5>
      <a:accent6>
        <a:srgbClr val="BFBFBF"/>
      </a:accent6>
      <a:hlink>
        <a:srgbClr val="467886"/>
      </a:hlink>
      <a:folHlink>
        <a:srgbClr val="46788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opLeftCell="A4" workbookViewId="0">
      <selection activeCell="F17" sqref="F17"/>
    </sheetView>
  </sheetViews>
  <sheetFormatPr defaultRowHeight="14.4" x14ac:dyDescent="0.3"/>
  <cols>
    <col min="1" max="1" width="23.5546875" customWidth="1"/>
    <col min="2" max="2" width="40.5546875" customWidth="1"/>
    <col min="3" max="3" width="9.77734375" customWidth="1"/>
    <col min="4" max="4" width="8.33203125" customWidth="1"/>
    <col min="5" max="5" width="8" customWidth="1"/>
    <col min="6" max="6" width="9.44140625" customWidth="1"/>
    <col min="7" max="7" width="9" customWidth="1"/>
    <col min="8" max="8" width="10.6640625" customWidth="1"/>
    <col min="9" max="9" width="12.5546875" customWidth="1"/>
    <col min="10" max="10" width="11.77734375" customWidth="1"/>
    <col min="11" max="11" width="13.44140625" customWidth="1"/>
    <col min="12" max="12" width="12.77734375" customWidth="1"/>
    <col min="13" max="13" width="10.6640625" customWidth="1"/>
    <col min="14" max="14" width="12.77734375" customWidth="1"/>
    <col min="15" max="15" width="9.109375" customWidth="1"/>
  </cols>
  <sheetData>
    <row r="1" spans="1:15" s="33" customFormat="1" ht="49.5" customHeight="1" x14ac:dyDescent="0.3">
      <c r="A1" s="155"/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 s="33" customFormat="1" x14ac:dyDescent="0.3">
      <c r="A2" s="34" t="s">
        <v>0</v>
      </c>
      <c r="B2" s="34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s="33" customFormat="1" x14ac:dyDescent="0.3">
      <c r="A3" s="156"/>
      <c r="B3" s="156"/>
      <c r="C3" s="36" t="s">
        <v>1</v>
      </c>
      <c r="D3" s="36" t="s">
        <v>2</v>
      </c>
      <c r="E3" s="36" t="s">
        <v>3</v>
      </c>
      <c r="F3" s="36" t="s">
        <v>4</v>
      </c>
      <c r="G3" s="36" t="s">
        <v>5</v>
      </c>
      <c r="H3" s="36" t="s">
        <v>6</v>
      </c>
      <c r="I3" s="36" t="s">
        <v>7</v>
      </c>
      <c r="J3" s="36" t="s">
        <v>8</v>
      </c>
      <c r="K3" s="36" t="s">
        <v>9</v>
      </c>
      <c r="L3" s="36" t="s">
        <v>10</v>
      </c>
      <c r="M3" s="36" t="s">
        <v>11</v>
      </c>
      <c r="N3" s="36" t="s">
        <v>12</v>
      </c>
      <c r="O3" s="36" t="s">
        <v>13</v>
      </c>
    </row>
    <row r="4" spans="1:15" s="33" customFormat="1" x14ac:dyDescent="0.3">
      <c r="A4" s="157" t="s">
        <v>14</v>
      </c>
      <c r="B4" s="40" t="s">
        <v>15</v>
      </c>
      <c r="C4" s="41">
        <v>35794</v>
      </c>
      <c r="D4" s="41">
        <v>30587</v>
      </c>
      <c r="E4" s="41">
        <v>29897</v>
      </c>
      <c r="F4" s="41">
        <v>37323</v>
      </c>
      <c r="G4" s="41"/>
      <c r="H4" s="41"/>
      <c r="I4" s="41"/>
      <c r="J4" s="41"/>
      <c r="K4" s="41"/>
      <c r="L4" s="41"/>
      <c r="M4" s="41"/>
      <c r="N4" s="41"/>
      <c r="O4" s="42">
        <f>SUM(C4:N4)</f>
        <v>133601</v>
      </c>
    </row>
    <row r="5" spans="1:15" s="33" customFormat="1" x14ac:dyDescent="0.3">
      <c r="A5" s="157"/>
      <c r="B5" s="40" t="s">
        <v>16</v>
      </c>
      <c r="C5" s="41">
        <v>12251</v>
      </c>
      <c r="D5" s="41">
        <v>12251</v>
      </c>
      <c r="E5" s="41">
        <v>12251</v>
      </c>
      <c r="F5" s="41">
        <v>12251</v>
      </c>
      <c r="G5" s="41">
        <v>12251</v>
      </c>
      <c r="H5" s="41">
        <v>12251</v>
      </c>
      <c r="I5" s="41">
        <v>12251</v>
      </c>
      <c r="J5" s="41">
        <v>12251</v>
      </c>
      <c r="K5" s="41">
        <v>12251</v>
      </c>
      <c r="L5" s="41">
        <v>12251</v>
      </c>
      <c r="M5" s="41">
        <v>12251</v>
      </c>
      <c r="N5" s="41">
        <v>12251</v>
      </c>
      <c r="O5" s="42">
        <f>SUM(C5:N5)</f>
        <v>147012</v>
      </c>
    </row>
    <row r="6" spans="1:15" s="33" customFormat="1" x14ac:dyDescent="0.3">
      <c r="A6" s="157"/>
      <c r="B6" s="37" t="s">
        <v>17</v>
      </c>
      <c r="C6" s="38">
        <v>50246</v>
      </c>
      <c r="D6" s="38">
        <v>49113</v>
      </c>
      <c r="E6" s="38">
        <v>47143</v>
      </c>
      <c r="F6" s="38">
        <v>50900</v>
      </c>
      <c r="G6" s="38"/>
      <c r="H6" s="38"/>
      <c r="I6" s="38"/>
      <c r="J6" s="38"/>
      <c r="K6" s="38"/>
      <c r="L6" s="38"/>
      <c r="M6" s="38"/>
      <c r="N6" s="38"/>
      <c r="O6" s="39">
        <f>SUM(C6:N6)</f>
        <v>197402</v>
      </c>
    </row>
    <row r="7" spans="1:15" s="33" customFormat="1" x14ac:dyDescent="0.3">
      <c r="A7" s="157"/>
      <c r="B7" s="37" t="s">
        <v>16</v>
      </c>
      <c r="C7" s="38">
        <v>45843</v>
      </c>
      <c r="D7" s="38">
        <v>45843</v>
      </c>
      <c r="E7" s="38">
        <v>45843</v>
      </c>
      <c r="F7" s="38">
        <v>45843</v>
      </c>
      <c r="G7" s="38">
        <v>45843</v>
      </c>
      <c r="H7" s="38">
        <v>45843</v>
      </c>
      <c r="I7" s="38">
        <v>45843</v>
      </c>
      <c r="J7" s="38">
        <v>45843</v>
      </c>
      <c r="K7" s="38">
        <v>45843</v>
      </c>
      <c r="L7" s="38">
        <v>45843</v>
      </c>
      <c r="M7" s="38">
        <v>45843</v>
      </c>
      <c r="N7" s="38">
        <v>45843</v>
      </c>
      <c r="O7" s="39">
        <f>SUM(C7:N7)</f>
        <v>550116</v>
      </c>
    </row>
    <row r="8" spans="1:15" s="33" customFormat="1" x14ac:dyDescent="0.3">
      <c r="A8" s="157"/>
      <c r="B8" s="40" t="s">
        <v>18</v>
      </c>
      <c r="C8" s="41">
        <v>37060</v>
      </c>
      <c r="D8" s="41">
        <v>34175</v>
      </c>
      <c r="E8" s="41">
        <v>37018</v>
      </c>
      <c r="F8" s="41">
        <v>37046</v>
      </c>
      <c r="G8" s="41"/>
      <c r="H8" s="41"/>
      <c r="I8" s="41"/>
      <c r="J8" s="41"/>
      <c r="K8" s="41"/>
      <c r="L8" s="41"/>
      <c r="M8" s="41"/>
      <c r="N8" s="41"/>
      <c r="O8" s="42">
        <f>SUM(C8:N8)</f>
        <v>145299</v>
      </c>
    </row>
    <row r="9" spans="1:15" s="33" customFormat="1" x14ac:dyDescent="0.3">
      <c r="A9" s="157"/>
      <c r="B9" s="40" t="s">
        <v>16</v>
      </c>
      <c r="C9" s="41">
        <v>29249</v>
      </c>
      <c r="D9" s="41">
        <v>29249</v>
      </c>
      <c r="E9" s="41">
        <v>29249</v>
      </c>
      <c r="F9" s="41">
        <v>29249</v>
      </c>
      <c r="G9" s="41">
        <v>29249</v>
      </c>
      <c r="H9" s="41">
        <v>29249</v>
      </c>
      <c r="I9" s="41">
        <v>29249</v>
      </c>
      <c r="J9" s="41">
        <v>29249</v>
      </c>
      <c r="K9" s="41">
        <v>29249</v>
      </c>
      <c r="L9" s="41">
        <v>29249</v>
      </c>
      <c r="M9" s="41">
        <v>29249</v>
      </c>
      <c r="N9" s="41">
        <v>29249</v>
      </c>
      <c r="O9" s="42">
        <f t="shared" ref="O9:O18" si="0">SUM(C9:N9)</f>
        <v>350988</v>
      </c>
    </row>
    <row r="10" spans="1:15" s="33" customFormat="1" x14ac:dyDescent="0.3">
      <c r="A10" s="157"/>
      <c r="B10" s="37" t="s">
        <v>19</v>
      </c>
      <c r="C10" s="38">
        <v>4787</v>
      </c>
      <c r="D10" s="38">
        <v>7491</v>
      </c>
      <c r="E10" s="38">
        <v>5472</v>
      </c>
      <c r="F10" s="39">
        <v>5823</v>
      </c>
      <c r="G10" s="38"/>
      <c r="H10" s="38"/>
      <c r="I10" s="38"/>
      <c r="J10" s="38"/>
      <c r="K10" s="38"/>
      <c r="L10" s="38"/>
      <c r="M10" s="38"/>
      <c r="N10" s="38"/>
      <c r="O10" s="39">
        <f t="shared" si="0"/>
        <v>23573</v>
      </c>
    </row>
    <row r="11" spans="1:15" s="33" customFormat="1" x14ac:dyDescent="0.3">
      <c r="A11" s="157"/>
      <c r="B11" s="37" t="s">
        <v>16</v>
      </c>
      <c r="C11" s="38">
        <v>4645</v>
      </c>
      <c r="D11" s="38">
        <v>4645</v>
      </c>
      <c r="E11" s="38">
        <v>4645</v>
      </c>
      <c r="F11" s="38">
        <v>4645</v>
      </c>
      <c r="G11" s="38">
        <v>4645</v>
      </c>
      <c r="H11" s="38">
        <v>4645</v>
      </c>
      <c r="I11" s="38">
        <v>4645</v>
      </c>
      <c r="J11" s="38">
        <v>4645</v>
      </c>
      <c r="K11" s="38">
        <v>4645</v>
      </c>
      <c r="L11" s="38">
        <v>4645</v>
      </c>
      <c r="M11" s="38">
        <v>4645</v>
      </c>
      <c r="N11" s="38">
        <v>4645</v>
      </c>
      <c r="O11" s="39">
        <f t="shared" si="0"/>
        <v>55740</v>
      </c>
    </row>
    <row r="12" spans="1:15" s="33" customFormat="1" x14ac:dyDescent="0.3">
      <c r="A12" s="157"/>
      <c r="B12" s="40" t="s">
        <v>20</v>
      </c>
      <c r="C12" s="41">
        <v>6952</v>
      </c>
      <c r="D12" s="41">
        <v>5794</v>
      </c>
      <c r="E12" s="41">
        <v>4903</v>
      </c>
      <c r="F12" s="41">
        <v>5959</v>
      </c>
      <c r="G12" s="41"/>
      <c r="H12" s="41"/>
      <c r="I12" s="41"/>
      <c r="J12" s="41"/>
      <c r="K12" s="41"/>
      <c r="L12" s="41"/>
      <c r="M12" s="41"/>
      <c r="N12" s="41"/>
      <c r="O12" s="42">
        <f t="shared" si="0"/>
        <v>23608</v>
      </c>
    </row>
    <row r="13" spans="1:15" s="33" customFormat="1" x14ac:dyDescent="0.3">
      <c r="A13" s="157"/>
      <c r="B13" s="40" t="s">
        <v>16</v>
      </c>
      <c r="C13" s="41">
        <v>6133</v>
      </c>
      <c r="D13" s="41">
        <v>6133</v>
      </c>
      <c r="E13" s="41">
        <v>6133</v>
      </c>
      <c r="F13" s="41">
        <v>6133</v>
      </c>
      <c r="G13" s="41">
        <v>6133</v>
      </c>
      <c r="H13" s="41">
        <v>6133</v>
      </c>
      <c r="I13" s="41">
        <v>6133</v>
      </c>
      <c r="J13" s="41">
        <v>6133</v>
      </c>
      <c r="K13" s="41">
        <v>6133</v>
      </c>
      <c r="L13" s="41">
        <v>6133</v>
      </c>
      <c r="M13" s="41">
        <v>6133</v>
      </c>
      <c r="N13" s="41">
        <v>6133</v>
      </c>
      <c r="O13" s="42">
        <f t="shared" si="0"/>
        <v>73596</v>
      </c>
    </row>
    <row r="14" spans="1:15" s="33" customFormat="1" x14ac:dyDescent="0.3">
      <c r="A14" s="157"/>
      <c r="B14" s="37" t="s">
        <v>21</v>
      </c>
      <c r="C14" s="38">
        <v>187915</v>
      </c>
      <c r="D14" s="38">
        <v>180404</v>
      </c>
      <c r="E14" s="38">
        <v>177408</v>
      </c>
      <c r="F14" s="38">
        <v>154921</v>
      </c>
      <c r="G14" s="38"/>
      <c r="H14" s="38"/>
      <c r="I14" s="38"/>
      <c r="J14" s="38"/>
      <c r="K14" s="38"/>
      <c r="L14" s="38"/>
      <c r="M14" s="38"/>
      <c r="N14" s="38"/>
      <c r="O14" s="39">
        <f t="shared" si="0"/>
        <v>700648</v>
      </c>
    </row>
    <row r="15" spans="1:15" s="33" customFormat="1" x14ac:dyDescent="0.3">
      <c r="A15" s="157"/>
      <c r="B15" s="37" t="s">
        <v>16</v>
      </c>
      <c r="C15" s="38">
        <v>158145</v>
      </c>
      <c r="D15" s="38">
        <v>158145</v>
      </c>
      <c r="E15" s="38">
        <v>158145</v>
      </c>
      <c r="F15" s="38">
        <v>158145</v>
      </c>
      <c r="G15" s="38">
        <v>158145</v>
      </c>
      <c r="H15" s="38">
        <v>158145</v>
      </c>
      <c r="I15" s="38">
        <v>158145</v>
      </c>
      <c r="J15" s="38">
        <v>158145</v>
      </c>
      <c r="K15" s="38">
        <v>158145</v>
      </c>
      <c r="L15" s="38">
        <v>158145</v>
      </c>
      <c r="M15" s="38">
        <v>158145</v>
      </c>
      <c r="N15" s="38">
        <v>158145</v>
      </c>
      <c r="O15" s="39">
        <f t="shared" si="0"/>
        <v>1897740</v>
      </c>
    </row>
    <row r="16" spans="1:15" s="33" customFormat="1" x14ac:dyDescent="0.3">
      <c r="A16" s="157"/>
      <c r="B16" s="40" t="s">
        <v>22</v>
      </c>
      <c r="C16" s="41">
        <v>23862</v>
      </c>
      <c r="D16" s="41">
        <v>19205</v>
      </c>
      <c r="E16" s="41">
        <v>17536</v>
      </c>
      <c r="F16" s="41">
        <v>18889</v>
      </c>
      <c r="G16" s="41"/>
      <c r="H16" s="41"/>
      <c r="I16" s="41"/>
      <c r="J16" s="41"/>
      <c r="K16" s="41"/>
      <c r="L16" s="41"/>
      <c r="M16" s="41"/>
      <c r="N16" s="41"/>
      <c r="O16" s="42">
        <f t="shared" si="0"/>
        <v>79492</v>
      </c>
    </row>
    <row r="17" spans="1:15" s="33" customFormat="1" x14ac:dyDescent="0.3">
      <c r="A17" s="157"/>
      <c r="B17" s="40" t="s">
        <v>16</v>
      </c>
      <c r="C17" s="41">
        <v>14621</v>
      </c>
      <c r="D17" s="42">
        <v>14621</v>
      </c>
      <c r="E17" s="42">
        <v>14621</v>
      </c>
      <c r="F17" s="42">
        <v>14621</v>
      </c>
      <c r="G17" s="42">
        <v>14621</v>
      </c>
      <c r="H17" s="42">
        <v>14621</v>
      </c>
      <c r="I17" s="42">
        <v>14621</v>
      </c>
      <c r="J17" s="42">
        <v>14621</v>
      </c>
      <c r="K17" s="42">
        <v>14621</v>
      </c>
      <c r="L17" s="42">
        <v>14621</v>
      </c>
      <c r="M17" s="42">
        <v>14621</v>
      </c>
      <c r="N17" s="42">
        <v>14621</v>
      </c>
      <c r="O17" s="42">
        <f t="shared" si="0"/>
        <v>175452</v>
      </c>
    </row>
    <row r="18" spans="1:15" s="33" customFormat="1" x14ac:dyDescent="0.3">
      <c r="A18" s="157"/>
      <c r="B18" s="37" t="s">
        <v>23</v>
      </c>
      <c r="C18" s="38">
        <f>C4+C6+C8+C10+C12+C14+C16+1252</f>
        <v>347868</v>
      </c>
      <c r="D18" s="38">
        <f t="shared" ref="D18:N18" si="1">D4+D6+D8+D10+D12+D14+D16</f>
        <v>326769</v>
      </c>
      <c r="E18" s="38">
        <f t="shared" si="1"/>
        <v>319377</v>
      </c>
      <c r="F18" s="38">
        <f t="shared" si="1"/>
        <v>310861</v>
      </c>
      <c r="G18" s="38">
        <f t="shared" si="1"/>
        <v>0</v>
      </c>
      <c r="H18" s="38">
        <f t="shared" si="1"/>
        <v>0</v>
      </c>
      <c r="I18" s="38">
        <f t="shared" si="1"/>
        <v>0</v>
      </c>
      <c r="J18" s="38">
        <f t="shared" si="1"/>
        <v>0</v>
      </c>
      <c r="K18" s="38">
        <f t="shared" si="1"/>
        <v>0</v>
      </c>
      <c r="L18" s="38">
        <f t="shared" si="1"/>
        <v>0</v>
      </c>
      <c r="M18" s="38">
        <f t="shared" si="1"/>
        <v>0</v>
      </c>
      <c r="N18" s="38">
        <f t="shared" si="1"/>
        <v>0</v>
      </c>
      <c r="O18" s="39">
        <f t="shared" si="0"/>
        <v>1304875</v>
      </c>
    </row>
  </sheetData>
  <mergeCells count="3">
    <mergeCell ref="A1:O1"/>
    <mergeCell ref="A3:B3"/>
    <mergeCell ref="A4:A18"/>
  </mergeCells>
  <pageMargins left="0.7" right="0.7" top="0.75" bottom="0.75" header="0.3" footer="0.3"/>
  <pageSetup paperSize="9"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33"/>
  <sheetViews>
    <sheetView showGridLines="0" topLeftCell="A34" workbookViewId="0">
      <selection activeCell="F41" sqref="F41"/>
    </sheetView>
  </sheetViews>
  <sheetFormatPr defaultColWidth="12.6640625" defaultRowHeight="14.4" x14ac:dyDescent="0.3"/>
  <cols>
    <col min="1" max="1" width="32.21875" customWidth="1"/>
    <col min="2" max="2" width="56.77734375" customWidth="1"/>
    <col min="3" max="14" width="15.21875" customWidth="1"/>
    <col min="15" max="15" width="21.33203125" customWidth="1"/>
    <col min="16" max="16" width="9.21875" customWidth="1"/>
    <col min="17" max="26" width="8.88671875" customWidth="1"/>
  </cols>
  <sheetData>
    <row r="1" spans="1:26" ht="61.5" customHeight="1" x14ac:dyDescent="0.3">
      <c r="A1" s="164"/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2" t="s">
        <v>24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61"/>
      <c r="B3" s="162"/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66" t="s">
        <v>25</v>
      </c>
      <c r="B4" s="162"/>
      <c r="C4" s="4">
        <v>12302</v>
      </c>
      <c r="D4" s="4">
        <v>12413</v>
      </c>
      <c r="E4" s="4">
        <v>12525</v>
      </c>
      <c r="F4" s="4">
        <v>12299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5">
        <f>SUM(C4:N4)</f>
        <v>49539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6" t="s">
        <v>26</v>
      </c>
      <c r="B5" s="6"/>
      <c r="C5" s="4">
        <f>C4/31</f>
        <v>396.83870967741933</v>
      </c>
      <c r="D5" s="4">
        <f>D4/30</f>
        <v>413.76666666666665</v>
      </c>
      <c r="E5" s="4">
        <f>E4/31</f>
        <v>404.03225806451616</v>
      </c>
      <c r="F5" s="4">
        <f>F4/30</f>
        <v>409.96666666666664</v>
      </c>
      <c r="G5" s="4">
        <f>G4/31</f>
        <v>0</v>
      </c>
      <c r="H5" s="4">
        <f>H4/31</f>
        <v>0</v>
      </c>
      <c r="I5" s="4">
        <f>I4/30</f>
        <v>0</v>
      </c>
      <c r="J5" s="4">
        <f>J4/31</f>
        <v>0</v>
      </c>
      <c r="K5" s="4">
        <f>K4/30</f>
        <v>0</v>
      </c>
      <c r="L5" s="4">
        <f>L4/31</f>
        <v>0</v>
      </c>
      <c r="M5" s="4">
        <f>M4/31</f>
        <v>0</v>
      </c>
      <c r="N5" s="4">
        <f>N4/28</f>
        <v>0</v>
      </c>
      <c r="O5" s="5">
        <f>AVERAGE(C5:N5)</f>
        <v>135.38369175627238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0.5" customHeight="1" x14ac:dyDescent="0.3">
      <c r="A6" s="7"/>
      <c r="B6" s="7"/>
      <c r="C6" s="1"/>
      <c r="D6" s="1"/>
      <c r="E6" s="1"/>
      <c r="F6" s="1"/>
      <c r="G6" s="1"/>
      <c r="H6" s="8"/>
      <c r="I6" s="8"/>
      <c r="J6" s="8"/>
      <c r="K6" s="8"/>
      <c r="L6" s="8"/>
      <c r="M6" s="8"/>
      <c r="N6" s="8"/>
      <c r="O6" s="9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61"/>
      <c r="B7" s="162"/>
      <c r="C7" s="3" t="s">
        <v>1</v>
      </c>
      <c r="D7" s="3" t="s">
        <v>2</v>
      </c>
      <c r="E7" s="3" t="s">
        <v>3</v>
      </c>
      <c r="F7" s="3" t="s">
        <v>4</v>
      </c>
      <c r="G7" s="3" t="s">
        <v>5</v>
      </c>
      <c r="H7" s="3" t="s">
        <v>6</v>
      </c>
      <c r="I7" s="3" t="s">
        <v>7</v>
      </c>
      <c r="J7" s="3" t="s">
        <v>8</v>
      </c>
      <c r="K7" s="3" t="s">
        <v>9</v>
      </c>
      <c r="L7" s="3" t="s">
        <v>10</v>
      </c>
      <c r="M7" s="3" t="s">
        <v>11</v>
      </c>
      <c r="N7" s="3" t="s">
        <v>12</v>
      </c>
      <c r="O7" s="3" t="s">
        <v>13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66" t="s">
        <v>27</v>
      </c>
      <c r="B8" s="162"/>
      <c r="C8" s="4">
        <v>11519</v>
      </c>
      <c r="D8" s="4">
        <v>11655</v>
      </c>
      <c r="E8" s="4">
        <v>11825</v>
      </c>
      <c r="F8" s="4">
        <v>11620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5">
        <f>SUM(C8:N8)</f>
        <v>46619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63" t="s">
        <v>28</v>
      </c>
      <c r="B9" s="162"/>
      <c r="C9" s="10">
        <v>8000</v>
      </c>
      <c r="D9" s="10">
        <v>8000</v>
      </c>
      <c r="E9" s="10">
        <v>8000</v>
      </c>
      <c r="F9" s="10">
        <v>8000</v>
      </c>
      <c r="G9" s="10">
        <v>8000</v>
      </c>
      <c r="H9" s="10">
        <v>8000</v>
      </c>
      <c r="I9" s="10">
        <v>8000</v>
      </c>
      <c r="J9" s="10">
        <v>8000</v>
      </c>
      <c r="K9" s="10">
        <v>8000</v>
      </c>
      <c r="L9" s="10">
        <v>8000</v>
      </c>
      <c r="M9" s="10">
        <v>8000</v>
      </c>
      <c r="N9" s="10">
        <v>8000</v>
      </c>
      <c r="O9" s="11">
        <f>SUM(C9:N9)</f>
        <v>96000</v>
      </c>
      <c r="P9" s="12"/>
      <c r="Q9" s="10"/>
      <c r="R9" s="12"/>
      <c r="S9" s="12"/>
      <c r="T9" s="12"/>
      <c r="U9" s="12"/>
      <c r="V9" s="12"/>
      <c r="W9" s="12"/>
      <c r="X9" s="12"/>
      <c r="Y9" s="12"/>
      <c r="Z9" s="12"/>
    </row>
    <row r="10" spans="1:26" ht="10.5" customHeight="1" x14ac:dyDescent="0.3">
      <c r="A10" s="7"/>
      <c r="B10" s="7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61"/>
      <c r="B11" s="162"/>
      <c r="C11" s="3" t="s">
        <v>1</v>
      </c>
      <c r="D11" s="3" t="s">
        <v>2</v>
      </c>
      <c r="E11" s="3" t="s">
        <v>3</v>
      </c>
      <c r="F11" s="3" t="s">
        <v>4</v>
      </c>
      <c r="G11" s="3" t="s">
        <v>5</v>
      </c>
      <c r="H11" s="3" t="s">
        <v>6</v>
      </c>
      <c r="I11" s="3" t="s">
        <v>7</v>
      </c>
      <c r="J11" s="3" t="s">
        <v>8</v>
      </c>
      <c r="K11" s="3" t="s">
        <v>9</v>
      </c>
      <c r="L11" s="3" t="s">
        <v>10</v>
      </c>
      <c r="M11" s="3" t="s">
        <v>11</v>
      </c>
      <c r="N11" s="3" t="s">
        <v>12</v>
      </c>
      <c r="O11" s="3" t="s">
        <v>13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158" t="s">
        <v>29</v>
      </c>
      <c r="B12" s="104" t="s">
        <v>30</v>
      </c>
      <c r="C12" s="4">
        <v>570</v>
      </c>
      <c r="D12" s="4">
        <v>596</v>
      </c>
      <c r="E12" s="4">
        <v>544</v>
      </c>
      <c r="F12" s="4">
        <v>691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5">
        <f t="shared" ref="O12:O18" si="0">SUM(C12:N12)</f>
        <v>2401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159"/>
      <c r="B13" s="14" t="s">
        <v>31</v>
      </c>
      <c r="C13" s="4">
        <v>8001</v>
      </c>
      <c r="D13" s="4">
        <v>8050</v>
      </c>
      <c r="E13" s="4">
        <v>8013</v>
      </c>
      <c r="F13" s="4">
        <v>8181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5">
        <f t="shared" si="0"/>
        <v>32245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159"/>
      <c r="B14" s="15" t="s">
        <v>32</v>
      </c>
      <c r="C14" s="4">
        <v>2700</v>
      </c>
      <c r="D14" s="4">
        <v>2809</v>
      </c>
      <c r="E14" s="4">
        <v>2931</v>
      </c>
      <c r="F14" s="4">
        <v>2628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5">
        <f t="shared" si="0"/>
        <v>11068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159"/>
      <c r="B15" s="16" t="s">
        <v>33</v>
      </c>
      <c r="C15" s="4">
        <v>355</v>
      </c>
      <c r="D15" s="4">
        <v>322</v>
      </c>
      <c r="E15" s="4">
        <v>328</v>
      </c>
      <c r="F15" s="4">
        <v>220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5">
        <f t="shared" si="0"/>
        <v>1225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159"/>
      <c r="B16" s="17" t="s">
        <v>34</v>
      </c>
      <c r="C16" s="4">
        <v>12</v>
      </c>
      <c r="D16" s="4">
        <v>20</v>
      </c>
      <c r="E16" s="4">
        <v>10</v>
      </c>
      <c r="F16" s="4">
        <v>18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5">
        <f t="shared" si="0"/>
        <v>60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159"/>
      <c r="B17" s="18" t="s">
        <v>35</v>
      </c>
      <c r="C17" s="4">
        <v>664</v>
      </c>
      <c r="D17" s="4">
        <v>616</v>
      </c>
      <c r="E17" s="4">
        <v>146</v>
      </c>
      <c r="F17" s="4">
        <v>561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5">
        <f t="shared" si="0"/>
        <v>1987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160"/>
      <c r="B18" s="19" t="s">
        <v>36</v>
      </c>
      <c r="C18" s="5">
        <f t="shared" ref="C18:N18" si="1">SUM(C12:C17)</f>
        <v>12302</v>
      </c>
      <c r="D18" s="5">
        <f t="shared" si="1"/>
        <v>12413</v>
      </c>
      <c r="E18" s="5">
        <f t="shared" si="1"/>
        <v>11972</v>
      </c>
      <c r="F18" s="5">
        <f t="shared" si="1"/>
        <v>12299</v>
      </c>
      <c r="G18" s="5">
        <f t="shared" si="1"/>
        <v>0</v>
      </c>
      <c r="H18" s="5">
        <f t="shared" si="1"/>
        <v>0</v>
      </c>
      <c r="I18" s="5">
        <f t="shared" si="1"/>
        <v>0</v>
      </c>
      <c r="J18" s="5">
        <f t="shared" si="1"/>
        <v>0</v>
      </c>
      <c r="K18" s="5">
        <f t="shared" si="1"/>
        <v>0</v>
      </c>
      <c r="L18" s="5">
        <f t="shared" si="1"/>
        <v>0</v>
      </c>
      <c r="M18" s="5">
        <f t="shared" si="1"/>
        <v>0</v>
      </c>
      <c r="N18" s="5">
        <f t="shared" si="1"/>
        <v>0</v>
      </c>
      <c r="O18" s="5">
        <f t="shared" si="0"/>
        <v>48986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0.5" customHeight="1" x14ac:dyDescent="0.3">
      <c r="A19" s="7"/>
      <c r="B19" s="7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9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">
      <c r="A20" s="158" t="s">
        <v>37</v>
      </c>
      <c r="B20" s="6" t="s">
        <v>30</v>
      </c>
      <c r="C20" s="20">
        <f t="shared" ref="C20:N20" si="2">C12/C18</f>
        <v>4.6333929442367097E-2</v>
      </c>
      <c r="D20" s="20">
        <f t="shared" si="2"/>
        <v>4.8014178683638123E-2</v>
      </c>
      <c r="E20" s="20">
        <f t="shared" si="2"/>
        <v>4.5439358503174071E-2</v>
      </c>
      <c r="F20" s="20">
        <f>F12/F18</f>
        <v>5.618342954711765E-2</v>
      </c>
      <c r="G20" s="20" t="e">
        <f t="shared" si="2"/>
        <v>#DIV/0!</v>
      </c>
      <c r="H20" s="20" t="e">
        <f t="shared" si="2"/>
        <v>#DIV/0!</v>
      </c>
      <c r="I20" s="20" t="e">
        <f t="shared" si="2"/>
        <v>#DIV/0!</v>
      </c>
      <c r="J20" s="20" t="e">
        <f t="shared" si="2"/>
        <v>#DIV/0!</v>
      </c>
      <c r="K20" s="20" t="e">
        <f t="shared" si="2"/>
        <v>#DIV/0!</v>
      </c>
      <c r="L20" s="20" t="e">
        <f t="shared" si="2"/>
        <v>#DIV/0!</v>
      </c>
      <c r="M20" s="20" t="e">
        <f t="shared" si="2"/>
        <v>#DIV/0!</v>
      </c>
      <c r="N20" s="20" t="e">
        <f t="shared" si="2"/>
        <v>#DIV/0!</v>
      </c>
      <c r="O20" s="21" t="e">
        <f t="shared" ref="O20:O25" si="3">AVERAGE(C20:N20)</f>
        <v>#DIV/0!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59"/>
      <c r="B21" s="6" t="s">
        <v>31</v>
      </c>
      <c r="C21" s="20">
        <f t="shared" ref="C21:N21" si="4">C13/C18</f>
        <v>0.65038205169891072</v>
      </c>
      <c r="D21" s="20">
        <f t="shared" si="4"/>
        <v>0.64851365503907199</v>
      </c>
      <c r="E21" s="20">
        <f t="shared" si="4"/>
        <v>0.66931172736384903</v>
      </c>
      <c r="F21" s="20">
        <f t="shared" si="4"/>
        <v>0.66517603057159114</v>
      </c>
      <c r="G21" s="20" t="e">
        <f t="shared" si="4"/>
        <v>#DIV/0!</v>
      </c>
      <c r="H21" s="20" t="e">
        <f t="shared" si="4"/>
        <v>#DIV/0!</v>
      </c>
      <c r="I21" s="20" t="e">
        <f t="shared" si="4"/>
        <v>#DIV/0!</v>
      </c>
      <c r="J21" s="20" t="e">
        <f t="shared" si="4"/>
        <v>#DIV/0!</v>
      </c>
      <c r="K21" s="20" t="e">
        <f t="shared" si="4"/>
        <v>#DIV/0!</v>
      </c>
      <c r="L21" s="20" t="e">
        <f t="shared" si="4"/>
        <v>#DIV/0!</v>
      </c>
      <c r="M21" s="20" t="e">
        <f t="shared" si="4"/>
        <v>#DIV/0!</v>
      </c>
      <c r="N21" s="20" t="e">
        <f t="shared" si="4"/>
        <v>#DIV/0!</v>
      </c>
      <c r="O21" s="21" t="e">
        <f t="shared" si="3"/>
        <v>#DIV/0!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59"/>
      <c r="B22" s="6" t="s">
        <v>32</v>
      </c>
      <c r="C22" s="20">
        <f t="shared" ref="C22:N22" si="5">C14/C18</f>
        <v>0.21947650788489675</v>
      </c>
      <c r="D22" s="20">
        <f t="shared" si="5"/>
        <v>0.22629501329251592</v>
      </c>
      <c r="E22" s="20">
        <f t="shared" si="5"/>
        <v>0.24482124958235885</v>
      </c>
      <c r="F22" s="20">
        <f t="shared" si="5"/>
        <v>0.21367590861045613</v>
      </c>
      <c r="G22" s="20" t="e">
        <f t="shared" si="5"/>
        <v>#DIV/0!</v>
      </c>
      <c r="H22" s="20" t="e">
        <f t="shared" si="5"/>
        <v>#DIV/0!</v>
      </c>
      <c r="I22" s="20" t="e">
        <f t="shared" si="5"/>
        <v>#DIV/0!</v>
      </c>
      <c r="J22" s="20" t="e">
        <f t="shared" si="5"/>
        <v>#DIV/0!</v>
      </c>
      <c r="K22" s="20" t="e">
        <f t="shared" si="5"/>
        <v>#DIV/0!</v>
      </c>
      <c r="L22" s="20" t="e">
        <f t="shared" si="5"/>
        <v>#DIV/0!</v>
      </c>
      <c r="M22" s="20" t="e">
        <f t="shared" si="5"/>
        <v>#DIV/0!</v>
      </c>
      <c r="N22" s="20" t="e">
        <f t="shared" si="5"/>
        <v>#DIV/0!</v>
      </c>
      <c r="O22" s="21" t="e">
        <f t="shared" si="3"/>
        <v>#DIV/0!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59"/>
      <c r="B23" s="6" t="s">
        <v>33</v>
      </c>
      <c r="C23" s="20">
        <f t="shared" ref="C23:N23" si="6">C15/C18</f>
        <v>2.8857096407088279E-2</v>
      </c>
      <c r="D23" s="20">
        <f t="shared" si="6"/>
        <v>2.5940546201562879E-2</v>
      </c>
      <c r="E23" s="20">
        <f t="shared" si="6"/>
        <v>2.7397260273972601E-2</v>
      </c>
      <c r="F23" s="20">
        <f t="shared" si="6"/>
        <v>1.7887633140905766E-2</v>
      </c>
      <c r="G23" s="20" t="e">
        <f t="shared" si="6"/>
        <v>#DIV/0!</v>
      </c>
      <c r="H23" s="20" t="e">
        <f t="shared" si="6"/>
        <v>#DIV/0!</v>
      </c>
      <c r="I23" s="20" t="e">
        <f t="shared" si="6"/>
        <v>#DIV/0!</v>
      </c>
      <c r="J23" s="20" t="e">
        <f t="shared" si="6"/>
        <v>#DIV/0!</v>
      </c>
      <c r="K23" s="20" t="e">
        <f t="shared" si="6"/>
        <v>#DIV/0!</v>
      </c>
      <c r="L23" s="20" t="e">
        <f t="shared" si="6"/>
        <v>#DIV/0!</v>
      </c>
      <c r="M23" s="20" t="e">
        <f t="shared" si="6"/>
        <v>#DIV/0!</v>
      </c>
      <c r="N23" s="20" t="e">
        <f t="shared" si="6"/>
        <v>#DIV/0!</v>
      </c>
      <c r="O23" s="21" t="e">
        <f t="shared" si="3"/>
        <v>#DIV/0!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59"/>
      <c r="B24" s="6" t="s">
        <v>34</v>
      </c>
      <c r="C24" s="20">
        <f t="shared" ref="C24:N24" si="7">C16/C18</f>
        <v>9.7545114615509671E-4</v>
      </c>
      <c r="D24" s="20">
        <f t="shared" si="7"/>
        <v>1.6112140497865142E-3</v>
      </c>
      <c r="E24" s="20">
        <f t="shared" si="7"/>
        <v>8.35282325425994E-4</v>
      </c>
      <c r="F24" s="20">
        <f t="shared" si="7"/>
        <v>1.4635336206195626E-3</v>
      </c>
      <c r="G24" s="20" t="e">
        <f t="shared" si="7"/>
        <v>#DIV/0!</v>
      </c>
      <c r="H24" s="20" t="e">
        <f t="shared" si="7"/>
        <v>#DIV/0!</v>
      </c>
      <c r="I24" s="20" t="e">
        <f t="shared" si="7"/>
        <v>#DIV/0!</v>
      </c>
      <c r="J24" s="20" t="e">
        <f t="shared" si="7"/>
        <v>#DIV/0!</v>
      </c>
      <c r="K24" s="20" t="e">
        <f t="shared" si="7"/>
        <v>#DIV/0!</v>
      </c>
      <c r="L24" s="20" t="e">
        <f t="shared" si="7"/>
        <v>#DIV/0!</v>
      </c>
      <c r="M24" s="20" t="e">
        <f t="shared" si="7"/>
        <v>#DIV/0!</v>
      </c>
      <c r="N24" s="20" t="e">
        <f t="shared" si="7"/>
        <v>#DIV/0!</v>
      </c>
      <c r="O24" s="21" t="e">
        <f t="shared" si="3"/>
        <v>#DIV/0!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60"/>
      <c r="B25" s="6" t="s">
        <v>38</v>
      </c>
      <c r="C25" s="20">
        <f t="shared" ref="C25:N25" si="8">C17/C18</f>
        <v>5.3974963420582021E-2</v>
      </c>
      <c r="D25" s="20">
        <f t="shared" si="8"/>
        <v>4.9625392733424638E-2</v>
      </c>
      <c r="E25" s="20">
        <f t="shared" si="8"/>
        <v>1.2195121951219513E-2</v>
      </c>
      <c r="F25" s="20">
        <f t="shared" si="8"/>
        <v>4.5613464509309698E-2</v>
      </c>
      <c r="G25" s="20" t="e">
        <f t="shared" si="8"/>
        <v>#DIV/0!</v>
      </c>
      <c r="H25" s="20" t="e">
        <f t="shared" si="8"/>
        <v>#DIV/0!</v>
      </c>
      <c r="I25" s="20" t="e">
        <f t="shared" si="8"/>
        <v>#DIV/0!</v>
      </c>
      <c r="J25" s="20" t="e">
        <f t="shared" si="8"/>
        <v>#DIV/0!</v>
      </c>
      <c r="K25" s="20" t="e">
        <f t="shared" si="8"/>
        <v>#DIV/0!</v>
      </c>
      <c r="L25" s="20" t="e">
        <f t="shared" si="8"/>
        <v>#DIV/0!</v>
      </c>
      <c r="M25" s="20" t="e">
        <f t="shared" si="8"/>
        <v>#DIV/0!</v>
      </c>
      <c r="N25" s="20" t="e">
        <f t="shared" si="8"/>
        <v>#DIV/0!</v>
      </c>
      <c r="O25" s="21" t="e">
        <f t="shared" si="3"/>
        <v>#DIV/0!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0.5" customHeight="1" x14ac:dyDescent="0.3">
      <c r="A26" s="7"/>
      <c r="B26" s="7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61"/>
      <c r="B27" s="162"/>
      <c r="C27" s="3" t="s">
        <v>1</v>
      </c>
      <c r="D27" s="3" t="s">
        <v>2</v>
      </c>
      <c r="E27" s="3" t="s">
        <v>3</v>
      </c>
      <c r="F27" s="3" t="s">
        <v>4</v>
      </c>
      <c r="G27" s="3" t="s">
        <v>5</v>
      </c>
      <c r="H27" s="3" t="s">
        <v>6</v>
      </c>
      <c r="I27" s="3" t="s">
        <v>7</v>
      </c>
      <c r="J27" s="3" t="s">
        <v>8</v>
      </c>
      <c r="K27" s="3" t="s">
        <v>9</v>
      </c>
      <c r="L27" s="3" t="s">
        <v>10</v>
      </c>
      <c r="M27" s="3" t="s">
        <v>11</v>
      </c>
      <c r="N27" s="3" t="s">
        <v>12</v>
      </c>
      <c r="O27" s="3" t="s">
        <v>13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9" customHeight="1" x14ac:dyDescent="0.3">
      <c r="A28" s="6" t="s">
        <v>39</v>
      </c>
      <c r="B28" s="6" t="s">
        <v>40</v>
      </c>
      <c r="C28" s="65">
        <v>9.479166666666667E-3</v>
      </c>
      <c r="D28" s="66">
        <v>7.5462962962962966E-3</v>
      </c>
      <c r="E28" s="66">
        <v>7.5462962962962966E-3</v>
      </c>
      <c r="F28" s="66">
        <v>7.2685185185185188E-3</v>
      </c>
      <c r="G28" s="66">
        <v>0</v>
      </c>
      <c r="H28" s="66">
        <v>0</v>
      </c>
      <c r="I28" s="66">
        <v>0</v>
      </c>
      <c r="J28" s="66">
        <v>0</v>
      </c>
      <c r="K28" s="66">
        <v>0</v>
      </c>
      <c r="L28" s="66">
        <v>0</v>
      </c>
      <c r="M28" s="66">
        <v>0</v>
      </c>
      <c r="N28" s="66">
        <v>0</v>
      </c>
      <c r="O28" s="65">
        <f>AVERAGE(C28:N28)</f>
        <v>2.6533564814814818E-3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3">
      <c r="A29" s="15" t="s">
        <v>28</v>
      </c>
      <c r="B29" s="15"/>
      <c r="C29" s="67">
        <v>6.9444444444444441E-3</v>
      </c>
      <c r="D29" s="67">
        <v>6.9444444444444441E-3</v>
      </c>
      <c r="E29" s="67">
        <v>6.9444444444444441E-3</v>
      </c>
      <c r="F29" s="67">
        <v>6.9444444444444441E-3</v>
      </c>
      <c r="G29" s="67">
        <v>6.9444444444444441E-3</v>
      </c>
      <c r="H29" s="67">
        <v>6.9444444444444441E-3</v>
      </c>
      <c r="I29" s="67">
        <v>6.9444444444444441E-3</v>
      </c>
      <c r="J29" s="67">
        <v>6.9444444444444441E-3</v>
      </c>
      <c r="K29" s="67">
        <v>6.9444444444444397E-3</v>
      </c>
      <c r="L29" s="67">
        <v>6.9444444444444397E-3</v>
      </c>
      <c r="M29" s="67">
        <v>6.9444444444444441E-3</v>
      </c>
      <c r="N29" s="67">
        <v>6.9444444444444441E-3</v>
      </c>
      <c r="O29" s="68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0.5" customHeight="1" x14ac:dyDescent="0.3">
      <c r="A30" s="7"/>
      <c r="B30" s="7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61"/>
      <c r="B31" s="162"/>
      <c r="C31" s="3" t="s">
        <v>1</v>
      </c>
      <c r="D31" s="3" t="s">
        <v>2</v>
      </c>
      <c r="E31" s="3" t="s">
        <v>3</v>
      </c>
      <c r="F31" s="3" t="s">
        <v>4</v>
      </c>
      <c r="G31" s="3" t="s">
        <v>5</v>
      </c>
      <c r="H31" s="3" t="s">
        <v>6</v>
      </c>
      <c r="I31" s="3" t="s">
        <v>7</v>
      </c>
      <c r="J31" s="3" t="s">
        <v>8</v>
      </c>
      <c r="K31" s="3" t="s">
        <v>9</v>
      </c>
      <c r="L31" s="3" t="s">
        <v>10</v>
      </c>
      <c r="M31" s="3" t="s">
        <v>11</v>
      </c>
      <c r="N31" s="3" t="s">
        <v>12</v>
      </c>
      <c r="O31" s="3" t="s">
        <v>13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47.25" customHeight="1" x14ac:dyDescent="0.3">
      <c r="A32" s="6" t="s">
        <v>41</v>
      </c>
      <c r="B32" s="6" t="s">
        <v>40</v>
      </c>
      <c r="C32" s="65">
        <v>2.7789351851851853E-2</v>
      </c>
      <c r="D32" s="66">
        <v>2.3472222222222221E-2</v>
      </c>
      <c r="E32" s="66">
        <v>2.6655092592592591E-2</v>
      </c>
      <c r="F32" s="66">
        <v>2.3425925925925926E-2</v>
      </c>
      <c r="G32" s="66">
        <v>0</v>
      </c>
      <c r="H32" s="66">
        <v>0</v>
      </c>
      <c r="I32" s="66">
        <v>0</v>
      </c>
      <c r="J32" s="66">
        <v>0</v>
      </c>
      <c r="K32" s="66">
        <v>0</v>
      </c>
      <c r="L32" s="66">
        <v>0</v>
      </c>
      <c r="M32" s="66">
        <v>0</v>
      </c>
      <c r="N32" s="66">
        <v>0</v>
      </c>
      <c r="O32" s="65">
        <f>AVERAGE(C32:N32)</f>
        <v>8.4452160493827168E-3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0.5" customHeight="1" x14ac:dyDescent="0.3">
      <c r="A33" s="7"/>
      <c r="B33" s="7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61"/>
      <c r="B34" s="162"/>
      <c r="C34" s="3" t="s">
        <v>1</v>
      </c>
      <c r="D34" s="3" t="s">
        <v>2</v>
      </c>
      <c r="E34" s="3" t="s">
        <v>3</v>
      </c>
      <c r="F34" s="3" t="s">
        <v>4</v>
      </c>
      <c r="G34" s="3" t="s">
        <v>5</v>
      </c>
      <c r="H34" s="3" t="s">
        <v>6</v>
      </c>
      <c r="I34" s="3" t="s">
        <v>7</v>
      </c>
      <c r="J34" s="3" t="s">
        <v>8</v>
      </c>
      <c r="K34" s="3" t="s">
        <v>9</v>
      </c>
      <c r="L34" s="3" t="s">
        <v>10</v>
      </c>
      <c r="M34" s="3" t="s">
        <v>11</v>
      </c>
      <c r="N34" s="3" t="s">
        <v>12</v>
      </c>
      <c r="O34" s="3" t="s">
        <v>13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0" customHeight="1" x14ac:dyDescent="0.3">
      <c r="A35" s="6" t="s">
        <v>42</v>
      </c>
      <c r="B35" s="6" t="s">
        <v>43</v>
      </c>
      <c r="C35" s="65">
        <v>0.33327546296296295</v>
      </c>
      <c r="D35" s="71">
        <v>1.0719444444444444</v>
      </c>
      <c r="E35" s="66">
        <v>1.3912037037037037</v>
      </c>
      <c r="F35" s="66">
        <v>1.2714699074074074</v>
      </c>
      <c r="G35" s="66">
        <v>0</v>
      </c>
      <c r="H35" s="66">
        <v>0</v>
      </c>
      <c r="I35" s="66">
        <v>0</v>
      </c>
      <c r="J35" s="66">
        <v>0</v>
      </c>
      <c r="K35" s="66">
        <v>0</v>
      </c>
      <c r="L35" s="66">
        <v>0</v>
      </c>
      <c r="M35" s="66">
        <v>0</v>
      </c>
      <c r="N35" s="66">
        <v>0</v>
      </c>
      <c r="O35" s="65">
        <f>AVERAGE(C35:N35)</f>
        <v>0.3389911265432099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7"/>
      <c r="B36" s="7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61"/>
      <c r="B37" s="162"/>
      <c r="C37" s="3" t="s">
        <v>1</v>
      </c>
      <c r="D37" s="3" t="s">
        <v>2</v>
      </c>
      <c r="E37" s="3" t="s">
        <v>3</v>
      </c>
      <c r="F37" s="3" t="s">
        <v>4</v>
      </c>
      <c r="G37" s="3" t="s">
        <v>5</v>
      </c>
      <c r="H37" s="3" t="s">
        <v>6</v>
      </c>
      <c r="I37" s="3" t="s">
        <v>7</v>
      </c>
      <c r="J37" s="3" t="s">
        <v>8</v>
      </c>
      <c r="K37" s="3" t="s">
        <v>9</v>
      </c>
      <c r="L37" s="3" t="s">
        <v>10</v>
      </c>
      <c r="M37" s="3" t="s">
        <v>11</v>
      </c>
      <c r="N37" s="3" t="s">
        <v>12</v>
      </c>
      <c r="O37" s="3" t="s">
        <v>13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0" customHeight="1" x14ac:dyDescent="0.3">
      <c r="A38" s="6" t="s">
        <v>44</v>
      </c>
      <c r="B38" s="6" t="s">
        <v>45</v>
      </c>
      <c r="C38" s="65">
        <v>0.43723379629629627</v>
      </c>
      <c r="D38" s="66">
        <v>0.26331018518518517</v>
      </c>
      <c r="E38" s="66">
        <v>0.40553240740740742</v>
      </c>
      <c r="F38" s="66">
        <v>0.43798611111111113</v>
      </c>
      <c r="G38" s="66">
        <v>0</v>
      </c>
      <c r="H38" s="66">
        <v>0</v>
      </c>
      <c r="I38" s="66">
        <v>0</v>
      </c>
      <c r="J38" s="66">
        <v>0</v>
      </c>
      <c r="K38" s="66">
        <v>0</v>
      </c>
      <c r="L38" s="66">
        <v>0</v>
      </c>
      <c r="M38" s="66">
        <v>0</v>
      </c>
      <c r="N38" s="66">
        <v>0</v>
      </c>
      <c r="O38" s="65">
        <f>AVERAGE(C38:N38)</f>
        <v>0.12867187500000002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0.5" customHeight="1" x14ac:dyDescent="0.3">
      <c r="A39" s="7"/>
      <c r="B39" s="7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9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61"/>
      <c r="B40" s="162"/>
      <c r="C40" s="3" t="s">
        <v>1</v>
      </c>
      <c r="D40" s="3" t="s">
        <v>2</v>
      </c>
      <c r="E40" s="3" t="s">
        <v>3</v>
      </c>
      <c r="F40" s="3" t="s">
        <v>4</v>
      </c>
      <c r="G40" s="3" t="s">
        <v>5</v>
      </c>
      <c r="H40" s="3" t="s">
        <v>6</v>
      </c>
      <c r="I40" s="3" t="s">
        <v>7</v>
      </c>
      <c r="J40" s="3" t="s">
        <v>8</v>
      </c>
      <c r="K40" s="3" t="s">
        <v>9</v>
      </c>
      <c r="L40" s="3" t="s">
        <v>10</v>
      </c>
      <c r="M40" s="3" t="s">
        <v>11</v>
      </c>
      <c r="N40" s="3" t="s">
        <v>12</v>
      </c>
      <c r="O40" s="3" t="s">
        <v>13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23" t="s">
        <v>46</v>
      </c>
      <c r="B41" s="6" t="s">
        <v>47</v>
      </c>
      <c r="C41" s="24">
        <v>24</v>
      </c>
      <c r="D41" s="4">
        <v>18</v>
      </c>
      <c r="E41" s="4">
        <v>30</v>
      </c>
      <c r="F41" s="168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5">
        <f>SUM(C41:N41)</f>
        <v>72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0.5" customHeight="1" x14ac:dyDescent="0.3">
      <c r="A42" s="7"/>
      <c r="B42" s="7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9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61"/>
      <c r="B43" s="162"/>
      <c r="C43" s="3" t="s">
        <v>1</v>
      </c>
      <c r="D43" s="3" t="s">
        <v>2</v>
      </c>
      <c r="E43" s="3" t="s">
        <v>3</v>
      </c>
      <c r="F43" s="3" t="s">
        <v>4</v>
      </c>
      <c r="G43" s="3" t="s">
        <v>5</v>
      </c>
      <c r="H43" s="3" t="s">
        <v>6</v>
      </c>
      <c r="I43" s="3" t="s">
        <v>7</v>
      </c>
      <c r="J43" s="3" t="s">
        <v>8</v>
      </c>
      <c r="K43" s="3" t="s">
        <v>9</v>
      </c>
      <c r="L43" s="3" t="s">
        <v>10</v>
      </c>
      <c r="M43" s="3" t="s">
        <v>11</v>
      </c>
      <c r="N43" s="3" t="s">
        <v>12</v>
      </c>
      <c r="O43" s="3" t="s">
        <v>13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58" t="s">
        <v>48</v>
      </c>
      <c r="B44" s="6" t="s">
        <v>49</v>
      </c>
      <c r="C44" s="4">
        <v>1975</v>
      </c>
      <c r="D44" s="4">
        <v>1913</v>
      </c>
      <c r="E44" s="4">
        <v>2156</v>
      </c>
      <c r="F44" s="4">
        <v>1703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5">
        <f>SUM(C44:N44)</f>
        <v>7747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59"/>
      <c r="B45" s="6" t="s">
        <v>50</v>
      </c>
      <c r="C45" s="4">
        <v>1718</v>
      </c>
      <c r="D45" s="4">
        <v>1725</v>
      </c>
      <c r="E45" s="4">
        <v>1887</v>
      </c>
      <c r="F45" s="4">
        <v>2353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5">
        <f>SUM(C45:N45)</f>
        <v>7683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59"/>
      <c r="B46" s="6" t="s">
        <v>51</v>
      </c>
      <c r="C46" s="4">
        <v>47</v>
      </c>
      <c r="D46" s="4">
        <v>83</v>
      </c>
      <c r="E46" s="4">
        <v>75</v>
      </c>
      <c r="F46" s="4">
        <v>19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5">
        <f>SUM(C46:N46)</f>
        <v>224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60"/>
      <c r="B47" s="6" t="s">
        <v>13</v>
      </c>
      <c r="C47" s="5">
        <f t="shared" ref="C47:N47" si="9">SUM(C44:C46)</f>
        <v>3740</v>
      </c>
      <c r="D47" s="5">
        <f t="shared" si="9"/>
        <v>3721</v>
      </c>
      <c r="E47" s="5">
        <f t="shared" si="9"/>
        <v>4118</v>
      </c>
      <c r="F47" s="5">
        <f t="shared" si="9"/>
        <v>4075</v>
      </c>
      <c r="G47" s="5">
        <f t="shared" si="9"/>
        <v>0</v>
      </c>
      <c r="H47" s="5">
        <f t="shared" si="9"/>
        <v>0</v>
      </c>
      <c r="I47" s="5">
        <f t="shared" si="9"/>
        <v>0</v>
      </c>
      <c r="J47" s="5">
        <f t="shared" si="9"/>
        <v>0</v>
      </c>
      <c r="K47" s="5">
        <f t="shared" si="9"/>
        <v>0</v>
      </c>
      <c r="L47" s="5">
        <f t="shared" si="9"/>
        <v>0</v>
      </c>
      <c r="M47" s="5">
        <f t="shared" si="9"/>
        <v>0</v>
      </c>
      <c r="N47" s="5">
        <f t="shared" si="9"/>
        <v>0</v>
      </c>
      <c r="O47" s="5">
        <f>SUM(C47:N47)</f>
        <v>15654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0.5" customHeight="1" x14ac:dyDescent="0.3">
      <c r="A48" s="25"/>
      <c r="B48" s="26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61"/>
      <c r="B49" s="162"/>
      <c r="C49" s="3" t="s">
        <v>1</v>
      </c>
      <c r="D49" s="3" t="s">
        <v>2</v>
      </c>
      <c r="E49" s="3" t="s">
        <v>3</v>
      </c>
      <c r="F49" s="3" t="s">
        <v>4</v>
      </c>
      <c r="G49" s="3" t="s">
        <v>5</v>
      </c>
      <c r="H49" s="3" t="s">
        <v>6</v>
      </c>
      <c r="I49" s="3" t="s">
        <v>7</v>
      </c>
      <c r="J49" s="3" t="s">
        <v>8</v>
      </c>
      <c r="K49" s="3" t="s">
        <v>9</v>
      </c>
      <c r="L49" s="3" t="s">
        <v>10</v>
      </c>
      <c r="M49" s="3" t="s">
        <v>11</v>
      </c>
      <c r="N49" s="3" t="s">
        <v>12</v>
      </c>
      <c r="O49" s="3" t="s">
        <v>13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58" t="s">
        <v>52</v>
      </c>
      <c r="B50" s="27" t="s">
        <v>53</v>
      </c>
      <c r="C50" s="24">
        <v>183</v>
      </c>
      <c r="D50" s="4">
        <v>237</v>
      </c>
      <c r="E50" s="4">
        <v>188</v>
      </c>
      <c r="F50" s="4">
        <v>202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28">
        <f t="shared" ref="O50:O59" si="10">SUM(C50:N50)</f>
        <v>810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59"/>
      <c r="B51" s="27" t="s">
        <v>54</v>
      </c>
      <c r="C51" s="24">
        <v>914</v>
      </c>
      <c r="D51" s="4">
        <v>945</v>
      </c>
      <c r="E51" s="4">
        <v>961</v>
      </c>
      <c r="F51" s="4">
        <v>837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28">
        <f t="shared" si="10"/>
        <v>3657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59"/>
      <c r="B52" s="27" t="s">
        <v>55</v>
      </c>
      <c r="C52" s="24">
        <v>847</v>
      </c>
      <c r="D52" s="4">
        <v>797</v>
      </c>
      <c r="E52" s="4">
        <v>971</v>
      </c>
      <c r="F52" s="4">
        <v>868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28">
        <f t="shared" si="10"/>
        <v>3483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59"/>
      <c r="B53" s="27" t="s">
        <v>56</v>
      </c>
      <c r="C53" s="24">
        <v>706</v>
      </c>
      <c r="D53" s="4">
        <v>768</v>
      </c>
      <c r="E53" s="4">
        <v>936</v>
      </c>
      <c r="F53" s="4">
        <v>832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28">
        <f t="shared" si="10"/>
        <v>3242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59"/>
      <c r="B54" s="27" t="s">
        <v>57</v>
      </c>
      <c r="C54" s="24">
        <v>976</v>
      </c>
      <c r="D54" s="4">
        <v>1042</v>
      </c>
      <c r="E54" s="4">
        <v>984</v>
      </c>
      <c r="F54" s="4">
        <v>970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28">
        <f t="shared" si="10"/>
        <v>3972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59"/>
      <c r="B55" s="27" t="s">
        <v>58</v>
      </c>
      <c r="C55" s="24">
        <v>4754</v>
      </c>
      <c r="D55" s="4">
        <v>4708</v>
      </c>
      <c r="E55" s="4">
        <v>4501</v>
      </c>
      <c r="F55" s="4">
        <v>4548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28">
        <f t="shared" si="10"/>
        <v>18511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59"/>
      <c r="B56" s="27" t="s">
        <v>59</v>
      </c>
      <c r="C56" s="24">
        <v>1523</v>
      </c>
      <c r="D56" s="4">
        <v>1532</v>
      </c>
      <c r="E56" s="4">
        <v>1607</v>
      </c>
      <c r="F56" s="4">
        <v>1697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28">
        <f t="shared" si="10"/>
        <v>6359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59"/>
      <c r="B57" s="27" t="s">
        <v>60</v>
      </c>
      <c r="C57" s="24">
        <v>1060</v>
      </c>
      <c r="D57" s="4">
        <v>1095</v>
      </c>
      <c r="E57" s="4">
        <v>1078</v>
      </c>
      <c r="F57" s="4">
        <v>1106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28">
        <f t="shared" si="10"/>
        <v>4339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59"/>
      <c r="B58" s="27" t="s">
        <v>61</v>
      </c>
      <c r="C58" s="24">
        <v>1339</v>
      </c>
      <c r="D58" s="4">
        <v>1289</v>
      </c>
      <c r="E58" s="4">
        <v>1299</v>
      </c>
      <c r="F58" s="4">
        <v>1239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28">
        <f t="shared" si="10"/>
        <v>5166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60"/>
      <c r="B59" s="27" t="s">
        <v>13</v>
      </c>
      <c r="C59" s="24">
        <f t="shared" ref="C59:N59" si="11">SUM(C50:C58)</f>
        <v>12302</v>
      </c>
      <c r="D59" s="24">
        <f t="shared" si="11"/>
        <v>12413</v>
      </c>
      <c r="E59" s="24">
        <f t="shared" si="11"/>
        <v>12525</v>
      </c>
      <c r="F59" s="24">
        <f t="shared" si="11"/>
        <v>12299</v>
      </c>
      <c r="G59" s="24">
        <f t="shared" si="11"/>
        <v>0</v>
      </c>
      <c r="H59" s="24">
        <f t="shared" si="11"/>
        <v>0</v>
      </c>
      <c r="I59" s="24">
        <f t="shared" si="11"/>
        <v>0</v>
      </c>
      <c r="J59" s="24">
        <f t="shared" si="11"/>
        <v>0</v>
      </c>
      <c r="K59" s="24">
        <f t="shared" si="11"/>
        <v>0</v>
      </c>
      <c r="L59" s="24">
        <f t="shared" si="11"/>
        <v>0</v>
      </c>
      <c r="M59" s="24">
        <f t="shared" si="11"/>
        <v>0</v>
      </c>
      <c r="N59" s="24">
        <f t="shared" si="11"/>
        <v>0</v>
      </c>
      <c r="O59" s="28">
        <f t="shared" si="10"/>
        <v>49539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1.25" customHeight="1" x14ac:dyDescent="0.3">
      <c r="A60" s="25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61"/>
      <c r="B61" s="162"/>
      <c r="C61" s="3" t="s">
        <v>1</v>
      </c>
      <c r="D61" s="3" t="s">
        <v>2</v>
      </c>
      <c r="E61" s="3" t="s">
        <v>3</v>
      </c>
      <c r="F61" s="3" t="s">
        <v>4</v>
      </c>
      <c r="G61" s="3" t="s">
        <v>5</v>
      </c>
      <c r="H61" s="3" t="s">
        <v>6</v>
      </c>
      <c r="I61" s="3" t="s">
        <v>7</v>
      </c>
      <c r="J61" s="3" t="s">
        <v>8</v>
      </c>
      <c r="K61" s="3" t="s">
        <v>9</v>
      </c>
      <c r="L61" s="3" t="s">
        <v>10</v>
      </c>
      <c r="M61" s="3" t="s">
        <v>11</v>
      </c>
      <c r="N61" s="3" t="s">
        <v>12</v>
      </c>
      <c r="O61" s="3" t="s">
        <v>13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58" t="s">
        <v>62</v>
      </c>
      <c r="B62" s="27" t="s">
        <v>63</v>
      </c>
      <c r="C62" s="4">
        <v>12097</v>
      </c>
      <c r="D62" s="4">
        <v>11610</v>
      </c>
      <c r="E62" s="4">
        <v>43353</v>
      </c>
      <c r="F62" s="4">
        <v>42336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5">
        <f>SUM(C62:N62)</f>
        <v>109396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59"/>
      <c r="B63" s="27" t="s">
        <v>64</v>
      </c>
      <c r="C63" s="4">
        <v>205</v>
      </c>
      <c r="D63" s="4">
        <v>803</v>
      </c>
      <c r="E63" s="4">
        <v>713</v>
      </c>
      <c r="F63" s="4">
        <v>546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5">
        <f>SUM(C63:N63)</f>
        <v>2267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60"/>
      <c r="B64" s="27" t="s">
        <v>13</v>
      </c>
      <c r="C64" s="5">
        <f t="shared" ref="C64:N64" si="12">SUM(C62:C63)</f>
        <v>12302</v>
      </c>
      <c r="D64" s="5">
        <f t="shared" si="12"/>
        <v>12413</v>
      </c>
      <c r="E64" s="5">
        <f t="shared" si="12"/>
        <v>44066</v>
      </c>
      <c r="F64" s="5">
        <f t="shared" si="12"/>
        <v>42882</v>
      </c>
      <c r="G64" s="5">
        <f t="shared" si="12"/>
        <v>0</v>
      </c>
      <c r="H64" s="5">
        <f t="shared" si="12"/>
        <v>0</v>
      </c>
      <c r="I64" s="5">
        <f t="shared" si="12"/>
        <v>0</v>
      </c>
      <c r="J64" s="5">
        <f t="shared" si="12"/>
        <v>0</v>
      </c>
      <c r="K64" s="5">
        <f t="shared" si="12"/>
        <v>0</v>
      </c>
      <c r="L64" s="5">
        <f t="shared" si="12"/>
        <v>0</v>
      </c>
      <c r="M64" s="5">
        <f t="shared" si="12"/>
        <v>0</v>
      </c>
      <c r="N64" s="5">
        <f t="shared" si="12"/>
        <v>0</v>
      </c>
      <c r="O64" s="5">
        <f>SUM(C64:N64)</f>
        <v>111663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0.5" customHeight="1" x14ac:dyDescent="0.3">
      <c r="A65" s="25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61"/>
      <c r="B66" s="162"/>
      <c r="C66" s="3" t="s">
        <v>1</v>
      </c>
      <c r="D66" s="3" t="s">
        <v>2</v>
      </c>
      <c r="E66" s="3" t="s">
        <v>3</v>
      </c>
      <c r="F66" s="3" t="s">
        <v>4</v>
      </c>
      <c r="G66" s="3" t="s">
        <v>5</v>
      </c>
      <c r="H66" s="3" t="s">
        <v>6</v>
      </c>
      <c r="I66" s="3" t="s">
        <v>7</v>
      </c>
      <c r="J66" s="3" t="s">
        <v>8</v>
      </c>
      <c r="K66" s="3" t="s">
        <v>9</v>
      </c>
      <c r="L66" s="3" t="s">
        <v>10</v>
      </c>
      <c r="M66" s="3" t="s">
        <v>11</v>
      </c>
      <c r="N66" s="3" t="s">
        <v>12</v>
      </c>
      <c r="O66" s="3" t="s">
        <v>13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6" t="s">
        <v>65</v>
      </c>
      <c r="B67" s="27" t="s">
        <v>13</v>
      </c>
      <c r="C67" s="28">
        <v>10</v>
      </c>
      <c r="D67" s="4">
        <v>13</v>
      </c>
      <c r="E67" s="4">
        <v>12</v>
      </c>
      <c r="F67" s="4">
        <v>10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5">
        <f>SUM(C67:N67)</f>
        <v>45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0.5" customHeight="1" x14ac:dyDescent="0.3">
      <c r="A68" s="29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26"/>
      <c r="B69" s="26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26"/>
      <c r="B70" s="26"/>
      <c r="C70" s="1"/>
      <c r="D70" s="1"/>
      <c r="E70" s="1"/>
      <c r="F70" s="8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26"/>
      <c r="B71" s="26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26"/>
      <c r="B72" s="26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26"/>
      <c r="B73" s="26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26"/>
      <c r="B74" s="26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26"/>
      <c r="B75" s="26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26"/>
      <c r="B76" s="26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26"/>
      <c r="B77" s="26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26"/>
      <c r="B78" s="26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26"/>
      <c r="B79" s="26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26"/>
      <c r="B80" s="26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26"/>
      <c r="B81" s="26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26"/>
      <c r="B82" s="26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26"/>
      <c r="B83" s="26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26"/>
      <c r="B84" s="26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26"/>
      <c r="B85" s="26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26"/>
      <c r="B86" s="26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26"/>
      <c r="B87" s="26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26"/>
      <c r="B88" s="26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26"/>
      <c r="B89" s="26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26"/>
      <c r="B90" s="26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26"/>
      <c r="B91" s="26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26"/>
      <c r="B92" s="26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26"/>
      <c r="B93" s="26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26"/>
      <c r="B94" s="26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26"/>
      <c r="B95" s="26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26"/>
      <c r="B96" s="26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26"/>
      <c r="B97" s="26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26"/>
      <c r="B98" s="26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26"/>
      <c r="B99" s="26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26"/>
      <c r="B100" s="26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26"/>
      <c r="B101" s="26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26"/>
      <c r="B102" s="26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26"/>
      <c r="B103" s="26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26"/>
      <c r="B104" s="26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26"/>
      <c r="B105" s="26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26"/>
      <c r="B106" s="26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26"/>
      <c r="B107" s="26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26"/>
      <c r="B108" s="26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26"/>
      <c r="B109" s="26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26"/>
      <c r="B110" s="2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26"/>
      <c r="B111" s="2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26"/>
      <c r="B112" s="26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26"/>
      <c r="B113" s="26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26"/>
      <c r="B114" s="26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26"/>
      <c r="B115" s="26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26"/>
      <c r="B116" s="26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26"/>
      <c r="B117" s="26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26"/>
      <c r="B118" s="26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26"/>
      <c r="B119" s="26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26"/>
      <c r="B120" s="26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26"/>
      <c r="B121" s="26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26"/>
      <c r="B122" s="26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26"/>
      <c r="B123" s="26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26"/>
      <c r="B124" s="26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26"/>
      <c r="B125" s="26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26"/>
      <c r="B126" s="26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26"/>
      <c r="B127" s="26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26"/>
      <c r="B128" s="26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26"/>
      <c r="B129" s="26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26"/>
      <c r="B130" s="26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26"/>
      <c r="B131" s="26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26"/>
      <c r="B132" s="26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26"/>
      <c r="B133" s="26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26"/>
      <c r="B134" s="2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26"/>
      <c r="B135" s="2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26"/>
      <c r="B136" s="26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26"/>
      <c r="B137" s="2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26"/>
      <c r="B138" s="2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26"/>
      <c r="B139" s="26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26"/>
      <c r="B140" s="26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26"/>
      <c r="B141" s="26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26"/>
      <c r="B142" s="26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26"/>
      <c r="B143" s="26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26"/>
      <c r="B144" s="26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26"/>
      <c r="B145" s="26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26"/>
      <c r="B146" s="26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26"/>
      <c r="B147" s="26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26"/>
      <c r="B148" s="26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26"/>
      <c r="B149" s="26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26"/>
      <c r="B150" s="26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26"/>
      <c r="B151" s="26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26"/>
      <c r="B152" s="26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26"/>
      <c r="B153" s="26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26"/>
      <c r="B154" s="26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26"/>
      <c r="B155" s="26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26"/>
      <c r="B156" s="26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26"/>
      <c r="B157" s="26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26"/>
      <c r="B158" s="26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26"/>
      <c r="B159" s="26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26"/>
      <c r="B160" s="26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26"/>
      <c r="B161" s="26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26"/>
      <c r="B162" s="26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26"/>
      <c r="B163" s="26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26"/>
      <c r="B164" s="26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26"/>
      <c r="B165" s="26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26"/>
      <c r="B166" s="26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26"/>
      <c r="B167" s="26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26"/>
      <c r="B168" s="26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26"/>
      <c r="B169" s="26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26"/>
      <c r="B170" s="26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26"/>
      <c r="B171" s="26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26"/>
      <c r="B172" s="26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26"/>
      <c r="B173" s="26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26"/>
      <c r="B174" s="26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26"/>
      <c r="B175" s="26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26"/>
      <c r="B176" s="26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26"/>
      <c r="B177" s="26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26"/>
      <c r="B178" s="26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26"/>
      <c r="B179" s="26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26"/>
      <c r="B180" s="26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26"/>
      <c r="B181" s="26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26"/>
      <c r="B182" s="26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26"/>
      <c r="B183" s="26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26"/>
      <c r="B184" s="26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26"/>
      <c r="B185" s="26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26"/>
      <c r="B186" s="26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26"/>
      <c r="B187" s="26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26"/>
      <c r="B188" s="26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26"/>
      <c r="B189" s="26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26"/>
      <c r="B190" s="26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26"/>
      <c r="B191" s="26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26"/>
      <c r="B192" s="26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26"/>
      <c r="B193" s="26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26"/>
      <c r="B194" s="26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26"/>
      <c r="B195" s="26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26"/>
      <c r="B196" s="26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26"/>
      <c r="B197" s="26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26"/>
      <c r="B198" s="26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26"/>
      <c r="B199" s="26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26"/>
      <c r="B200" s="26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26"/>
      <c r="B201" s="26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26"/>
      <c r="B202" s="26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26"/>
      <c r="B203" s="26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26"/>
      <c r="B204" s="26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26"/>
      <c r="B205" s="26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26"/>
      <c r="B206" s="26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26"/>
      <c r="B207" s="26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26"/>
      <c r="B208" s="26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26"/>
      <c r="B209" s="26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26"/>
      <c r="B210" s="26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26"/>
      <c r="B211" s="26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26"/>
      <c r="B212" s="26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26"/>
      <c r="B213" s="26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26"/>
      <c r="B214" s="26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26"/>
      <c r="B215" s="26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26"/>
      <c r="B216" s="26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26"/>
      <c r="B217" s="26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26"/>
      <c r="B218" s="26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26"/>
      <c r="B219" s="26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26"/>
      <c r="B220" s="26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26"/>
      <c r="B221" s="26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26"/>
      <c r="B222" s="26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26"/>
      <c r="B223" s="26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26"/>
      <c r="B224" s="26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26"/>
      <c r="B225" s="26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26"/>
      <c r="B226" s="26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26"/>
      <c r="B227" s="26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26"/>
      <c r="B228" s="26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26"/>
      <c r="B229" s="26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26"/>
      <c r="B230" s="26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26"/>
      <c r="B231" s="26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26"/>
      <c r="B232" s="26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26"/>
      <c r="B233" s="26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26"/>
      <c r="B234" s="26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26"/>
      <c r="B235" s="26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26"/>
      <c r="B236" s="26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26"/>
      <c r="B237" s="26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26"/>
      <c r="B238" s="26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26"/>
      <c r="B239" s="26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26"/>
      <c r="B240" s="26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26"/>
      <c r="B241" s="26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26"/>
      <c r="B242" s="26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26"/>
      <c r="B243" s="26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26"/>
      <c r="B244" s="26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26"/>
      <c r="B245" s="26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26"/>
      <c r="B246" s="26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26"/>
      <c r="B247" s="26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26"/>
      <c r="B248" s="26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26"/>
      <c r="B249" s="26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26"/>
      <c r="B250" s="26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26"/>
      <c r="B251" s="26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26"/>
      <c r="B252" s="26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26"/>
      <c r="B253" s="26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26"/>
      <c r="B254" s="26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26"/>
      <c r="B255" s="26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26"/>
      <c r="B256" s="26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26"/>
      <c r="B257" s="26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26"/>
      <c r="B258" s="26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26"/>
      <c r="B259" s="26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26"/>
      <c r="B260" s="26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26"/>
      <c r="B261" s="26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26"/>
      <c r="B262" s="26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26"/>
      <c r="B263" s="26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26"/>
      <c r="B264" s="26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26"/>
      <c r="B265" s="26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26"/>
      <c r="B266" s="26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26"/>
      <c r="B267" s="26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26"/>
      <c r="B268" s="26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26"/>
      <c r="B269" s="26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26"/>
      <c r="B270" s="26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26"/>
      <c r="B271" s="26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26"/>
      <c r="B272" s="26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26"/>
      <c r="B273" s="26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26"/>
      <c r="B274" s="26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26"/>
      <c r="B275" s="26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26"/>
      <c r="B276" s="26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26"/>
      <c r="B277" s="26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26"/>
      <c r="B278" s="26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26"/>
      <c r="B279" s="26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26"/>
      <c r="B280" s="26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26"/>
      <c r="B281" s="26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26"/>
      <c r="B282" s="26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26"/>
      <c r="B283" s="26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26"/>
      <c r="B284" s="26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26"/>
      <c r="B285" s="26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26"/>
      <c r="B286" s="26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26"/>
      <c r="B287" s="26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26"/>
      <c r="B288" s="26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26"/>
      <c r="B289" s="26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26"/>
      <c r="B290" s="26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26"/>
      <c r="B291" s="26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26"/>
      <c r="B292" s="26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26"/>
      <c r="B293" s="26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26"/>
      <c r="B294" s="26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26"/>
      <c r="B295" s="26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26"/>
      <c r="B296" s="26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26"/>
      <c r="B297" s="26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26"/>
      <c r="B298" s="26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26"/>
      <c r="B299" s="26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26"/>
      <c r="B300" s="26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26"/>
      <c r="B301" s="26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26"/>
      <c r="B302" s="26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26"/>
      <c r="B303" s="26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26"/>
      <c r="B304" s="26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26"/>
      <c r="B305" s="26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26"/>
      <c r="B306" s="26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26"/>
      <c r="B307" s="26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26"/>
      <c r="B308" s="26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26"/>
      <c r="B309" s="26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26"/>
      <c r="B310" s="26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26"/>
      <c r="B311" s="26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26"/>
      <c r="B312" s="26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26"/>
      <c r="B313" s="26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26"/>
      <c r="B314" s="26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26"/>
      <c r="B315" s="26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26"/>
      <c r="B316" s="26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26"/>
      <c r="B317" s="26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26"/>
      <c r="B318" s="26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26"/>
      <c r="B319" s="26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26"/>
      <c r="B320" s="26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26"/>
      <c r="B321" s="26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26"/>
      <c r="B322" s="26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26"/>
      <c r="B323" s="26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26"/>
      <c r="B324" s="26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26"/>
      <c r="B325" s="26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26"/>
      <c r="B326" s="26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26"/>
      <c r="B327" s="26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26"/>
      <c r="B328" s="26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26"/>
      <c r="B329" s="26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26"/>
      <c r="B330" s="26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26"/>
      <c r="B331" s="26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26"/>
      <c r="B332" s="26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26"/>
      <c r="B333" s="26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26"/>
      <c r="B334" s="26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26"/>
      <c r="B335" s="26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26"/>
      <c r="B336" s="26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26"/>
      <c r="B337" s="26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26"/>
      <c r="B338" s="26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26"/>
      <c r="B339" s="26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26"/>
      <c r="B340" s="26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26"/>
      <c r="B341" s="26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26"/>
      <c r="B342" s="26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26"/>
      <c r="B343" s="26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26"/>
      <c r="B344" s="26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26"/>
      <c r="B345" s="26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26"/>
      <c r="B346" s="26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26"/>
      <c r="B347" s="26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26"/>
      <c r="B348" s="26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26"/>
      <c r="B349" s="26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26"/>
      <c r="B350" s="26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26"/>
      <c r="B351" s="26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26"/>
      <c r="B352" s="26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26"/>
      <c r="B353" s="26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26"/>
      <c r="B354" s="26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26"/>
      <c r="B355" s="26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26"/>
      <c r="B356" s="26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26"/>
      <c r="B357" s="26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26"/>
      <c r="B358" s="26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26"/>
      <c r="B359" s="26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26"/>
      <c r="B360" s="26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26"/>
      <c r="B361" s="26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26"/>
      <c r="B362" s="26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26"/>
      <c r="B363" s="26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26"/>
      <c r="B364" s="26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26"/>
      <c r="B365" s="26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26"/>
      <c r="B366" s="26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26"/>
      <c r="B367" s="26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26"/>
      <c r="B368" s="26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26"/>
      <c r="B369" s="26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26"/>
      <c r="B370" s="26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26"/>
      <c r="B371" s="26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26"/>
      <c r="B372" s="26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26"/>
      <c r="B373" s="26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26"/>
      <c r="B374" s="26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26"/>
      <c r="B375" s="26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26"/>
      <c r="B376" s="26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26"/>
      <c r="B377" s="26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26"/>
      <c r="B378" s="26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26"/>
      <c r="B379" s="26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26"/>
      <c r="B380" s="26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26"/>
      <c r="B381" s="26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26"/>
      <c r="B382" s="26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26"/>
      <c r="B383" s="26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26"/>
      <c r="B384" s="26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26"/>
      <c r="B385" s="26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26"/>
      <c r="B386" s="26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26"/>
      <c r="B387" s="26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26"/>
      <c r="B388" s="26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26"/>
      <c r="B389" s="26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26"/>
      <c r="B390" s="26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26"/>
      <c r="B391" s="26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26"/>
      <c r="B392" s="26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26"/>
      <c r="B393" s="26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26"/>
      <c r="B394" s="26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26"/>
      <c r="B395" s="26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26"/>
      <c r="B396" s="26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26"/>
      <c r="B397" s="26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26"/>
      <c r="B398" s="26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26"/>
      <c r="B399" s="26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26"/>
      <c r="B400" s="26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26"/>
      <c r="B401" s="26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26"/>
      <c r="B402" s="26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26"/>
      <c r="B403" s="26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26"/>
      <c r="B404" s="26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26"/>
      <c r="B405" s="26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26"/>
      <c r="B406" s="26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26"/>
      <c r="B407" s="26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26"/>
      <c r="B408" s="26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26"/>
      <c r="B409" s="26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26"/>
      <c r="B410" s="26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26"/>
      <c r="B411" s="26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26"/>
      <c r="B412" s="26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26"/>
      <c r="B413" s="26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26"/>
      <c r="B414" s="26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26"/>
      <c r="B415" s="26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26"/>
      <c r="B416" s="26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26"/>
      <c r="B417" s="26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26"/>
      <c r="B418" s="26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26"/>
      <c r="B419" s="26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26"/>
      <c r="B420" s="26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26"/>
      <c r="B421" s="26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26"/>
      <c r="B422" s="26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26"/>
      <c r="B423" s="26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26"/>
      <c r="B424" s="26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26"/>
      <c r="B425" s="26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26"/>
      <c r="B426" s="26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26"/>
      <c r="B427" s="26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26"/>
      <c r="B428" s="26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26"/>
      <c r="B429" s="26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26"/>
      <c r="B430" s="26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26"/>
      <c r="B431" s="26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26"/>
      <c r="B432" s="26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26"/>
      <c r="B433" s="26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26"/>
      <c r="B434" s="26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26"/>
      <c r="B435" s="26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26"/>
      <c r="B436" s="26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26"/>
      <c r="B437" s="26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26"/>
      <c r="B438" s="26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26"/>
      <c r="B439" s="26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26"/>
      <c r="B440" s="26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26"/>
      <c r="B441" s="26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26"/>
      <c r="B442" s="26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26"/>
      <c r="B443" s="26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26"/>
      <c r="B444" s="26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26"/>
      <c r="B445" s="26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26"/>
      <c r="B446" s="26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26"/>
      <c r="B447" s="26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26"/>
      <c r="B448" s="26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26"/>
      <c r="B449" s="26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26"/>
      <c r="B450" s="26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26"/>
      <c r="B451" s="26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26"/>
      <c r="B452" s="26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26"/>
      <c r="B453" s="26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26"/>
      <c r="B454" s="26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26"/>
      <c r="B455" s="26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26"/>
      <c r="B456" s="26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26"/>
      <c r="B457" s="26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26"/>
      <c r="B458" s="26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26"/>
      <c r="B459" s="26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26"/>
      <c r="B460" s="26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26"/>
      <c r="B461" s="26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26"/>
      <c r="B462" s="26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26"/>
      <c r="B463" s="26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26"/>
      <c r="B464" s="26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26"/>
      <c r="B465" s="26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26"/>
      <c r="B466" s="26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26"/>
      <c r="B467" s="26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26"/>
      <c r="B468" s="26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26"/>
      <c r="B469" s="26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26"/>
      <c r="B470" s="26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26"/>
      <c r="B471" s="26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26"/>
      <c r="B472" s="26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26"/>
      <c r="B473" s="26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26"/>
      <c r="B474" s="26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26"/>
      <c r="B475" s="26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26"/>
      <c r="B476" s="26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26"/>
      <c r="B477" s="26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26"/>
      <c r="B478" s="26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26"/>
      <c r="B479" s="26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26"/>
      <c r="B480" s="26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26"/>
      <c r="B481" s="26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26"/>
      <c r="B482" s="26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26"/>
      <c r="B483" s="26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26"/>
      <c r="B484" s="26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26"/>
      <c r="B485" s="26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26"/>
      <c r="B486" s="26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26"/>
      <c r="B487" s="26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26"/>
      <c r="B488" s="26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26"/>
      <c r="B489" s="26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26"/>
      <c r="B490" s="26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26"/>
      <c r="B491" s="26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26"/>
      <c r="B492" s="26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26"/>
      <c r="B493" s="26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26"/>
      <c r="B494" s="26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26"/>
      <c r="B495" s="26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26"/>
      <c r="B496" s="26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26"/>
      <c r="B497" s="26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26"/>
      <c r="B498" s="26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26"/>
      <c r="B499" s="26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26"/>
      <c r="B500" s="26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26"/>
      <c r="B501" s="26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26"/>
      <c r="B502" s="26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26"/>
      <c r="B503" s="26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26"/>
      <c r="B504" s="26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26"/>
      <c r="B505" s="26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26"/>
      <c r="B506" s="26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26"/>
      <c r="B507" s="26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26"/>
      <c r="B508" s="26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26"/>
      <c r="B509" s="26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26"/>
      <c r="B510" s="26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26"/>
      <c r="B511" s="26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26"/>
      <c r="B512" s="26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26"/>
      <c r="B513" s="26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26"/>
      <c r="B514" s="26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26"/>
      <c r="B515" s="26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26"/>
      <c r="B516" s="26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26"/>
      <c r="B517" s="26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26"/>
      <c r="B518" s="26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26"/>
      <c r="B519" s="26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26"/>
      <c r="B520" s="26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26"/>
      <c r="B521" s="26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26"/>
      <c r="B522" s="26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26"/>
      <c r="B523" s="26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26"/>
      <c r="B524" s="26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26"/>
      <c r="B525" s="26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26"/>
      <c r="B526" s="26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26"/>
      <c r="B527" s="26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26"/>
      <c r="B528" s="26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26"/>
      <c r="B529" s="26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26"/>
      <c r="B530" s="26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26"/>
      <c r="B531" s="26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26"/>
      <c r="B532" s="26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26"/>
      <c r="B533" s="26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26"/>
      <c r="B534" s="26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26"/>
      <c r="B535" s="26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26"/>
      <c r="B536" s="26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26"/>
      <c r="B537" s="26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26"/>
      <c r="B538" s="26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26"/>
      <c r="B539" s="26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26"/>
      <c r="B540" s="26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26"/>
      <c r="B541" s="26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26"/>
      <c r="B542" s="26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26"/>
      <c r="B543" s="26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26"/>
      <c r="B544" s="26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26"/>
      <c r="B545" s="26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26"/>
      <c r="B546" s="26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26"/>
      <c r="B547" s="26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26"/>
      <c r="B548" s="26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26"/>
      <c r="B549" s="26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26"/>
      <c r="B550" s="26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26"/>
      <c r="B551" s="26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26"/>
      <c r="B552" s="26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26"/>
      <c r="B553" s="26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26"/>
      <c r="B554" s="26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26"/>
      <c r="B555" s="26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26"/>
      <c r="B556" s="26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26"/>
      <c r="B557" s="26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26"/>
      <c r="B558" s="26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26"/>
      <c r="B559" s="26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26"/>
      <c r="B560" s="26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26"/>
      <c r="B561" s="26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26"/>
      <c r="B562" s="26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26"/>
      <c r="B563" s="26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26"/>
      <c r="B564" s="26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26"/>
      <c r="B565" s="26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26"/>
      <c r="B566" s="26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26"/>
      <c r="B567" s="26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26"/>
      <c r="B568" s="26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26"/>
      <c r="B569" s="26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26"/>
      <c r="B570" s="26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26"/>
      <c r="B571" s="26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26"/>
      <c r="B572" s="26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26"/>
      <c r="B573" s="26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26"/>
      <c r="B574" s="26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26"/>
      <c r="B575" s="26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26"/>
      <c r="B576" s="26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26"/>
      <c r="B577" s="26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26"/>
      <c r="B578" s="26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26"/>
      <c r="B579" s="26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26"/>
      <c r="B580" s="26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26"/>
      <c r="B581" s="26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26"/>
      <c r="B582" s="26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26"/>
      <c r="B583" s="26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26"/>
      <c r="B584" s="26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26"/>
      <c r="B585" s="26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26"/>
      <c r="B586" s="26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26"/>
      <c r="B587" s="26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26"/>
      <c r="B588" s="26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26"/>
      <c r="B589" s="26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26"/>
      <c r="B590" s="26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26"/>
      <c r="B591" s="26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26"/>
      <c r="B592" s="26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26"/>
      <c r="B593" s="26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26"/>
      <c r="B594" s="26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26"/>
      <c r="B595" s="26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26"/>
      <c r="B596" s="26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26"/>
      <c r="B597" s="26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26"/>
      <c r="B598" s="26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26"/>
      <c r="B599" s="26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26"/>
      <c r="B600" s="26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26"/>
      <c r="B601" s="26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26"/>
      <c r="B602" s="26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26"/>
      <c r="B603" s="26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26"/>
      <c r="B604" s="26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26"/>
      <c r="B605" s="26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26"/>
      <c r="B606" s="26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26"/>
      <c r="B607" s="26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26"/>
      <c r="B608" s="26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26"/>
      <c r="B609" s="26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26"/>
      <c r="B610" s="26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26"/>
      <c r="B611" s="26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26"/>
      <c r="B612" s="26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26"/>
      <c r="B613" s="26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26"/>
      <c r="B614" s="26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26"/>
      <c r="B615" s="26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26"/>
      <c r="B616" s="26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26"/>
      <c r="B617" s="26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26"/>
      <c r="B618" s="26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26"/>
      <c r="B619" s="26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26"/>
      <c r="B620" s="26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26"/>
      <c r="B621" s="26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26"/>
      <c r="B622" s="26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26"/>
      <c r="B623" s="26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26"/>
      <c r="B624" s="26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26"/>
      <c r="B625" s="26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26"/>
      <c r="B626" s="26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26"/>
      <c r="B627" s="26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26"/>
      <c r="B628" s="26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26"/>
      <c r="B629" s="26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26"/>
      <c r="B630" s="26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26"/>
      <c r="B631" s="26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26"/>
      <c r="B632" s="26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26"/>
      <c r="B633" s="26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26"/>
      <c r="B634" s="26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26"/>
      <c r="B635" s="26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26"/>
      <c r="B636" s="26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26"/>
      <c r="B637" s="26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26"/>
      <c r="B638" s="26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26"/>
      <c r="B639" s="26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26"/>
      <c r="B640" s="26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26"/>
      <c r="B641" s="26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26"/>
      <c r="B642" s="26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26"/>
      <c r="B643" s="26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26"/>
      <c r="B644" s="26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26"/>
      <c r="B645" s="26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26"/>
      <c r="B646" s="26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26"/>
      <c r="B647" s="26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26"/>
      <c r="B648" s="26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26"/>
      <c r="B649" s="26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26"/>
      <c r="B650" s="26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26"/>
      <c r="B651" s="26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26"/>
      <c r="B652" s="26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26"/>
      <c r="B653" s="26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26"/>
      <c r="B654" s="26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26"/>
      <c r="B655" s="26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26"/>
      <c r="B656" s="26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26"/>
      <c r="B657" s="26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26"/>
      <c r="B658" s="26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26"/>
      <c r="B659" s="26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26"/>
      <c r="B660" s="26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26"/>
      <c r="B661" s="26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26"/>
      <c r="B662" s="26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26"/>
      <c r="B663" s="26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26"/>
      <c r="B664" s="26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26"/>
      <c r="B665" s="26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26"/>
      <c r="B666" s="26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26"/>
      <c r="B667" s="26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26"/>
      <c r="B668" s="26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26"/>
      <c r="B669" s="26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26"/>
      <c r="B670" s="26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26"/>
      <c r="B671" s="26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26"/>
      <c r="B672" s="26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26"/>
      <c r="B673" s="26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26"/>
      <c r="B674" s="26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26"/>
      <c r="B675" s="26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26"/>
      <c r="B676" s="26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26"/>
      <c r="B677" s="26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26"/>
      <c r="B678" s="26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26"/>
      <c r="B679" s="26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26"/>
      <c r="B680" s="26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26"/>
      <c r="B681" s="26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26"/>
      <c r="B682" s="26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26"/>
      <c r="B683" s="26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26"/>
      <c r="B684" s="26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26"/>
      <c r="B685" s="26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26"/>
      <c r="B686" s="26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26"/>
      <c r="B687" s="26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26"/>
      <c r="B688" s="26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26"/>
      <c r="B689" s="26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26"/>
      <c r="B690" s="26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26"/>
      <c r="B691" s="26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26"/>
      <c r="B692" s="26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26"/>
      <c r="B693" s="26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26"/>
      <c r="B694" s="26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26"/>
      <c r="B695" s="26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26"/>
      <c r="B696" s="26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26"/>
      <c r="B697" s="26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26"/>
      <c r="B698" s="26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26"/>
      <c r="B699" s="26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26"/>
      <c r="B700" s="26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26"/>
      <c r="B701" s="26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26"/>
      <c r="B702" s="26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26"/>
      <c r="B703" s="26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26"/>
      <c r="B704" s="26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26"/>
      <c r="B705" s="26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26"/>
      <c r="B706" s="26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26"/>
      <c r="B707" s="26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26"/>
      <c r="B708" s="26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26"/>
      <c r="B709" s="26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26"/>
      <c r="B710" s="26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26"/>
      <c r="B711" s="26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26"/>
      <c r="B712" s="26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26"/>
      <c r="B713" s="26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26"/>
      <c r="B714" s="26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26"/>
      <c r="B715" s="26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26"/>
      <c r="B716" s="26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26"/>
      <c r="B717" s="26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26"/>
      <c r="B718" s="26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26"/>
      <c r="B719" s="26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26"/>
      <c r="B720" s="26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26"/>
      <c r="B721" s="26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26"/>
      <c r="B722" s="26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26"/>
      <c r="B723" s="26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26"/>
      <c r="B724" s="26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26"/>
      <c r="B725" s="26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26"/>
      <c r="B726" s="26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26"/>
      <c r="B727" s="26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26"/>
      <c r="B728" s="26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26"/>
      <c r="B729" s="26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26"/>
      <c r="B730" s="26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26"/>
      <c r="B731" s="26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26"/>
      <c r="B732" s="26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26"/>
      <c r="B733" s="26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26"/>
      <c r="B734" s="26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26"/>
      <c r="B735" s="26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26"/>
      <c r="B736" s="26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26"/>
      <c r="B737" s="26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26"/>
      <c r="B738" s="26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26"/>
      <c r="B739" s="26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26"/>
      <c r="B740" s="26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26"/>
      <c r="B741" s="26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26"/>
      <c r="B742" s="26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26"/>
      <c r="B743" s="26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26"/>
      <c r="B744" s="26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26"/>
      <c r="B745" s="26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26"/>
      <c r="B746" s="26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26"/>
      <c r="B747" s="26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26"/>
      <c r="B748" s="26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26"/>
      <c r="B749" s="26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26"/>
      <c r="B750" s="26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26"/>
      <c r="B751" s="26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26"/>
      <c r="B752" s="26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26"/>
      <c r="B753" s="26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26"/>
      <c r="B754" s="26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26"/>
      <c r="B755" s="26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26"/>
      <c r="B756" s="26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26"/>
      <c r="B757" s="26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26"/>
      <c r="B758" s="26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26"/>
      <c r="B759" s="26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26"/>
      <c r="B760" s="26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26"/>
      <c r="B761" s="26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26"/>
      <c r="B762" s="26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26"/>
      <c r="B763" s="26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26"/>
      <c r="B764" s="26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26"/>
      <c r="B765" s="26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26"/>
      <c r="B766" s="26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26"/>
      <c r="B767" s="26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26"/>
      <c r="B768" s="26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26"/>
      <c r="B769" s="26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26"/>
      <c r="B770" s="26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26"/>
      <c r="B771" s="26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26"/>
      <c r="B772" s="26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26"/>
      <c r="B773" s="26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26"/>
      <c r="B774" s="26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26"/>
      <c r="B775" s="26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26"/>
      <c r="B776" s="26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26"/>
      <c r="B777" s="26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26"/>
      <c r="B778" s="26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26"/>
      <c r="B779" s="26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26"/>
      <c r="B780" s="26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26"/>
      <c r="B781" s="26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26"/>
      <c r="B782" s="26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26"/>
      <c r="B783" s="26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26"/>
      <c r="B784" s="26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26"/>
      <c r="B785" s="26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26"/>
      <c r="B786" s="26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26"/>
      <c r="B787" s="26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26"/>
      <c r="B788" s="26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26"/>
      <c r="B789" s="26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26"/>
      <c r="B790" s="26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26"/>
      <c r="B791" s="26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26"/>
      <c r="B792" s="26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26"/>
      <c r="B793" s="26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26"/>
      <c r="B794" s="26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26"/>
      <c r="B795" s="26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26"/>
      <c r="B796" s="26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26"/>
      <c r="B797" s="26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26"/>
      <c r="B798" s="26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26"/>
      <c r="B799" s="26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26"/>
      <c r="B800" s="26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26"/>
      <c r="B801" s="26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26"/>
      <c r="B802" s="26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26"/>
      <c r="B803" s="26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26"/>
      <c r="B804" s="26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26"/>
      <c r="B805" s="26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26"/>
      <c r="B806" s="26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26"/>
      <c r="B807" s="26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26"/>
      <c r="B808" s="26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26"/>
      <c r="B809" s="26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26"/>
      <c r="B810" s="26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26"/>
      <c r="B811" s="26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26"/>
      <c r="B812" s="26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26"/>
      <c r="B813" s="26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26"/>
      <c r="B814" s="26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26"/>
      <c r="B815" s="26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26"/>
      <c r="B816" s="26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26"/>
      <c r="B817" s="26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26"/>
      <c r="B818" s="26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26"/>
      <c r="B819" s="26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26"/>
      <c r="B820" s="26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26"/>
      <c r="B821" s="26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26"/>
      <c r="B822" s="26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26"/>
      <c r="B823" s="26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26"/>
      <c r="B824" s="26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26"/>
      <c r="B825" s="26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26"/>
      <c r="B826" s="26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26"/>
      <c r="B827" s="26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26"/>
      <c r="B828" s="26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26"/>
      <c r="B829" s="26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26"/>
      <c r="B830" s="26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26"/>
      <c r="B831" s="26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26"/>
      <c r="B832" s="26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26"/>
      <c r="B833" s="26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26"/>
      <c r="B834" s="26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26"/>
      <c r="B835" s="26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26"/>
      <c r="B836" s="26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26"/>
      <c r="B837" s="26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26"/>
      <c r="B838" s="26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26"/>
      <c r="B839" s="26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26"/>
      <c r="B840" s="26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26"/>
      <c r="B841" s="26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26"/>
      <c r="B842" s="26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26"/>
      <c r="B843" s="26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26"/>
      <c r="B844" s="26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26"/>
      <c r="B845" s="26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26"/>
      <c r="B846" s="26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26"/>
      <c r="B847" s="26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26"/>
      <c r="B848" s="26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26"/>
      <c r="B849" s="26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26"/>
      <c r="B850" s="26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26"/>
      <c r="B851" s="26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26"/>
      <c r="B852" s="26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26"/>
      <c r="B853" s="26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26"/>
      <c r="B854" s="26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26"/>
      <c r="B855" s="26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26"/>
      <c r="B856" s="26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26"/>
      <c r="B857" s="26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26"/>
      <c r="B858" s="26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26"/>
      <c r="B859" s="26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26"/>
      <c r="B860" s="26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26"/>
      <c r="B861" s="26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26"/>
      <c r="B862" s="26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26"/>
      <c r="B863" s="26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26"/>
      <c r="B864" s="26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26"/>
      <c r="B865" s="26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26"/>
      <c r="B866" s="26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26"/>
      <c r="B867" s="26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26"/>
      <c r="B868" s="26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26"/>
      <c r="B869" s="26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26"/>
      <c r="B870" s="26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26"/>
      <c r="B871" s="26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26"/>
      <c r="B872" s="26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26"/>
      <c r="B873" s="26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26"/>
      <c r="B874" s="26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26"/>
      <c r="B875" s="26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26"/>
      <c r="B876" s="26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26"/>
      <c r="B877" s="26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26"/>
      <c r="B878" s="26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26"/>
      <c r="B879" s="26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26"/>
      <c r="B880" s="26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26"/>
      <c r="B881" s="26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26"/>
      <c r="B882" s="26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26"/>
      <c r="B883" s="26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26"/>
      <c r="B884" s="26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26"/>
      <c r="B885" s="26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26"/>
      <c r="B886" s="26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26"/>
      <c r="B887" s="26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26"/>
      <c r="B888" s="26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26"/>
      <c r="B889" s="26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26"/>
      <c r="B890" s="26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26"/>
      <c r="B891" s="26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26"/>
      <c r="B892" s="26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26"/>
      <c r="B893" s="26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26"/>
      <c r="B894" s="26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26"/>
      <c r="B895" s="26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26"/>
      <c r="B896" s="26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26"/>
      <c r="B897" s="26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26"/>
      <c r="B898" s="26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26"/>
      <c r="B899" s="26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26"/>
      <c r="B900" s="26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26"/>
      <c r="B901" s="26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26"/>
      <c r="B902" s="26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26"/>
      <c r="B903" s="26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26"/>
      <c r="B904" s="26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26"/>
      <c r="B905" s="26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26"/>
      <c r="B906" s="26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26"/>
      <c r="B907" s="26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26"/>
      <c r="B908" s="26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26"/>
      <c r="B909" s="26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26"/>
      <c r="B910" s="26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26"/>
      <c r="B911" s="26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26"/>
      <c r="B912" s="26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26"/>
      <c r="B913" s="26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26"/>
      <c r="B914" s="26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26"/>
      <c r="B915" s="26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26"/>
      <c r="B916" s="26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26"/>
      <c r="B917" s="26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26"/>
      <c r="B918" s="26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26"/>
      <c r="B919" s="26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26"/>
      <c r="B920" s="26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26"/>
      <c r="B921" s="26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26"/>
      <c r="B922" s="26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26"/>
      <c r="B923" s="26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26"/>
      <c r="B924" s="26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26"/>
      <c r="B925" s="26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26"/>
      <c r="B926" s="26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26"/>
      <c r="B927" s="26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26"/>
      <c r="B928" s="26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26"/>
      <c r="B929" s="26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26"/>
      <c r="B930" s="26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26"/>
      <c r="B931" s="26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26"/>
      <c r="B932" s="26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26"/>
      <c r="B933" s="26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</sheetData>
  <mergeCells count="21">
    <mergeCell ref="A1:O1"/>
    <mergeCell ref="A3:B3"/>
    <mergeCell ref="A4:B4"/>
    <mergeCell ref="A7:B7"/>
    <mergeCell ref="A8:B8"/>
    <mergeCell ref="A9:B9"/>
    <mergeCell ref="A11:B11"/>
    <mergeCell ref="A43:B43"/>
    <mergeCell ref="A44:A47"/>
    <mergeCell ref="A49:B49"/>
    <mergeCell ref="A50:A59"/>
    <mergeCell ref="A61:B61"/>
    <mergeCell ref="A62:A64"/>
    <mergeCell ref="A66:B66"/>
    <mergeCell ref="A12:A18"/>
    <mergeCell ref="A20:A25"/>
    <mergeCell ref="A27:B27"/>
    <mergeCell ref="A31:B31"/>
    <mergeCell ref="A34:B34"/>
    <mergeCell ref="A37:B37"/>
    <mergeCell ref="A40:B4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32"/>
  <sheetViews>
    <sheetView showGridLines="0" topLeftCell="A31" workbookViewId="0">
      <selection activeCell="F41" sqref="F41"/>
    </sheetView>
  </sheetViews>
  <sheetFormatPr defaultColWidth="12.6640625" defaultRowHeight="14.4" x14ac:dyDescent="0.3"/>
  <cols>
    <col min="1" max="1" width="32.21875" customWidth="1"/>
    <col min="2" max="2" width="56.77734375" customWidth="1"/>
    <col min="3" max="14" width="15.21875" customWidth="1"/>
    <col min="15" max="15" width="21.33203125" customWidth="1"/>
    <col min="16" max="16" width="9.21875" customWidth="1"/>
    <col min="17" max="26" width="8.88671875" customWidth="1"/>
  </cols>
  <sheetData>
    <row r="1" spans="1:26" ht="61.5" customHeight="1" x14ac:dyDescent="0.3">
      <c r="A1" s="164"/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2" t="s">
        <v>66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161" t="s">
        <v>67</v>
      </c>
      <c r="B3" s="162"/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166" t="s">
        <v>25</v>
      </c>
      <c r="B4" s="162"/>
      <c r="C4" s="4">
        <v>10782</v>
      </c>
      <c r="D4" s="4">
        <v>10444</v>
      </c>
      <c r="E4" s="4">
        <v>10992</v>
      </c>
      <c r="F4" s="4">
        <v>10544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5">
        <f>SUM(C4:N4)</f>
        <v>42762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6" t="s">
        <v>26</v>
      </c>
      <c r="B5" s="6"/>
      <c r="C5" s="4">
        <f>C4/31</f>
        <v>347.80645161290323</v>
      </c>
      <c r="D5" s="4">
        <f>D4/30</f>
        <v>348.13333333333333</v>
      </c>
      <c r="E5" s="4">
        <f>E4/31</f>
        <v>354.58064516129031</v>
      </c>
      <c r="F5" s="4">
        <f>F4/30</f>
        <v>351.46666666666664</v>
      </c>
      <c r="G5" s="4">
        <f>G4/31</f>
        <v>0</v>
      </c>
      <c r="H5" s="4">
        <f>H4/31</f>
        <v>0</v>
      </c>
      <c r="I5" s="4">
        <f>I4/30</f>
        <v>0</v>
      </c>
      <c r="J5" s="4">
        <f>J4/31</f>
        <v>0</v>
      </c>
      <c r="K5" s="4">
        <f>K4/30</f>
        <v>0</v>
      </c>
      <c r="L5" s="4">
        <f>L4/31</f>
        <v>0</v>
      </c>
      <c r="M5" s="4">
        <f>M4/31</f>
        <v>0</v>
      </c>
      <c r="N5" s="4">
        <f>N4/28</f>
        <v>0</v>
      </c>
      <c r="O5" s="5">
        <f>AVERAGE(C5:N5)</f>
        <v>116.83225806451613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0.5" customHeight="1" x14ac:dyDescent="0.3">
      <c r="A6" s="7"/>
      <c r="B6" s="7"/>
      <c r="C6" s="1"/>
      <c r="D6" s="1"/>
      <c r="E6" s="1"/>
      <c r="F6" s="1"/>
      <c r="G6" s="1"/>
      <c r="H6" s="8"/>
      <c r="I6" s="8"/>
      <c r="J6" s="8"/>
      <c r="K6" s="8"/>
      <c r="L6" s="8"/>
      <c r="M6" s="8"/>
      <c r="N6" s="8"/>
      <c r="O6" s="9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">
      <c r="A7" s="161"/>
      <c r="B7" s="162"/>
      <c r="C7" s="3" t="s">
        <v>1</v>
      </c>
      <c r="D7" s="3" t="s">
        <v>2</v>
      </c>
      <c r="E7" s="3" t="s">
        <v>3</v>
      </c>
      <c r="F7" s="3" t="s">
        <v>4</v>
      </c>
      <c r="G7" s="3" t="s">
        <v>5</v>
      </c>
      <c r="H7" s="3" t="s">
        <v>6</v>
      </c>
      <c r="I7" s="3" t="s">
        <v>7</v>
      </c>
      <c r="J7" s="3" t="s">
        <v>8</v>
      </c>
      <c r="K7" s="3" t="s">
        <v>9</v>
      </c>
      <c r="L7" s="3" t="s">
        <v>10</v>
      </c>
      <c r="M7" s="3" t="s">
        <v>11</v>
      </c>
      <c r="N7" s="3" t="s">
        <v>12</v>
      </c>
      <c r="O7" s="3" t="s">
        <v>13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">
      <c r="A8" s="166" t="s">
        <v>27</v>
      </c>
      <c r="B8" s="162"/>
      <c r="C8" s="4">
        <v>9582</v>
      </c>
      <c r="D8" s="4">
        <v>9346</v>
      </c>
      <c r="E8" s="4">
        <v>9906</v>
      </c>
      <c r="F8" s="4">
        <v>9530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5">
        <f>SUM(C8:N8)</f>
        <v>38364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">
      <c r="A9" s="163" t="s">
        <v>28</v>
      </c>
      <c r="B9" s="162"/>
      <c r="C9" s="10">
        <v>8000</v>
      </c>
      <c r="D9" s="10">
        <v>8000</v>
      </c>
      <c r="E9" s="10">
        <v>8000</v>
      </c>
      <c r="F9" s="10">
        <v>8000</v>
      </c>
      <c r="G9" s="10">
        <v>8000</v>
      </c>
      <c r="H9" s="10">
        <v>8000</v>
      </c>
      <c r="I9" s="10">
        <v>8000</v>
      </c>
      <c r="J9" s="10">
        <v>8000</v>
      </c>
      <c r="K9" s="10">
        <v>8000</v>
      </c>
      <c r="L9" s="10">
        <v>8000</v>
      </c>
      <c r="M9" s="10">
        <v>8000</v>
      </c>
      <c r="N9" s="10">
        <v>8000</v>
      </c>
      <c r="O9" s="11">
        <f>SUM(C9:N9)</f>
        <v>96000</v>
      </c>
      <c r="P9" s="12"/>
      <c r="Q9" s="10"/>
      <c r="R9" s="12"/>
      <c r="S9" s="12"/>
      <c r="T9" s="12"/>
      <c r="U9" s="12"/>
      <c r="V9" s="12"/>
      <c r="W9" s="12"/>
      <c r="X9" s="12"/>
      <c r="Y9" s="12"/>
      <c r="Z9" s="12"/>
    </row>
    <row r="10" spans="1:26" ht="10.5" customHeight="1" x14ac:dyDescent="0.3">
      <c r="A10" s="7"/>
      <c r="B10" s="7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161"/>
      <c r="B11" s="162"/>
      <c r="C11" s="3" t="s">
        <v>1</v>
      </c>
      <c r="D11" s="3" t="s">
        <v>2</v>
      </c>
      <c r="E11" s="3" t="s">
        <v>3</v>
      </c>
      <c r="F11" s="3" t="s">
        <v>4</v>
      </c>
      <c r="G11" s="3" t="s">
        <v>5</v>
      </c>
      <c r="H11" s="3" t="s">
        <v>6</v>
      </c>
      <c r="I11" s="3" t="s">
        <v>7</v>
      </c>
      <c r="J11" s="3" t="s">
        <v>8</v>
      </c>
      <c r="K11" s="3" t="s">
        <v>9</v>
      </c>
      <c r="L11" s="3" t="s">
        <v>10</v>
      </c>
      <c r="M11" s="3" t="s">
        <v>11</v>
      </c>
      <c r="N11" s="3" t="s">
        <v>12</v>
      </c>
      <c r="O11" s="3" t="s">
        <v>13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58" t="s">
        <v>29</v>
      </c>
      <c r="B12" s="104" t="s">
        <v>30</v>
      </c>
      <c r="C12" s="4">
        <v>404</v>
      </c>
      <c r="D12" s="4">
        <v>344</v>
      </c>
      <c r="E12" s="4">
        <v>413</v>
      </c>
      <c r="F12" s="4">
        <v>401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5">
        <f t="shared" ref="O12:O18" si="0">SUM(C12:N12)</f>
        <v>1562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159"/>
      <c r="B13" s="14" t="s">
        <v>31</v>
      </c>
      <c r="C13" s="4">
        <v>8050</v>
      </c>
      <c r="D13" s="4">
        <v>7838</v>
      </c>
      <c r="E13" s="4">
        <v>8191</v>
      </c>
      <c r="F13" s="4">
        <v>7760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5">
        <f t="shared" si="0"/>
        <v>31839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59"/>
      <c r="B14" s="15" t="s">
        <v>32</v>
      </c>
      <c r="C14" s="4">
        <v>1792</v>
      </c>
      <c r="D14" s="4">
        <v>1796</v>
      </c>
      <c r="E14" s="4">
        <v>1870</v>
      </c>
      <c r="F14" s="4">
        <v>1854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5">
        <f t="shared" si="0"/>
        <v>7312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59"/>
      <c r="B15" s="16" t="s">
        <v>33</v>
      </c>
      <c r="C15" s="4">
        <v>245</v>
      </c>
      <c r="D15" s="4">
        <v>218</v>
      </c>
      <c r="E15" s="4">
        <v>274</v>
      </c>
      <c r="F15" s="4">
        <v>238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5">
        <f t="shared" si="0"/>
        <v>975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59"/>
      <c r="B16" s="17" t="s">
        <v>34</v>
      </c>
      <c r="C16" s="4">
        <v>60</v>
      </c>
      <c r="D16" s="4">
        <v>52</v>
      </c>
      <c r="E16" s="4">
        <v>51</v>
      </c>
      <c r="F16" s="4">
        <v>45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5">
        <f t="shared" si="0"/>
        <v>208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59"/>
      <c r="B17" s="18" t="s">
        <v>35</v>
      </c>
      <c r="C17" s="4">
        <v>231</v>
      </c>
      <c r="D17" s="4">
        <v>196</v>
      </c>
      <c r="E17" s="4">
        <v>193</v>
      </c>
      <c r="F17" s="4">
        <v>246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5">
        <f t="shared" si="0"/>
        <v>866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60"/>
      <c r="B18" s="19" t="s">
        <v>36</v>
      </c>
      <c r="C18" s="5">
        <f t="shared" ref="C18:N18" si="1">SUM(C12:C17)</f>
        <v>10782</v>
      </c>
      <c r="D18" s="5">
        <f t="shared" si="1"/>
        <v>10444</v>
      </c>
      <c r="E18" s="5">
        <f t="shared" si="1"/>
        <v>10992</v>
      </c>
      <c r="F18" s="5">
        <f t="shared" si="1"/>
        <v>10544</v>
      </c>
      <c r="G18" s="5">
        <f t="shared" si="1"/>
        <v>0</v>
      </c>
      <c r="H18" s="5">
        <f t="shared" si="1"/>
        <v>0</v>
      </c>
      <c r="I18" s="5">
        <f t="shared" si="1"/>
        <v>0</v>
      </c>
      <c r="J18" s="5">
        <f t="shared" si="1"/>
        <v>0</v>
      </c>
      <c r="K18" s="5">
        <f t="shared" si="1"/>
        <v>0</v>
      </c>
      <c r="L18" s="5">
        <f t="shared" si="1"/>
        <v>0</v>
      </c>
      <c r="M18" s="5">
        <f t="shared" si="1"/>
        <v>0</v>
      </c>
      <c r="N18" s="5">
        <f t="shared" si="1"/>
        <v>0</v>
      </c>
      <c r="O18" s="5">
        <f t="shared" si="0"/>
        <v>42762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31"/>
      <c r="B19" s="31"/>
      <c r="C19" s="3" t="s">
        <v>1</v>
      </c>
      <c r="D19" s="3" t="s">
        <v>2</v>
      </c>
      <c r="E19" s="3" t="s">
        <v>3</v>
      </c>
      <c r="F19" s="3" t="s">
        <v>4</v>
      </c>
      <c r="G19" s="3" t="s">
        <v>5</v>
      </c>
      <c r="H19" s="3" t="s">
        <v>6</v>
      </c>
      <c r="I19" s="3" t="s">
        <v>7</v>
      </c>
      <c r="J19" s="3" t="s">
        <v>8</v>
      </c>
      <c r="K19" s="3" t="s">
        <v>9</v>
      </c>
      <c r="L19" s="3" t="s">
        <v>10</v>
      </c>
      <c r="M19" s="3" t="s">
        <v>11</v>
      </c>
      <c r="N19" s="3" t="s">
        <v>12</v>
      </c>
      <c r="O19" s="3" t="s">
        <v>13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">
      <c r="A20" s="158" t="s">
        <v>37</v>
      </c>
      <c r="B20" s="6" t="s">
        <v>30</v>
      </c>
      <c r="C20" s="20">
        <f t="shared" ref="C20:N20" si="2">C12/C18</f>
        <v>3.7469857169356337E-2</v>
      </c>
      <c r="D20" s="20">
        <f t="shared" si="2"/>
        <v>3.2937571811566452E-2</v>
      </c>
      <c r="E20" s="20">
        <f t="shared" si="2"/>
        <v>3.7572780203784573E-2</v>
      </c>
      <c r="F20" s="20">
        <f t="shared" si="2"/>
        <v>3.8031107738998482E-2</v>
      </c>
      <c r="G20" s="20" t="e">
        <f t="shared" si="2"/>
        <v>#DIV/0!</v>
      </c>
      <c r="H20" s="20" t="e">
        <f t="shared" si="2"/>
        <v>#DIV/0!</v>
      </c>
      <c r="I20" s="20" t="e">
        <f t="shared" si="2"/>
        <v>#DIV/0!</v>
      </c>
      <c r="J20" s="20" t="e">
        <f t="shared" si="2"/>
        <v>#DIV/0!</v>
      </c>
      <c r="K20" s="20" t="e">
        <f t="shared" si="2"/>
        <v>#DIV/0!</v>
      </c>
      <c r="L20" s="20" t="e">
        <f t="shared" si="2"/>
        <v>#DIV/0!</v>
      </c>
      <c r="M20" s="20" t="e">
        <f t="shared" si="2"/>
        <v>#DIV/0!</v>
      </c>
      <c r="N20" s="20" t="e">
        <f t="shared" si="2"/>
        <v>#DIV/0!</v>
      </c>
      <c r="O20" s="21" t="e">
        <f t="shared" ref="O20:O25" si="3">AVERAGE(C20:N20)</f>
        <v>#DIV/0!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59"/>
      <c r="B21" s="6" t="s">
        <v>31</v>
      </c>
      <c r="C21" s="20">
        <f t="shared" ref="C21:N21" si="4">C13/C18</f>
        <v>0.74661472825078834</v>
      </c>
      <c r="D21" s="20">
        <f t="shared" si="4"/>
        <v>0.75047874377633095</v>
      </c>
      <c r="E21" s="20">
        <f t="shared" si="4"/>
        <v>0.74517831149927216</v>
      </c>
      <c r="F21" s="20">
        <f t="shared" si="4"/>
        <v>0.73596358118361149</v>
      </c>
      <c r="G21" s="20" t="e">
        <f t="shared" si="4"/>
        <v>#DIV/0!</v>
      </c>
      <c r="H21" s="20" t="e">
        <f t="shared" si="4"/>
        <v>#DIV/0!</v>
      </c>
      <c r="I21" s="20" t="e">
        <f t="shared" si="4"/>
        <v>#DIV/0!</v>
      </c>
      <c r="J21" s="20" t="e">
        <f t="shared" si="4"/>
        <v>#DIV/0!</v>
      </c>
      <c r="K21" s="20" t="e">
        <f t="shared" si="4"/>
        <v>#DIV/0!</v>
      </c>
      <c r="L21" s="20" t="e">
        <f t="shared" si="4"/>
        <v>#DIV/0!</v>
      </c>
      <c r="M21" s="20" t="e">
        <f t="shared" si="4"/>
        <v>#DIV/0!</v>
      </c>
      <c r="N21" s="20" t="e">
        <f t="shared" si="4"/>
        <v>#DIV/0!</v>
      </c>
      <c r="O21" s="21" t="e">
        <f t="shared" si="3"/>
        <v>#DIV/0!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59"/>
      <c r="B22" s="6" t="s">
        <v>32</v>
      </c>
      <c r="C22" s="20">
        <f t="shared" ref="C22:N22" si="5">C14/C18</f>
        <v>0.16620293081061027</v>
      </c>
      <c r="D22" s="20">
        <f t="shared" si="5"/>
        <v>0.17196476445806205</v>
      </c>
      <c r="E22" s="20">
        <f t="shared" si="5"/>
        <v>0.17012372634643377</v>
      </c>
      <c r="F22" s="20">
        <f t="shared" si="5"/>
        <v>0.17583459787556904</v>
      </c>
      <c r="G22" s="20" t="e">
        <f t="shared" si="5"/>
        <v>#DIV/0!</v>
      </c>
      <c r="H22" s="20" t="e">
        <f t="shared" si="5"/>
        <v>#DIV/0!</v>
      </c>
      <c r="I22" s="20" t="e">
        <f t="shared" si="5"/>
        <v>#DIV/0!</v>
      </c>
      <c r="J22" s="20" t="e">
        <f t="shared" si="5"/>
        <v>#DIV/0!</v>
      </c>
      <c r="K22" s="20" t="e">
        <f t="shared" si="5"/>
        <v>#DIV/0!</v>
      </c>
      <c r="L22" s="20" t="e">
        <f t="shared" si="5"/>
        <v>#DIV/0!</v>
      </c>
      <c r="M22" s="20" t="e">
        <f t="shared" si="5"/>
        <v>#DIV/0!</v>
      </c>
      <c r="N22" s="20" t="e">
        <f t="shared" si="5"/>
        <v>#DIV/0!</v>
      </c>
      <c r="O22" s="21" t="e">
        <f t="shared" si="3"/>
        <v>#DIV/0!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59"/>
      <c r="B23" s="6" t="s">
        <v>33</v>
      </c>
      <c r="C23" s="20">
        <f t="shared" ref="C23:N23" si="6">C15/C18</f>
        <v>2.2723056946763125E-2</v>
      </c>
      <c r="D23" s="20">
        <f t="shared" si="6"/>
        <v>2.0873228648027577E-2</v>
      </c>
      <c r="E23" s="20">
        <f t="shared" si="6"/>
        <v>2.4927219796215431E-2</v>
      </c>
      <c r="F23" s="20">
        <f t="shared" si="6"/>
        <v>2.2572078907435508E-2</v>
      </c>
      <c r="G23" s="20" t="e">
        <f t="shared" si="6"/>
        <v>#DIV/0!</v>
      </c>
      <c r="H23" s="20" t="e">
        <f t="shared" si="6"/>
        <v>#DIV/0!</v>
      </c>
      <c r="I23" s="20" t="e">
        <f t="shared" si="6"/>
        <v>#DIV/0!</v>
      </c>
      <c r="J23" s="20" t="e">
        <f t="shared" si="6"/>
        <v>#DIV/0!</v>
      </c>
      <c r="K23" s="20" t="e">
        <f t="shared" si="6"/>
        <v>#DIV/0!</v>
      </c>
      <c r="L23" s="20" t="e">
        <f t="shared" si="6"/>
        <v>#DIV/0!</v>
      </c>
      <c r="M23" s="20" t="e">
        <f t="shared" si="6"/>
        <v>#DIV/0!</v>
      </c>
      <c r="N23" s="20" t="e">
        <f t="shared" si="6"/>
        <v>#DIV/0!</v>
      </c>
      <c r="O23" s="21" t="e">
        <f t="shared" si="3"/>
        <v>#DIV/0!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59"/>
      <c r="B24" s="6" t="s">
        <v>34</v>
      </c>
      <c r="C24" s="20">
        <f t="shared" ref="C24:N24" si="7">C16/C18</f>
        <v>5.5648302726766831E-3</v>
      </c>
      <c r="D24" s="20">
        <f t="shared" si="7"/>
        <v>4.9789352738414403E-3</v>
      </c>
      <c r="E24" s="20">
        <f t="shared" si="7"/>
        <v>4.639737991266376E-3</v>
      </c>
      <c r="F24" s="20">
        <f t="shared" si="7"/>
        <v>4.2678300455235201E-3</v>
      </c>
      <c r="G24" s="20" t="e">
        <f t="shared" si="7"/>
        <v>#DIV/0!</v>
      </c>
      <c r="H24" s="20" t="e">
        <f t="shared" si="7"/>
        <v>#DIV/0!</v>
      </c>
      <c r="I24" s="20" t="e">
        <f t="shared" si="7"/>
        <v>#DIV/0!</v>
      </c>
      <c r="J24" s="20" t="e">
        <f t="shared" si="7"/>
        <v>#DIV/0!</v>
      </c>
      <c r="K24" s="20" t="e">
        <f t="shared" si="7"/>
        <v>#DIV/0!</v>
      </c>
      <c r="L24" s="20" t="e">
        <f t="shared" si="7"/>
        <v>#DIV/0!</v>
      </c>
      <c r="M24" s="20" t="e">
        <f t="shared" si="7"/>
        <v>#DIV/0!</v>
      </c>
      <c r="N24" s="20" t="e">
        <f t="shared" si="7"/>
        <v>#DIV/0!</v>
      </c>
      <c r="O24" s="21" t="e">
        <f t="shared" si="3"/>
        <v>#DIV/0!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60"/>
      <c r="B25" s="6" t="s">
        <v>38</v>
      </c>
      <c r="C25" s="20">
        <f t="shared" ref="C25:N25" si="8">C17/C18</f>
        <v>2.142459654980523E-2</v>
      </c>
      <c r="D25" s="20">
        <f t="shared" si="8"/>
        <v>1.876675603217158E-2</v>
      </c>
      <c r="E25" s="20">
        <f t="shared" si="8"/>
        <v>1.7558224163027658E-2</v>
      </c>
      <c r="F25" s="20">
        <f t="shared" si="8"/>
        <v>2.333080424886191E-2</v>
      </c>
      <c r="G25" s="20" t="e">
        <f t="shared" si="8"/>
        <v>#DIV/0!</v>
      </c>
      <c r="H25" s="20" t="e">
        <f t="shared" si="8"/>
        <v>#DIV/0!</v>
      </c>
      <c r="I25" s="20" t="e">
        <f t="shared" si="8"/>
        <v>#DIV/0!</v>
      </c>
      <c r="J25" s="20" t="e">
        <f t="shared" si="8"/>
        <v>#DIV/0!</v>
      </c>
      <c r="K25" s="20" t="e">
        <f t="shared" si="8"/>
        <v>#DIV/0!</v>
      </c>
      <c r="L25" s="20" t="e">
        <f t="shared" si="8"/>
        <v>#DIV/0!</v>
      </c>
      <c r="M25" s="20" t="e">
        <f t="shared" si="8"/>
        <v>#DIV/0!</v>
      </c>
      <c r="N25" s="20" t="e">
        <f t="shared" si="8"/>
        <v>#DIV/0!</v>
      </c>
      <c r="O25" s="21" t="e">
        <f t="shared" si="3"/>
        <v>#DIV/0!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0.5" customHeight="1" x14ac:dyDescent="0.3">
      <c r="A26" s="7"/>
      <c r="B26" s="7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61"/>
      <c r="B27" s="162"/>
      <c r="C27" s="3" t="s">
        <v>1</v>
      </c>
      <c r="D27" s="3" t="s">
        <v>2</v>
      </c>
      <c r="E27" s="3" t="s">
        <v>3</v>
      </c>
      <c r="F27" s="3" t="s">
        <v>4</v>
      </c>
      <c r="G27" s="3" t="s">
        <v>5</v>
      </c>
      <c r="H27" s="3" t="s">
        <v>6</v>
      </c>
      <c r="I27" s="3" t="s">
        <v>7</v>
      </c>
      <c r="J27" s="3" t="s">
        <v>8</v>
      </c>
      <c r="K27" s="3" t="s">
        <v>9</v>
      </c>
      <c r="L27" s="3" t="s">
        <v>10</v>
      </c>
      <c r="M27" s="3" t="s">
        <v>11</v>
      </c>
      <c r="N27" s="3" t="s">
        <v>12</v>
      </c>
      <c r="O27" s="3" t="s">
        <v>13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9" customHeight="1" x14ac:dyDescent="0.3">
      <c r="A28" s="6" t="s">
        <v>39</v>
      </c>
      <c r="B28" s="6" t="s">
        <v>40</v>
      </c>
      <c r="C28" s="65">
        <v>7.2569444444444443E-3</v>
      </c>
      <c r="D28" s="66">
        <v>7.1296296296296299E-3</v>
      </c>
      <c r="E28" s="66">
        <v>8.2175925925925923E-3</v>
      </c>
      <c r="F28" s="66">
        <v>8.8541666666666664E-3</v>
      </c>
      <c r="G28" s="66">
        <v>0</v>
      </c>
      <c r="H28" s="66">
        <v>0</v>
      </c>
      <c r="I28" s="66">
        <v>0</v>
      </c>
      <c r="J28" s="66">
        <v>0</v>
      </c>
      <c r="K28" s="66">
        <v>0</v>
      </c>
      <c r="L28" s="66">
        <v>0</v>
      </c>
      <c r="M28" s="66">
        <v>0</v>
      </c>
      <c r="N28" s="66">
        <v>0</v>
      </c>
      <c r="O28" s="65">
        <f>AVERAGE(C28:N28)</f>
        <v>2.6215277777777782E-3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3">
      <c r="A29" s="15" t="s">
        <v>28</v>
      </c>
      <c r="B29" s="15"/>
      <c r="C29" s="67">
        <v>6.9444444444444441E-3</v>
      </c>
      <c r="D29" s="67">
        <v>6.9444444444444441E-3</v>
      </c>
      <c r="E29" s="67">
        <v>6.9444444444444441E-3</v>
      </c>
      <c r="F29" s="67">
        <v>6.9444444444444441E-3</v>
      </c>
      <c r="G29" s="67">
        <v>6.9444444444444441E-3</v>
      </c>
      <c r="H29" s="67">
        <v>6.9444444444444441E-3</v>
      </c>
      <c r="I29" s="67">
        <v>6.9444444444444441E-3</v>
      </c>
      <c r="J29" s="67">
        <v>6.9444444444444441E-3</v>
      </c>
      <c r="K29" s="67">
        <v>6.9444444444444397E-3</v>
      </c>
      <c r="L29" s="67">
        <v>6.9444444444444397E-3</v>
      </c>
      <c r="M29" s="67">
        <v>6.9444444444444441E-3</v>
      </c>
      <c r="N29" s="67">
        <v>6.9444444444444441E-3</v>
      </c>
      <c r="O29" s="68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0.5" customHeight="1" x14ac:dyDescent="0.3">
      <c r="A30" s="7"/>
      <c r="B30" s="7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61"/>
      <c r="B31" s="162"/>
      <c r="C31" s="3" t="s">
        <v>1</v>
      </c>
      <c r="D31" s="3" t="s">
        <v>2</v>
      </c>
      <c r="E31" s="3" t="s">
        <v>3</v>
      </c>
      <c r="F31" s="3" t="s">
        <v>4</v>
      </c>
      <c r="G31" s="3" t="s">
        <v>5</v>
      </c>
      <c r="H31" s="3" t="s">
        <v>6</v>
      </c>
      <c r="I31" s="3" t="s">
        <v>7</v>
      </c>
      <c r="J31" s="3" t="s">
        <v>8</v>
      </c>
      <c r="K31" s="3" t="s">
        <v>9</v>
      </c>
      <c r="L31" s="3" t="s">
        <v>10</v>
      </c>
      <c r="M31" s="3" t="s">
        <v>11</v>
      </c>
      <c r="N31" s="3" t="s">
        <v>12</v>
      </c>
      <c r="O31" s="3" t="s">
        <v>13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47.25" customHeight="1" x14ac:dyDescent="0.3">
      <c r="A32" s="6" t="s">
        <v>41</v>
      </c>
      <c r="B32" s="6" t="s">
        <v>40</v>
      </c>
      <c r="C32" s="65">
        <v>3.4594907407407408E-2</v>
      </c>
      <c r="D32" s="66">
        <v>3.8182870370370367E-2</v>
      </c>
      <c r="E32" s="66">
        <v>4.1342592592592591E-2</v>
      </c>
      <c r="F32" s="66">
        <v>4.2094907407407407E-2</v>
      </c>
      <c r="G32" s="66">
        <v>0</v>
      </c>
      <c r="H32" s="66">
        <v>0</v>
      </c>
      <c r="I32" s="66">
        <v>0</v>
      </c>
      <c r="J32" s="66">
        <v>0</v>
      </c>
      <c r="K32" s="66">
        <v>0</v>
      </c>
      <c r="L32" s="66">
        <v>0</v>
      </c>
      <c r="M32" s="66">
        <v>0</v>
      </c>
      <c r="N32" s="66">
        <v>0</v>
      </c>
      <c r="O32" s="65">
        <f>AVERAGE(C32:N32)</f>
        <v>1.3017939814814814E-2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0.5" customHeight="1" x14ac:dyDescent="0.3">
      <c r="A33" s="7"/>
      <c r="B33" s="7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61"/>
      <c r="B34" s="162"/>
      <c r="C34" s="3" t="s">
        <v>1</v>
      </c>
      <c r="D34" s="3" t="s">
        <v>2</v>
      </c>
      <c r="E34" s="3" t="s">
        <v>3</v>
      </c>
      <c r="F34" s="3" t="s">
        <v>4</v>
      </c>
      <c r="G34" s="3" t="s">
        <v>5</v>
      </c>
      <c r="H34" s="3" t="s">
        <v>6</v>
      </c>
      <c r="I34" s="3" t="s">
        <v>7</v>
      </c>
      <c r="J34" s="3" t="s">
        <v>8</v>
      </c>
      <c r="K34" s="3" t="s">
        <v>9</v>
      </c>
      <c r="L34" s="3" t="s">
        <v>10</v>
      </c>
      <c r="M34" s="3" t="s">
        <v>11</v>
      </c>
      <c r="N34" s="3" t="s">
        <v>12</v>
      </c>
      <c r="O34" s="3" t="s">
        <v>13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0" customHeight="1" x14ac:dyDescent="0.3">
      <c r="A35" s="6" t="s">
        <v>42</v>
      </c>
      <c r="B35" s="6" t="s">
        <v>43</v>
      </c>
      <c r="C35" s="65">
        <v>0.31642361111111111</v>
      </c>
      <c r="D35" s="73" t="s">
        <v>3782</v>
      </c>
      <c r="E35" s="105">
        <v>1.4206365740740741</v>
      </c>
      <c r="F35" s="66">
        <v>0.55315972222222221</v>
      </c>
      <c r="G35" s="66">
        <v>0</v>
      </c>
      <c r="H35" s="66">
        <v>0</v>
      </c>
      <c r="I35" s="66">
        <v>0</v>
      </c>
      <c r="J35" s="66">
        <v>0</v>
      </c>
      <c r="K35" s="66">
        <v>0</v>
      </c>
      <c r="L35" s="66">
        <v>0</v>
      </c>
      <c r="M35" s="66">
        <v>0</v>
      </c>
      <c r="N35" s="66">
        <v>0</v>
      </c>
      <c r="O35" s="65">
        <f>AVERAGE(C35:N35)</f>
        <v>0.20820180976430977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7"/>
      <c r="B36" s="7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61"/>
      <c r="B37" s="162"/>
      <c r="C37" s="3" t="s">
        <v>1</v>
      </c>
      <c r="D37" s="3" t="s">
        <v>2</v>
      </c>
      <c r="E37" s="3" t="s">
        <v>3</v>
      </c>
      <c r="F37" s="3" t="s">
        <v>4</v>
      </c>
      <c r="G37" s="3" t="s">
        <v>5</v>
      </c>
      <c r="H37" s="3" t="s">
        <v>6</v>
      </c>
      <c r="I37" s="3" t="s">
        <v>7</v>
      </c>
      <c r="J37" s="3" t="s">
        <v>8</v>
      </c>
      <c r="K37" s="3" t="s">
        <v>9</v>
      </c>
      <c r="L37" s="3" t="s">
        <v>10</v>
      </c>
      <c r="M37" s="3" t="s">
        <v>11</v>
      </c>
      <c r="N37" s="3" t="s">
        <v>12</v>
      </c>
      <c r="O37" s="3" t="s">
        <v>13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0" customHeight="1" x14ac:dyDescent="0.3">
      <c r="A38" s="6" t="s">
        <v>44</v>
      </c>
      <c r="B38" s="6" t="s">
        <v>45</v>
      </c>
      <c r="C38" s="65">
        <v>6.9143518518518521E-2</v>
      </c>
      <c r="D38" s="72">
        <v>0.71758101851851852</v>
      </c>
      <c r="E38" s="66">
        <v>0.12645833333333334</v>
      </c>
      <c r="F38" s="66">
        <v>0.25731481481481483</v>
      </c>
      <c r="G38" s="66">
        <v>0</v>
      </c>
      <c r="H38" s="66">
        <v>0</v>
      </c>
      <c r="I38" s="66">
        <v>0</v>
      </c>
      <c r="J38" s="66">
        <v>0</v>
      </c>
      <c r="K38" s="66">
        <v>0</v>
      </c>
      <c r="L38" s="66">
        <v>0</v>
      </c>
      <c r="M38" s="66">
        <v>0</v>
      </c>
      <c r="N38" s="66">
        <v>0</v>
      </c>
      <c r="O38" s="65">
        <f>AVERAGE(C38:N38)</f>
        <v>9.7541473765432096E-2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0.5" customHeight="1" x14ac:dyDescent="0.3">
      <c r="A39" s="7"/>
      <c r="B39" s="7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9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61"/>
      <c r="B40" s="162"/>
      <c r="C40" s="3" t="s">
        <v>1</v>
      </c>
      <c r="D40" s="3" t="s">
        <v>2</v>
      </c>
      <c r="E40" s="3" t="s">
        <v>3</v>
      </c>
      <c r="F40" s="3" t="s">
        <v>4</v>
      </c>
      <c r="G40" s="3" t="s">
        <v>5</v>
      </c>
      <c r="H40" s="3" t="s">
        <v>6</v>
      </c>
      <c r="I40" s="3" t="s">
        <v>7</v>
      </c>
      <c r="J40" s="3" t="s">
        <v>8</v>
      </c>
      <c r="K40" s="3" t="s">
        <v>9</v>
      </c>
      <c r="L40" s="3" t="s">
        <v>10</v>
      </c>
      <c r="M40" s="3" t="s">
        <v>11</v>
      </c>
      <c r="N40" s="3" t="s">
        <v>12</v>
      </c>
      <c r="O40" s="3" t="s">
        <v>13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23" t="s">
        <v>46</v>
      </c>
      <c r="B41" s="6" t="s">
        <v>47</v>
      </c>
      <c r="C41" s="24">
        <v>30</v>
      </c>
      <c r="D41" s="4">
        <v>28</v>
      </c>
      <c r="E41" s="4">
        <v>37</v>
      </c>
      <c r="F41" s="168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5">
        <f>SUM(C41:N41)</f>
        <v>95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0.5" customHeight="1" x14ac:dyDescent="0.3">
      <c r="A42" s="7"/>
      <c r="B42" s="7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9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61"/>
      <c r="B43" s="162"/>
      <c r="C43" s="3" t="s">
        <v>1</v>
      </c>
      <c r="D43" s="3" t="s">
        <v>2</v>
      </c>
      <c r="E43" s="3" t="s">
        <v>3</v>
      </c>
      <c r="F43" s="3" t="s">
        <v>4</v>
      </c>
      <c r="G43" s="3" t="s">
        <v>5</v>
      </c>
      <c r="H43" s="3" t="s">
        <v>6</v>
      </c>
      <c r="I43" s="3" t="s">
        <v>7</v>
      </c>
      <c r="J43" s="3" t="s">
        <v>8</v>
      </c>
      <c r="K43" s="3" t="s">
        <v>9</v>
      </c>
      <c r="L43" s="3" t="s">
        <v>10</v>
      </c>
      <c r="M43" s="3" t="s">
        <v>11</v>
      </c>
      <c r="N43" s="3" t="s">
        <v>12</v>
      </c>
      <c r="O43" s="3" t="s">
        <v>13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67" t="s">
        <v>48</v>
      </c>
      <c r="B44" s="6" t="s">
        <v>49</v>
      </c>
      <c r="C44" s="4">
        <v>1682</v>
      </c>
      <c r="D44" s="4">
        <v>1729</v>
      </c>
      <c r="E44" s="4">
        <v>1819</v>
      </c>
      <c r="F44" s="4">
        <v>1447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5">
        <f>SUM(C44:N44)</f>
        <v>6677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59"/>
      <c r="B45" s="6" t="s">
        <v>50</v>
      </c>
      <c r="C45" s="4">
        <v>7448</v>
      </c>
      <c r="D45" s="4">
        <v>6494</v>
      </c>
      <c r="E45" s="4">
        <v>7201</v>
      </c>
      <c r="F45" s="4">
        <v>7629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5">
        <f>SUM(C45:N45)</f>
        <v>28772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60"/>
      <c r="B46" s="6" t="s">
        <v>51</v>
      </c>
      <c r="C46" s="4">
        <v>161</v>
      </c>
      <c r="D46" s="4">
        <v>151</v>
      </c>
      <c r="E46" s="4">
        <v>155</v>
      </c>
      <c r="F46" s="4">
        <v>127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5">
        <f>SUM(C46:N46)</f>
        <v>594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23"/>
      <c r="B47" s="6" t="s">
        <v>13</v>
      </c>
      <c r="C47" s="5">
        <f>SUM(C44:C46)</f>
        <v>9291</v>
      </c>
      <c r="D47" s="5">
        <f t="shared" ref="D47:N47" si="9">SUM(D44:D46)</f>
        <v>8374</v>
      </c>
      <c r="E47" s="5">
        <f t="shared" si="9"/>
        <v>9175</v>
      </c>
      <c r="F47" s="5">
        <f t="shared" si="9"/>
        <v>9203</v>
      </c>
      <c r="G47" s="5">
        <f t="shared" si="9"/>
        <v>0</v>
      </c>
      <c r="H47" s="5">
        <f t="shared" si="9"/>
        <v>0</v>
      </c>
      <c r="I47" s="5">
        <f t="shared" si="9"/>
        <v>0</v>
      </c>
      <c r="J47" s="5">
        <f t="shared" si="9"/>
        <v>0</v>
      </c>
      <c r="K47" s="5">
        <f t="shared" si="9"/>
        <v>0</v>
      </c>
      <c r="L47" s="5">
        <f t="shared" si="9"/>
        <v>0</v>
      </c>
      <c r="M47" s="5">
        <f t="shared" si="9"/>
        <v>0</v>
      </c>
      <c r="N47" s="5">
        <f t="shared" si="9"/>
        <v>0</v>
      </c>
      <c r="O47" s="5">
        <f>SUM(C47:N47)</f>
        <v>36043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0.5" customHeight="1" x14ac:dyDescent="0.3">
      <c r="A48" s="25"/>
      <c r="B48" s="26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61"/>
      <c r="B49" s="162"/>
      <c r="C49" s="3" t="s">
        <v>1</v>
      </c>
      <c r="D49" s="3" t="s">
        <v>2</v>
      </c>
      <c r="E49" s="3" t="s">
        <v>3</v>
      </c>
      <c r="F49" s="3" t="s">
        <v>4</v>
      </c>
      <c r="G49" s="3" t="s">
        <v>5</v>
      </c>
      <c r="H49" s="3" t="s">
        <v>6</v>
      </c>
      <c r="I49" s="3" t="s">
        <v>7</v>
      </c>
      <c r="J49" s="3" t="s">
        <v>8</v>
      </c>
      <c r="K49" s="3" t="s">
        <v>9</v>
      </c>
      <c r="L49" s="3" t="s">
        <v>10</v>
      </c>
      <c r="M49" s="3" t="s">
        <v>11</v>
      </c>
      <c r="N49" s="3" t="s">
        <v>12</v>
      </c>
      <c r="O49" s="3" t="s">
        <v>13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167" t="s">
        <v>52</v>
      </c>
      <c r="B50" s="27" t="s">
        <v>53</v>
      </c>
      <c r="C50" s="24">
        <v>175</v>
      </c>
      <c r="D50" s="4">
        <v>202</v>
      </c>
      <c r="E50" s="4">
        <v>182</v>
      </c>
      <c r="F50" s="4">
        <v>168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28">
        <f t="shared" ref="O50:O59" si="10">SUM(C50:N50)</f>
        <v>727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59"/>
      <c r="B51" s="27" t="s">
        <v>54</v>
      </c>
      <c r="C51" s="24">
        <v>833</v>
      </c>
      <c r="D51" s="4">
        <v>853</v>
      </c>
      <c r="E51" s="4">
        <v>917</v>
      </c>
      <c r="F51" s="4">
        <v>840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28">
        <f t="shared" si="10"/>
        <v>3443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59"/>
      <c r="B52" s="27" t="s">
        <v>55</v>
      </c>
      <c r="C52" s="24">
        <v>725</v>
      </c>
      <c r="D52" s="4">
        <v>643</v>
      </c>
      <c r="E52" s="4">
        <v>840</v>
      </c>
      <c r="F52" s="4">
        <v>781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28">
        <f t="shared" si="10"/>
        <v>2989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59"/>
      <c r="B53" s="27" t="s">
        <v>56</v>
      </c>
      <c r="C53" s="24">
        <v>565</v>
      </c>
      <c r="D53" s="4">
        <v>561</v>
      </c>
      <c r="E53" s="4">
        <v>702</v>
      </c>
      <c r="F53" s="4">
        <v>681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28">
        <f t="shared" si="10"/>
        <v>2509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59"/>
      <c r="B54" s="27" t="s">
        <v>57</v>
      </c>
      <c r="C54" s="24">
        <v>976</v>
      </c>
      <c r="D54" s="4">
        <v>929</v>
      </c>
      <c r="E54" s="4">
        <v>924</v>
      </c>
      <c r="F54" s="4">
        <v>946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28">
        <f t="shared" si="10"/>
        <v>3775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59"/>
      <c r="B55" s="27" t="s">
        <v>58</v>
      </c>
      <c r="C55" s="24">
        <v>3935</v>
      </c>
      <c r="D55" s="4">
        <v>3777</v>
      </c>
      <c r="E55" s="4">
        <v>3935</v>
      </c>
      <c r="F55" s="4">
        <v>3692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28">
        <f t="shared" si="10"/>
        <v>15339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59"/>
      <c r="B56" s="27" t="s">
        <v>59</v>
      </c>
      <c r="C56" s="24">
        <v>1401</v>
      </c>
      <c r="D56" s="4">
        <v>1368</v>
      </c>
      <c r="E56" s="4">
        <v>1423</v>
      </c>
      <c r="F56" s="4">
        <v>1355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28">
        <f t="shared" si="10"/>
        <v>5547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59"/>
      <c r="B57" s="27" t="s">
        <v>60</v>
      </c>
      <c r="C57" s="24">
        <v>958</v>
      </c>
      <c r="D57" s="4">
        <v>928</v>
      </c>
      <c r="E57" s="4">
        <v>886</v>
      </c>
      <c r="F57" s="4">
        <v>972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28">
        <f t="shared" si="10"/>
        <v>3744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60"/>
      <c r="B58" s="27" t="s">
        <v>61</v>
      </c>
      <c r="C58" s="24">
        <v>1214</v>
      </c>
      <c r="D58" s="4">
        <v>1183</v>
      </c>
      <c r="E58" s="4">
        <v>1183</v>
      </c>
      <c r="F58" s="4">
        <v>1109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28">
        <f t="shared" si="10"/>
        <v>4689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23"/>
      <c r="B59" s="27" t="s">
        <v>13</v>
      </c>
      <c r="C59" s="24">
        <f>SUM(C50:C58)</f>
        <v>10782</v>
      </c>
      <c r="D59" s="24">
        <f t="shared" ref="D59:N59" si="11">SUM(D50:D58)</f>
        <v>10444</v>
      </c>
      <c r="E59" s="24">
        <f t="shared" si="11"/>
        <v>10992</v>
      </c>
      <c r="F59" s="24">
        <f t="shared" si="11"/>
        <v>10544</v>
      </c>
      <c r="G59" s="24">
        <f t="shared" si="11"/>
        <v>0</v>
      </c>
      <c r="H59" s="24">
        <f t="shared" si="11"/>
        <v>0</v>
      </c>
      <c r="I59" s="24">
        <f t="shared" si="11"/>
        <v>0</v>
      </c>
      <c r="J59" s="24">
        <f t="shared" si="11"/>
        <v>0</v>
      </c>
      <c r="K59" s="24">
        <f t="shared" si="11"/>
        <v>0</v>
      </c>
      <c r="L59" s="24">
        <f t="shared" si="11"/>
        <v>0</v>
      </c>
      <c r="M59" s="24">
        <f t="shared" si="11"/>
        <v>0</v>
      </c>
      <c r="N59" s="24">
        <f t="shared" si="11"/>
        <v>0</v>
      </c>
      <c r="O59" s="28">
        <f t="shared" si="10"/>
        <v>42762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1.25" customHeight="1" x14ac:dyDescent="0.3">
      <c r="A60" s="25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61"/>
      <c r="B61" s="162"/>
      <c r="C61" s="3" t="s">
        <v>1</v>
      </c>
      <c r="D61" s="3" t="s">
        <v>2</v>
      </c>
      <c r="E61" s="3" t="s">
        <v>3</v>
      </c>
      <c r="F61" s="3" t="s">
        <v>4</v>
      </c>
      <c r="G61" s="3" t="s">
        <v>5</v>
      </c>
      <c r="H61" s="3" t="s">
        <v>6</v>
      </c>
      <c r="I61" s="3" t="s">
        <v>7</v>
      </c>
      <c r="J61" s="3" t="s">
        <v>8</v>
      </c>
      <c r="K61" s="3" t="s">
        <v>9</v>
      </c>
      <c r="L61" s="3" t="s">
        <v>10</v>
      </c>
      <c r="M61" s="3" t="s">
        <v>11</v>
      </c>
      <c r="N61" s="3" t="s">
        <v>12</v>
      </c>
      <c r="O61" s="3" t="s">
        <v>13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67" t="s">
        <v>62</v>
      </c>
      <c r="B62" s="27" t="s">
        <v>63</v>
      </c>
      <c r="C62" s="4">
        <v>10490</v>
      </c>
      <c r="D62" s="4">
        <v>9212</v>
      </c>
      <c r="E62" s="4">
        <v>39400</v>
      </c>
      <c r="F62" s="4">
        <v>38651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5">
        <f>SUM(C62:N62)</f>
        <v>97753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60"/>
      <c r="B63" s="27" t="s">
        <v>64</v>
      </c>
      <c r="C63" s="4">
        <v>292</v>
      </c>
      <c r="D63" s="4">
        <v>1232</v>
      </c>
      <c r="E63" s="4">
        <v>1125</v>
      </c>
      <c r="F63" s="4">
        <v>934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5">
        <f>SUM(C63:N63)</f>
        <v>3583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23"/>
      <c r="B64" s="27" t="s">
        <v>13</v>
      </c>
      <c r="C64" s="5">
        <f>SUM(C62:C63)</f>
        <v>10782</v>
      </c>
      <c r="D64" s="5">
        <f t="shared" ref="D64:N64" si="12">SUM(D62:D63)</f>
        <v>10444</v>
      </c>
      <c r="E64" s="5">
        <f t="shared" si="12"/>
        <v>40525</v>
      </c>
      <c r="F64" s="5">
        <f t="shared" si="12"/>
        <v>39585</v>
      </c>
      <c r="G64" s="5">
        <f t="shared" si="12"/>
        <v>0</v>
      </c>
      <c r="H64" s="5">
        <f t="shared" si="12"/>
        <v>0</v>
      </c>
      <c r="I64" s="5">
        <f t="shared" si="12"/>
        <v>0</v>
      </c>
      <c r="J64" s="5">
        <f t="shared" si="12"/>
        <v>0</v>
      </c>
      <c r="K64" s="5">
        <f t="shared" si="12"/>
        <v>0</v>
      </c>
      <c r="L64" s="5">
        <f t="shared" si="12"/>
        <v>0</v>
      </c>
      <c r="M64" s="5">
        <f t="shared" si="12"/>
        <v>0</v>
      </c>
      <c r="N64" s="5">
        <f t="shared" si="12"/>
        <v>0</v>
      </c>
      <c r="O64" s="5">
        <f>SUM(C64:N64)</f>
        <v>101336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0.5" customHeight="1" x14ac:dyDescent="0.3">
      <c r="A65" s="25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61"/>
      <c r="B66" s="162"/>
      <c r="C66" s="3" t="s">
        <v>1</v>
      </c>
      <c r="D66" s="3" t="s">
        <v>2</v>
      </c>
      <c r="E66" s="3" t="s">
        <v>3</v>
      </c>
      <c r="F66" s="3" t="s">
        <v>4</v>
      </c>
      <c r="G66" s="3" t="s">
        <v>5</v>
      </c>
      <c r="H66" s="3" t="s">
        <v>6</v>
      </c>
      <c r="I66" s="3" t="s">
        <v>7</v>
      </c>
      <c r="J66" s="3" t="s">
        <v>8</v>
      </c>
      <c r="K66" s="3" t="s">
        <v>9</v>
      </c>
      <c r="L66" s="3" t="s">
        <v>10</v>
      </c>
      <c r="M66" s="3" t="s">
        <v>11</v>
      </c>
      <c r="N66" s="3" t="s">
        <v>12</v>
      </c>
      <c r="O66" s="3" t="s">
        <v>13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6" t="s">
        <v>65</v>
      </c>
      <c r="B67" s="27" t="s">
        <v>13</v>
      </c>
      <c r="C67" s="28">
        <v>7</v>
      </c>
      <c r="D67" s="4">
        <v>11</v>
      </c>
      <c r="E67" s="4">
        <v>5</v>
      </c>
      <c r="F67" s="4">
        <v>6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5">
        <f>SUM(C67:N67)</f>
        <v>29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26"/>
      <c r="B68" s="26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26"/>
      <c r="B69" s="26"/>
      <c r="C69" s="1"/>
      <c r="D69" s="1"/>
      <c r="E69" s="8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26"/>
      <c r="B70" s="26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26"/>
      <c r="B71" s="26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26"/>
      <c r="B72" s="26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26"/>
      <c r="B73" s="26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26"/>
      <c r="B74" s="26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26"/>
      <c r="B75" s="26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26"/>
      <c r="B76" s="26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26"/>
      <c r="B77" s="26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26"/>
      <c r="B78" s="26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26"/>
      <c r="B79" s="26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26"/>
      <c r="B80" s="26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26"/>
      <c r="B81" s="26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26"/>
      <c r="B82" s="26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26"/>
      <c r="B83" s="26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26"/>
      <c r="B84" s="26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26"/>
      <c r="B85" s="26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26"/>
      <c r="B86" s="26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26"/>
      <c r="B87" s="26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26"/>
      <c r="B88" s="26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26"/>
      <c r="B89" s="26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26"/>
      <c r="B90" s="26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26"/>
      <c r="B91" s="26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26"/>
      <c r="B92" s="26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26"/>
      <c r="B93" s="26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26"/>
      <c r="B94" s="26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26"/>
      <c r="B95" s="26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26"/>
      <c r="B96" s="26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26"/>
      <c r="B97" s="26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26"/>
      <c r="B98" s="26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26"/>
      <c r="B99" s="26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26"/>
      <c r="B100" s="26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26"/>
      <c r="B101" s="26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26"/>
      <c r="B102" s="26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26"/>
      <c r="B103" s="26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26"/>
      <c r="B104" s="26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26"/>
      <c r="B105" s="26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26"/>
      <c r="B106" s="26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26"/>
      <c r="B107" s="26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26"/>
      <c r="B108" s="26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26"/>
      <c r="B109" s="26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26"/>
      <c r="B110" s="2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26"/>
      <c r="B111" s="2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26"/>
      <c r="B112" s="26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26"/>
      <c r="B113" s="26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26"/>
      <c r="B114" s="26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26"/>
      <c r="B115" s="26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26"/>
      <c r="B116" s="26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26"/>
      <c r="B117" s="26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26"/>
      <c r="B118" s="26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26"/>
      <c r="B119" s="26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26"/>
      <c r="B120" s="26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26"/>
      <c r="B121" s="26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26"/>
      <c r="B122" s="26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26"/>
      <c r="B123" s="26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26"/>
      <c r="B124" s="26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26"/>
      <c r="B125" s="26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26"/>
      <c r="B126" s="26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26"/>
      <c r="B127" s="26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26"/>
      <c r="B128" s="26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26"/>
      <c r="B129" s="26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26"/>
      <c r="B130" s="26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26"/>
      <c r="B131" s="26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26"/>
      <c r="B132" s="26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26"/>
      <c r="B133" s="26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26"/>
      <c r="B134" s="2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26"/>
      <c r="B135" s="2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26"/>
      <c r="B136" s="26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26"/>
      <c r="B137" s="2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26"/>
      <c r="B138" s="2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26"/>
      <c r="B139" s="26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26"/>
      <c r="B140" s="26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26"/>
      <c r="B141" s="26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26"/>
      <c r="B142" s="26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26"/>
      <c r="B143" s="26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26"/>
      <c r="B144" s="26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26"/>
      <c r="B145" s="26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26"/>
      <c r="B146" s="26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26"/>
      <c r="B147" s="26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26"/>
      <c r="B148" s="26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26"/>
      <c r="B149" s="26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26"/>
      <c r="B150" s="26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26"/>
      <c r="B151" s="26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26"/>
      <c r="B152" s="26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26"/>
      <c r="B153" s="26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26"/>
      <c r="B154" s="26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26"/>
      <c r="B155" s="26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26"/>
      <c r="B156" s="26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26"/>
      <c r="B157" s="26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26"/>
      <c r="B158" s="26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26"/>
      <c r="B159" s="26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26"/>
      <c r="B160" s="26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26"/>
      <c r="B161" s="26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26"/>
      <c r="B162" s="26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26"/>
      <c r="B163" s="26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26"/>
      <c r="B164" s="26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26"/>
      <c r="B165" s="26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26"/>
      <c r="B166" s="26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26"/>
      <c r="B167" s="26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26"/>
      <c r="B168" s="26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26"/>
      <c r="B169" s="26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26"/>
      <c r="B170" s="26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26"/>
      <c r="B171" s="26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26"/>
      <c r="B172" s="26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26"/>
      <c r="B173" s="26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26"/>
      <c r="B174" s="26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26"/>
      <c r="B175" s="26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26"/>
      <c r="B176" s="26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26"/>
      <c r="B177" s="26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26"/>
      <c r="B178" s="26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26"/>
      <c r="B179" s="26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26"/>
      <c r="B180" s="26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26"/>
      <c r="B181" s="26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26"/>
      <c r="B182" s="26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26"/>
      <c r="B183" s="26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26"/>
      <c r="B184" s="26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26"/>
      <c r="B185" s="26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26"/>
      <c r="B186" s="26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26"/>
      <c r="B187" s="26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26"/>
      <c r="B188" s="26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26"/>
      <c r="B189" s="26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26"/>
      <c r="B190" s="26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26"/>
      <c r="B191" s="26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26"/>
      <c r="B192" s="26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26"/>
      <c r="B193" s="26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26"/>
      <c r="B194" s="26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26"/>
      <c r="B195" s="26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26"/>
      <c r="B196" s="26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26"/>
      <c r="B197" s="26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26"/>
      <c r="B198" s="26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26"/>
      <c r="B199" s="26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26"/>
      <c r="B200" s="26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26"/>
      <c r="B201" s="26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26"/>
      <c r="B202" s="26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26"/>
      <c r="B203" s="26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26"/>
      <c r="B204" s="26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26"/>
      <c r="B205" s="26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26"/>
      <c r="B206" s="26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26"/>
      <c r="B207" s="26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26"/>
      <c r="B208" s="26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26"/>
      <c r="B209" s="26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26"/>
      <c r="B210" s="26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26"/>
      <c r="B211" s="26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26"/>
      <c r="B212" s="26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26"/>
      <c r="B213" s="26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26"/>
      <c r="B214" s="26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26"/>
      <c r="B215" s="26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26"/>
      <c r="B216" s="26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26"/>
      <c r="B217" s="26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26"/>
      <c r="B218" s="26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26"/>
      <c r="B219" s="26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26"/>
      <c r="B220" s="26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26"/>
      <c r="B221" s="26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26"/>
      <c r="B222" s="26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26"/>
      <c r="B223" s="26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26"/>
      <c r="B224" s="26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26"/>
      <c r="B225" s="26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26"/>
      <c r="B226" s="26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26"/>
      <c r="B227" s="26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26"/>
      <c r="B228" s="26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26"/>
      <c r="B229" s="26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26"/>
      <c r="B230" s="26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26"/>
      <c r="B231" s="26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26"/>
      <c r="B232" s="26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26"/>
      <c r="B233" s="26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26"/>
      <c r="B234" s="26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26"/>
      <c r="B235" s="26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26"/>
      <c r="B236" s="26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26"/>
      <c r="B237" s="26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26"/>
      <c r="B238" s="26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26"/>
      <c r="B239" s="26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26"/>
      <c r="B240" s="26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26"/>
      <c r="B241" s="26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26"/>
      <c r="B242" s="26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26"/>
      <c r="B243" s="26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26"/>
      <c r="B244" s="26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26"/>
      <c r="B245" s="26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26"/>
      <c r="B246" s="26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26"/>
      <c r="B247" s="26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26"/>
      <c r="B248" s="26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26"/>
      <c r="B249" s="26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26"/>
      <c r="B250" s="26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26"/>
      <c r="B251" s="26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26"/>
      <c r="B252" s="26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26"/>
      <c r="B253" s="26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26"/>
      <c r="B254" s="26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26"/>
      <c r="B255" s="26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26"/>
      <c r="B256" s="26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26"/>
      <c r="B257" s="26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26"/>
      <c r="B258" s="26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26"/>
      <c r="B259" s="26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26"/>
      <c r="B260" s="26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26"/>
      <c r="B261" s="26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26"/>
      <c r="B262" s="26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26"/>
      <c r="B263" s="26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26"/>
      <c r="B264" s="26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26"/>
      <c r="B265" s="26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26"/>
      <c r="B266" s="26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26"/>
      <c r="B267" s="26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26"/>
      <c r="B268" s="26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26"/>
      <c r="B269" s="26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26"/>
      <c r="B270" s="26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26"/>
      <c r="B271" s="26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26"/>
      <c r="B272" s="26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26"/>
      <c r="B273" s="26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26"/>
      <c r="B274" s="26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26"/>
      <c r="B275" s="26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26"/>
      <c r="B276" s="26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26"/>
      <c r="B277" s="26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26"/>
      <c r="B278" s="26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26"/>
      <c r="B279" s="26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26"/>
      <c r="B280" s="26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26"/>
      <c r="B281" s="26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26"/>
      <c r="B282" s="26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26"/>
      <c r="B283" s="26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26"/>
      <c r="B284" s="26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26"/>
      <c r="B285" s="26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26"/>
      <c r="B286" s="26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26"/>
      <c r="B287" s="26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26"/>
      <c r="B288" s="26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26"/>
      <c r="B289" s="26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26"/>
      <c r="B290" s="26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26"/>
      <c r="B291" s="26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26"/>
      <c r="B292" s="26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26"/>
      <c r="B293" s="26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26"/>
      <c r="B294" s="26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26"/>
      <c r="B295" s="26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26"/>
      <c r="B296" s="26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26"/>
      <c r="B297" s="26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26"/>
      <c r="B298" s="26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26"/>
      <c r="B299" s="26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26"/>
      <c r="B300" s="26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26"/>
      <c r="B301" s="26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26"/>
      <c r="B302" s="26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26"/>
      <c r="B303" s="26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26"/>
      <c r="B304" s="26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26"/>
      <c r="B305" s="26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26"/>
      <c r="B306" s="26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26"/>
      <c r="B307" s="26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26"/>
      <c r="B308" s="26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26"/>
      <c r="B309" s="26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26"/>
      <c r="B310" s="26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26"/>
      <c r="B311" s="26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26"/>
      <c r="B312" s="26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26"/>
      <c r="B313" s="26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26"/>
      <c r="B314" s="26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26"/>
      <c r="B315" s="26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26"/>
      <c r="B316" s="26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26"/>
      <c r="B317" s="26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26"/>
      <c r="B318" s="26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26"/>
      <c r="B319" s="26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26"/>
      <c r="B320" s="26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26"/>
      <c r="B321" s="26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26"/>
      <c r="B322" s="26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26"/>
      <c r="B323" s="26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26"/>
      <c r="B324" s="26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26"/>
      <c r="B325" s="26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26"/>
      <c r="B326" s="26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26"/>
      <c r="B327" s="26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26"/>
      <c r="B328" s="26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26"/>
      <c r="B329" s="26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26"/>
      <c r="B330" s="26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26"/>
      <c r="B331" s="26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26"/>
      <c r="B332" s="26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26"/>
      <c r="B333" s="26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26"/>
      <c r="B334" s="26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26"/>
      <c r="B335" s="26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26"/>
      <c r="B336" s="26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26"/>
      <c r="B337" s="26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26"/>
      <c r="B338" s="26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26"/>
      <c r="B339" s="26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26"/>
      <c r="B340" s="26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26"/>
      <c r="B341" s="26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26"/>
      <c r="B342" s="26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26"/>
      <c r="B343" s="26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26"/>
      <c r="B344" s="26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26"/>
      <c r="B345" s="26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26"/>
      <c r="B346" s="26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26"/>
      <c r="B347" s="26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26"/>
      <c r="B348" s="26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26"/>
      <c r="B349" s="26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26"/>
      <c r="B350" s="26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26"/>
      <c r="B351" s="26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26"/>
      <c r="B352" s="26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26"/>
      <c r="B353" s="26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26"/>
      <c r="B354" s="26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26"/>
      <c r="B355" s="26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26"/>
      <c r="B356" s="26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26"/>
      <c r="B357" s="26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26"/>
      <c r="B358" s="26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26"/>
      <c r="B359" s="26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26"/>
      <c r="B360" s="26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26"/>
      <c r="B361" s="26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26"/>
      <c r="B362" s="26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26"/>
      <c r="B363" s="26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26"/>
      <c r="B364" s="26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26"/>
      <c r="B365" s="26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26"/>
      <c r="B366" s="26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26"/>
      <c r="B367" s="26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26"/>
      <c r="B368" s="26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26"/>
      <c r="B369" s="26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26"/>
      <c r="B370" s="26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26"/>
      <c r="B371" s="26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26"/>
      <c r="B372" s="26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26"/>
      <c r="B373" s="26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26"/>
      <c r="B374" s="26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26"/>
      <c r="B375" s="26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26"/>
      <c r="B376" s="26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26"/>
      <c r="B377" s="26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26"/>
      <c r="B378" s="26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26"/>
      <c r="B379" s="26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26"/>
      <c r="B380" s="26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26"/>
      <c r="B381" s="26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26"/>
      <c r="B382" s="26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26"/>
      <c r="B383" s="26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26"/>
      <c r="B384" s="26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26"/>
      <c r="B385" s="26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26"/>
      <c r="B386" s="26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26"/>
      <c r="B387" s="26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26"/>
      <c r="B388" s="26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26"/>
      <c r="B389" s="26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26"/>
      <c r="B390" s="26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26"/>
      <c r="B391" s="26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26"/>
      <c r="B392" s="26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26"/>
      <c r="B393" s="26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26"/>
      <c r="B394" s="26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26"/>
      <c r="B395" s="26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26"/>
      <c r="B396" s="26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26"/>
      <c r="B397" s="26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26"/>
      <c r="B398" s="26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26"/>
      <c r="B399" s="26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26"/>
      <c r="B400" s="26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26"/>
      <c r="B401" s="26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26"/>
      <c r="B402" s="26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26"/>
      <c r="B403" s="26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26"/>
      <c r="B404" s="26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26"/>
      <c r="B405" s="26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26"/>
      <c r="B406" s="26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26"/>
      <c r="B407" s="26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26"/>
      <c r="B408" s="26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26"/>
      <c r="B409" s="26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26"/>
      <c r="B410" s="26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26"/>
      <c r="B411" s="26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26"/>
      <c r="B412" s="26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26"/>
      <c r="B413" s="26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26"/>
      <c r="B414" s="26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26"/>
      <c r="B415" s="26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26"/>
      <c r="B416" s="26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26"/>
      <c r="B417" s="26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26"/>
      <c r="B418" s="26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26"/>
      <c r="B419" s="26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26"/>
      <c r="B420" s="26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26"/>
      <c r="B421" s="26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26"/>
      <c r="B422" s="26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26"/>
      <c r="B423" s="26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26"/>
      <c r="B424" s="26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26"/>
      <c r="B425" s="26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26"/>
      <c r="B426" s="26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26"/>
      <c r="B427" s="26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26"/>
      <c r="B428" s="26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26"/>
      <c r="B429" s="26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26"/>
      <c r="B430" s="26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26"/>
      <c r="B431" s="26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26"/>
      <c r="B432" s="26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26"/>
      <c r="B433" s="26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26"/>
      <c r="B434" s="26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26"/>
      <c r="B435" s="26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26"/>
      <c r="B436" s="26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26"/>
      <c r="B437" s="26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26"/>
      <c r="B438" s="26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26"/>
      <c r="B439" s="26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26"/>
      <c r="B440" s="26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26"/>
      <c r="B441" s="26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26"/>
      <c r="B442" s="26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26"/>
      <c r="B443" s="26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26"/>
      <c r="B444" s="26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26"/>
      <c r="B445" s="26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26"/>
      <c r="B446" s="26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26"/>
      <c r="B447" s="26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26"/>
      <c r="B448" s="26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26"/>
      <c r="B449" s="26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26"/>
      <c r="B450" s="26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26"/>
      <c r="B451" s="26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26"/>
      <c r="B452" s="26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26"/>
      <c r="B453" s="26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26"/>
      <c r="B454" s="26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26"/>
      <c r="B455" s="26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26"/>
      <c r="B456" s="26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26"/>
      <c r="B457" s="26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26"/>
      <c r="B458" s="26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26"/>
      <c r="B459" s="26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26"/>
      <c r="B460" s="26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26"/>
      <c r="B461" s="26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26"/>
      <c r="B462" s="26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26"/>
      <c r="B463" s="26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26"/>
      <c r="B464" s="26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26"/>
      <c r="B465" s="26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26"/>
      <c r="B466" s="26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26"/>
      <c r="B467" s="26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26"/>
      <c r="B468" s="26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26"/>
      <c r="B469" s="26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26"/>
      <c r="B470" s="26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26"/>
      <c r="B471" s="26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26"/>
      <c r="B472" s="26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26"/>
      <c r="B473" s="26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26"/>
      <c r="B474" s="26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26"/>
      <c r="B475" s="26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26"/>
      <c r="B476" s="26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26"/>
      <c r="B477" s="26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26"/>
      <c r="B478" s="26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26"/>
      <c r="B479" s="26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26"/>
      <c r="B480" s="26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26"/>
      <c r="B481" s="26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26"/>
      <c r="B482" s="26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26"/>
      <c r="B483" s="26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26"/>
      <c r="B484" s="26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26"/>
      <c r="B485" s="26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26"/>
      <c r="B486" s="26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26"/>
      <c r="B487" s="26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26"/>
      <c r="B488" s="26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26"/>
      <c r="B489" s="26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26"/>
      <c r="B490" s="26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26"/>
      <c r="B491" s="26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26"/>
      <c r="B492" s="26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26"/>
      <c r="B493" s="26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26"/>
      <c r="B494" s="26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26"/>
      <c r="B495" s="26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26"/>
      <c r="B496" s="26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26"/>
      <c r="B497" s="26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26"/>
      <c r="B498" s="26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26"/>
      <c r="B499" s="26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26"/>
      <c r="B500" s="26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26"/>
      <c r="B501" s="26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26"/>
      <c r="B502" s="26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26"/>
      <c r="B503" s="26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26"/>
      <c r="B504" s="26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26"/>
      <c r="B505" s="26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26"/>
      <c r="B506" s="26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26"/>
      <c r="B507" s="26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26"/>
      <c r="B508" s="26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26"/>
      <c r="B509" s="26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26"/>
      <c r="B510" s="26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26"/>
      <c r="B511" s="26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26"/>
      <c r="B512" s="26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26"/>
      <c r="B513" s="26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26"/>
      <c r="B514" s="26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26"/>
      <c r="B515" s="26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26"/>
      <c r="B516" s="26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26"/>
      <c r="B517" s="26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26"/>
      <c r="B518" s="26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26"/>
      <c r="B519" s="26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26"/>
      <c r="B520" s="26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26"/>
      <c r="B521" s="26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26"/>
      <c r="B522" s="26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26"/>
      <c r="B523" s="26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26"/>
      <c r="B524" s="26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26"/>
      <c r="B525" s="26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26"/>
      <c r="B526" s="26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26"/>
      <c r="B527" s="26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26"/>
      <c r="B528" s="26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26"/>
      <c r="B529" s="26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26"/>
      <c r="B530" s="26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26"/>
      <c r="B531" s="26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26"/>
      <c r="B532" s="26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26"/>
      <c r="B533" s="26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26"/>
      <c r="B534" s="26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26"/>
      <c r="B535" s="26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26"/>
      <c r="B536" s="26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26"/>
      <c r="B537" s="26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26"/>
      <c r="B538" s="26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26"/>
      <c r="B539" s="26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26"/>
      <c r="B540" s="26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26"/>
      <c r="B541" s="26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26"/>
      <c r="B542" s="26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26"/>
      <c r="B543" s="26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26"/>
      <c r="B544" s="26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26"/>
      <c r="B545" s="26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26"/>
      <c r="B546" s="26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26"/>
      <c r="B547" s="26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26"/>
      <c r="B548" s="26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26"/>
      <c r="B549" s="26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26"/>
      <c r="B550" s="26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26"/>
      <c r="B551" s="26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26"/>
      <c r="B552" s="26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26"/>
      <c r="B553" s="26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26"/>
      <c r="B554" s="26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26"/>
      <c r="B555" s="26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26"/>
      <c r="B556" s="26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26"/>
      <c r="B557" s="26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26"/>
      <c r="B558" s="26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26"/>
      <c r="B559" s="26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26"/>
      <c r="B560" s="26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26"/>
      <c r="B561" s="26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26"/>
      <c r="B562" s="26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26"/>
      <c r="B563" s="26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26"/>
      <c r="B564" s="26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26"/>
      <c r="B565" s="26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26"/>
      <c r="B566" s="26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26"/>
      <c r="B567" s="26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26"/>
      <c r="B568" s="26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26"/>
      <c r="B569" s="26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26"/>
      <c r="B570" s="26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26"/>
      <c r="B571" s="26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26"/>
      <c r="B572" s="26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26"/>
      <c r="B573" s="26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26"/>
      <c r="B574" s="26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26"/>
      <c r="B575" s="26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26"/>
      <c r="B576" s="26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26"/>
      <c r="B577" s="26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26"/>
      <c r="B578" s="26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26"/>
      <c r="B579" s="26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26"/>
      <c r="B580" s="26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26"/>
      <c r="B581" s="26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26"/>
      <c r="B582" s="26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26"/>
      <c r="B583" s="26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26"/>
      <c r="B584" s="26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26"/>
      <c r="B585" s="26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26"/>
      <c r="B586" s="26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26"/>
      <c r="B587" s="26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26"/>
      <c r="B588" s="26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26"/>
      <c r="B589" s="26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26"/>
      <c r="B590" s="26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26"/>
      <c r="B591" s="26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26"/>
      <c r="B592" s="26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26"/>
      <c r="B593" s="26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26"/>
      <c r="B594" s="26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26"/>
      <c r="B595" s="26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26"/>
      <c r="B596" s="26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26"/>
      <c r="B597" s="26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26"/>
      <c r="B598" s="26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26"/>
      <c r="B599" s="26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26"/>
      <c r="B600" s="26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26"/>
      <c r="B601" s="26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26"/>
      <c r="B602" s="26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26"/>
      <c r="B603" s="26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26"/>
      <c r="B604" s="26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26"/>
      <c r="B605" s="26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26"/>
      <c r="B606" s="26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26"/>
      <c r="B607" s="26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26"/>
      <c r="B608" s="26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26"/>
      <c r="B609" s="26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26"/>
      <c r="B610" s="26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26"/>
      <c r="B611" s="26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26"/>
      <c r="B612" s="26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26"/>
      <c r="B613" s="26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26"/>
      <c r="B614" s="26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26"/>
      <c r="B615" s="26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26"/>
      <c r="B616" s="26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26"/>
      <c r="B617" s="26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26"/>
      <c r="B618" s="26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26"/>
      <c r="B619" s="26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26"/>
      <c r="B620" s="26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26"/>
      <c r="B621" s="26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26"/>
      <c r="B622" s="26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26"/>
      <c r="B623" s="26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26"/>
      <c r="B624" s="26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26"/>
      <c r="B625" s="26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26"/>
      <c r="B626" s="26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26"/>
      <c r="B627" s="26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26"/>
      <c r="B628" s="26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26"/>
      <c r="B629" s="26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26"/>
      <c r="B630" s="26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26"/>
      <c r="B631" s="26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26"/>
      <c r="B632" s="26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26"/>
      <c r="B633" s="26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26"/>
      <c r="B634" s="26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26"/>
      <c r="B635" s="26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26"/>
      <c r="B636" s="26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26"/>
      <c r="B637" s="26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26"/>
      <c r="B638" s="26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26"/>
      <c r="B639" s="26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26"/>
      <c r="B640" s="26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26"/>
      <c r="B641" s="26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26"/>
      <c r="B642" s="26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26"/>
      <c r="B643" s="26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26"/>
      <c r="B644" s="26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26"/>
      <c r="B645" s="26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26"/>
      <c r="B646" s="26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26"/>
      <c r="B647" s="26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26"/>
      <c r="B648" s="26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26"/>
      <c r="B649" s="26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26"/>
      <c r="B650" s="26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26"/>
      <c r="B651" s="26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26"/>
      <c r="B652" s="26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26"/>
      <c r="B653" s="26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26"/>
      <c r="B654" s="26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26"/>
      <c r="B655" s="26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26"/>
      <c r="B656" s="26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26"/>
      <c r="B657" s="26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26"/>
      <c r="B658" s="26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26"/>
      <c r="B659" s="26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26"/>
      <c r="B660" s="26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26"/>
      <c r="B661" s="26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26"/>
      <c r="B662" s="26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26"/>
      <c r="B663" s="26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26"/>
      <c r="B664" s="26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26"/>
      <c r="B665" s="26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26"/>
      <c r="B666" s="26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26"/>
      <c r="B667" s="26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26"/>
      <c r="B668" s="26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26"/>
      <c r="B669" s="26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26"/>
      <c r="B670" s="26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26"/>
      <c r="B671" s="26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26"/>
      <c r="B672" s="26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26"/>
      <c r="B673" s="26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26"/>
      <c r="B674" s="26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26"/>
      <c r="B675" s="26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26"/>
      <c r="B676" s="26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26"/>
      <c r="B677" s="26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26"/>
      <c r="B678" s="26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26"/>
      <c r="B679" s="26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26"/>
      <c r="B680" s="26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26"/>
      <c r="B681" s="26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26"/>
      <c r="B682" s="26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26"/>
      <c r="B683" s="26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26"/>
      <c r="B684" s="26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26"/>
      <c r="B685" s="26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26"/>
      <c r="B686" s="26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26"/>
      <c r="B687" s="26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26"/>
      <c r="B688" s="26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26"/>
      <c r="B689" s="26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26"/>
      <c r="B690" s="26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26"/>
      <c r="B691" s="26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26"/>
      <c r="B692" s="26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26"/>
      <c r="B693" s="26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26"/>
      <c r="B694" s="26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26"/>
      <c r="B695" s="26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26"/>
      <c r="B696" s="26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26"/>
      <c r="B697" s="26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26"/>
      <c r="B698" s="26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26"/>
      <c r="B699" s="26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26"/>
      <c r="B700" s="26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26"/>
      <c r="B701" s="26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26"/>
      <c r="B702" s="26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26"/>
      <c r="B703" s="26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26"/>
      <c r="B704" s="26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26"/>
      <c r="B705" s="26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26"/>
      <c r="B706" s="26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26"/>
      <c r="B707" s="26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26"/>
      <c r="B708" s="26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26"/>
      <c r="B709" s="26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26"/>
      <c r="B710" s="26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26"/>
      <c r="B711" s="26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26"/>
      <c r="B712" s="26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26"/>
      <c r="B713" s="26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26"/>
      <c r="B714" s="26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26"/>
      <c r="B715" s="26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26"/>
      <c r="B716" s="26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26"/>
      <c r="B717" s="26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26"/>
      <c r="B718" s="26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26"/>
      <c r="B719" s="26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26"/>
      <c r="B720" s="26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26"/>
      <c r="B721" s="26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26"/>
      <c r="B722" s="26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26"/>
      <c r="B723" s="26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26"/>
      <c r="B724" s="26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26"/>
      <c r="B725" s="26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26"/>
      <c r="B726" s="26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26"/>
      <c r="B727" s="26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26"/>
      <c r="B728" s="26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26"/>
      <c r="B729" s="26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26"/>
      <c r="B730" s="26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26"/>
      <c r="B731" s="26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26"/>
      <c r="B732" s="26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26"/>
      <c r="B733" s="26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26"/>
      <c r="B734" s="26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26"/>
      <c r="B735" s="26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26"/>
      <c r="B736" s="26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26"/>
      <c r="B737" s="26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26"/>
      <c r="B738" s="26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26"/>
      <c r="B739" s="26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26"/>
      <c r="B740" s="26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26"/>
      <c r="B741" s="26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26"/>
      <c r="B742" s="26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26"/>
      <c r="B743" s="26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26"/>
      <c r="B744" s="26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26"/>
      <c r="B745" s="26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26"/>
      <c r="B746" s="26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26"/>
      <c r="B747" s="26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26"/>
      <c r="B748" s="26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26"/>
      <c r="B749" s="26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26"/>
      <c r="B750" s="26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26"/>
      <c r="B751" s="26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26"/>
      <c r="B752" s="26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26"/>
      <c r="B753" s="26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26"/>
      <c r="B754" s="26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26"/>
      <c r="B755" s="26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26"/>
      <c r="B756" s="26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26"/>
      <c r="B757" s="26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26"/>
      <c r="B758" s="26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26"/>
      <c r="B759" s="26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26"/>
      <c r="B760" s="26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26"/>
      <c r="B761" s="26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26"/>
      <c r="B762" s="26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26"/>
      <c r="B763" s="26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26"/>
      <c r="B764" s="26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26"/>
      <c r="B765" s="26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26"/>
      <c r="B766" s="26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26"/>
      <c r="B767" s="26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26"/>
      <c r="B768" s="26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26"/>
      <c r="B769" s="26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26"/>
      <c r="B770" s="26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26"/>
      <c r="B771" s="26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26"/>
      <c r="B772" s="26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26"/>
      <c r="B773" s="26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26"/>
      <c r="B774" s="26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26"/>
      <c r="B775" s="26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26"/>
      <c r="B776" s="26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26"/>
      <c r="B777" s="26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26"/>
      <c r="B778" s="26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26"/>
      <c r="B779" s="26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26"/>
      <c r="B780" s="26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26"/>
      <c r="B781" s="26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26"/>
      <c r="B782" s="26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26"/>
      <c r="B783" s="26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26"/>
      <c r="B784" s="26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26"/>
      <c r="B785" s="26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26"/>
      <c r="B786" s="26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26"/>
      <c r="B787" s="26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26"/>
      <c r="B788" s="26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26"/>
      <c r="B789" s="26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26"/>
      <c r="B790" s="26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26"/>
      <c r="B791" s="26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26"/>
      <c r="B792" s="26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26"/>
      <c r="B793" s="26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26"/>
      <c r="B794" s="26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26"/>
      <c r="B795" s="26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26"/>
      <c r="B796" s="26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26"/>
      <c r="B797" s="26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26"/>
      <c r="B798" s="26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26"/>
      <c r="B799" s="26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26"/>
      <c r="B800" s="26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26"/>
      <c r="B801" s="26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26"/>
      <c r="B802" s="26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26"/>
      <c r="B803" s="26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26"/>
      <c r="B804" s="26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26"/>
      <c r="B805" s="26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26"/>
      <c r="B806" s="26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26"/>
      <c r="B807" s="26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26"/>
      <c r="B808" s="26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26"/>
      <c r="B809" s="26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26"/>
      <c r="B810" s="26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26"/>
      <c r="B811" s="26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26"/>
      <c r="B812" s="26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26"/>
      <c r="B813" s="26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26"/>
      <c r="B814" s="26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26"/>
      <c r="B815" s="26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26"/>
      <c r="B816" s="26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26"/>
      <c r="B817" s="26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26"/>
      <c r="B818" s="26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26"/>
      <c r="B819" s="26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26"/>
      <c r="B820" s="26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26"/>
      <c r="B821" s="26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26"/>
      <c r="B822" s="26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26"/>
      <c r="B823" s="26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26"/>
      <c r="B824" s="26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26"/>
      <c r="B825" s="26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26"/>
      <c r="B826" s="26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26"/>
      <c r="B827" s="26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26"/>
      <c r="B828" s="26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26"/>
      <c r="B829" s="26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26"/>
      <c r="B830" s="26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26"/>
      <c r="B831" s="26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26"/>
      <c r="B832" s="26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26"/>
      <c r="B833" s="26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26"/>
      <c r="B834" s="26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26"/>
      <c r="B835" s="26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26"/>
      <c r="B836" s="26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26"/>
      <c r="B837" s="26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26"/>
      <c r="B838" s="26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26"/>
      <c r="B839" s="26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26"/>
      <c r="B840" s="26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26"/>
      <c r="B841" s="26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26"/>
      <c r="B842" s="26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26"/>
      <c r="B843" s="26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26"/>
      <c r="B844" s="26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26"/>
      <c r="B845" s="26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26"/>
      <c r="B846" s="26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26"/>
      <c r="B847" s="26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26"/>
      <c r="B848" s="26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26"/>
      <c r="B849" s="26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26"/>
      <c r="B850" s="26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26"/>
      <c r="B851" s="26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26"/>
      <c r="B852" s="26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26"/>
      <c r="B853" s="26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26"/>
      <c r="B854" s="26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26"/>
      <c r="B855" s="26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26"/>
      <c r="B856" s="26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26"/>
      <c r="B857" s="26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26"/>
      <c r="B858" s="26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26"/>
      <c r="B859" s="26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26"/>
      <c r="B860" s="26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26"/>
      <c r="B861" s="26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26"/>
      <c r="B862" s="26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26"/>
      <c r="B863" s="26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26"/>
      <c r="B864" s="26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26"/>
      <c r="B865" s="26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26"/>
      <c r="B866" s="26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26"/>
      <c r="B867" s="26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26"/>
      <c r="B868" s="26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26"/>
      <c r="B869" s="26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26"/>
      <c r="B870" s="26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26"/>
      <c r="B871" s="26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26"/>
      <c r="B872" s="26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26"/>
      <c r="B873" s="26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26"/>
      <c r="B874" s="26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26"/>
      <c r="B875" s="26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26"/>
      <c r="B876" s="26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26"/>
      <c r="B877" s="26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26"/>
      <c r="B878" s="26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26"/>
      <c r="B879" s="26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26"/>
      <c r="B880" s="26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26"/>
      <c r="B881" s="26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26"/>
      <c r="B882" s="26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26"/>
      <c r="B883" s="26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26"/>
      <c r="B884" s="26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26"/>
      <c r="B885" s="26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26"/>
      <c r="B886" s="26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26"/>
      <c r="B887" s="26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26"/>
      <c r="B888" s="26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26"/>
      <c r="B889" s="26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26"/>
      <c r="B890" s="26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26"/>
      <c r="B891" s="26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26"/>
      <c r="B892" s="26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26"/>
      <c r="B893" s="26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26"/>
      <c r="B894" s="26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26"/>
      <c r="B895" s="26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26"/>
      <c r="B896" s="26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26"/>
      <c r="B897" s="26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26"/>
      <c r="B898" s="26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26"/>
      <c r="B899" s="26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26"/>
      <c r="B900" s="26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26"/>
      <c r="B901" s="26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26"/>
      <c r="B902" s="26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26"/>
      <c r="B903" s="26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26"/>
      <c r="B904" s="26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26"/>
      <c r="B905" s="26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26"/>
      <c r="B906" s="26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26"/>
      <c r="B907" s="26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26"/>
      <c r="B908" s="26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26"/>
      <c r="B909" s="26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26"/>
      <c r="B910" s="26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26"/>
      <c r="B911" s="26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26"/>
      <c r="B912" s="26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26"/>
      <c r="B913" s="26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26"/>
      <c r="B914" s="26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26"/>
      <c r="B915" s="26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26"/>
      <c r="B916" s="26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26"/>
      <c r="B917" s="26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26"/>
      <c r="B918" s="26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26"/>
      <c r="B919" s="26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26"/>
      <c r="B920" s="26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26"/>
      <c r="B921" s="26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26"/>
      <c r="B922" s="26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26"/>
      <c r="B923" s="26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26"/>
      <c r="B924" s="26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26"/>
      <c r="B925" s="26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26"/>
      <c r="B926" s="26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26"/>
      <c r="B927" s="26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26"/>
      <c r="B928" s="26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26"/>
      <c r="B929" s="26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26"/>
      <c r="B930" s="26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26"/>
      <c r="B931" s="26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26"/>
      <c r="B932" s="26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</sheetData>
  <mergeCells count="21">
    <mergeCell ref="A1:O1"/>
    <mergeCell ref="A3:B3"/>
    <mergeCell ref="A4:B4"/>
    <mergeCell ref="A7:B7"/>
    <mergeCell ref="A8:B8"/>
    <mergeCell ref="A9:B9"/>
    <mergeCell ref="A11:B11"/>
    <mergeCell ref="A43:B43"/>
    <mergeCell ref="A44:A46"/>
    <mergeCell ref="A49:B49"/>
    <mergeCell ref="A50:A58"/>
    <mergeCell ref="A61:B61"/>
    <mergeCell ref="A62:A63"/>
    <mergeCell ref="A66:B66"/>
    <mergeCell ref="A12:A18"/>
    <mergeCell ref="A20:A25"/>
    <mergeCell ref="A27:B27"/>
    <mergeCell ref="A31:B31"/>
    <mergeCell ref="A34:B34"/>
    <mergeCell ref="A37:B37"/>
    <mergeCell ref="A40:B4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>
      <selection activeCell="F4" sqref="F4"/>
    </sheetView>
  </sheetViews>
  <sheetFormatPr defaultColWidth="12.6640625" defaultRowHeight="14.4" x14ac:dyDescent="0.3"/>
  <cols>
    <col min="1" max="1" width="32.21875" customWidth="1"/>
    <col min="2" max="2" width="56.77734375" customWidth="1"/>
    <col min="3" max="14" width="15.21875" customWidth="1"/>
    <col min="15" max="15" width="21.33203125" customWidth="1"/>
    <col min="16" max="26" width="8.88671875" customWidth="1"/>
  </cols>
  <sheetData>
    <row r="1" spans="1:26" ht="61.5" customHeight="1" x14ac:dyDescent="0.3">
      <c r="A1" s="164"/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2" t="s">
        <v>68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61"/>
      <c r="B3" s="162"/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66" t="s">
        <v>69</v>
      </c>
      <c r="B4" s="162"/>
      <c r="C4" s="4">
        <v>305</v>
      </c>
      <c r="D4" s="4">
        <v>290</v>
      </c>
      <c r="E4" s="4">
        <v>600</v>
      </c>
      <c r="F4" s="168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5">
        <f>SUM(C4:N4)</f>
        <v>1195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6" t="s">
        <v>26</v>
      </c>
      <c r="B5" s="6"/>
      <c r="C5" s="4">
        <f>C4/31</f>
        <v>9.8387096774193541</v>
      </c>
      <c r="D5" s="4">
        <f t="shared" ref="D5:N5" si="0">D4/31</f>
        <v>9.3548387096774199</v>
      </c>
      <c r="E5" s="4">
        <f t="shared" si="0"/>
        <v>19.35483870967742</v>
      </c>
      <c r="F5" s="4">
        <f t="shared" si="0"/>
        <v>0</v>
      </c>
      <c r="G5" s="4">
        <f t="shared" si="0"/>
        <v>0</v>
      </c>
      <c r="H5" s="4">
        <f t="shared" si="0"/>
        <v>0</v>
      </c>
      <c r="I5" s="4">
        <f t="shared" si="0"/>
        <v>0</v>
      </c>
      <c r="J5" s="4">
        <f t="shared" si="0"/>
        <v>0</v>
      </c>
      <c r="K5" s="4">
        <f t="shared" si="0"/>
        <v>0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5">
        <f>AVERAGE(C5:N5)</f>
        <v>3.2123655913978495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0.5" customHeight="1" x14ac:dyDescent="0.3">
      <c r="A6" s="7"/>
      <c r="B6" s="7"/>
      <c r="C6" s="1"/>
      <c r="D6" s="1"/>
      <c r="E6" s="1"/>
      <c r="F6" s="1"/>
      <c r="G6" s="1"/>
      <c r="H6" s="8"/>
      <c r="I6" s="8"/>
      <c r="J6" s="8"/>
      <c r="K6" s="8"/>
      <c r="L6" s="8"/>
      <c r="M6" s="8"/>
      <c r="N6" s="8"/>
      <c r="O6" s="9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61"/>
      <c r="B7" s="162"/>
      <c r="C7" s="3" t="s">
        <v>1</v>
      </c>
      <c r="D7" s="3" t="s">
        <v>2</v>
      </c>
      <c r="E7" s="3" t="s">
        <v>3</v>
      </c>
      <c r="F7" s="3" t="s">
        <v>4</v>
      </c>
      <c r="G7" s="3" t="s">
        <v>5</v>
      </c>
      <c r="H7" s="3" t="s">
        <v>6</v>
      </c>
      <c r="I7" s="3" t="s">
        <v>7</v>
      </c>
      <c r="J7" s="3" t="s">
        <v>8</v>
      </c>
      <c r="K7" s="3" t="s">
        <v>9</v>
      </c>
      <c r="L7" s="3" t="s">
        <v>10</v>
      </c>
      <c r="M7" s="3" t="s">
        <v>11</v>
      </c>
      <c r="N7" s="3" t="s">
        <v>12</v>
      </c>
      <c r="O7" s="3" t="s">
        <v>13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6" t="s">
        <v>65</v>
      </c>
      <c r="B8" s="27" t="s">
        <v>13</v>
      </c>
      <c r="C8" s="28">
        <v>5</v>
      </c>
      <c r="D8" s="4">
        <v>1</v>
      </c>
      <c r="E8" s="4">
        <v>0</v>
      </c>
      <c r="F8" s="4">
        <v>1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5">
        <f>SUM(C8:N8)</f>
        <v>7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26"/>
      <c r="B9" s="26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61"/>
      <c r="B10" s="162"/>
      <c r="C10" s="3" t="s">
        <v>1</v>
      </c>
      <c r="D10" s="3" t="s">
        <v>2</v>
      </c>
      <c r="E10" s="3" t="s">
        <v>3</v>
      </c>
      <c r="F10" s="3" t="s">
        <v>4</v>
      </c>
      <c r="G10" s="3" t="s">
        <v>5</v>
      </c>
      <c r="H10" s="3" t="s">
        <v>6</v>
      </c>
      <c r="I10" s="3" t="s">
        <v>7</v>
      </c>
      <c r="J10" s="3" t="s">
        <v>8</v>
      </c>
      <c r="K10" s="3" t="s">
        <v>9</v>
      </c>
      <c r="L10" s="3" t="s">
        <v>10</v>
      </c>
      <c r="M10" s="3" t="s">
        <v>11</v>
      </c>
      <c r="N10" s="3" t="s">
        <v>12</v>
      </c>
      <c r="O10" s="3" t="s">
        <v>13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6"/>
      <c r="B11" s="27" t="s">
        <v>70</v>
      </c>
      <c r="C11" s="28">
        <v>198</v>
      </c>
      <c r="D11" s="4">
        <v>183</v>
      </c>
      <c r="E11" s="4">
        <v>220</v>
      </c>
      <c r="F11" s="4">
        <v>173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5">
        <f>SUM(C11:N11)</f>
        <v>774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6" t="s">
        <v>71</v>
      </c>
      <c r="B12" s="27" t="s">
        <v>72</v>
      </c>
      <c r="C12" s="28">
        <v>0</v>
      </c>
      <c r="D12" s="4">
        <v>0</v>
      </c>
      <c r="E12" s="4">
        <v>0</v>
      </c>
      <c r="F12" s="4">
        <v>39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5">
        <f>SUM(C12:N12)</f>
        <v>39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6"/>
      <c r="B13" s="27" t="s">
        <v>73</v>
      </c>
      <c r="C13" s="28">
        <v>93</v>
      </c>
      <c r="D13" s="4">
        <v>55</v>
      </c>
      <c r="E13" s="4">
        <v>98</v>
      </c>
      <c r="F13" s="4">
        <v>89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5">
        <f>SUM(C13:N13)</f>
        <v>335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26"/>
      <c r="B14" s="26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161"/>
      <c r="B15" s="162"/>
      <c r="C15" s="3" t="s">
        <v>1</v>
      </c>
      <c r="D15" s="3" t="s">
        <v>2</v>
      </c>
      <c r="E15" s="3" t="s">
        <v>3</v>
      </c>
      <c r="F15" s="3" t="s">
        <v>4</v>
      </c>
      <c r="G15" s="3" t="s">
        <v>5</v>
      </c>
      <c r="H15" s="3" t="s">
        <v>6</v>
      </c>
      <c r="I15" s="3" t="s">
        <v>7</v>
      </c>
      <c r="J15" s="3" t="s">
        <v>8</v>
      </c>
      <c r="K15" s="3" t="s">
        <v>9</v>
      </c>
      <c r="L15" s="3" t="s">
        <v>10</v>
      </c>
      <c r="M15" s="3" t="s">
        <v>11</v>
      </c>
      <c r="N15" s="3" t="s">
        <v>12</v>
      </c>
      <c r="O15" s="3" t="s">
        <v>13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158" t="s">
        <v>48</v>
      </c>
      <c r="B16" s="6" t="s">
        <v>49</v>
      </c>
      <c r="C16" s="4">
        <v>538</v>
      </c>
      <c r="D16" s="4">
        <v>528</v>
      </c>
      <c r="E16" s="4">
        <v>850</v>
      </c>
      <c r="F16" s="4">
        <v>724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5">
        <f>SUM(C16:N16)</f>
        <v>2640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159"/>
      <c r="B17" s="6" t="s">
        <v>74</v>
      </c>
      <c r="C17" s="4">
        <v>123</v>
      </c>
      <c r="D17" s="4">
        <v>159</v>
      </c>
      <c r="E17" s="4">
        <v>165</v>
      </c>
      <c r="F17" s="4">
        <v>129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5">
        <f>SUM(C17:N17)</f>
        <v>576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159"/>
      <c r="B18" s="6" t="s">
        <v>75</v>
      </c>
      <c r="C18" s="4">
        <v>229</v>
      </c>
      <c r="D18" s="4">
        <f>186+439</f>
        <v>625</v>
      </c>
      <c r="E18" s="4">
        <f>210+350</f>
        <v>560</v>
      </c>
      <c r="F18" s="4">
        <v>295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5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159"/>
      <c r="B19" s="6" t="s">
        <v>51</v>
      </c>
      <c r="C19" s="4">
        <v>27</v>
      </c>
      <c r="D19" s="4">
        <v>0</v>
      </c>
      <c r="E19" s="4">
        <v>2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5">
        <f>SUM(C19:N19)</f>
        <v>29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">
      <c r="A20" s="160"/>
      <c r="B20" s="6" t="s">
        <v>13</v>
      </c>
      <c r="C20" s="5">
        <f t="shared" ref="C20:N20" si="1">SUM(C16:C19)</f>
        <v>917</v>
      </c>
      <c r="D20" s="5">
        <f t="shared" si="1"/>
        <v>1312</v>
      </c>
      <c r="E20" s="5">
        <f t="shared" si="1"/>
        <v>1577</v>
      </c>
      <c r="F20" s="5">
        <f t="shared" si="1"/>
        <v>1148</v>
      </c>
      <c r="G20" s="5">
        <f t="shared" si="1"/>
        <v>0</v>
      </c>
      <c r="H20" s="5">
        <f t="shared" si="1"/>
        <v>0</v>
      </c>
      <c r="I20" s="5">
        <f t="shared" si="1"/>
        <v>0</v>
      </c>
      <c r="J20" s="5">
        <f t="shared" si="1"/>
        <v>0</v>
      </c>
      <c r="K20" s="5">
        <f t="shared" si="1"/>
        <v>0</v>
      </c>
      <c r="L20" s="5">
        <f t="shared" si="1"/>
        <v>0</v>
      </c>
      <c r="M20" s="5">
        <f t="shared" si="1"/>
        <v>0</v>
      </c>
      <c r="N20" s="5">
        <f t="shared" si="1"/>
        <v>0</v>
      </c>
      <c r="O20" s="5">
        <f>SUM(C20:N20)</f>
        <v>4954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26"/>
      <c r="B21" s="26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61"/>
      <c r="B22" s="162"/>
      <c r="C22" s="3" t="s">
        <v>1</v>
      </c>
      <c r="D22" s="3" t="s">
        <v>2</v>
      </c>
      <c r="E22" s="3" t="s">
        <v>3</v>
      </c>
      <c r="F22" s="3" t="s">
        <v>4</v>
      </c>
      <c r="G22" s="3" t="s">
        <v>5</v>
      </c>
      <c r="H22" s="3" t="s">
        <v>6</v>
      </c>
      <c r="I22" s="3" t="s">
        <v>7</v>
      </c>
      <c r="J22" s="3" t="s">
        <v>8</v>
      </c>
      <c r="K22" s="3" t="s">
        <v>9</v>
      </c>
      <c r="L22" s="3" t="s">
        <v>10</v>
      </c>
      <c r="M22" s="3" t="s">
        <v>11</v>
      </c>
      <c r="N22" s="3" t="s">
        <v>12</v>
      </c>
      <c r="O22" s="3" t="s">
        <v>13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6"/>
      <c r="B23" s="27" t="s">
        <v>76</v>
      </c>
      <c r="C23" s="28">
        <v>181</v>
      </c>
      <c r="D23" s="4">
        <v>267</v>
      </c>
      <c r="E23" s="4">
        <v>270</v>
      </c>
      <c r="F23" s="168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5">
        <f>SUM(C23:N23)</f>
        <v>718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6" t="s">
        <v>77</v>
      </c>
      <c r="B24" s="27" t="s">
        <v>78</v>
      </c>
      <c r="C24" s="28">
        <v>14</v>
      </c>
      <c r="D24" s="4">
        <v>8</v>
      </c>
      <c r="E24" s="4">
        <v>6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5">
        <f>SUM(C24:N24)</f>
        <v>28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6"/>
      <c r="B25" s="27" t="s">
        <v>79</v>
      </c>
      <c r="C25" s="28">
        <v>13</v>
      </c>
      <c r="D25" s="4">
        <v>21</v>
      </c>
      <c r="E25" s="4">
        <v>8</v>
      </c>
      <c r="F25" s="4">
        <v>12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5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6"/>
      <c r="B26" s="27" t="s">
        <v>80</v>
      </c>
      <c r="C26" s="28">
        <v>116</v>
      </c>
      <c r="D26" s="4">
        <v>82</v>
      </c>
      <c r="E26" s="4">
        <v>84</v>
      </c>
      <c r="F26" s="4">
        <v>90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5">
        <f>SUM(C26:N26)</f>
        <v>372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26"/>
      <c r="B27" s="2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61"/>
      <c r="B28" s="162"/>
      <c r="C28" s="3" t="s">
        <v>1</v>
      </c>
      <c r="D28" s="3" t="s">
        <v>2</v>
      </c>
      <c r="E28" s="3" t="s">
        <v>3</v>
      </c>
      <c r="F28" s="3" t="s">
        <v>4</v>
      </c>
      <c r="G28" s="3" t="s">
        <v>5</v>
      </c>
      <c r="H28" s="3" t="s">
        <v>6</v>
      </c>
      <c r="I28" s="3" t="s">
        <v>7</v>
      </c>
      <c r="J28" s="3" t="s">
        <v>8</v>
      </c>
      <c r="K28" s="3" t="s">
        <v>9</v>
      </c>
      <c r="L28" s="3" t="s">
        <v>10</v>
      </c>
      <c r="M28" s="3" t="s">
        <v>11</v>
      </c>
      <c r="N28" s="3" t="s">
        <v>12</v>
      </c>
      <c r="O28" s="3" t="s">
        <v>13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6"/>
      <c r="B29" s="27" t="s">
        <v>81</v>
      </c>
      <c r="C29" s="28">
        <v>153</v>
      </c>
      <c r="D29" s="4">
        <v>224</v>
      </c>
      <c r="E29" s="4">
        <v>183</v>
      </c>
      <c r="F29" s="4">
        <f>43+35+64</f>
        <v>142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5">
        <f>SUM(C29:N29)</f>
        <v>702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6" t="s">
        <v>82</v>
      </c>
      <c r="B30" s="27" t="s">
        <v>83</v>
      </c>
      <c r="C30" s="28">
        <v>2</v>
      </c>
      <c r="D30" s="4">
        <v>0</v>
      </c>
      <c r="E30" s="4">
        <v>4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5">
        <f>SUM(C30:N30)</f>
        <v>6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6"/>
      <c r="B31" s="27" t="s">
        <v>84</v>
      </c>
      <c r="C31" s="28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5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6"/>
      <c r="B32" s="27" t="s">
        <v>85</v>
      </c>
      <c r="C32" s="28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5">
        <f>SUM(C32:N32)</f>
        <v>0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26"/>
      <c r="B33" s="26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26"/>
      <c r="B34" s="2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26"/>
      <c r="B35" s="26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26"/>
      <c r="B36" s="2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26"/>
      <c r="B37" s="26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26"/>
      <c r="B38" s="26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26"/>
      <c r="B39" s="26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26"/>
      <c r="B40" s="26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26"/>
      <c r="B41" s="26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26"/>
      <c r="B42" s="26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26"/>
      <c r="B43" s="26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26"/>
      <c r="B44" s="26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26"/>
      <c r="B45" s="26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26"/>
      <c r="B46" s="26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26"/>
      <c r="B47" s="26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26"/>
      <c r="B48" s="26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26"/>
      <c r="B49" s="26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26"/>
      <c r="B50" s="26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26"/>
      <c r="B51" s="26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26"/>
      <c r="B52" s="26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26"/>
      <c r="B53" s="26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26"/>
      <c r="B54" s="26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26"/>
      <c r="B55" s="26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26"/>
      <c r="B56" s="26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26"/>
      <c r="B57" s="26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26"/>
      <c r="B58" s="26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26"/>
      <c r="B59" s="26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26"/>
      <c r="B60" s="26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26"/>
      <c r="B61" s="26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26"/>
      <c r="B62" s="26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26"/>
      <c r="B63" s="26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26"/>
      <c r="B64" s="26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26"/>
      <c r="B65" s="26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26"/>
      <c r="B66" s="26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26"/>
      <c r="B67" s="26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26"/>
      <c r="B68" s="26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26"/>
      <c r="B69" s="26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26"/>
      <c r="B70" s="26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26"/>
      <c r="B71" s="26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26"/>
      <c r="B72" s="26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26"/>
      <c r="B73" s="26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26"/>
      <c r="B74" s="26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26"/>
      <c r="B75" s="26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26"/>
      <c r="B76" s="26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26"/>
      <c r="B77" s="26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26"/>
      <c r="B78" s="26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26"/>
      <c r="B79" s="26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26"/>
      <c r="B80" s="26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26"/>
      <c r="B81" s="26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26"/>
      <c r="B82" s="26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26"/>
      <c r="B83" s="26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26"/>
      <c r="B84" s="26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26"/>
      <c r="B85" s="26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26"/>
      <c r="B86" s="26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26"/>
      <c r="B87" s="26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26"/>
      <c r="B88" s="26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26"/>
      <c r="B89" s="26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26"/>
      <c r="B90" s="26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26"/>
      <c r="B91" s="26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26"/>
      <c r="B92" s="26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26"/>
      <c r="B93" s="26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26"/>
      <c r="B94" s="26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26"/>
      <c r="B95" s="26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26"/>
      <c r="B96" s="26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26"/>
      <c r="B97" s="26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26"/>
      <c r="B98" s="26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26"/>
      <c r="B99" s="26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26"/>
      <c r="B100" s="26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26"/>
      <c r="B101" s="26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26"/>
      <c r="B102" s="26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26"/>
      <c r="B103" s="26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26"/>
      <c r="B104" s="26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26"/>
      <c r="B105" s="26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26"/>
      <c r="B106" s="26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26"/>
      <c r="B107" s="26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26"/>
      <c r="B108" s="26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26"/>
      <c r="B109" s="26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26"/>
      <c r="B110" s="2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26"/>
      <c r="B111" s="2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26"/>
      <c r="B112" s="26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26"/>
      <c r="B113" s="26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26"/>
      <c r="B114" s="26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26"/>
      <c r="B115" s="26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26"/>
      <c r="B116" s="26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26"/>
      <c r="B117" s="26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26"/>
      <c r="B118" s="26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26"/>
      <c r="B119" s="26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26"/>
      <c r="B120" s="26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26"/>
      <c r="B121" s="26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26"/>
      <c r="B122" s="26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26"/>
      <c r="B123" s="26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26"/>
      <c r="B124" s="26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26"/>
      <c r="B125" s="26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26"/>
      <c r="B126" s="26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26"/>
      <c r="B127" s="26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26"/>
      <c r="B128" s="26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26"/>
      <c r="B129" s="26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26"/>
      <c r="B130" s="26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26"/>
      <c r="B131" s="26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26"/>
      <c r="B132" s="26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26"/>
      <c r="B133" s="26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26"/>
      <c r="B134" s="2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26"/>
      <c r="B135" s="2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26"/>
      <c r="B136" s="26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26"/>
      <c r="B137" s="2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26"/>
      <c r="B138" s="2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26"/>
      <c r="B139" s="26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26"/>
      <c r="B140" s="26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26"/>
      <c r="B141" s="26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26"/>
      <c r="B142" s="26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26"/>
      <c r="B143" s="26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26"/>
      <c r="B144" s="26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26"/>
      <c r="B145" s="26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26"/>
      <c r="B146" s="26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26"/>
      <c r="B147" s="26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26"/>
      <c r="B148" s="26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26"/>
      <c r="B149" s="26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26"/>
      <c r="B150" s="26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26"/>
      <c r="B151" s="26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26"/>
      <c r="B152" s="26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26"/>
      <c r="B153" s="26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26"/>
      <c r="B154" s="26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26"/>
      <c r="B155" s="26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26"/>
      <c r="B156" s="26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26"/>
      <c r="B157" s="26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26"/>
      <c r="B158" s="26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26"/>
      <c r="B159" s="26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26"/>
      <c r="B160" s="26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26"/>
      <c r="B161" s="26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26"/>
      <c r="B162" s="26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26"/>
      <c r="B163" s="26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26"/>
      <c r="B164" s="26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26"/>
      <c r="B165" s="26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26"/>
      <c r="B166" s="26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26"/>
      <c r="B167" s="26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26"/>
      <c r="B168" s="26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26"/>
      <c r="B169" s="26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26"/>
      <c r="B170" s="26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26"/>
      <c r="B171" s="26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26"/>
      <c r="B172" s="26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26"/>
      <c r="B173" s="26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26"/>
      <c r="B174" s="26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26"/>
      <c r="B175" s="26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26"/>
      <c r="B176" s="26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26"/>
      <c r="B177" s="26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26"/>
      <c r="B178" s="26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26"/>
      <c r="B179" s="26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26"/>
      <c r="B180" s="26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26"/>
      <c r="B181" s="26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26"/>
      <c r="B182" s="26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26"/>
      <c r="B183" s="26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26"/>
      <c r="B184" s="26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26"/>
      <c r="B185" s="26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26"/>
      <c r="B186" s="26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26"/>
      <c r="B187" s="26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26"/>
      <c r="B188" s="26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26"/>
      <c r="B189" s="26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26"/>
      <c r="B190" s="26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26"/>
      <c r="B191" s="26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26"/>
      <c r="B192" s="26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26"/>
      <c r="B193" s="26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26"/>
      <c r="B194" s="26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26"/>
      <c r="B195" s="26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26"/>
      <c r="B196" s="26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26"/>
      <c r="B197" s="26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26"/>
      <c r="B198" s="26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26"/>
      <c r="B199" s="26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26"/>
      <c r="B200" s="26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26"/>
      <c r="B201" s="26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26"/>
      <c r="B202" s="26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26"/>
      <c r="B203" s="26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26"/>
      <c r="B204" s="26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26"/>
      <c r="B205" s="26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26"/>
      <c r="B206" s="26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26"/>
      <c r="B207" s="26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26"/>
      <c r="B208" s="26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26"/>
      <c r="B209" s="26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26"/>
      <c r="B210" s="26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26"/>
      <c r="B211" s="26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26"/>
      <c r="B212" s="26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26"/>
      <c r="B213" s="26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26"/>
      <c r="B214" s="26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26"/>
      <c r="B215" s="26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26"/>
      <c r="B216" s="26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26"/>
      <c r="B217" s="26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26"/>
      <c r="B218" s="26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26"/>
      <c r="B219" s="26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26"/>
      <c r="B220" s="26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26"/>
      <c r="B221" s="26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26"/>
      <c r="B222" s="26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26"/>
      <c r="B223" s="26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26"/>
      <c r="B224" s="26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26"/>
      <c r="B225" s="26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26"/>
      <c r="B226" s="26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26"/>
      <c r="B227" s="26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26"/>
      <c r="B228" s="26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26"/>
      <c r="B229" s="26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26"/>
      <c r="B230" s="26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26"/>
      <c r="B231" s="26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26"/>
      <c r="B232" s="26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26"/>
      <c r="B233" s="26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26"/>
      <c r="B234" s="26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26"/>
      <c r="B235" s="26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26"/>
      <c r="B236" s="26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26"/>
      <c r="B237" s="26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26"/>
      <c r="B238" s="26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26"/>
      <c r="B239" s="26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26"/>
      <c r="B240" s="26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26"/>
      <c r="B241" s="26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26"/>
      <c r="B242" s="26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26"/>
      <c r="B243" s="26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26"/>
      <c r="B244" s="26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26"/>
      <c r="B245" s="26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26"/>
      <c r="B246" s="26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26"/>
      <c r="B247" s="26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26"/>
      <c r="B248" s="26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26"/>
      <c r="B249" s="26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26"/>
      <c r="B250" s="26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26"/>
      <c r="B251" s="26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26"/>
      <c r="B252" s="26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26"/>
      <c r="B253" s="26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26"/>
      <c r="B254" s="26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26"/>
      <c r="B255" s="26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26"/>
      <c r="B256" s="26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26"/>
      <c r="B257" s="26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26"/>
      <c r="B258" s="26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26"/>
      <c r="B259" s="26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26"/>
      <c r="B260" s="26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26"/>
      <c r="B261" s="26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26"/>
      <c r="B262" s="26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26"/>
      <c r="B263" s="26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26"/>
      <c r="B264" s="26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26"/>
      <c r="B265" s="26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26"/>
      <c r="B266" s="26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26"/>
      <c r="B267" s="26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26"/>
      <c r="B268" s="26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26"/>
      <c r="B269" s="26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26"/>
      <c r="B270" s="26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26"/>
      <c r="B271" s="26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26"/>
      <c r="B272" s="26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26"/>
      <c r="B273" s="26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26"/>
      <c r="B274" s="26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26"/>
      <c r="B275" s="26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26"/>
      <c r="B276" s="26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26"/>
      <c r="B277" s="26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26"/>
      <c r="B278" s="26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26"/>
      <c r="B279" s="26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26"/>
      <c r="B280" s="26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26"/>
      <c r="B281" s="26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26"/>
      <c r="B282" s="26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26"/>
      <c r="B283" s="26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26"/>
      <c r="B284" s="26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26"/>
      <c r="B285" s="26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26"/>
      <c r="B286" s="26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26"/>
      <c r="B287" s="26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26"/>
      <c r="B288" s="26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26"/>
      <c r="B289" s="26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26"/>
      <c r="B290" s="26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26"/>
      <c r="B291" s="26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26"/>
      <c r="B292" s="26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26"/>
      <c r="B293" s="26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26"/>
      <c r="B294" s="26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26"/>
      <c r="B295" s="26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26"/>
      <c r="B296" s="26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26"/>
      <c r="B297" s="26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26"/>
      <c r="B298" s="26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26"/>
      <c r="B299" s="26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26"/>
      <c r="B300" s="26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26"/>
      <c r="B301" s="26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26"/>
      <c r="B302" s="26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26"/>
      <c r="B303" s="26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26"/>
      <c r="B304" s="26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26"/>
      <c r="B305" s="26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26"/>
      <c r="B306" s="26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26"/>
      <c r="B307" s="26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26"/>
      <c r="B308" s="26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26"/>
      <c r="B309" s="26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26"/>
      <c r="B310" s="26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26"/>
      <c r="B311" s="26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26"/>
      <c r="B312" s="26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26"/>
      <c r="B313" s="26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26"/>
      <c r="B314" s="26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26"/>
      <c r="B315" s="26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26"/>
      <c r="B316" s="26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26"/>
      <c r="B317" s="26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26"/>
      <c r="B318" s="26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26"/>
      <c r="B319" s="26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26"/>
      <c r="B320" s="26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26"/>
      <c r="B321" s="26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26"/>
      <c r="B322" s="26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26"/>
      <c r="B323" s="26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26"/>
      <c r="B324" s="26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26"/>
      <c r="B325" s="26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26"/>
      <c r="B326" s="26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26"/>
      <c r="B327" s="26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26"/>
      <c r="B328" s="26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26"/>
      <c r="B329" s="26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26"/>
      <c r="B330" s="26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26"/>
      <c r="B331" s="26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26"/>
      <c r="B332" s="26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26"/>
      <c r="B333" s="26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26"/>
      <c r="B334" s="26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26"/>
      <c r="B335" s="26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26"/>
      <c r="B336" s="26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26"/>
      <c r="B337" s="26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26"/>
      <c r="B338" s="26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26"/>
      <c r="B339" s="26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26"/>
      <c r="B340" s="26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26"/>
      <c r="B341" s="26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26"/>
      <c r="B342" s="26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26"/>
      <c r="B343" s="26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26"/>
      <c r="B344" s="26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26"/>
      <c r="B345" s="26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26"/>
      <c r="B346" s="26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26"/>
      <c r="B347" s="26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26"/>
      <c r="B348" s="26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26"/>
      <c r="B349" s="26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26"/>
      <c r="B350" s="26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26"/>
      <c r="B351" s="26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26"/>
      <c r="B352" s="26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26"/>
      <c r="B353" s="26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26"/>
      <c r="B354" s="26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26"/>
      <c r="B355" s="26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26"/>
      <c r="B356" s="26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26"/>
      <c r="B357" s="26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26"/>
      <c r="B358" s="26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26"/>
      <c r="B359" s="26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26"/>
      <c r="B360" s="26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26"/>
      <c r="B361" s="26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26"/>
      <c r="B362" s="26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26"/>
      <c r="B363" s="26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26"/>
      <c r="B364" s="26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26"/>
      <c r="B365" s="26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26"/>
      <c r="B366" s="26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26"/>
      <c r="B367" s="26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26"/>
      <c r="B368" s="26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26"/>
      <c r="B369" s="26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26"/>
      <c r="B370" s="26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26"/>
      <c r="B371" s="26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26"/>
      <c r="B372" s="26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26"/>
      <c r="B373" s="26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26"/>
      <c r="B374" s="26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26"/>
      <c r="B375" s="26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26"/>
      <c r="B376" s="26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26"/>
      <c r="B377" s="26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26"/>
      <c r="B378" s="26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26"/>
      <c r="B379" s="26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26"/>
      <c r="B380" s="26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26"/>
      <c r="B381" s="26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26"/>
      <c r="B382" s="26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26"/>
      <c r="B383" s="26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26"/>
      <c r="B384" s="26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26"/>
      <c r="B385" s="26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26"/>
      <c r="B386" s="26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26"/>
      <c r="B387" s="26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26"/>
      <c r="B388" s="26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26"/>
      <c r="B389" s="26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26"/>
      <c r="B390" s="26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26"/>
      <c r="B391" s="26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26"/>
      <c r="B392" s="26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26"/>
      <c r="B393" s="26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26"/>
      <c r="B394" s="26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26"/>
      <c r="B395" s="26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26"/>
      <c r="B396" s="26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26"/>
      <c r="B397" s="26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26"/>
      <c r="B398" s="26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26"/>
      <c r="B399" s="26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26"/>
      <c r="B400" s="26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26"/>
      <c r="B401" s="26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26"/>
      <c r="B402" s="26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26"/>
      <c r="B403" s="26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26"/>
      <c r="B404" s="26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26"/>
      <c r="B405" s="26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26"/>
      <c r="B406" s="26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26"/>
      <c r="B407" s="26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26"/>
      <c r="B408" s="26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26"/>
      <c r="B409" s="26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26"/>
      <c r="B410" s="26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26"/>
      <c r="B411" s="26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26"/>
      <c r="B412" s="26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26"/>
      <c r="B413" s="26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26"/>
      <c r="B414" s="26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26"/>
      <c r="B415" s="26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26"/>
      <c r="B416" s="26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26"/>
      <c r="B417" s="26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26"/>
      <c r="B418" s="26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26"/>
      <c r="B419" s="26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26"/>
      <c r="B420" s="26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26"/>
      <c r="B421" s="26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26"/>
      <c r="B422" s="26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26"/>
      <c r="B423" s="26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26"/>
      <c r="B424" s="26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26"/>
      <c r="B425" s="26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26"/>
      <c r="B426" s="26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26"/>
      <c r="B427" s="26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26"/>
      <c r="B428" s="26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26"/>
      <c r="B429" s="26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26"/>
      <c r="B430" s="26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26"/>
      <c r="B431" s="26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26"/>
      <c r="B432" s="26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26"/>
      <c r="B433" s="26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26"/>
      <c r="B434" s="26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26"/>
      <c r="B435" s="26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26"/>
      <c r="B436" s="26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26"/>
      <c r="B437" s="26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26"/>
      <c r="B438" s="26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26"/>
      <c r="B439" s="26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26"/>
      <c r="B440" s="26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26"/>
      <c r="B441" s="26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26"/>
      <c r="B442" s="26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26"/>
      <c r="B443" s="26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26"/>
      <c r="B444" s="26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26"/>
      <c r="B445" s="26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26"/>
      <c r="B446" s="26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26"/>
      <c r="B447" s="26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26"/>
      <c r="B448" s="26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26"/>
      <c r="B449" s="26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26"/>
      <c r="B450" s="26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26"/>
      <c r="B451" s="26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26"/>
      <c r="B452" s="26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26"/>
      <c r="B453" s="26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26"/>
      <c r="B454" s="26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26"/>
      <c r="B455" s="26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26"/>
      <c r="B456" s="26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26"/>
      <c r="B457" s="26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26"/>
      <c r="B458" s="26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26"/>
      <c r="B459" s="26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26"/>
      <c r="B460" s="26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26"/>
      <c r="B461" s="26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26"/>
      <c r="B462" s="26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26"/>
      <c r="B463" s="26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26"/>
      <c r="B464" s="26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26"/>
      <c r="B465" s="26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26"/>
      <c r="B466" s="26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26"/>
      <c r="B467" s="26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26"/>
      <c r="B468" s="26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26"/>
      <c r="B469" s="26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26"/>
      <c r="B470" s="26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26"/>
      <c r="B471" s="26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26"/>
      <c r="B472" s="26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26"/>
      <c r="B473" s="26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26"/>
      <c r="B474" s="26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26"/>
      <c r="B475" s="26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26"/>
      <c r="B476" s="26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26"/>
      <c r="B477" s="26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26"/>
      <c r="B478" s="26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26"/>
      <c r="B479" s="26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26"/>
      <c r="B480" s="26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26"/>
      <c r="B481" s="26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26"/>
      <c r="B482" s="26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26"/>
      <c r="B483" s="26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26"/>
      <c r="B484" s="26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26"/>
      <c r="B485" s="26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26"/>
      <c r="B486" s="26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26"/>
      <c r="B487" s="26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26"/>
      <c r="B488" s="26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26"/>
      <c r="B489" s="26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26"/>
      <c r="B490" s="26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26"/>
      <c r="B491" s="26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26"/>
      <c r="B492" s="26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26"/>
      <c r="B493" s="26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26"/>
      <c r="B494" s="26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26"/>
      <c r="B495" s="26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26"/>
      <c r="B496" s="26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26"/>
      <c r="B497" s="26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26"/>
      <c r="B498" s="26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26"/>
      <c r="B499" s="26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26"/>
      <c r="B500" s="26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26"/>
      <c r="B501" s="26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26"/>
      <c r="B502" s="26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26"/>
      <c r="B503" s="26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26"/>
      <c r="B504" s="26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26"/>
      <c r="B505" s="26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26"/>
      <c r="B506" s="26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26"/>
      <c r="B507" s="26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26"/>
      <c r="B508" s="26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26"/>
      <c r="B509" s="26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26"/>
      <c r="B510" s="26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26"/>
      <c r="B511" s="26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26"/>
      <c r="B512" s="26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26"/>
      <c r="B513" s="26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26"/>
      <c r="B514" s="26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26"/>
      <c r="B515" s="26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26"/>
      <c r="B516" s="26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26"/>
      <c r="B517" s="26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26"/>
      <c r="B518" s="26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26"/>
      <c r="B519" s="26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26"/>
      <c r="B520" s="26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26"/>
      <c r="B521" s="26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26"/>
      <c r="B522" s="26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26"/>
      <c r="B523" s="26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26"/>
      <c r="B524" s="26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26"/>
      <c r="B525" s="26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26"/>
      <c r="B526" s="26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26"/>
      <c r="B527" s="26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26"/>
      <c r="B528" s="26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26"/>
      <c r="B529" s="26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26"/>
      <c r="B530" s="26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26"/>
      <c r="B531" s="26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26"/>
      <c r="B532" s="26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26"/>
      <c r="B533" s="26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26"/>
      <c r="B534" s="26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26"/>
      <c r="B535" s="26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26"/>
      <c r="B536" s="26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26"/>
      <c r="B537" s="26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26"/>
      <c r="B538" s="26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26"/>
      <c r="B539" s="26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26"/>
      <c r="B540" s="26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26"/>
      <c r="B541" s="26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26"/>
      <c r="B542" s="26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26"/>
      <c r="B543" s="26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26"/>
      <c r="B544" s="26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26"/>
      <c r="B545" s="26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26"/>
      <c r="B546" s="26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26"/>
      <c r="B547" s="26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26"/>
      <c r="B548" s="26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26"/>
      <c r="B549" s="26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26"/>
      <c r="B550" s="26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26"/>
      <c r="B551" s="26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26"/>
      <c r="B552" s="26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26"/>
      <c r="B553" s="26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26"/>
      <c r="B554" s="26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26"/>
      <c r="B555" s="26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26"/>
      <c r="B556" s="26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26"/>
      <c r="B557" s="26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26"/>
      <c r="B558" s="26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26"/>
      <c r="B559" s="26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26"/>
      <c r="B560" s="26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26"/>
      <c r="B561" s="26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26"/>
      <c r="B562" s="26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26"/>
      <c r="B563" s="26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26"/>
      <c r="B564" s="26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26"/>
      <c r="B565" s="26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26"/>
      <c r="B566" s="26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26"/>
      <c r="B567" s="26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26"/>
      <c r="B568" s="26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26"/>
      <c r="B569" s="26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26"/>
      <c r="B570" s="26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26"/>
      <c r="B571" s="26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26"/>
      <c r="B572" s="26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26"/>
      <c r="B573" s="26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26"/>
      <c r="B574" s="26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26"/>
      <c r="B575" s="26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26"/>
      <c r="B576" s="26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26"/>
      <c r="B577" s="26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26"/>
      <c r="B578" s="26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26"/>
      <c r="B579" s="26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26"/>
      <c r="B580" s="26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26"/>
      <c r="B581" s="26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26"/>
      <c r="B582" s="26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26"/>
      <c r="B583" s="26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26"/>
      <c r="B584" s="26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26"/>
      <c r="B585" s="26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26"/>
      <c r="B586" s="26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26"/>
      <c r="B587" s="26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26"/>
      <c r="B588" s="26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26"/>
      <c r="B589" s="26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26"/>
      <c r="B590" s="26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26"/>
      <c r="B591" s="26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26"/>
      <c r="B592" s="26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26"/>
      <c r="B593" s="26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26"/>
      <c r="B594" s="26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26"/>
      <c r="B595" s="26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26"/>
      <c r="B596" s="26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26"/>
      <c r="B597" s="26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26"/>
      <c r="B598" s="26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26"/>
      <c r="B599" s="26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26"/>
      <c r="B600" s="26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26"/>
      <c r="B601" s="26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26"/>
      <c r="B602" s="26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26"/>
      <c r="B603" s="26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26"/>
      <c r="B604" s="26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26"/>
      <c r="B605" s="26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26"/>
      <c r="B606" s="26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26"/>
      <c r="B607" s="26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26"/>
      <c r="B608" s="26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26"/>
      <c r="B609" s="26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26"/>
      <c r="B610" s="26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26"/>
      <c r="B611" s="26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26"/>
      <c r="B612" s="26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26"/>
      <c r="B613" s="26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26"/>
      <c r="B614" s="26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26"/>
      <c r="B615" s="26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26"/>
      <c r="B616" s="26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26"/>
      <c r="B617" s="26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26"/>
      <c r="B618" s="26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26"/>
      <c r="B619" s="26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26"/>
      <c r="B620" s="26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26"/>
      <c r="B621" s="26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26"/>
      <c r="B622" s="26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26"/>
      <c r="B623" s="26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26"/>
      <c r="B624" s="26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26"/>
      <c r="B625" s="26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26"/>
      <c r="B626" s="26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26"/>
      <c r="B627" s="26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26"/>
      <c r="B628" s="26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26"/>
      <c r="B629" s="26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26"/>
      <c r="B630" s="26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26"/>
      <c r="B631" s="26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26"/>
      <c r="B632" s="26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26"/>
      <c r="B633" s="26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26"/>
      <c r="B634" s="26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26"/>
      <c r="B635" s="26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26"/>
      <c r="B636" s="26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26"/>
      <c r="B637" s="26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26"/>
      <c r="B638" s="26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26"/>
      <c r="B639" s="26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26"/>
      <c r="B640" s="26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26"/>
      <c r="B641" s="26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26"/>
      <c r="B642" s="26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26"/>
      <c r="B643" s="26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26"/>
      <c r="B644" s="26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26"/>
      <c r="B645" s="26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26"/>
      <c r="B646" s="26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26"/>
      <c r="B647" s="26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26"/>
      <c r="B648" s="26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26"/>
      <c r="B649" s="26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26"/>
      <c r="B650" s="26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26"/>
      <c r="B651" s="26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26"/>
      <c r="B652" s="26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26"/>
      <c r="B653" s="26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26"/>
      <c r="B654" s="26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26"/>
      <c r="B655" s="26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26"/>
      <c r="B656" s="26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26"/>
      <c r="B657" s="26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26"/>
      <c r="B658" s="26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26"/>
      <c r="B659" s="26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26"/>
      <c r="B660" s="26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26"/>
      <c r="B661" s="26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26"/>
      <c r="B662" s="26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26"/>
      <c r="B663" s="26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26"/>
      <c r="B664" s="26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26"/>
      <c r="B665" s="26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26"/>
      <c r="B666" s="26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26"/>
      <c r="B667" s="26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26"/>
      <c r="B668" s="26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26"/>
      <c r="B669" s="26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26"/>
      <c r="B670" s="26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26"/>
      <c r="B671" s="26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26"/>
      <c r="B672" s="26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26"/>
      <c r="B673" s="26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26"/>
      <c r="B674" s="26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26"/>
      <c r="B675" s="26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26"/>
      <c r="B676" s="26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26"/>
      <c r="B677" s="26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26"/>
      <c r="B678" s="26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26"/>
      <c r="B679" s="26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26"/>
      <c r="B680" s="26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26"/>
      <c r="B681" s="26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26"/>
      <c r="B682" s="26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26"/>
      <c r="B683" s="26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26"/>
      <c r="B684" s="26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26"/>
      <c r="B685" s="26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26"/>
      <c r="B686" s="26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26"/>
      <c r="B687" s="26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26"/>
      <c r="B688" s="26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26"/>
      <c r="B689" s="26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26"/>
      <c r="B690" s="26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26"/>
      <c r="B691" s="26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26"/>
      <c r="B692" s="26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26"/>
      <c r="B693" s="26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26"/>
      <c r="B694" s="26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26"/>
      <c r="B695" s="26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26"/>
      <c r="B696" s="26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26"/>
      <c r="B697" s="26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26"/>
      <c r="B698" s="26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26"/>
      <c r="B699" s="26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26"/>
      <c r="B700" s="26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26"/>
      <c r="B701" s="26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26"/>
      <c r="B702" s="26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26"/>
      <c r="B703" s="26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26"/>
      <c r="B704" s="26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26"/>
      <c r="B705" s="26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26"/>
      <c r="B706" s="26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26"/>
      <c r="B707" s="26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26"/>
      <c r="B708" s="26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26"/>
      <c r="B709" s="26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26"/>
      <c r="B710" s="26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26"/>
      <c r="B711" s="26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26"/>
      <c r="B712" s="26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26"/>
      <c r="B713" s="26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26"/>
      <c r="B714" s="26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26"/>
      <c r="B715" s="26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26"/>
      <c r="B716" s="26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26"/>
      <c r="B717" s="26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26"/>
      <c r="B718" s="26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26"/>
      <c r="B719" s="26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26"/>
      <c r="B720" s="26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26"/>
      <c r="B721" s="26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26"/>
      <c r="B722" s="26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26"/>
      <c r="B723" s="26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26"/>
      <c r="B724" s="26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26"/>
      <c r="B725" s="26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26"/>
      <c r="B726" s="26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26"/>
      <c r="B727" s="26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26"/>
      <c r="B728" s="26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26"/>
      <c r="B729" s="26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26"/>
      <c r="B730" s="26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26"/>
      <c r="B731" s="26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26"/>
      <c r="B732" s="26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26"/>
      <c r="B733" s="26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26"/>
      <c r="B734" s="26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26"/>
      <c r="B735" s="26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26"/>
      <c r="B736" s="26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26"/>
      <c r="B737" s="26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26"/>
      <c r="B738" s="26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26"/>
      <c r="B739" s="26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26"/>
      <c r="B740" s="26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26"/>
      <c r="B741" s="26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26"/>
      <c r="B742" s="26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26"/>
      <c r="B743" s="26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26"/>
      <c r="B744" s="26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26"/>
      <c r="B745" s="26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26"/>
      <c r="B746" s="26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26"/>
      <c r="B747" s="26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26"/>
      <c r="B748" s="26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26"/>
      <c r="B749" s="26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26"/>
      <c r="B750" s="26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26"/>
      <c r="B751" s="26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26"/>
      <c r="B752" s="26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26"/>
      <c r="B753" s="26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26"/>
      <c r="B754" s="26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26"/>
      <c r="B755" s="26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26"/>
      <c r="B756" s="26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26"/>
      <c r="B757" s="26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26"/>
      <c r="B758" s="26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26"/>
      <c r="B759" s="26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26"/>
      <c r="B760" s="26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26"/>
      <c r="B761" s="26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26"/>
      <c r="B762" s="26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26"/>
      <c r="B763" s="26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26"/>
      <c r="B764" s="26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26"/>
      <c r="B765" s="26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26"/>
      <c r="B766" s="26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26"/>
      <c r="B767" s="26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26"/>
      <c r="B768" s="26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26"/>
      <c r="B769" s="26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26"/>
      <c r="B770" s="26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26"/>
      <c r="B771" s="26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26"/>
      <c r="B772" s="26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26"/>
      <c r="B773" s="26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26"/>
      <c r="B774" s="26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26"/>
      <c r="B775" s="26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26"/>
      <c r="B776" s="26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26"/>
      <c r="B777" s="26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26"/>
      <c r="B778" s="26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26"/>
      <c r="B779" s="26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26"/>
      <c r="B780" s="26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26"/>
      <c r="B781" s="26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26"/>
      <c r="B782" s="26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26"/>
      <c r="B783" s="26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26"/>
      <c r="B784" s="26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26"/>
      <c r="B785" s="26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26"/>
      <c r="B786" s="26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26"/>
      <c r="B787" s="26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26"/>
      <c r="B788" s="26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26"/>
      <c r="B789" s="26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26"/>
      <c r="B790" s="26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26"/>
      <c r="B791" s="26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26"/>
      <c r="B792" s="26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26"/>
      <c r="B793" s="26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26"/>
      <c r="B794" s="26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26"/>
      <c r="B795" s="26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26"/>
      <c r="B796" s="26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26"/>
      <c r="B797" s="26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26"/>
      <c r="B798" s="26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26"/>
      <c r="B799" s="26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26"/>
      <c r="B800" s="26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26"/>
      <c r="B801" s="26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26"/>
      <c r="B802" s="26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26"/>
      <c r="B803" s="26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26"/>
      <c r="B804" s="26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26"/>
      <c r="B805" s="26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26"/>
      <c r="B806" s="26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26"/>
      <c r="B807" s="26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26"/>
      <c r="B808" s="26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26"/>
      <c r="B809" s="26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26"/>
      <c r="B810" s="26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26"/>
      <c r="B811" s="26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26"/>
      <c r="B812" s="26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26"/>
      <c r="B813" s="26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26"/>
      <c r="B814" s="26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26"/>
      <c r="B815" s="26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26"/>
      <c r="B816" s="26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26"/>
      <c r="B817" s="26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26"/>
      <c r="B818" s="26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26"/>
      <c r="B819" s="26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26"/>
      <c r="B820" s="26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26"/>
      <c r="B821" s="26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26"/>
      <c r="B822" s="26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26"/>
      <c r="B823" s="26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26"/>
      <c r="B824" s="26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26"/>
      <c r="B825" s="26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26"/>
      <c r="B826" s="26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26"/>
      <c r="B827" s="26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26"/>
      <c r="B828" s="26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26"/>
      <c r="B829" s="26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26"/>
      <c r="B830" s="26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26"/>
      <c r="B831" s="26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26"/>
      <c r="B832" s="26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26"/>
      <c r="B833" s="26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26"/>
      <c r="B834" s="26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26"/>
      <c r="B835" s="26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26"/>
      <c r="B836" s="26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26"/>
      <c r="B837" s="26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26"/>
      <c r="B838" s="26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26"/>
      <c r="B839" s="26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26"/>
      <c r="B840" s="26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26"/>
      <c r="B841" s="26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26"/>
      <c r="B842" s="26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26"/>
      <c r="B843" s="26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26"/>
      <c r="B844" s="26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26"/>
      <c r="B845" s="26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26"/>
      <c r="B846" s="26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26"/>
      <c r="B847" s="26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26"/>
      <c r="B848" s="26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26"/>
      <c r="B849" s="26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26"/>
      <c r="B850" s="26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26"/>
      <c r="B851" s="26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26"/>
      <c r="B852" s="26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26"/>
      <c r="B853" s="26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26"/>
      <c r="B854" s="26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26"/>
      <c r="B855" s="26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26"/>
      <c r="B856" s="26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26"/>
      <c r="B857" s="26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26"/>
      <c r="B858" s="26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26"/>
      <c r="B859" s="26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26"/>
      <c r="B860" s="26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26"/>
      <c r="B861" s="26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26"/>
      <c r="B862" s="26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26"/>
      <c r="B863" s="26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26"/>
      <c r="B864" s="26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26"/>
      <c r="B865" s="26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26"/>
      <c r="B866" s="26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26"/>
      <c r="B867" s="26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26"/>
      <c r="B868" s="26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26"/>
      <c r="B869" s="26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26"/>
      <c r="B870" s="26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26"/>
      <c r="B871" s="26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26"/>
      <c r="B872" s="26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26"/>
      <c r="B873" s="26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26"/>
      <c r="B874" s="26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26"/>
      <c r="B875" s="26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26"/>
      <c r="B876" s="26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26"/>
      <c r="B877" s="26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26"/>
      <c r="B878" s="26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26"/>
      <c r="B879" s="26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26"/>
      <c r="B880" s="26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26"/>
      <c r="B881" s="26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26"/>
      <c r="B882" s="26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26"/>
      <c r="B883" s="26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26"/>
      <c r="B884" s="26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26"/>
      <c r="B885" s="26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26"/>
      <c r="B886" s="26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26"/>
      <c r="B887" s="26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26"/>
      <c r="B888" s="26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26"/>
      <c r="B889" s="26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26"/>
      <c r="B890" s="26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26"/>
      <c r="B891" s="26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26"/>
      <c r="B892" s="26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26"/>
      <c r="B893" s="26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26"/>
      <c r="B894" s="26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26"/>
      <c r="B895" s="26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26"/>
      <c r="B896" s="26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26"/>
      <c r="B897" s="26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26"/>
      <c r="B898" s="26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26"/>
      <c r="B899" s="26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26"/>
      <c r="B900" s="26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26"/>
      <c r="B901" s="26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26"/>
      <c r="B902" s="26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26"/>
      <c r="B903" s="26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26"/>
      <c r="B904" s="26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26"/>
      <c r="B905" s="26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26"/>
      <c r="B906" s="26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26"/>
      <c r="B907" s="26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26"/>
      <c r="B908" s="26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26"/>
      <c r="B909" s="26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26"/>
      <c r="B910" s="26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26"/>
      <c r="B911" s="26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26"/>
      <c r="B912" s="26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26"/>
      <c r="B913" s="26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26"/>
      <c r="B914" s="26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26"/>
      <c r="B915" s="26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26"/>
      <c r="B916" s="26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26"/>
      <c r="B917" s="26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26"/>
      <c r="B918" s="26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26"/>
      <c r="B919" s="26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26"/>
      <c r="B920" s="26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26"/>
      <c r="B921" s="26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26"/>
      <c r="B922" s="26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26"/>
      <c r="B923" s="26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26"/>
      <c r="B924" s="26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26"/>
      <c r="B925" s="26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26"/>
      <c r="B926" s="26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26"/>
      <c r="B927" s="26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26"/>
      <c r="B928" s="26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26"/>
      <c r="B929" s="26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26"/>
      <c r="B930" s="26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26"/>
      <c r="B931" s="26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26"/>
      <c r="B932" s="26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26"/>
      <c r="B933" s="26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26"/>
      <c r="B934" s="26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26"/>
      <c r="B935" s="26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26"/>
      <c r="B936" s="26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26"/>
      <c r="B937" s="26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26"/>
      <c r="B938" s="26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26"/>
      <c r="B939" s="26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26"/>
      <c r="B940" s="26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26"/>
      <c r="B941" s="26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26"/>
      <c r="B942" s="26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26"/>
      <c r="B943" s="26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26"/>
      <c r="B944" s="26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26"/>
      <c r="B945" s="26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26"/>
      <c r="B946" s="26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26"/>
      <c r="B947" s="26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26"/>
      <c r="B948" s="26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26"/>
      <c r="B949" s="26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26"/>
      <c r="B950" s="26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26"/>
      <c r="B951" s="26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26"/>
      <c r="B952" s="26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26"/>
      <c r="B953" s="26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26"/>
      <c r="B954" s="26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26"/>
      <c r="B955" s="26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26"/>
      <c r="B956" s="26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26"/>
      <c r="B957" s="26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26"/>
      <c r="B958" s="26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26"/>
      <c r="B959" s="26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26"/>
      <c r="B960" s="26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26"/>
      <c r="B961" s="26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26"/>
      <c r="B962" s="26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26"/>
      <c r="B963" s="26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26"/>
      <c r="B964" s="26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26"/>
      <c r="B965" s="26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26"/>
      <c r="B966" s="26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26"/>
      <c r="B967" s="26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26"/>
      <c r="B968" s="26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26"/>
      <c r="B969" s="26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26"/>
      <c r="B970" s="26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26"/>
      <c r="B971" s="26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26"/>
      <c r="B972" s="26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26"/>
      <c r="B973" s="26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26"/>
      <c r="B974" s="26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26"/>
      <c r="B975" s="26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26"/>
      <c r="B976" s="26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26"/>
      <c r="B977" s="26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26"/>
      <c r="B978" s="26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26"/>
      <c r="B979" s="26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26"/>
      <c r="B980" s="26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26"/>
      <c r="B981" s="26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26"/>
      <c r="B982" s="26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26"/>
      <c r="B983" s="26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26"/>
      <c r="B984" s="26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26"/>
      <c r="B985" s="26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26"/>
      <c r="B986" s="26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26"/>
      <c r="B987" s="26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26"/>
      <c r="B988" s="26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26"/>
      <c r="B989" s="26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26"/>
      <c r="B990" s="26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26"/>
      <c r="B991" s="26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26"/>
      <c r="B992" s="26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26"/>
      <c r="B993" s="26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26"/>
      <c r="B994" s="26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26"/>
      <c r="B995" s="26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26"/>
      <c r="B996" s="26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26"/>
      <c r="B997" s="26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26"/>
      <c r="B998" s="26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26"/>
      <c r="B999" s="26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26"/>
      <c r="B1000" s="26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A22:B22"/>
    <mergeCell ref="A28:B28"/>
    <mergeCell ref="A1:O1"/>
    <mergeCell ref="A3:B3"/>
    <mergeCell ref="A4:B4"/>
    <mergeCell ref="A7:B7"/>
    <mergeCell ref="A10:B10"/>
    <mergeCell ref="A15:B15"/>
    <mergeCell ref="A16:A2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>
      <selection activeCell="F26" sqref="F26"/>
    </sheetView>
  </sheetViews>
  <sheetFormatPr defaultColWidth="12.6640625" defaultRowHeight="14.4" x14ac:dyDescent="0.3"/>
  <cols>
    <col min="1" max="1" width="32.21875" customWidth="1"/>
    <col min="2" max="2" width="56.77734375" customWidth="1"/>
    <col min="3" max="14" width="15.21875" customWidth="1"/>
    <col min="15" max="15" width="21.33203125" customWidth="1"/>
    <col min="16" max="26" width="8.88671875" customWidth="1"/>
  </cols>
  <sheetData>
    <row r="1" spans="1:26" ht="61.5" customHeight="1" x14ac:dyDescent="0.3">
      <c r="A1" s="164"/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2" t="s">
        <v>86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61"/>
      <c r="B3" s="162"/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67" t="s">
        <v>87</v>
      </c>
      <c r="B4" s="27" t="s">
        <v>88</v>
      </c>
      <c r="C4" s="28">
        <v>240</v>
      </c>
      <c r="D4" s="28">
        <v>212</v>
      </c>
      <c r="E4" s="28">
        <v>301</v>
      </c>
      <c r="F4" s="28">
        <v>203</v>
      </c>
      <c r="G4" s="28"/>
      <c r="H4" s="28"/>
      <c r="I4" s="28"/>
      <c r="J4" s="28"/>
      <c r="K4" s="28"/>
      <c r="L4" s="28"/>
      <c r="M4" s="28"/>
      <c r="N4" s="28"/>
      <c r="O4" s="5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59"/>
      <c r="B5" s="27" t="s">
        <v>89</v>
      </c>
      <c r="C5" s="28">
        <v>663</v>
      </c>
      <c r="D5" s="28">
        <v>1021</v>
      </c>
      <c r="E5" s="28">
        <v>99</v>
      </c>
      <c r="F5" s="28">
        <v>953</v>
      </c>
      <c r="G5" s="28"/>
      <c r="H5" s="28"/>
      <c r="I5" s="28"/>
      <c r="J5" s="28"/>
      <c r="K5" s="28"/>
      <c r="L5" s="28"/>
      <c r="M5" s="28"/>
      <c r="N5" s="28"/>
      <c r="O5" s="5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59"/>
      <c r="B6" s="27" t="s">
        <v>90</v>
      </c>
      <c r="C6" s="28">
        <v>1097</v>
      </c>
      <c r="D6" s="28">
        <v>815</v>
      </c>
      <c r="E6" s="28">
        <v>1065</v>
      </c>
      <c r="F6" s="28">
        <v>1081</v>
      </c>
      <c r="G6" s="28"/>
      <c r="H6" s="28"/>
      <c r="I6" s="28"/>
      <c r="J6" s="28"/>
      <c r="K6" s="28"/>
      <c r="L6" s="28"/>
      <c r="M6" s="28"/>
      <c r="N6" s="28"/>
      <c r="O6" s="5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59"/>
      <c r="B7" s="27" t="s">
        <v>91</v>
      </c>
      <c r="C7" s="28">
        <v>419</v>
      </c>
      <c r="D7" s="28">
        <v>299</v>
      </c>
      <c r="E7" s="28">
        <v>382</v>
      </c>
      <c r="F7" s="28">
        <v>528</v>
      </c>
      <c r="G7" s="28"/>
      <c r="H7" s="28"/>
      <c r="I7" s="28"/>
      <c r="J7" s="28"/>
      <c r="K7" s="28"/>
      <c r="L7" s="28"/>
      <c r="M7" s="28"/>
      <c r="N7" s="28"/>
      <c r="O7" s="5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59"/>
      <c r="B8" s="27" t="s">
        <v>92</v>
      </c>
      <c r="C8" s="28">
        <v>206</v>
      </c>
      <c r="D8" s="28">
        <v>245</v>
      </c>
      <c r="E8" s="28">
        <v>218</v>
      </c>
      <c r="F8" s="28">
        <v>197</v>
      </c>
      <c r="G8" s="28"/>
      <c r="H8" s="28"/>
      <c r="I8" s="28"/>
      <c r="J8" s="28"/>
      <c r="K8" s="28"/>
      <c r="L8" s="28"/>
      <c r="M8" s="28"/>
      <c r="N8" s="28"/>
      <c r="O8" s="5">
        <f>SUM(C8:N8)</f>
        <v>866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59"/>
      <c r="B9" s="27" t="s">
        <v>93</v>
      </c>
      <c r="C9" s="28">
        <v>208</v>
      </c>
      <c r="D9" s="28">
        <v>137</v>
      </c>
      <c r="E9" s="28">
        <v>113</v>
      </c>
      <c r="F9" s="28">
        <v>111</v>
      </c>
      <c r="G9" s="28"/>
      <c r="H9" s="28"/>
      <c r="I9" s="28"/>
      <c r="J9" s="28"/>
      <c r="K9" s="28"/>
      <c r="L9" s="28"/>
      <c r="M9" s="28"/>
      <c r="N9" s="28"/>
      <c r="O9" s="5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59"/>
      <c r="B10" s="27" t="s">
        <v>94</v>
      </c>
      <c r="C10" s="28">
        <v>1647</v>
      </c>
      <c r="D10" s="28">
        <v>1348</v>
      </c>
      <c r="E10" s="28">
        <v>1698</v>
      </c>
      <c r="F10" s="169"/>
      <c r="G10" s="28"/>
      <c r="H10" s="28"/>
      <c r="I10" s="28"/>
      <c r="J10" s="28"/>
      <c r="K10" s="28"/>
      <c r="L10" s="28"/>
      <c r="M10" s="28"/>
      <c r="N10" s="28"/>
      <c r="O10" s="5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60"/>
      <c r="B11" s="27" t="s">
        <v>95</v>
      </c>
      <c r="C11" s="28">
        <v>281</v>
      </c>
      <c r="D11" s="28">
        <v>360</v>
      </c>
      <c r="E11" s="28">
        <v>489</v>
      </c>
      <c r="F11" s="169"/>
      <c r="G11" s="28"/>
      <c r="H11" s="28"/>
      <c r="I11" s="28"/>
      <c r="J11" s="28"/>
      <c r="K11" s="28"/>
      <c r="L11" s="28"/>
      <c r="M11" s="28"/>
      <c r="N11" s="28"/>
      <c r="O11" s="5">
        <f>SUM(C11:N11)</f>
        <v>1130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26"/>
      <c r="B12" s="26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161"/>
      <c r="B13" s="162"/>
      <c r="C13" s="3" t="s">
        <v>1</v>
      </c>
      <c r="D13" s="3" t="s">
        <v>2</v>
      </c>
      <c r="E13" s="3" t="s">
        <v>3</v>
      </c>
      <c r="F13" s="3" t="s">
        <v>4</v>
      </c>
      <c r="G13" s="3" t="s">
        <v>5</v>
      </c>
      <c r="H13" s="3" t="s">
        <v>6</v>
      </c>
      <c r="I13" s="3" t="s">
        <v>7</v>
      </c>
      <c r="J13" s="3" t="s">
        <v>8</v>
      </c>
      <c r="K13" s="3" t="s">
        <v>9</v>
      </c>
      <c r="L13" s="3" t="s">
        <v>10</v>
      </c>
      <c r="M13" s="3" t="s">
        <v>11</v>
      </c>
      <c r="N13" s="3" t="s">
        <v>12</v>
      </c>
      <c r="O13" s="3" t="s">
        <v>13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167" t="s">
        <v>96</v>
      </c>
      <c r="B14" s="27" t="s">
        <v>97</v>
      </c>
      <c r="C14" s="28">
        <v>528</v>
      </c>
      <c r="D14" s="28">
        <v>511</v>
      </c>
      <c r="E14" s="28">
        <v>553</v>
      </c>
      <c r="F14" s="28">
        <v>477</v>
      </c>
      <c r="G14" s="28"/>
      <c r="H14" s="28"/>
      <c r="I14" s="28"/>
      <c r="J14" s="28"/>
      <c r="K14" s="28"/>
      <c r="L14" s="28"/>
      <c r="M14" s="28"/>
      <c r="N14" s="28"/>
      <c r="O14" s="5">
        <f>SUM(C14:N14)</f>
        <v>2069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159"/>
      <c r="B15" s="27" t="s">
        <v>98</v>
      </c>
      <c r="C15" s="28">
        <v>123</v>
      </c>
      <c r="D15" s="28">
        <v>131</v>
      </c>
      <c r="E15" s="28">
        <v>119</v>
      </c>
      <c r="F15" s="28">
        <v>110</v>
      </c>
      <c r="G15" s="28"/>
      <c r="H15" s="28"/>
      <c r="I15" s="28"/>
      <c r="J15" s="28"/>
      <c r="K15" s="28"/>
      <c r="L15" s="28"/>
      <c r="M15" s="28"/>
      <c r="N15" s="28"/>
      <c r="O15" s="5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159"/>
      <c r="B16" s="27" t="s">
        <v>99</v>
      </c>
      <c r="C16" s="28">
        <v>170</v>
      </c>
      <c r="D16" s="28">
        <v>147</v>
      </c>
      <c r="E16" s="28">
        <v>251</v>
      </c>
      <c r="F16" s="28">
        <v>222</v>
      </c>
      <c r="G16" s="28"/>
      <c r="H16" s="28"/>
      <c r="I16" s="28"/>
      <c r="J16" s="28"/>
      <c r="K16" s="28"/>
      <c r="L16" s="28"/>
      <c r="M16" s="28"/>
      <c r="N16" s="28"/>
      <c r="O16" s="5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159"/>
      <c r="B17" s="27" t="s">
        <v>100</v>
      </c>
      <c r="C17" s="28">
        <v>95</v>
      </c>
      <c r="D17" s="28">
        <v>52</v>
      </c>
      <c r="E17" s="28">
        <v>42</v>
      </c>
      <c r="F17" s="28">
        <v>72</v>
      </c>
      <c r="G17" s="28"/>
      <c r="H17" s="28"/>
      <c r="I17" s="28"/>
      <c r="J17" s="28"/>
      <c r="K17" s="28"/>
      <c r="L17" s="28"/>
      <c r="M17" s="28"/>
      <c r="N17" s="28"/>
      <c r="O17" s="5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159"/>
      <c r="B18" s="27" t="s">
        <v>101</v>
      </c>
      <c r="C18" s="28">
        <v>195</v>
      </c>
      <c r="D18" s="28">
        <v>213</v>
      </c>
      <c r="E18" s="28">
        <v>258</v>
      </c>
      <c r="F18" s="28">
        <v>237</v>
      </c>
      <c r="G18" s="28"/>
      <c r="H18" s="28"/>
      <c r="I18" s="28"/>
      <c r="J18" s="28"/>
      <c r="K18" s="28"/>
      <c r="L18" s="28"/>
      <c r="M18" s="28"/>
      <c r="N18" s="28"/>
      <c r="O18" s="5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159"/>
      <c r="B19" s="27" t="s">
        <v>94</v>
      </c>
      <c r="C19" s="28">
        <v>0</v>
      </c>
      <c r="D19" s="28">
        <v>0</v>
      </c>
      <c r="E19" s="28"/>
      <c r="F19" s="169"/>
      <c r="G19" s="28"/>
      <c r="H19" s="28"/>
      <c r="I19" s="28"/>
      <c r="J19" s="28"/>
      <c r="K19" s="28"/>
      <c r="L19" s="28"/>
      <c r="M19" s="28"/>
      <c r="N19" s="28"/>
      <c r="O19" s="5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">
      <c r="A20" s="159"/>
      <c r="B20" s="27" t="s">
        <v>95</v>
      </c>
      <c r="C20" s="28">
        <v>259</v>
      </c>
      <c r="D20" s="28">
        <v>208</v>
      </c>
      <c r="E20" s="28">
        <v>213</v>
      </c>
      <c r="F20" s="169"/>
      <c r="G20" s="28"/>
      <c r="H20" s="28"/>
      <c r="I20" s="28"/>
      <c r="J20" s="28"/>
      <c r="K20" s="28"/>
      <c r="L20" s="28"/>
      <c r="M20" s="28"/>
      <c r="N20" s="28"/>
      <c r="O20" s="5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60"/>
      <c r="B21" s="27" t="s">
        <v>102</v>
      </c>
      <c r="C21" s="28">
        <v>107</v>
      </c>
      <c r="D21" s="28">
        <v>79</v>
      </c>
      <c r="E21" s="28">
        <v>103</v>
      </c>
      <c r="F21" s="169"/>
      <c r="G21" s="28"/>
      <c r="H21" s="28"/>
      <c r="I21" s="28"/>
      <c r="J21" s="28"/>
      <c r="K21" s="28"/>
      <c r="L21" s="28"/>
      <c r="M21" s="28"/>
      <c r="N21" s="28"/>
      <c r="O21" s="5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26"/>
      <c r="B22" s="2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61"/>
      <c r="B23" s="162"/>
      <c r="C23" s="3" t="s">
        <v>1</v>
      </c>
      <c r="D23" s="3" t="s">
        <v>2</v>
      </c>
      <c r="E23" s="3" t="s">
        <v>3</v>
      </c>
      <c r="F23" s="3" t="s">
        <v>4</v>
      </c>
      <c r="G23" s="3" t="s">
        <v>5</v>
      </c>
      <c r="H23" s="3" t="s">
        <v>6</v>
      </c>
      <c r="I23" s="3" t="s">
        <v>7</v>
      </c>
      <c r="J23" s="3" t="s">
        <v>8</v>
      </c>
      <c r="K23" s="3" t="s">
        <v>9</v>
      </c>
      <c r="L23" s="3" t="s">
        <v>10</v>
      </c>
      <c r="M23" s="3" t="s">
        <v>11</v>
      </c>
      <c r="N23" s="3" t="s">
        <v>12</v>
      </c>
      <c r="O23" s="3" t="s">
        <v>13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67" t="s">
        <v>103</v>
      </c>
      <c r="B24" s="27" t="s">
        <v>94</v>
      </c>
      <c r="C24" s="28">
        <v>580</v>
      </c>
      <c r="D24" s="28">
        <v>434</v>
      </c>
      <c r="E24" s="28">
        <v>440</v>
      </c>
      <c r="F24" s="28">
        <v>243</v>
      </c>
      <c r="G24" s="28"/>
      <c r="H24" s="28"/>
      <c r="I24" s="28"/>
      <c r="J24" s="28"/>
      <c r="K24" s="28"/>
      <c r="L24" s="28"/>
      <c r="M24" s="28"/>
      <c r="N24" s="28"/>
      <c r="O24" s="5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60"/>
      <c r="B25" s="27" t="s">
        <v>102</v>
      </c>
      <c r="C25" s="28">
        <v>290</v>
      </c>
      <c r="D25" s="28">
        <v>162</v>
      </c>
      <c r="E25" s="28">
        <v>246</v>
      </c>
      <c r="F25" s="28">
        <v>197</v>
      </c>
      <c r="G25" s="28"/>
      <c r="H25" s="28"/>
      <c r="I25" s="28"/>
      <c r="J25" s="28"/>
      <c r="K25" s="28"/>
      <c r="L25" s="28"/>
      <c r="M25" s="28"/>
      <c r="N25" s="28"/>
      <c r="O25" s="5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26"/>
      <c r="B26" s="2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26"/>
      <c r="B27" s="2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26"/>
      <c r="B28" s="26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26"/>
      <c r="B29" s="26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26"/>
      <c r="B30" s="2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26"/>
      <c r="B31" s="2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26"/>
      <c r="B32" s="26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26"/>
      <c r="B33" s="26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26"/>
      <c r="B34" s="2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26"/>
      <c r="B35" s="26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26"/>
      <c r="B36" s="2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26"/>
      <c r="B37" s="26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26"/>
      <c r="B38" s="26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26"/>
      <c r="B39" s="26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26"/>
      <c r="B40" s="26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26"/>
      <c r="B41" s="26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26"/>
      <c r="B42" s="26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26"/>
      <c r="B43" s="26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26"/>
      <c r="B44" s="26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26"/>
      <c r="B45" s="26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26"/>
      <c r="B46" s="26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26"/>
      <c r="B47" s="26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26"/>
      <c r="B48" s="26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26"/>
      <c r="B49" s="26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26"/>
      <c r="B50" s="26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26"/>
      <c r="B51" s="26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26"/>
      <c r="B52" s="26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26"/>
      <c r="B53" s="26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26"/>
      <c r="B54" s="26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26"/>
      <c r="B55" s="26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26"/>
      <c r="B56" s="26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26"/>
      <c r="B57" s="26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26"/>
      <c r="B58" s="26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26"/>
      <c r="B59" s="26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26"/>
      <c r="B60" s="26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26"/>
      <c r="B61" s="26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26"/>
      <c r="B62" s="26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26"/>
      <c r="B63" s="26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26"/>
      <c r="B64" s="26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26"/>
      <c r="B65" s="26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26"/>
      <c r="B66" s="26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26"/>
      <c r="B67" s="26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26"/>
      <c r="B68" s="26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26"/>
      <c r="B69" s="26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26"/>
      <c r="B70" s="26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26"/>
      <c r="B71" s="26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26"/>
      <c r="B72" s="26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26"/>
      <c r="B73" s="26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26"/>
      <c r="B74" s="26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26"/>
      <c r="B75" s="26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26"/>
      <c r="B76" s="26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26"/>
      <c r="B77" s="26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26"/>
      <c r="B78" s="26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26"/>
      <c r="B79" s="26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26"/>
      <c r="B80" s="26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26"/>
      <c r="B81" s="26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26"/>
      <c r="B82" s="26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26"/>
      <c r="B83" s="26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26"/>
      <c r="B84" s="26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26"/>
      <c r="B85" s="26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26"/>
      <c r="B86" s="26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26"/>
      <c r="B87" s="26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26"/>
      <c r="B88" s="26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26"/>
      <c r="B89" s="26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26"/>
      <c r="B90" s="26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26"/>
      <c r="B91" s="26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26"/>
      <c r="B92" s="26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26"/>
      <c r="B93" s="26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26"/>
      <c r="B94" s="26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26"/>
      <c r="B95" s="26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26"/>
      <c r="B96" s="26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26"/>
      <c r="B97" s="26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26"/>
      <c r="B98" s="26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26"/>
      <c r="B99" s="26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26"/>
      <c r="B100" s="26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26"/>
      <c r="B101" s="26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26"/>
      <c r="B102" s="26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26"/>
      <c r="B103" s="26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26"/>
      <c r="B104" s="26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26"/>
      <c r="B105" s="26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26"/>
      <c r="B106" s="26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26"/>
      <c r="B107" s="26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26"/>
      <c r="B108" s="26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26"/>
      <c r="B109" s="26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26"/>
      <c r="B110" s="2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26"/>
      <c r="B111" s="2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26"/>
      <c r="B112" s="26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26"/>
      <c r="B113" s="26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26"/>
      <c r="B114" s="26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26"/>
      <c r="B115" s="26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26"/>
      <c r="B116" s="26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26"/>
      <c r="B117" s="26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26"/>
      <c r="B118" s="26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26"/>
      <c r="B119" s="26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26"/>
      <c r="B120" s="26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26"/>
      <c r="B121" s="26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26"/>
      <c r="B122" s="26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26"/>
      <c r="B123" s="26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26"/>
      <c r="B124" s="26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26"/>
      <c r="B125" s="26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26"/>
      <c r="B126" s="26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26"/>
      <c r="B127" s="26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26"/>
      <c r="B128" s="26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26"/>
      <c r="B129" s="26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26"/>
      <c r="B130" s="26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26"/>
      <c r="B131" s="26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26"/>
      <c r="B132" s="26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26"/>
      <c r="B133" s="26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26"/>
      <c r="B134" s="2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26"/>
      <c r="B135" s="2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26"/>
      <c r="B136" s="26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26"/>
      <c r="B137" s="2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26"/>
      <c r="B138" s="2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26"/>
      <c r="B139" s="26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26"/>
      <c r="B140" s="26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26"/>
      <c r="B141" s="26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26"/>
      <c r="B142" s="26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26"/>
      <c r="B143" s="26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26"/>
      <c r="B144" s="26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26"/>
      <c r="B145" s="26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26"/>
      <c r="B146" s="26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26"/>
      <c r="B147" s="26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26"/>
      <c r="B148" s="26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26"/>
      <c r="B149" s="26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26"/>
      <c r="B150" s="26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26"/>
      <c r="B151" s="26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26"/>
      <c r="B152" s="26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26"/>
      <c r="B153" s="26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26"/>
      <c r="B154" s="26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26"/>
      <c r="B155" s="26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26"/>
      <c r="B156" s="26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26"/>
      <c r="B157" s="26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26"/>
      <c r="B158" s="26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26"/>
      <c r="B159" s="26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26"/>
      <c r="B160" s="26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26"/>
      <c r="B161" s="26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26"/>
      <c r="B162" s="26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26"/>
      <c r="B163" s="26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26"/>
      <c r="B164" s="26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26"/>
      <c r="B165" s="26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26"/>
      <c r="B166" s="26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26"/>
      <c r="B167" s="26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26"/>
      <c r="B168" s="26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26"/>
      <c r="B169" s="26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26"/>
      <c r="B170" s="26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26"/>
      <c r="B171" s="26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26"/>
      <c r="B172" s="26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26"/>
      <c r="B173" s="26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26"/>
      <c r="B174" s="26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26"/>
      <c r="B175" s="26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26"/>
      <c r="B176" s="26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26"/>
      <c r="B177" s="26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26"/>
      <c r="B178" s="26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26"/>
      <c r="B179" s="26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26"/>
      <c r="B180" s="26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26"/>
      <c r="B181" s="26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26"/>
      <c r="B182" s="26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26"/>
      <c r="B183" s="26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26"/>
      <c r="B184" s="26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26"/>
      <c r="B185" s="26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26"/>
      <c r="B186" s="26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26"/>
      <c r="B187" s="26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26"/>
      <c r="B188" s="26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26"/>
      <c r="B189" s="26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26"/>
      <c r="B190" s="26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26"/>
      <c r="B191" s="26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26"/>
      <c r="B192" s="26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26"/>
      <c r="B193" s="26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26"/>
      <c r="B194" s="26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26"/>
      <c r="B195" s="26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26"/>
      <c r="B196" s="26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26"/>
      <c r="B197" s="26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26"/>
      <c r="B198" s="26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26"/>
      <c r="B199" s="26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26"/>
      <c r="B200" s="26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26"/>
      <c r="B201" s="26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26"/>
      <c r="B202" s="26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26"/>
      <c r="B203" s="26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26"/>
      <c r="B204" s="26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26"/>
      <c r="B205" s="26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26"/>
      <c r="B206" s="26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26"/>
      <c r="B207" s="26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26"/>
      <c r="B208" s="26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26"/>
      <c r="B209" s="26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26"/>
      <c r="B210" s="26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26"/>
      <c r="B211" s="26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26"/>
      <c r="B212" s="26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26"/>
      <c r="B213" s="26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26"/>
      <c r="B214" s="26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26"/>
      <c r="B215" s="26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26"/>
      <c r="B216" s="26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26"/>
      <c r="B217" s="26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26"/>
      <c r="B218" s="26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26"/>
      <c r="B219" s="26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26"/>
      <c r="B220" s="26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26"/>
      <c r="B221" s="26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26"/>
      <c r="B222" s="26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26"/>
      <c r="B223" s="26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26"/>
      <c r="B224" s="26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26"/>
      <c r="B225" s="26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26"/>
      <c r="B226" s="26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26"/>
      <c r="B227" s="26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26"/>
      <c r="B228" s="26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26"/>
      <c r="B229" s="26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26"/>
      <c r="B230" s="26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26"/>
      <c r="B231" s="26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26"/>
      <c r="B232" s="26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26"/>
      <c r="B233" s="26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26"/>
      <c r="B234" s="26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26"/>
      <c r="B235" s="26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26"/>
      <c r="B236" s="26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26"/>
      <c r="B237" s="26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26"/>
      <c r="B238" s="26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26"/>
      <c r="B239" s="26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26"/>
      <c r="B240" s="26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26"/>
      <c r="B241" s="26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26"/>
      <c r="B242" s="26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26"/>
      <c r="B243" s="26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26"/>
      <c r="B244" s="26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26"/>
      <c r="B245" s="26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26"/>
      <c r="B246" s="26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26"/>
      <c r="B247" s="26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26"/>
      <c r="B248" s="26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26"/>
      <c r="B249" s="26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26"/>
      <c r="B250" s="26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26"/>
      <c r="B251" s="26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26"/>
      <c r="B252" s="26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26"/>
      <c r="B253" s="26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26"/>
      <c r="B254" s="26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26"/>
      <c r="B255" s="26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26"/>
      <c r="B256" s="26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26"/>
      <c r="B257" s="26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26"/>
      <c r="B258" s="26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26"/>
      <c r="B259" s="26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26"/>
      <c r="B260" s="26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26"/>
      <c r="B261" s="26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26"/>
      <c r="B262" s="26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26"/>
      <c r="B263" s="26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26"/>
      <c r="B264" s="26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26"/>
      <c r="B265" s="26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26"/>
      <c r="B266" s="26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26"/>
      <c r="B267" s="26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26"/>
      <c r="B268" s="26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26"/>
      <c r="B269" s="26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26"/>
      <c r="B270" s="26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26"/>
      <c r="B271" s="26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26"/>
      <c r="B272" s="26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26"/>
      <c r="B273" s="26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26"/>
      <c r="B274" s="26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26"/>
      <c r="B275" s="26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26"/>
      <c r="B276" s="26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26"/>
      <c r="B277" s="26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26"/>
      <c r="B278" s="26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26"/>
      <c r="B279" s="26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26"/>
      <c r="B280" s="26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26"/>
      <c r="B281" s="26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26"/>
      <c r="B282" s="26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26"/>
      <c r="B283" s="26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26"/>
      <c r="B284" s="26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26"/>
      <c r="B285" s="26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26"/>
      <c r="B286" s="26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26"/>
      <c r="B287" s="26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26"/>
      <c r="B288" s="26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26"/>
      <c r="B289" s="26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26"/>
      <c r="B290" s="26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26"/>
      <c r="B291" s="26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26"/>
      <c r="B292" s="26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26"/>
      <c r="B293" s="26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26"/>
      <c r="B294" s="26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26"/>
      <c r="B295" s="26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26"/>
      <c r="B296" s="26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26"/>
      <c r="B297" s="26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26"/>
      <c r="B298" s="26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26"/>
      <c r="B299" s="26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26"/>
      <c r="B300" s="26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26"/>
      <c r="B301" s="26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26"/>
      <c r="B302" s="26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26"/>
      <c r="B303" s="26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26"/>
      <c r="B304" s="26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26"/>
      <c r="B305" s="26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26"/>
      <c r="B306" s="26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26"/>
      <c r="B307" s="26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26"/>
      <c r="B308" s="26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26"/>
      <c r="B309" s="26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26"/>
      <c r="B310" s="26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26"/>
      <c r="B311" s="26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26"/>
      <c r="B312" s="26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26"/>
      <c r="B313" s="26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26"/>
      <c r="B314" s="26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26"/>
      <c r="B315" s="26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26"/>
      <c r="B316" s="26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26"/>
      <c r="B317" s="26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26"/>
      <c r="B318" s="26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26"/>
      <c r="B319" s="26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26"/>
      <c r="B320" s="26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26"/>
      <c r="B321" s="26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26"/>
      <c r="B322" s="26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26"/>
      <c r="B323" s="26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26"/>
      <c r="B324" s="26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26"/>
      <c r="B325" s="26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26"/>
      <c r="B326" s="26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26"/>
      <c r="B327" s="26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26"/>
      <c r="B328" s="26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26"/>
      <c r="B329" s="26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26"/>
      <c r="B330" s="26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26"/>
      <c r="B331" s="26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26"/>
      <c r="B332" s="26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26"/>
      <c r="B333" s="26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26"/>
      <c r="B334" s="26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26"/>
      <c r="B335" s="26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26"/>
      <c r="B336" s="26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26"/>
      <c r="B337" s="26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26"/>
      <c r="B338" s="26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26"/>
      <c r="B339" s="26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26"/>
      <c r="B340" s="26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26"/>
      <c r="B341" s="26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26"/>
      <c r="B342" s="26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26"/>
      <c r="B343" s="26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26"/>
      <c r="B344" s="26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26"/>
      <c r="B345" s="26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26"/>
      <c r="B346" s="26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26"/>
      <c r="B347" s="26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26"/>
      <c r="B348" s="26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26"/>
      <c r="B349" s="26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26"/>
      <c r="B350" s="26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26"/>
      <c r="B351" s="26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26"/>
      <c r="B352" s="26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26"/>
      <c r="B353" s="26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26"/>
      <c r="B354" s="26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26"/>
      <c r="B355" s="26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26"/>
      <c r="B356" s="26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26"/>
      <c r="B357" s="26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26"/>
      <c r="B358" s="26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26"/>
      <c r="B359" s="26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26"/>
      <c r="B360" s="26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26"/>
      <c r="B361" s="26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26"/>
      <c r="B362" s="26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26"/>
      <c r="B363" s="26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26"/>
      <c r="B364" s="26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26"/>
      <c r="B365" s="26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26"/>
      <c r="B366" s="26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26"/>
      <c r="B367" s="26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26"/>
      <c r="B368" s="26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26"/>
      <c r="B369" s="26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26"/>
      <c r="B370" s="26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26"/>
      <c r="B371" s="26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26"/>
      <c r="B372" s="26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26"/>
      <c r="B373" s="26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26"/>
      <c r="B374" s="26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26"/>
      <c r="B375" s="26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26"/>
      <c r="B376" s="26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26"/>
      <c r="B377" s="26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26"/>
      <c r="B378" s="26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26"/>
      <c r="B379" s="26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26"/>
      <c r="B380" s="26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26"/>
      <c r="B381" s="26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26"/>
      <c r="B382" s="26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26"/>
      <c r="B383" s="26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26"/>
      <c r="B384" s="26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26"/>
      <c r="B385" s="26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26"/>
      <c r="B386" s="26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26"/>
      <c r="B387" s="26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26"/>
      <c r="B388" s="26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26"/>
      <c r="B389" s="26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26"/>
      <c r="B390" s="26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26"/>
      <c r="B391" s="26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26"/>
      <c r="B392" s="26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26"/>
      <c r="B393" s="26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26"/>
      <c r="B394" s="26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26"/>
      <c r="B395" s="26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26"/>
      <c r="B396" s="26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26"/>
      <c r="B397" s="26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26"/>
      <c r="B398" s="26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26"/>
      <c r="B399" s="26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26"/>
      <c r="B400" s="26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26"/>
      <c r="B401" s="26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26"/>
      <c r="B402" s="26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26"/>
      <c r="B403" s="26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26"/>
      <c r="B404" s="26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26"/>
      <c r="B405" s="26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26"/>
      <c r="B406" s="26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26"/>
      <c r="B407" s="26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26"/>
      <c r="B408" s="26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26"/>
      <c r="B409" s="26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26"/>
      <c r="B410" s="26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26"/>
      <c r="B411" s="26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26"/>
      <c r="B412" s="26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26"/>
      <c r="B413" s="26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26"/>
      <c r="B414" s="26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26"/>
      <c r="B415" s="26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26"/>
      <c r="B416" s="26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26"/>
      <c r="B417" s="26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26"/>
      <c r="B418" s="26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26"/>
      <c r="B419" s="26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26"/>
      <c r="B420" s="26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26"/>
      <c r="B421" s="26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26"/>
      <c r="B422" s="26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26"/>
      <c r="B423" s="26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26"/>
      <c r="B424" s="26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26"/>
      <c r="B425" s="26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26"/>
      <c r="B426" s="26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26"/>
      <c r="B427" s="26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26"/>
      <c r="B428" s="26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26"/>
      <c r="B429" s="26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26"/>
      <c r="B430" s="26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26"/>
      <c r="B431" s="26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26"/>
      <c r="B432" s="26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26"/>
      <c r="B433" s="26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26"/>
      <c r="B434" s="26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26"/>
      <c r="B435" s="26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26"/>
      <c r="B436" s="26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26"/>
      <c r="B437" s="26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26"/>
      <c r="B438" s="26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26"/>
      <c r="B439" s="26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26"/>
      <c r="B440" s="26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26"/>
      <c r="B441" s="26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26"/>
      <c r="B442" s="26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26"/>
      <c r="B443" s="26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26"/>
      <c r="B444" s="26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26"/>
      <c r="B445" s="26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26"/>
      <c r="B446" s="26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26"/>
      <c r="B447" s="26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26"/>
      <c r="B448" s="26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26"/>
      <c r="B449" s="26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26"/>
      <c r="B450" s="26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26"/>
      <c r="B451" s="26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26"/>
      <c r="B452" s="26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26"/>
      <c r="B453" s="26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26"/>
      <c r="B454" s="26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26"/>
      <c r="B455" s="26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26"/>
      <c r="B456" s="26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26"/>
      <c r="B457" s="26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26"/>
      <c r="B458" s="26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26"/>
      <c r="B459" s="26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26"/>
      <c r="B460" s="26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26"/>
      <c r="B461" s="26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26"/>
      <c r="B462" s="26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26"/>
      <c r="B463" s="26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26"/>
      <c r="B464" s="26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26"/>
      <c r="B465" s="26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26"/>
      <c r="B466" s="26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26"/>
      <c r="B467" s="26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26"/>
      <c r="B468" s="26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26"/>
      <c r="B469" s="26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26"/>
      <c r="B470" s="26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26"/>
      <c r="B471" s="26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26"/>
      <c r="B472" s="26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26"/>
      <c r="B473" s="26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26"/>
      <c r="B474" s="26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26"/>
      <c r="B475" s="26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26"/>
      <c r="B476" s="26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26"/>
      <c r="B477" s="26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26"/>
      <c r="B478" s="26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26"/>
      <c r="B479" s="26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26"/>
      <c r="B480" s="26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26"/>
      <c r="B481" s="26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26"/>
      <c r="B482" s="26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26"/>
      <c r="B483" s="26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26"/>
      <c r="B484" s="26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26"/>
      <c r="B485" s="26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26"/>
      <c r="B486" s="26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26"/>
      <c r="B487" s="26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26"/>
      <c r="B488" s="26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26"/>
      <c r="B489" s="26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26"/>
      <c r="B490" s="26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26"/>
      <c r="B491" s="26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26"/>
      <c r="B492" s="26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26"/>
      <c r="B493" s="26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26"/>
      <c r="B494" s="26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26"/>
      <c r="B495" s="26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26"/>
      <c r="B496" s="26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26"/>
      <c r="B497" s="26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26"/>
      <c r="B498" s="26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26"/>
      <c r="B499" s="26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26"/>
      <c r="B500" s="26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26"/>
      <c r="B501" s="26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26"/>
      <c r="B502" s="26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26"/>
      <c r="B503" s="26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26"/>
      <c r="B504" s="26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26"/>
      <c r="B505" s="26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26"/>
      <c r="B506" s="26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26"/>
      <c r="B507" s="26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26"/>
      <c r="B508" s="26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26"/>
      <c r="B509" s="26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26"/>
      <c r="B510" s="26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26"/>
      <c r="B511" s="26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26"/>
      <c r="B512" s="26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26"/>
      <c r="B513" s="26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26"/>
      <c r="B514" s="26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26"/>
      <c r="B515" s="26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26"/>
      <c r="B516" s="26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26"/>
      <c r="B517" s="26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26"/>
      <c r="B518" s="26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26"/>
      <c r="B519" s="26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26"/>
      <c r="B520" s="26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26"/>
      <c r="B521" s="26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26"/>
      <c r="B522" s="26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26"/>
      <c r="B523" s="26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26"/>
      <c r="B524" s="26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26"/>
      <c r="B525" s="26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26"/>
      <c r="B526" s="26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26"/>
      <c r="B527" s="26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26"/>
      <c r="B528" s="26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26"/>
      <c r="B529" s="26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26"/>
      <c r="B530" s="26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26"/>
      <c r="B531" s="26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26"/>
      <c r="B532" s="26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26"/>
      <c r="B533" s="26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26"/>
      <c r="B534" s="26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26"/>
      <c r="B535" s="26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26"/>
      <c r="B536" s="26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26"/>
      <c r="B537" s="26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26"/>
      <c r="B538" s="26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26"/>
      <c r="B539" s="26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26"/>
      <c r="B540" s="26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26"/>
      <c r="B541" s="26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26"/>
      <c r="B542" s="26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26"/>
      <c r="B543" s="26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26"/>
      <c r="B544" s="26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26"/>
      <c r="B545" s="26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26"/>
      <c r="B546" s="26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26"/>
      <c r="B547" s="26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26"/>
      <c r="B548" s="26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26"/>
      <c r="B549" s="26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26"/>
      <c r="B550" s="26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26"/>
      <c r="B551" s="26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26"/>
      <c r="B552" s="26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26"/>
      <c r="B553" s="26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26"/>
      <c r="B554" s="26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26"/>
      <c r="B555" s="26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26"/>
      <c r="B556" s="26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26"/>
      <c r="B557" s="26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26"/>
      <c r="B558" s="26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26"/>
      <c r="B559" s="26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26"/>
      <c r="B560" s="26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26"/>
      <c r="B561" s="26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26"/>
      <c r="B562" s="26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26"/>
      <c r="B563" s="26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26"/>
      <c r="B564" s="26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26"/>
      <c r="B565" s="26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26"/>
      <c r="B566" s="26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26"/>
      <c r="B567" s="26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26"/>
      <c r="B568" s="26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26"/>
      <c r="B569" s="26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26"/>
      <c r="B570" s="26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26"/>
      <c r="B571" s="26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26"/>
      <c r="B572" s="26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26"/>
      <c r="B573" s="26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26"/>
      <c r="B574" s="26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26"/>
      <c r="B575" s="26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26"/>
      <c r="B576" s="26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26"/>
      <c r="B577" s="26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26"/>
      <c r="B578" s="26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26"/>
      <c r="B579" s="26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26"/>
      <c r="B580" s="26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26"/>
      <c r="B581" s="26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26"/>
      <c r="B582" s="26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26"/>
      <c r="B583" s="26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26"/>
      <c r="B584" s="26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26"/>
      <c r="B585" s="26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26"/>
      <c r="B586" s="26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26"/>
      <c r="B587" s="26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26"/>
      <c r="B588" s="26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26"/>
      <c r="B589" s="26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26"/>
      <c r="B590" s="26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26"/>
      <c r="B591" s="26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26"/>
      <c r="B592" s="26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26"/>
      <c r="B593" s="26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26"/>
      <c r="B594" s="26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26"/>
      <c r="B595" s="26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26"/>
      <c r="B596" s="26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26"/>
      <c r="B597" s="26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26"/>
      <c r="B598" s="26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26"/>
      <c r="B599" s="26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26"/>
      <c r="B600" s="26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26"/>
      <c r="B601" s="26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26"/>
      <c r="B602" s="26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26"/>
      <c r="B603" s="26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26"/>
      <c r="B604" s="26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26"/>
      <c r="B605" s="26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26"/>
      <c r="B606" s="26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26"/>
      <c r="B607" s="26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26"/>
      <c r="B608" s="26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26"/>
      <c r="B609" s="26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26"/>
      <c r="B610" s="26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26"/>
      <c r="B611" s="26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26"/>
      <c r="B612" s="26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26"/>
      <c r="B613" s="26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26"/>
      <c r="B614" s="26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26"/>
      <c r="B615" s="26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26"/>
      <c r="B616" s="26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26"/>
      <c r="B617" s="26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26"/>
      <c r="B618" s="26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26"/>
      <c r="B619" s="26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26"/>
      <c r="B620" s="26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26"/>
      <c r="B621" s="26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26"/>
      <c r="B622" s="26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26"/>
      <c r="B623" s="26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26"/>
      <c r="B624" s="26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26"/>
      <c r="B625" s="26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26"/>
      <c r="B626" s="26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26"/>
      <c r="B627" s="26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26"/>
      <c r="B628" s="26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26"/>
      <c r="B629" s="26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26"/>
      <c r="B630" s="26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26"/>
      <c r="B631" s="26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26"/>
      <c r="B632" s="26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26"/>
      <c r="B633" s="26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26"/>
      <c r="B634" s="26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26"/>
      <c r="B635" s="26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26"/>
      <c r="B636" s="26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26"/>
      <c r="B637" s="26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26"/>
      <c r="B638" s="26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26"/>
      <c r="B639" s="26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26"/>
      <c r="B640" s="26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26"/>
      <c r="B641" s="26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26"/>
      <c r="B642" s="26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26"/>
      <c r="B643" s="26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26"/>
      <c r="B644" s="26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26"/>
      <c r="B645" s="26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26"/>
      <c r="B646" s="26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26"/>
      <c r="B647" s="26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26"/>
      <c r="B648" s="26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26"/>
      <c r="B649" s="26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26"/>
      <c r="B650" s="26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26"/>
      <c r="B651" s="26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26"/>
      <c r="B652" s="26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26"/>
      <c r="B653" s="26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26"/>
      <c r="B654" s="26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26"/>
      <c r="B655" s="26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26"/>
      <c r="B656" s="26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26"/>
      <c r="B657" s="26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26"/>
      <c r="B658" s="26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26"/>
      <c r="B659" s="26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26"/>
      <c r="B660" s="26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26"/>
      <c r="B661" s="26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26"/>
      <c r="B662" s="26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26"/>
      <c r="B663" s="26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26"/>
      <c r="B664" s="26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26"/>
      <c r="B665" s="26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26"/>
      <c r="B666" s="26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26"/>
      <c r="B667" s="26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26"/>
      <c r="B668" s="26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26"/>
      <c r="B669" s="26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26"/>
      <c r="B670" s="26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26"/>
      <c r="B671" s="26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26"/>
      <c r="B672" s="26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26"/>
      <c r="B673" s="26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26"/>
      <c r="B674" s="26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26"/>
      <c r="B675" s="26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26"/>
      <c r="B676" s="26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26"/>
      <c r="B677" s="26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26"/>
      <c r="B678" s="26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26"/>
      <c r="B679" s="26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26"/>
      <c r="B680" s="26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26"/>
      <c r="B681" s="26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26"/>
      <c r="B682" s="26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26"/>
      <c r="B683" s="26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26"/>
      <c r="B684" s="26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26"/>
      <c r="B685" s="26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26"/>
      <c r="B686" s="26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26"/>
      <c r="B687" s="26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26"/>
      <c r="B688" s="26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26"/>
      <c r="B689" s="26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26"/>
      <c r="B690" s="26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26"/>
      <c r="B691" s="26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26"/>
      <c r="B692" s="26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26"/>
      <c r="B693" s="26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26"/>
      <c r="B694" s="26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26"/>
      <c r="B695" s="26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26"/>
      <c r="B696" s="26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26"/>
      <c r="B697" s="26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26"/>
      <c r="B698" s="26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26"/>
      <c r="B699" s="26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26"/>
      <c r="B700" s="26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26"/>
      <c r="B701" s="26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26"/>
      <c r="B702" s="26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26"/>
      <c r="B703" s="26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26"/>
      <c r="B704" s="26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26"/>
      <c r="B705" s="26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26"/>
      <c r="B706" s="26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26"/>
      <c r="B707" s="26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26"/>
      <c r="B708" s="26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26"/>
      <c r="B709" s="26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26"/>
      <c r="B710" s="26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26"/>
      <c r="B711" s="26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26"/>
      <c r="B712" s="26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26"/>
      <c r="B713" s="26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26"/>
      <c r="B714" s="26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26"/>
      <c r="B715" s="26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26"/>
      <c r="B716" s="26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26"/>
      <c r="B717" s="26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26"/>
      <c r="B718" s="26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26"/>
      <c r="B719" s="26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26"/>
      <c r="B720" s="26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26"/>
      <c r="B721" s="26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26"/>
      <c r="B722" s="26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26"/>
      <c r="B723" s="26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26"/>
      <c r="B724" s="26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26"/>
      <c r="B725" s="26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26"/>
      <c r="B726" s="26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26"/>
      <c r="B727" s="26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26"/>
      <c r="B728" s="26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26"/>
      <c r="B729" s="26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26"/>
      <c r="B730" s="26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26"/>
      <c r="B731" s="26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26"/>
      <c r="B732" s="26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26"/>
      <c r="B733" s="26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26"/>
      <c r="B734" s="26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26"/>
      <c r="B735" s="26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26"/>
      <c r="B736" s="26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26"/>
      <c r="B737" s="26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26"/>
      <c r="B738" s="26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26"/>
      <c r="B739" s="26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26"/>
      <c r="B740" s="26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26"/>
      <c r="B741" s="26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26"/>
      <c r="B742" s="26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26"/>
      <c r="B743" s="26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26"/>
      <c r="B744" s="26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26"/>
      <c r="B745" s="26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26"/>
      <c r="B746" s="26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26"/>
      <c r="B747" s="26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26"/>
      <c r="B748" s="26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26"/>
      <c r="B749" s="26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26"/>
      <c r="B750" s="26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26"/>
      <c r="B751" s="26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26"/>
      <c r="B752" s="26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26"/>
      <c r="B753" s="26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26"/>
      <c r="B754" s="26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26"/>
      <c r="B755" s="26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26"/>
      <c r="B756" s="26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26"/>
      <c r="B757" s="26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26"/>
      <c r="B758" s="26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26"/>
      <c r="B759" s="26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26"/>
      <c r="B760" s="26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26"/>
      <c r="B761" s="26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26"/>
      <c r="B762" s="26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26"/>
      <c r="B763" s="26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26"/>
      <c r="B764" s="26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26"/>
      <c r="B765" s="26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26"/>
      <c r="B766" s="26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26"/>
      <c r="B767" s="26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26"/>
      <c r="B768" s="26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26"/>
      <c r="B769" s="26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26"/>
      <c r="B770" s="26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26"/>
      <c r="B771" s="26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26"/>
      <c r="B772" s="26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26"/>
      <c r="B773" s="26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26"/>
      <c r="B774" s="26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26"/>
      <c r="B775" s="26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26"/>
      <c r="B776" s="26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26"/>
      <c r="B777" s="26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26"/>
      <c r="B778" s="26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26"/>
      <c r="B779" s="26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26"/>
      <c r="B780" s="26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26"/>
      <c r="B781" s="26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26"/>
      <c r="B782" s="26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26"/>
      <c r="B783" s="26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26"/>
      <c r="B784" s="26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26"/>
      <c r="B785" s="26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26"/>
      <c r="B786" s="26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26"/>
      <c r="B787" s="26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26"/>
      <c r="B788" s="26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26"/>
      <c r="B789" s="26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26"/>
      <c r="B790" s="26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26"/>
      <c r="B791" s="26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26"/>
      <c r="B792" s="26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26"/>
      <c r="B793" s="26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26"/>
      <c r="B794" s="26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26"/>
      <c r="B795" s="26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26"/>
      <c r="B796" s="26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26"/>
      <c r="B797" s="26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26"/>
      <c r="B798" s="26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26"/>
      <c r="B799" s="26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26"/>
      <c r="B800" s="26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26"/>
      <c r="B801" s="26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26"/>
      <c r="B802" s="26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26"/>
      <c r="B803" s="26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26"/>
      <c r="B804" s="26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26"/>
      <c r="B805" s="26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26"/>
      <c r="B806" s="26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26"/>
      <c r="B807" s="26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26"/>
      <c r="B808" s="26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26"/>
      <c r="B809" s="26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26"/>
      <c r="B810" s="26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26"/>
      <c r="B811" s="26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26"/>
      <c r="B812" s="26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26"/>
      <c r="B813" s="26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26"/>
      <c r="B814" s="26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26"/>
      <c r="B815" s="26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26"/>
      <c r="B816" s="26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26"/>
      <c r="B817" s="26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26"/>
      <c r="B818" s="26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26"/>
      <c r="B819" s="26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26"/>
      <c r="B820" s="26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26"/>
      <c r="B821" s="26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26"/>
      <c r="B822" s="26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26"/>
      <c r="B823" s="26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26"/>
      <c r="B824" s="26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26"/>
      <c r="B825" s="26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26"/>
      <c r="B826" s="26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26"/>
      <c r="B827" s="26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26"/>
      <c r="B828" s="26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26"/>
      <c r="B829" s="26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26"/>
      <c r="B830" s="26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26"/>
      <c r="B831" s="26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26"/>
      <c r="B832" s="26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26"/>
      <c r="B833" s="26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26"/>
      <c r="B834" s="26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26"/>
      <c r="B835" s="26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26"/>
      <c r="B836" s="26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26"/>
      <c r="B837" s="26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26"/>
      <c r="B838" s="26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26"/>
      <c r="B839" s="26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26"/>
      <c r="B840" s="26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26"/>
      <c r="B841" s="26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26"/>
      <c r="B842" s="26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26"/>
      <c r="B843" s="26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26"/>
      <c r="B844" s="26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26"/>
      <c r="B845" s="26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26"/>
      <c r="B846" s="26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26"/>
      <c r="B847" s="26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26"/>
      <c r="B848" s="26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26"/>
      <c r="B849" s="26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26"/>
      <c r="B850" s="26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26"/>
      <c r="B851" s="26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26"/>
      <c r="B852" s="26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26"/>
      <c r="B853" s="26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26"/>
      <c r="B854" s="26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26"/>
      <c r="B855" s="26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26"/>
      <c r="B856" s="26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26"/>
      <c r="B857" s="26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26"/>
      <c r="B858" s="26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26"/>
      <c r="B859" s="26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26"/>
      <c r="B860" s="26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26"/>
      <c r="B861" s="26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26"/>
      <c r="B862" s="26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26"/>
      <c r="B863" s="26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26"/>
      <c r="B864" s="26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26"/>
      <c r="B865" s="26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26"/>
      <c r="B866" s="26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26"/>
      <c r="B867" s="26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26"/>
      <c r="B868" s="26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26"/>
      <c r="B869" s="26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26"/>
      <c r="B870" s="26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26"/>
      <c r="B871" s="26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26"/>
      <c r="B872" s="26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26"/>
      <c r="B873" s="26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26"/>
      <c r="B874" s="26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26"/>
      <c r="B875" s="26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26"/>
      <c r="B876" s="26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26"/>
      <c r="B877" s="26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26"/>
      <c r="B878" s="26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26"/>
      <c r="B879" s="26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26"/>
      <c r="B880" s="26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26"/>
      <c r="B881" s="26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26"/>
      <c r="B882" s="26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26"/>
      <c r="B883" s="26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26"/>
      <c r="B884" s="26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26"/>
      <c r="B885" s="26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26"/>
      <c r="B886" s="26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26"/>
      <c r="B887" s="26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26"/>
      <c r="B888" s="26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26"/>
      <c r="B889" s="26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26"/>
      <c r="B890" s="26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26"/>
      <c r="B891" s="26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26"/>
      <c r="B892" s="26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26"/>
      <c r="B893" s="26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26"/>
      <c r="B894" s="26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26"/>
      <c r="B895" s="26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26"/>
      <c r="B896" s="26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26"/>
      <c r="B897" s="26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26"/>
      <c r="B898" s="26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26"/>
      <c r="B899" s="26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26"/>
      <c r="B900" s="26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26"/>
      <c r="B901" s="26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26"/>
      <c r="B902" s="26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26"/>
      <c r="B903" s="26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26"/>
      <c r="B904" s="26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26"/>
      <c r="B905" s="26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26"/>
      <c r="B906" s="26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26"/>
      <c r="B907" s="26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26"/>
      <c r="B908" s="26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26"/>
      <c r="B909" s="26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26"/>
      <c r="B910" s="26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26"/>
      <c r="B911" s="26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26"/>
      <c r="B912" s="26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26"/>
      <c r="B913" s="26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26"/>
      <c r="B914" s="26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26"/>
      <c r="B915" s="26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26"/>
      <c r="B916" s="26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26"/>
      <c r="B917" s="26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26"/>
      <c r="B918" s="26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26"/>
      <c r="B919" s="26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26"/>
      <c r="B920" s="26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26"/>
      <c r="B921" s="26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26"/>
      <c r="B922" s="26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26"/>
      <c r="B923" s="26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26"/>
      <c r="B924" s="26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26"/>
      <c r="B925" s="26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26"/>
      <c r="B926" s="26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26"/>
      <c r="B927" s="26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26"/>
      <c r="B928" s="26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26"/>
      <c r="B929" s="26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26"/>
      <c r="B930" s="26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26"/>
      <c r="B931" s="26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26"/>
      <c r="B932" s="26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26"/>
      <c r="B933" s="26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26"/>
      <c r="B934" s="26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26"/>
      <c r="B935" s="26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26"/>
      <c r="B936" s="26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26"/>
      <c r="B937" s="26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26"/>
      <c r="B938" s="26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26"/>
      <c r="B939" s="26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26"/>
      <c r="B940" s="26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26"/>
      <c r="B941" s="26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26"/>
      <c r="B942" s="26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26"/>
      <c r="B943" s="26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26"/>
      <c r="B944" s="26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26"/>
      <c r="B945" s="26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26"/>
      <c r="B946" s="26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26"/>
      <c r="B947" s="26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26"/>
      <c r="B948" s="26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26"/>
      <c r="B949" s="26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26"/>
      <c r="B950" s="26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26"/>
      <c r="B951" s="26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26"/>
      <c r="B952" s="26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26"/>
      <c r="B953" s="26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26"/>
      <c r="B954" s="26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26"/>
      <c r="B955" s="26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26"/>
      <c r="B956" s="26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26"/>
      <c r="B957" s="26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26"/>
      <c r="B958" s="26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26"/>
      <c r="B959" s="26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26"/>
      <c r="B960" s="26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26"/>
      <c r="B961" s="26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26"/>
      <c r="B962" s="26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26"/>
      <c r="B963" s="26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26"/>
      <c r="B964" s="26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26"/>
      <c r="B965" s="26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26"/>
      <c r="B966" s="26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26"/>
      <c r="B967" s="26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26"/>
      <c r="B968" s="26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26"/>
      <c r="B969" s="26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26"/>
      <c r="B970" s="26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26"/>
      <c r="B971" s="26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26"/>
      <c r="B972" s="26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26"/>
      <c r="B973" s="26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26"/>
      <c r="B974" s="26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26"/>
      <c r="B975" s="26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26"/>
      <c r="B976" s="26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26"/>
      <c r="B977" s="26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26"/>
      <c r="B978" s="26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26"/>
      <c r="B979" s="26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26"/>
      <c r="B980" s="26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26"/>
      <c r="B981" s="26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26"/>
      <c r="B982" s="26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26"/>
      <c r="B983" s="26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26"/>
      <c r="B984" s="26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26"/>
      <c r="B985" s="26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26"/>
      <c r="B986" s="26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26"/>
      <c r="B987" s="26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26"/>
      <c r="B988" s="26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26"/>
      <c r="B989" s="26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26"/>
      <c r="B990" s="26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26"/>
      <c r="B991" s="26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26"/>
      <c r="B992" s="26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26"/>
      <c r="B993" s="26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26"/>
      <c r="B994" s="26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26"/>
      <c r="B995" s="26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26"/>
      <c r="B996" s="26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26"/>
      <c r="B997" s="26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26"/>
      <c r="B998" s="26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26"/>
      <c r="B999" s="26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26"/>
      <c r="B1000" s="26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A23:B23"/>
    <mergeCell ref="A24:A25"/>
    <mergeCell ref="A1:O1"/>
    <mergeCell ref="A3:B3"/>
    <mergeCell ref="A4:A11"/>
    <mergeCell ref="A13:B13"/>
    <mergeCell ref="A14:A2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workbookViewId="0">
      <selection activeCell="F17" sqref="F17"/>
    </sheetView>
  </sheetViews>
  <sheetFormatPr defaultColWidth="12.6640625" defaultRowHeight="14.4" x14ac:dyDescent="0.3"/>
  <cols>
    <col min="1" max="1" width="32.21875" customWidth="1"/>
    <col min="2" max="2" width="56.77734375" customWidth="1"/>
    <col min="3" max="14" width="15.21875" customWidth="1"/>
    <col min="15" max="15" width="21.33203125" customWidth="1"/>
    <col min="16" max="26" width="8.88671875" customWidth="1"/>
  </cols>
  <sheetData>
    <row r="1" spans="1:26" ht="61.5" customHeight="1" x14ac:dyDescent="0.3">
      <c r="A1" s="164"/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2" t="s">
        <v>104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61"/>
      <c r="B3" s="162"/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67" t="s">
        <v>105</v>
      </c>
      <c r="B4" s="27" t="s">
        <v>106</v>
      </c>
      <c r="C4" s="28">
        <v>3512</v>
      </c>
      <c r="D4" s="28">
        <v>795</v>
      </c>
      <c r="E4" s="28"/>
      <c r="F4" s="28">
        <f>9+129+228+376+28</f>
        <v>770</v>
      </c>
      <c r="G4" s="28"/>
      <c r="H4" s="28"/>
      <c r="I4" s="28"/>
      <c r="J4" s="28"/>
      <c r="K4" s="28"/>
      <c r="L4" s="28"/>
      <c r="M4" s="28"/>
      <c r="N4" s="28"/>
      <c r="O4" s="5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59"/>
      <c r="B5" s="27" t="s">
        <v>102</v>
      </c>
      <c r="C5" s="28">
        <v>294</v>
      </c>
      <c r="D5" s="28">
        <v>457</v>
      </c>
      <c r="E5" s="28"/>
      <c r="F5" s="28">
        <v>681</v>
      </c>
      <c r="G5" s="28"/>
      <c r="H5" s="28"/>
      <c r="I5" s="28"/>
      <c r="J5" s="28"/>
      <c r="K5" s="28"/>
      <c r="L5" s="28"/>
      <c r="M5" s="28"/>
      <c r="N5" s="28"/>
      <c r="O5" s="5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59"/>
      <c r="B6" s="27" t="s">
        <v>107</v>
      </c>
      <c r="C6" s="28">
        <v>41</v>
      </c>
      <c r="D6" s="28">
        <v>214</v>
      </c>
      <c r="E6" s="28"/>
      <c r="F6" s="28">
        <v>244</v>
      </c>
      <c r="G6" s="28"/>
      <c r="H6" s="28"/>
      <c r="I6" s="28"/>
      <c r="J6" s="28"/>
      <c r="K6" s="28"/>
      <c r="L6" s="28"/>
      <c r="M6" s="28"/>
      <c r="N6" s="28"/>
      <c r="O6" s="5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60"/>
      <c r="B7" s="56" t="s">
        <v>95</v>
      </c>
      <c r="C7" s="28">
        <v>0</v>
      </c>
      <c r="D7" s="28">
        <v>1</v>
      </c>
      <c r="E7" s="28"/>
      <c r="F7" s="28">
        <v>0</v>
      </c>
      <c r="G7" s="28"/>
      <c r="H7" s="28"/>
      <c r="I7" s="28"/>
      <c r="J7" s="28"/>
      <c r="K7" s="28"/>
      <c r="L7" s="28"/>
      <c r="M7" s="28"/>
      <c r="N7" s="28"/>
      <c r="O7" s="5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26"/>
      <c r="B8" s="26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61"/>
      <c r="B9" s="162"/>
      <c r="C9" s="3" t="s">
        <v>1</v>
      </c>
      <c r="D9" s="3" t="s">
        <v>2</v>
      </c>
      <c r="E9" s="3" t="s">
        <v>3</v>
      </c>
      <c r="F9" s="3" t="s">
        <v>4</v>
      </c>
      <c r="G9" s="3" t="s">
        <v>5</v>
      </c>
      <c r="H9" s="3" t="s">
        <v>6</v>
      </c>
      <c r="I9" s="3" t="s">
        <v>7</v>
      </c>
      <c r="J9" s="3" t="s">
        <v>8</v>
      </c>
      <c r="K9" s="3" t="s">
        <v>9</v>
      </c>
      <c r="L9" s="3" t="s">
        <v>10</v>
      </c>
      <c r="M9" s="3" t="s">
        <v>11</v>
      </c>
      <c r="N9" s="3" t="s">
        <v>12</v>
      </c>
      <c r="O9" s="3" t="s">
        <v>13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67" t="s">
        <v>108</v>
      </c>
      <c r="B10" s="27" t="s">
        <v>106</v>
      </c>
      <c r="C10" s="28">
        <v>421</v>
      </c>
      <c r="D10" s="28">
        <v>396</v>
      </c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5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59"/>
      <c r="B11" s="27" t="s">
        <v>102</v>
      </c>
      <c r="C11" s="28">
        <v>179</v>
      </c>
      <c r="D11" s="28">
        <v>149</v>
      </c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5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159"/>
      <c r="B12" s="27" t="s">
        <v>107</v>
      </c>
      <c r="C12" s="28">
        <v>163</v>
      </c>
      <c r="D12" s="28">
        <v>148</v>
      </c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5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160"/>
      <c r="B13" s="56" t="s">
        <v>95</v>
      </c>
      <c r="C13" s="28">
        <v>0</v>
      </c>
      <c r="D13" s="28">
        <v>8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5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26"/>
      <c r="B14" s="26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161"/>
      <c r="B15" s="162"/>
      <c r="C15" s="3" t="s">
        <v>1</v>
      </c>
      <c r="D15" s="3" t="s">
        <v>2</v>
      </c>
      <c r="E15" s="3" t="s">
        <v>3</v>
      </c>
      <c r="F15" s="3" t="s">
        <v>4</v>
      </c>
      <c r="G15" s="3" t="s">
        <v>5</v>
      </c>
      <c r="H15" s="3" t="s">
        <v>6</v>
      </c>
      <c r="I15" s="3" t="s">
        <v>7</v>
      </c>
      <c r="J15" s="3" t="s">
        <v>8</v>
      </c>
      <c r="K15" s="3" t="s">
        <v>9</v>
      </c>
      <c r="L15" s="3" t="s">
        <v>10</v>
      </c>
      <c r="M15" s="3" t="s">
        <v>11</v>
      </c>
      <c r="N15" s="3" t="s">
        <v>12</v>
      </c>
      <c r="O15" s="3" t="s">
        <v>13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8.8" x14ac:dyDescent="0.3">
      <c r="A16" s="32" t="s">
        <v>109</v>
      </c>
      <c r="B16" s="27" t="s">
        <v>110</v>
      </c>
      <c r="C16" s="28">
        <v>1090</v>
      </c>
      <c r="D16" s="28">
        <v>897</v>
      </c>
      <c r="E16" s="28">
        <v>990</v>
      </c>
      <c r="F16" s="28">
        <v>971</v>
      </c>
      <c r="G16" s="28"/>
      <c r="H16" s="28"/>
      <c r="I16" s="28"/>
      <c r="J16" s="28"/>
      <c r="K16" s="28"/>
      <c r="L16" s="28"/>
      <c r="M16" s="28"/>
      <c r="N16" s="28"/>
      <c r="O16" s="5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26"/>
      <c r="B17" s="2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26"/>
      <c r="B18" s="26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26"/>
      <c r="B19" s="2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">
      <c r="A20" s="26"/>
      <c r="B20" s="2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26"/>
      <c r="B21" s="26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26"/>
      <c r="B22" s="2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26"/>
      <c r="B23" s="26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26"/>
      <c r="B24" s="26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26"/>
      <c r="B25" s="2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26"/>
      <c r="B26" s="2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26"/>
      <c r="B27" s="2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26"/>
      <c r="B28" s="26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26"/>
      <c r="B29" s="26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26"/>
      <c r="B30" s="2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26"/>
      <c r="B31" s="2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26"/>
      <c r="B32" s="26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26"/>
      <c r="B33" s="26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26"/>
      <c r="B34" s="2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26"/>
      <c r="B35" s="26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26"/>
      <c r="B36" s="2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26"/>
      <c r="B37" s="26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26"/>
      <c r="B38" s="26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26"/>
      <c r="B39" s="26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26"/>
      <c r="B40" s="26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26"/>
      <c r="B41" s="26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26"/>
      <c r="B42" s="26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26"/>
      <c r="B43" s="26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26"/>
      <c r="B44" s="26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26"/>
      <c r="B45" s="26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26"/>
      <c r="B46" s="26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26"/>
      <c r="B47" s="26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26"/>
      <c r="B48" s="26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26"/>
      <c r="B49" s="26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26"/>
      <c r="B50" s="26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26"/>
      <c r="B51" s="26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26"/>
      <c r="B52" s="26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26"/>
      <c r="B53" s="26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26"/>
      <c r="B54" s="26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26"/>
      <c r="B55" s="26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26"/>
      <c r="B56" s="26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26"/>
      <c r="B57" s="26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26"/>
      <c r="B58" s="26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26"/>
      <c r="B59" s="26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26"/>
      <c r="B60" s="26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26"/>
      <c r="B61" s="26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26"/>
      <c r="B62" s="26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26"/>
      <c r="B63" s="26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26"/>
      <c r="B64" s="26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26"/>
      <c r="B65" s="26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26"/>
      <c r="B66" s="26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26"/>
      <c r="B67" s="26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26"/>
      <c r="B68" s="26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26"/>
      <c r="B69" s="26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26"/>
      <c r="B70" s="26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26"/>
      <c r="B71" s="26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26"/>
      <c r="B72" s="26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26"/>
      <c r="B73" s="26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26"/>
      <c r="B74" s="26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26"/>
      <c r="B75" s="26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26"/>
      <c r="B76" s="26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26"/>
      <c r="B77" s="26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26"/>
      <c r="B78" s="26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26"/>
      <c r="B79" s="26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26"/>
      <c r="B80" s="26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26"/>
      <c r="B81" s="26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26"/>
      <c r="B82" s="26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26"/>
      <c r="B83" s="26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26"/>
      <c r="B84" s="26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26"/>
      <c r="B85" s="26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26"/>
      <c r="B86" s="26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26"/>
      <c r="B87" s="26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26"/>
      <c r="B88" s="26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26"/>
      <c r="B89" s="26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26"/>
      <c r="B90" s="26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26"/>
      <c r="B91" s="26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26"/>
      <c r="B92" s="26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26"/>
      <c r="B93" s="26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26"/>
      <c r="B94" s="26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26"/>
      <c r="B95" s="26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26"/>
      <c r="B96" s="26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26"/>
      <c r="B97" s="26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26"/>
      <c r="B98" s="26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26"/>
      <c r="B99" s="26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26"/>
      <c r="B100" s="26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26"/>
      <c r="B101" s="26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26"/>
      <c r="B102" s="26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26"/>
      <c r="B103" s="26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26"/>
      <c r="B104" s="26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26"/>
      <c r="B105" s="26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26"/>
      <c r="B106" s="26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26"/>
      <c r="B107" s="26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26"/>
      <c r="B108" s="26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26"/>
      <c r="B109" s="26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26"/>
      <c r="B110" s="2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26"/>
      <c r="B111" s="2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26"/>
      <c r="B112" s="26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26"/>
      <c r="B113" s="26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26"/>
      <c r="B114" s="26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26"/>
      <c r="B115" s="26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26"/>
      <c r="B116" s="26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26"/>
      <c r="B117" s="26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26"/>
      <c r="B118" s="26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26"/>
      <c r="B119" s="26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26"/>
      <c r="B120" s="26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26"/>
      <c r="B121" s="26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26"/>
      <c r="B122" s="26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26"/>
      <c r="B123" s="26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26"/>
      <c r="B124" s="26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26"/>
      <c r="B125" s="26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26"/>
      <c r="B126" s="26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26"/>
      <c r="B127" s="26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26"/>
      <c r="B128" s="26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26"/>
      <c r="B129" s="26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26"/>
      <c r="B130" s="26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26"/>
      <c r="B131" s="26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26"/>
      <c r="B132" s="26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26"/>
      <c r="B133" s="26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26"/>
      <c r="B134" s="2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26"/>
      <c r="B135" s="2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26"/>
      <c r="B136" s="26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26"/>
      <c r="B137" s="2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26"/>
      <c r="B138" s="2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26"/>
      <c r="B139" s="26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26"/>
      <c r="B140" s="26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26"/>
      <c r="B141" s="26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26"/>
      <c r="B142" s="26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26"/>
      <c r="B143" s="26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26"/>
      <c r="B144" s="26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26"/>
      <c r="B145" s="26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26"/>
      <c r="B146" s="26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26"/>
      <c r="B147" s="26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26"/>
      <c r="B148" s="26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26"/>
      <c r="B149" s="26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26"/>
      <c r="B150" s="26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26"/>
      <c r="B151" s="26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26"/>
      <c r="B152" s="26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26"/>
      <c r="B153" s="26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26"/>
      <c r="B154" s="26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26"/>
      <c r="B155" s="26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26"/>
      <c r="B156" s="26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26"/>
      <c r="B157" s="26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26"/>
      <c r="B158" s="26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26"/>
      <c r="B159" s="26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26"/>
      <c r="B160" s="26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26"/>
      <c r="B161" s="26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26"/>
      <c r="B162" s="26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26"/>
      <c r="B163" s="26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26"/>
      <c r="B164" s="26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26"/>
      <c r="B165" s="26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26"/>
      <c r="B166" s="26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26"/>
      <c r="B167" s="26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26"/>
      <c r="B168" s="26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26"/>
      <c r="B169" s="26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26"/>
      <c r="B170" s="26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26"/>
      <c r="B171" s="26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26"/>
      <c r="B172" s="26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26"/>
      <c r="B173" s="26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26"/>
      <c r="B174" s="26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26"/>
      <c r="B175" s="26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26"/>
      <c r="B176" s="26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26"/>
      <c r="B177" s="26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26"/>
      <c r="B178" s="26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26"/>
      <c r="B179" s="26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26"/>
      <c r="B180" s="26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26"/>
      <c r="B181" s="26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26"/>
      <c r="B182" s="26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26"/>
      <c r="B183" s="26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26"/>
      <c r="B184" s="26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26"/>
      <c r="B185" s="26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26"/>
      <c r="B186" s="26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26"/>
      <c r="B187" s="26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26"/>
      <c r="B188" s="26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26"/>
      <c r="B189" s="26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26"/>
      <c r="B190" s="26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26"/>
      <c r="B191" s="26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26"/>
      <c r="B192" s="26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26"/>
      <c r="B193" s="26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26"/>
      <c r="B194" s="26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26"/>
      <c r="B195" s="26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26"/>
      <c r="B196" s="26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26"/>
      <c r="B197" s="26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26"/>
      <c r="B198" s="26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26"/>
      <c r="B199" s="26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26"/>
      <c r="B200" s="26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26"/>
      <c r="B201" s="26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26"/>
      <c r="B202" s="26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26"/>
      <c r="B203" s="26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26"/>
      <c r="B204" s="26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26"/>
      <c r="B205" s="26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26"/>
      <c r="B206" s="26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26"/>
      <c r="B207" s="26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26"/>
      <c r="B208" s="26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26"/>
      <c r="B209" s="26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26"/>
      <c r="B210" s="26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26"/>
      <c r="B211" s="26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26"/>
      <c r="B212" s="26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26"/>
      <c r="B213" s="26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26"/>
      <c r="B214" s="26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26"/>
      <c r="B215" s="26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26"/>
      <c r="B216" s="26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26"/>
      <c r="B217" s="26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26"/>
      <c r="B218" s="26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26"/>
      <c r="B219" s="26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26"/>
      <c r="B220" s="26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26"/>
      <c r="B221" s="26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26"/>
      <c r="B222" s="26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26"/>
      <c r="B223" s="26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26"/>
      <c r="B224" s="26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26"/>
      <c r="B225" s="26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26"/>
      <c r="B226" s="26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26"/>
      <c r="B227" s="26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26"/>
      <c r="B228" s="26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26"/>
      <c r="B229" s="26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26"/>
      <c r="B230" s="26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26"/>
      <c r="B231" s="26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26"/>
      <c r="B232" s="26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26"/>
      <c r="B233" s="26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26"/>
      <c r="B234" s="26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26"/>
      <c r="B235" s="26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26"/>
      <c r="B236" s="26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26"/>
      <c r="B237" s="26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26"/>
      <c r="B238" s="26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26"/>
      <c r="B239" s="26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26"/>
      <c r="B240" s="26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26"/>
      <c r="B241" s="26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26"/>
      <c r="B242" s="26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26"/>
      <c r="B243" s="26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26"/>
      <c r="B244" s="26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26"/>
      <c r="B245" s="26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26"/>
      <c r="B246" s="26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26"/>
      <c r="B247" s="26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26"/>
      <c r="B248" s="26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26"/>
      <c r="B249" s="26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26"/>
      <c r="B250" s="26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26"/>
      <c r="B251" s="26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26"/>
      <c r="B252" s="26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26"/>
      <c r="B253" s="26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26"/>
      <c r="B254" s="26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26"/>
      <c r="B255" s="26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26"/>
      <c r="B256" s="26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26"/>
      <c r="B257" s="26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26"/>
      <c r="B258" s="26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26"/>
      <c r="B259" s="26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26"/>
      <c r="B260" s="26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26"/>
      <c r="B261" s="26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26"/>
      <c r="B262" s="26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26"/>
      <c r="B263" s="26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26"/>
      <c r="B264" s="26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26"/>
      <c r="B265" s="26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26"/>
      <c r="B266" s="26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26"/>
      <c r="B267" s="26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26"/>
      <c r="B268" s="26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26"/>
      <c r="B269" s="26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26"/>
      <c r="B270" s="26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26"/>
      <c r="B271" s="26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26"/>
      <c r="B272" s="26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26"/>
      <c r="B273" s="26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26"/>
      <c r="B274" s="26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26"/>
      <c r="B275" s="26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26"/>
      <c r="B276" s="26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26"/>
      <c r="B277" s="26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26"/>
      <c r="B278" s="26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26"/>
      <c r="B279" s="26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26"/>
      <c r="B280" s="26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26"/>
      <c r="B281" s="26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26"/>
      <c r="B282" s="26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26"/>
      <c r="B283" s="26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26"/>
      <c r="B284" s="26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26"/>
      <c r="B285" s="26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26"/>
      <c r="B286" s="26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26"/>
      <c r="B287" s="26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26"/>
      <c r="B288" s="26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26"/>
      <c r="B289" s="26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26"/>
      <c r="B290" s="26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26"/>
      <c r="B291" s="26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26"/>
      <c r="B292" s="26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26"/>
      <c r="B293" s="26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26"/>
      <c r="B294" s="26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26"/>
      <c r="B295" s="26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26"/>
      <c r="B296" s="26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26"/>
      <c r="B297" s="26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26"/>
      <c r="B298" s="26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26"/>
      <c r="B299" s="26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26"/>
      <c r="B300" s="26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26"/>
      <c r="B301" s="26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26"/>
      <c r="B302" s="26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26"/>
      <c r="B303" s="26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26"/>
      <c r="B304" s="26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26"/>
      <c r="B305" s="26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26"/>
      <c r="B306" s="26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26"/>
      <c r="B307" s="26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26"/>
      <c r="B308" s="26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26"/>
      <c r="B309" s="26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26"/>
      <c r="B310" s="26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26"/>
      <c r="B311" s="26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26"/>
      <c r="B312" s="26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26"/>
      <c r="B313" s="26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26"/>
      <c r="B314" s="26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26"/>
      <c r="B315" s="26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26"/>
      <c r="B316" s="26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26"/>
      <c r="B317" s="26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26"/>
      <c r="B318" s="26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26"/>
      <c r="B319" s="26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26"/>
      <c r="B320" s="26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26"/>
      <c r="B321" s="26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26"/>
      <c r="B322" s="26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26"/>
      <c r="B323" s="26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26"/>
      <c r="B324" s="26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26"/>
      <c r="B325" s="26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26"/>
      <c r="B326" s="26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26"/>
      <c r="B327" s="26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26"/>
      <c r="B328" s="26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26"/>
      <c r="B329" s="26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26"/>
      <c r="B330" s="26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26"/>
      <c r="B331" s="26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26"/>
      <c r="B332" s="26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26"/>
      <c r="B333" s="26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26"/>
      <c r="B334" s="26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26"/>
      <c r="B335" s="26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26"/>
      <c r="B336" s="26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26"/>
      <c r="B337" s="26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26"/>
      <c r="B338" s="26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26"/>
      <c r="B339" s="26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26"/>
      <c r="B340" s="26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26"/>
      <c r="B341" s="26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26"/>
      <c r="B342" s="26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26"/>
      <c r="B343" s="26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26"/>
      <c r="B344" s="26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26"/>
      <c r="B345" s="26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26"/>
      <c r="B346" s="26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26"/>
      <c r="B347" s="26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26"/>
      <c r="B348" s="26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26"/>
      <c r="B349" s="26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26"/>
      <c r="B350" s="26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26"/>
      <c r="B351" s="26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26"/>
      <c r="B352" s="26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26"/>
      <c r="B353" s="26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26"/>
      <c r="B354" s="26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26"/>
      <c r="B355" s="26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26"/>
      <c r="B356" s="26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26"/>
      <c r="B357" s="26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26"/>
      <c r="B358" s="26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26"/>
      <c r="B359" s="26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26"/>
      <c r="B360" s="26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26"/>
      <c r="B361" s="26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26"/>
      <c r="B362" s="26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26"/>
      <c r="B363" s="26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26"/>
      <c r="B364" s="26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26"/>
      <c r="B365" s="26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26"/>
      <c r="B366" s="26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26"/>
      <c r="B367" s="26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26"/>
      <c r="B368" s="26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26"/>
      <c r="B369" s="26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26"/>
      <c r="B370" s="26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26"/>
      <c r="B371" s="26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26"/>
      <c r="B372" s="26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26"/>
      <c r="B373" s="26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26"/>
      <c r="B374" s="26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26"/>
      <c r="B375" s="26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26"/>
      <c r="B376" s="26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26"/>
      <c r="B377" s="26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26"/>
      <c r="B378" s="26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26"/>
      <c r="B379" s="26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26"/>
      <c r="B380" s="26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26"/>
      <c r="B381" s="26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26"/>
      <c r="B382" s="26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26"/>
      <c r="B383" s="26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26"/>
      <c r="B384" s="26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26"/>
      <c r="B385" s="26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26"/>
      <c r="B386" s="26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26"/>
      <c r="B387" s="26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26"/>
      <c r="B388" s="26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26"/>
      <c r="B389" s="26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26"/>
      <c r="B390" s="26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26"/>
      <c r="B391" s="26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26"/>
      <c r="B392" s="26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26"/>
      <c r="B393" s="26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26"/>
      <c r="B394" s="26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26"/>
      <c r="B395" s="26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26"/>
      <c r="B396" s="26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26"/>
      <c r="B397" s="26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26"/>
      <c r="B398" s="26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26"/>
      <c r="B399" s="26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26"/>
      <c r="B400" s="26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26"/>
      <c r="B401" s="26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26"/>
      <c r="B402" s="26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26"/>
      <c r="B403" s="26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26"/>
      <c r="B404" s="26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26"/>
      <c r="B405" s="26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26"/>
      <c r="B406" s="26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26"/>
      <c r="B407" s="26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26"/>
      <c r="B408" s="26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26"/>
      <c r="B409" s="26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26"/>
      <c r="B410" s="26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26"/>
      <c r="B411" s="26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26"/>
      <c r="B412" s="26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26"/>
      <c r="B413" s="26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26"/>
      <c r="B414" s="26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26"/>
      <c r="B415" s="26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26"/>
      <c r="B416" s="26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26"/>
      <c r="B417" s="26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26"/>
      <c r="B418" s="26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26"/>
      <c r="B419" s="26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26"/>
      <c r="B420" s="26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26"/>
      <c r="B421" s="26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26"/>
      <c r="B422" s="26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26"/>
      <c r="B423" s="26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26"/>
      <c r="B424" s="26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26"/>
      <c r="B425" s="26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26"/>
      <c r="B426" s="26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26"/>
      <c r="B427" s="26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26"/>
      <c r="B428" s="26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26"/>
      <c r="B429" s="26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26"/>
      <c r="B430" s="26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26"/>
      <c r="B431" s="26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26"/>
      <c r="B432" s="26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26"/>
      <c r="B433" s="26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26"/>
      <c r="B434" s="26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26"/>
      <c r="B435" s="26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26"/>
      <c r="B436" s="26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26"/>
      <c r="B437" s="26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26"/>
      <c r="B438" s="26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26"/>
      <c r="B439" s="26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26"/>
      <c r="B440" s="26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26"/>
      <c r="B441" s="26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26"/>
      <c r="B442" s="26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26"/>
      <c r="B443" s="26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26"/>
      <c r="B444" s="26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26"/>
      <c r="B445" s="26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26"/>
      <c r="B446" s="26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26"/>
      <c r="B447" s="26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26"/>
      <c r="B448" s="26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26"/>
      <c r="B449" s="26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26"/>
      <c r="B450" s="26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26"/>
      <c r="B451" s="26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26"/>
      <c r="B452" s="26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26"/>
      <c r="B453" s="26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26"/>
      <c r="B454" s="26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26"/>
      <c r="B455" s="26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26"/>
      <c r="B456" s="26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26"/>
      <c r="B457" s="26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26"/>
      <c r="B458" s="26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26"/>
      <c r="B459" s="26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26"/>
      <c r="B460" s="26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26"/>
      <c r="B461" s="26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26"/>
      <c r="B462" s="26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26"/>
      <c r="B463" s="26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26"/>
      <c r="B464" s="26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26"/>
      <c r="B465" s="26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26"/>
      <c r="B466" s="26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26"/>
      <c r="B467" s="26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26"/>
      <c r="B468" s="26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26"/>
      <c r="B469" s="26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26"/>
      <c r="B470" s="26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26"/>
      <c r="B471" s="26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26"/>
      <c r="B472" s="26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26"/>
      <c r="B473" s="26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26"/>
      <c r="B474" s="26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26"/>
      <c r="B475" s="26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26"/>
      <c r="B476" s="26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26"/>
      <c r="B477" s="26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26"/>
      <c r="B478" s="26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26"/>
      <c r="B479" s="26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26"/>
      <c r="B480" s="26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26"/>
      <c r="B481" s="26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26"/>
      <c r="B482" s="26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26"/>
      <c r="B483" s="26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26"/>
      <c r="B484" s="26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26"/>
      <c r="B485" s="26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26"/>
      <c r="B486" s="26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26"/>
      <c r="B487" s="26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26"/>
      <c r="B488" s="26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26"/>
      <c r="B489" s="26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26"/>
      <c r="B490" s="26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26"/>
      <c r="B491" s="26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26"/>
      <c r="B492" s="26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26"/>
      <c r="B493" s="26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26"/>
      <c r="B494" s="26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26"/>
      <c r="B495" s="26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26"/>
      <c r="B496" s="26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26"/>
      <c r="B497" s="26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26"/>
      <c r="B498" s="26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26"/>
      <c r="B499" s="26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26"/>
      <c r="B500" s="26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26"/>
      <c r="B501" s="26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26"/>
      <c r="B502" s="26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26"/>
      <c r="B503" s="26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26"/>
      <c r="B504" s="26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26"/>
      <c r="B505" s="26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26"/>
      <c r="B506" s="26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26"/>
      <c r="B507" s="26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26"/>
      <c r="B508" s="26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26"/>
      <c r="B509" s="26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26"/>
      <c r="B510" s="26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26"/>
      <c r="B511" s="26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26"/>
      <c r="B512" s="26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26"/>
      <c r="B513" s="26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26"/>
      <c r="B514" s="26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26"/>
      <c r="B515" s="26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26"/>
      <c r="B516" s="26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26"/>
      <c r="B517" s="26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26"/>
      <c r="B518" s="26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26"/>
      <c r="B519" s="26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26"/>
      <c r="B520" s="26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26"/>
      <c r="B521" s="26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26"/>
      <c r="B522" s="26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26"/>
      <c r="B523" s="26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26"/>
      <c r="B524" s="26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26"/>
      <c r="B525" s="26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26"/>
      <c r="B526" s="26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26"/>
      <c r="B527" s="26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26"/>
      <c r="B528" s="26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26"/>
      <c r="B529" s="26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26"/>
      <c r="B530" s="26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26"/>
      <c r="B531" s="26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26"/>
      <c r="B532" s="26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26"/>
      <c r="B533" s="26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26"/>
      <c r="B534" s="26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26"/>
      <c r="B535" s="26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26"/>
      <c r="B536" s="26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26"/>
      <c r="B537" s="26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26"/>
      <c r="B538" s="26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26"/>
      <c r="B539" s="26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26"/>
      <c r="B540" s="26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26"/>
      <c r="B541" s="26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26"/>
      <c r="B542" s="26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26"/>
      <c r="B543" s="26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26"/>
      <c r="B544" s="26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26"/>
      <c r="B545" s="26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26"/>
      <c r="B546" s="26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26"/>
      <c r="B547" s="26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26"/>
      <c r="B548" s="26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26"/>
      <c r="B549" s="26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26"/>
      <c r="B550" s="26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26"/>
      <c r="B551" s="26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26"/>
      <c r="B552" s="26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26"/>
      <c r="B553" s="26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26"/>
      <c r="B554" s="26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26"/>
      <c r="B555" s="26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26"/>
      <c r="B556" s="26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26"/>
      <c r="B557" s="26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26"/>
      <c r="B558" s="26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26"/>
      <c r="B559" s="26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26"/>
      <c r="B560" s="26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26"/>
      <c r="B561" s="26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26"/>
      <c r="B562" s="26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26"/>
      <c r="B563" s="26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26"/>
      <c r="B564" s="26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26"/>
      <c r="B565" s="26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26"/>
      <c r="B566" s="26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26"/>
      <c r="B567" s="26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26"/>
      <c r="B568" s="26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26"/>
      <c r="B569" s="26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26"/>
      <c r="B570" s="26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26"/>
      <c r="B571" s="26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26"/>
      <c r="B572" s="26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26"/>
      <c r="B573" s="26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26"/>
      <c r="B574" s="26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26"/>
      <c r="B575" s="26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26"/>
      <c r="B576" s="26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26"/>
      <c r="B577" s="26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26"/>
      <c r="B578" s="26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26"/>
      <c r="B579" s="26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26"/>
      <c r="B580" s="26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26"/>
      <c r="B581" s="26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26"/>
      <c r="B582" s="26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26"/>
      <c r="B583" s="26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26"/>
      <c r="B584" s="26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26"/>
      <c r="B585" s="26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26"/>
      <c r="B586" s="26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26"/>
      <c r="B587" s="26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26"/>
      <c r="B588" s="26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26"/>
      <c r="B589" s="26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26"/>
      <c r="B590" s="26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26"/>
      <c r="B591" s="26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26"/>
      <c r="B592" s="26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26"/>
      <c r="B593" s="26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26"/>
      <c r="B594" s="26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26"/>
      <c r="B595" s="26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26"/>
      <c r="B596" s="26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26"/>
      <c r="B597" s="26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26"/>
      <c r="B598" s="26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26"/>
      <c r="B599" s="26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26"/>
      <c r="B600" s="26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26"/>
      <c r="B601" s="26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26"/>
      <c r="B602" s="26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26"/>
      <c r="B603" s="26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26"/>
      <c r="B604" s="26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26"/>
      <c r="B605" s="26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26"/>
      <c r="B606" s="26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26"/>
      <c r="B607" s="26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26"/>
      <c r="B608" s="26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26"/>
      <c r="B609" s="26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26"/>
      <c r="B610" s="26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26"/>
      <c r="B611" s="26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26"/>
      <c r="B612" s="26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26"/>
      <c r="B613" s="26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26"/>
      <c r="B614" s="26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26"/>
      <c r="B615" s="26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26"/>
      <c r="B616" s="26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26"/>
      <c r="B617" s="26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26"/>
      <c r="B618" s="26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26"/>
      <c r="B619" s="26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26"/>
      <c r="B620" s="26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26"/>
      <c r="B621" s="26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26"/>
      <c r="B622" s="26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26"/>
      <c r="B623" s="26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26"/>
      <c r="B624" s="26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26"/>
      <c r="B625" s="26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26"/>
      <c r="B626" s="26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26"/>
      <c r="B627" s="26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26"/>
      <c r="B628" s="26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26"/>
      <c r="B629" s="26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26"/>
      <c r="B630" s="26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26"/>
      <c r="B631" s="26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26"/>
      <c r="B632" s="26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26"/>
      <c r="B633" s="26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26"/>
      <c r="B634" s="26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26"/>
      <c r="B635" s="26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26"/>
      <c r="B636" s="26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26"/>
      <c r="B637" s="26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26"/>
      <c r="B638" s="26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26"/>
      <c r="B639" s="26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26"/>
      <c r="B640" s="26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26"/>
      <c r="B641" s="26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26"/>
      <c r="B642" s="26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26"/>
      <c r="B643" s="26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26"/>
      <c r="B644" s="26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26"/>
      <c r="B645" s="26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26"/>
      <c r="B646" s="26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26"/>
      <c r="B647" s="26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26"/>
      <c r="B648" s="26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26"/>
      <c r="B649" s="26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26"/>
      <c r="B650" s="26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26"/>
      <c r="B651" s="26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26"/>
      <c r="B652" s="26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26"/>
      <c r="B653" s="26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26"/>
      <c r="B654" s="26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26"/>
      <c r="B655" s="26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26"/>
      <c r="B656" s="26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26"/>
      <c r="B657" s="26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26"/>
      <c r="B658" s="26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26"/>
      <c r="B659" s="26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26"/>
      <c r="B660" s="26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26"/>
      <c r="B661" s="26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26"/>
      <c r="B662" s="26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26"/>
      <c r="B663" s="26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26"/>
      <c r="B664" s="26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26"/>
      <c r="B665" s="26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26"/>
      <c r="B666" s="26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26"/>
      <c r="B667" s="26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26"/>
      <c r="B668" s="26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26"/>
      <c r="B669" s="26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26"/>
      <c r="B670" s="26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26"/>
      <c r="B671" s="26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26"/>
      <c r="B672" s="26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26"/>
      <c r="B673" s="26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26"/>
      <c r="B674" s="26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26"/>
      <c r="B675" s="26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26"/>
      <c r="B676" s="26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26"/>
      <c r="B677" s="26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26"/>
      <c r="B678" s="26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26"/>
      <c r="B679" s="26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26"/>
      <c r="B680" s="26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26"/>
      <c r="B681" s="26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26"/>
      <c r="B682" s="26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26"/>
      <c r="B683" s="26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26"/>
      <c r="B684" s="26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26"/>
      <c r="B685" s="26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26"/>
      <c r="B686" s="26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26"/>
      <c r="B687" s="26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26"/>
      <c r="B688" s="26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26"/>
      <c r="B689" s="26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26"/>
      <c r="B690" s="26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26"/>
      <c r="B691" s="26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26"/>
      <c r="B692" s="26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26"/>
      <c r="B693" s="26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26"/>
      <c r="B694" s="26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26"/>
      <c r="B695" s="26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26"/>
      <c r="B696" s="26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26"/>
      <c r="B697" s="26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26"/>
      <c r="B698" s="26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26"/>
      <c r="B699" s="26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26"/>
      <c r="B700" s="26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26"/>
      <c r="B701" s="26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26"/>
      <c r="B702" s="26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26"/>
      <c r="B703" s="26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26"/>
      <c r="B704" s="26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26"/>
      <c r="B705" s="26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26"/>
      <c r="B706" s="26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26"/>
      <c r="B707" s="26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26"/>
      <c r="B708" s="26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26"/>
      <c r="B709" s="26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26"/>
      <c r="B710" s="26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26"/>
      <c r="B711" s="26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26"/>
      <c r="B712" s="26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26"/>
      <c r="B713" s="26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26"/>
      <c r="B714" s="26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26"/>
      <c r="B715" s="26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26"/>
      <c r="B716" s="26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26"/>
      <c r="B717" s="26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26"/>
      <c r="B718" s="26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26"/>
      <c r="B719" s="26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26"/>
      <c r="B720" s="26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26"/>
      <c r="B721" s="26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26"/>
      <c r="B722" s="26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26"/>
      <c r="B723" s="26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26"/>
      <c r="B724" s="26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26"/>
      <c r="B725" s="26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26"/>
      <c r="B726" s="26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26"/>
      <c r="B727" s="26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26"/>
      <c r="B728" s="26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26"/>
      <c r="B729" s="26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26"/>
      <c r="B730" s="26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26"/>
      <c r="B731" s="26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26"/>
      <c r="B732" s="26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26"/>
      <c r="B733" s="26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26"/>
      <c r="B734" s="26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26"/>
      <c r="B735" s="26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26"/>
      <c r="B736" s="26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26"/>
      <c r="B737" s="26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26"/>
      <c r="B738" s="26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26"/>
      <c r="B739" s="26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26"/>
      <c r="B740" s="26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26"/>
      <c r="B741" s="26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26"/>
      <c r="B742" s="26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26"/>
      <c r="B743" s="26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26"/>
      <c r="B744" s="26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26"/>
      <c r="B745" s="26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26"/>
      <c r="B746" s="26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26"/>
      <c r="B747" s="26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26"/>
      <c r="B748" s="26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26"/>
      <c r="B749" s="26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26"/>
      <c r="B750" s="26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26"/>
      <c r="B751" s="26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26"/>
      <c r="B752" s="26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26"/>
      <c r="B753" s="26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26"/>
      <c r="B754" s="26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26"/>
      <c r="B755" s="26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26"/>
      <c r="B756" s="26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26"/>
      <c r="B757" s="26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26"/>
      <c r="B758" s="26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26"/>
      <c r="B759" s="26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26"/>
      <c r="B760" s="26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26"/>
      <c r="B761" s="26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26"/>
      <c r="B762" s="26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26"/>
      <c r="B763" s="26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26"/>
      <c r="B764" s="26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26"/>
      <c r="B765" s="26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26"/>
      <c r="B766" s="26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26"/>
      <c r="B767" s="26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26"/>
      <c r="B768" s="26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26"/>
      <c r="B769" s="26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26"/>
      <c r="B770" s="26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26"/>
      <c r="B771" s="26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26"/>
      <c r="B772" s="26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26"/>
      <c r="B773" s="26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26"/>
      <c r="B774" s="26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26"/>
      <c r="B775" s="26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26"/>
      <c r="B776" s="26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26"/>
      <c r="B777" s="26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26"/>
      <c r="B778" s="26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26"/>
      <c r="B779" s="26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26"/>
      <c r="B780" s="26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26"/>
      <c r="B781" s="26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26"/>
      <c r="B782" s="26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26"/>
      <c r="B783" s="26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26"/>
      <c r="B784" s="26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26"/>
      <c r="B785" s="26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26"/>
      <c r="B786" s="26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26"/>
      <c r="B787" s="26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26"/>
      <c r="B788" s="26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26"/>
      <c r="B789" s="26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26"/>
      <c r="B790" s="26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26"/>
      <c r="B791" s="26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26"/>
      <c r="B792" s="26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26"/>
      <c r="B793" s="26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26"/>
      <c r="B794" s="26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26"/>
      <c r="B795" s="26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26"/>
      <c r="B796" s="26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26"/>
      <c r="B797" s="26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26"/>
      <c r="B798" s="26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26"/>
      <c r="B799" s="26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26"/>
      <c r="B800" s="26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26"/>
      <c r="B801" s="26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26"/>
      <c r="B802" s="26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26"/>
      <c r="B803" s="26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26"/>
      <c r="B804" s="26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26"/>
      <c r="B805" s="26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26"/>
      <c r="B806" s="26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26"/>
      <c r="B807" s="26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26"/>
      <c r="B808" s="26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26"/>
      <c r="B809" s="26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26"/>
      <c r="B810" s="26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26"/>
      <c r="B811" s="26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26"/>
      <c r="B812" s="26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26"/>
      <c r="B813" s="26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26"/>
      <c r="B814" s="26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26"/>
      <c r="B815" s="26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26"/>
      <c r="B816" s="26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26"/>
      <c r="B817" s="26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26"/>
      <c r="B818" s="26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26"/>
      <c r="B819" s="26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26"/>
      <c r="B820" s="26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26"/>
      <c r="B821" s="26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26"/>
      <c r="B822" s="26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26"/>
      <c r="B823" s="26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26"/>
      <c r="B824" s="26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26"/>
      <c r="B825" s="26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26"/>
      <c r="B826" s="26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26"/>
      <c r="B827" s="26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26"/>
      <c r="B828" s="26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26"/>
      <c r="B829" s="26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26"/>
      <c r="B830" s="26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26"/>
      <c r="B831" s="26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26"/>
      <c r="B832" s="26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26"/>
      <c r="B833" s="26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26"/>
      <c r="B834" s="26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26"/>
      <c r="B835" s="26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26"/>
      <c r="B836" s="26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26"/>
      <c r="B837" s="26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26"/>
      <c r="B838" s="26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26"/>
      <c r="B839" s="26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26"/>
      <c r="B840" s="26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26"/>
      <c r="B841" s="26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26"/>
      <c r="B842" s="26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26"/>
      <c r="B843" s="26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26"/>
      <c r="B844" s="26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26"/>
      <c r="B845" s="26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26"/>
      <c r="B846" s="26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26"/>
      <c r="B847" s="26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26"/>
      <c r="B848" s="26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26"/>
      <c r="B849" s="26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26"/>
      <c r="B850" s="26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26"/>
      <c r="B851" s="26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26"/>
      <c r="B852" s="26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26"/>
      <c r="B853" s="26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26"/>
      <c r="B854" s="26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26"/>
      <c r="B855" s="26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26"/>
      <c r="B856" s="26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26"/>
      <c r="B857" s="26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26"/>
      <c r="B858" s="26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26"/>
      <c r="B859" s="26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26"/>
      <c r="B860" s="26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26"/>
      <c r="B861" s="26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26"/>
      <c r="B862" s="26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26"/>
      <c r="B863" s="26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26"/>
      <c r="B864" s="26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26"/>
      <c r="B865" s="26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26"/>
      <c r="B866" s="26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26"/>
      <c r="B867" s="26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26"/>
      <c r="B868" s="26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26"/>
      <c r="B869" s="26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26"/>
      <c r="B870" s="26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26"/>
      <c r="B871" s="26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26"/>
      <c r="B872" s="26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26"/>
      <c r="B873" s="26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26"/>
      <c r="B874" s="26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26"/>
      <c r="B875" s="26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26"/>
      <c r="B876" s="26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26"/>
      <c r="B877" s="26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26"/>
      <c r="B878" s="26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26"/>
      <c r="B879" s="26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26"/>
      <c r="B880" s="26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26"/>
      <c r="B881" s="26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26"/>
      <c r="B882" s="26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26"/>
      <c r="B883" s="26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26"/>
      <c r="B884" s="26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26"/>
      <c r="B885" s="26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26"/>
      <c r="B886" s="26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26"/>
      <c r="B887" s="26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26"/>
      <c r="B888" s="26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26"/>
      <c r="B889" s="26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26"/>
      <c r="B890" s="26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26"/>
      <c r="B891" s="26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26"/>
      <c r="B892" s="26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26"/>
      <c r="B893" s="26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26"/>
      <c r="B894" s="26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26"/>
      <c r="B895" s="26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26"/>
      <c r="B896" s="26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26"/>
      <c r="B897" s="26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26"/>
      <c r="B898" s="26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26"/>
      <c r="B899" s="26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26"/>
      <c r="B900" s="26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26"/>
      <c r="B901" s="26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26"/>
      <c r="B902" s="26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26"/>
      <c r="B903" s="26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26"/>
      <c r="B904" s="26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26"/>
      <c r="B905" s="26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26"/>
      <c r="B906" s="26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26"/>
      <c r="B907" s="26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26"/>
      <c r="B908" s="26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26"/>
      <c r="B909" s="26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26"/>
      <c r="B910" s="26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26"/>
      <c r="B911" s="26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26"/>
      <c r="B912" s="26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26"/>
      <c r="B913" s="26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26"/>
      <c r="B914" s="26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26"/>
      <c r="B915" s="26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26"/>
      <c r="B916" s="26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26"/>
      <c r="B917" s="26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26"/>
      <c r="B918" s="26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26"/>
      <c r="B919" s="26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26"/>
      <c r="B920" s="26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26"/>
      <c r="B921" s="26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26"/>
      <c r="B922" s="26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26"/>
      <c r="B923" s="26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26"/>
      <c r="B924" s="26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26"/>
      <c r="B925" s="26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26"/>
      <c r="B926" s="26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26"/>
      <c r="B927" s="26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26"/>
      <c r="B928" s="26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26"/>
      <c r="B929" s="26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26"/>
      <c r="B930" s="26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26"/>
      <c r="B931" s="26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26"/>
      <c r="B932" s="26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26"/>
      <c r="B933" s="26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26"/>
      <c r="B934" s="26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26"/>
      <c r="B935" s="26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26"/>
      <c r="B936" s="26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26"/>
      <c r="B937" s="26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26"/>
      <c r="B938" s="26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26"/>
      <c r="B939" s="26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26"/>
      <c r="B940" s="26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26"/>
      <c r="B941" s="26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26"/>
      <c r="B942" s="26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26"/>
      <c r="B943" s="26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26"/>
      <c r="B944" s="26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26"/>
      <c r="B945" s="26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26"/>
      <c r="B946" s="26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26"/>
      <c r="B947" s="26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26"/>
      <c r="B948" s="26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26"/>
      <c r="B949" s="26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26"/>
      <c r="B950" s="26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26"/>
      <c r="B951" s="26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26"/>
      <c r="B952" s="26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26"/>
      <c r="B953" s="26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26"/>
      <c r="B954" s="26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26"/>
      <c r="B955" s="26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26"/>
      <c r="B956" s="26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26"/>
      <c r="B957" s="26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26"/>
      <c r="B958" s="26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26"/>
      <c r="B959" s="26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26"/>
      <c r="B960" s="26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26"/>
      <c r="B961" s="26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26"/>
      <c r="B962" s="26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26"/>
      <c r="B963" s="26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26"/>
      <c r="B964" s="26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26"/>
      <c r="B965" s="26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26"/>
      <c r="B966" s="26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26"/>
      <c r="B967" s="26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26"/>
      <c r="B968" s="26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26"/>
      <c r="B969" s="26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26"/>
      <c r="B970" s="26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26"/>
      <c r="B971" s="26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26"/>
      <c r="B972" s="26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26"/>
      <c r="B973" s="26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26"/>
      <c r="B974" s="26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26"/>
      <c r="B975" s="26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26"/>
      <c r="B976" s="26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26"/>
      <c r="B977" s="26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26"/>
      <c r="B978" s="26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26"/>
      <c r="B979" s="26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26"/>
      <c r="B980" s="26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26"/>
      <c r="B981" s="26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26"/>
      <c r="B982" s="26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26"/>
      <c r="B983" s="26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26"/>
      <c r="B984" s="26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26"/>
      <c r="B985" s="26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26"/>
      <c r="B986" s="26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26"/>
      <c r="B987" s="26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26"/>
      <c r="B988" s="26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26"/>
      <c r="B989" s="26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26"/>
      <c r="B990" s="26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26"/>
      <c r="B991" s="26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26"/>
      <c r="B992" s="26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26"/>
      <c r="B993" s="26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26"/>
      <c r="B994" s="26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26"/>
      <c r="B995" s="26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26"/>
      <c r="B996" s="26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26"/>
      <c r="B997" s="26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26"/>
      <c r="B998" s="26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26"/>
      <c r="B999" s="26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26"/>
      <c r="B1000" s="26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A15:B15"/>
    <mergeCell ref="A1:O1"/>
    <mergeCell ref="A3:B3"/>
    <mergeCell ref="A4:A7"/>
    <mergeCell ref="A9:B9"/>
    <mergeCell ref="A10:A1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workbookViewId="0">
      <selection activeCell="F5" sqref="F5"/>
    </sheetView>
  </sheetViews>
  <sheetFormatPr defaultColWidth="12.6640625" defaultRowHeight="14.4" x14ac:dyDescent="0.3"/>
  <cols>
    <col min="1" max="1" width="32.21875" customWidth="1"/>
    <col min="2" max="2" width="56.77734375" customWidth="1"/>
    <col min="3" max="14" width="15.21875" customWidth="1"/>
    <col min="15" max="15" width="21.33203125" customWidth="1"/>
    <col min="16" max="26" width="8.88671875" customWidth="1"/>
  </cols>
  <sheetData>
    <row r="1" spans="1:26" ht="61.5" customHeight="1" x14ac:dyDescent="0.3">
      <c r="A1" s="164"/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2" t="s">
        <v>17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61"/>
      <c r="B3" s="162"/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67" t="s">
        <v>111</v>
      </c>
      <c r="B4" s="27" t="s">
        <v>89</v>
      </c>
      <c r="C4" s="28">
        <v>12130</v>
      </c>
      <c r="D4" s="28">
        <f>7535+304</f>
        <v>7839</v>
      </c>
      <c r="E4" s="28">
        <v>9025</v>
      </c>
      <c r="F4" s="28"/>
      <c r="G4" s="28"/>
      <c r="H4" s="28"/>
      <c r="I4" s="28"/>
      <c r="J4" s="28"/>
      <c r="K4" s="28"/>
      <c r="L4" s="28"/>
      <c r="M4" s="28"/>
      <c r="N4" s="28"/>
      <c r="O4" s="5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59"/>
      <c r="B5" s="27" t="s">
        <v>112</v>
      </c>
      <c r="C5" s="28">
        <v>1126</v>
      </c>
      <c r="D5" s="28">
        <v>907</v>
      </c>
      <c r="E5" s="28">
        <v>1161</v>
      </c>
      <c r="F5" s="28"/>
      <c r="G5" s="28"/>
      <c r="H5" s="28"/>
      <c r="I5" s="28"/>
      <c r="J5" s="28"/>
      <c r="K5" s="28"/>
      <c r="L5" s="28"/>
      <c r="M5" s="28"/>
      <c r="N5" s="28"/>
      <c r="O5" s="5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59"/>
      <c r="B6" s="56" t="s">
        <v>113</v>
      </c>
      <c r="C6" s="28">
        <v>0</v>
      </c>
      <c r="D6" s="28">
        <v>0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5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59"/>
      <c r="B7" s="27" t="s">
        <v>114</v>
      </c>
      <c r="C7" s="28">
        <v>9</v>
      </c>
      <c r="D7" s="28">
        <v>4</v>
      </c>
      <c r="E7" s="28">
        <v>10</v>
      </c>
      <c r="F7" s="28"/>
      <c r="G7" s="28"/>
      <c r="H7" s="28"/>
      <c r="I7" s="28"/>
      <c r="J7" s="28"/>
      <c r="K7" s="28"/>
      <c r="L7" s="28"/>
      <c r="M7" s="28"/>
      <c r="N7" s="28"/>
      <c r="O7" s="5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59"/>
      <c r="B8" s="27" t="s">
        <v>115</v>
      </c>
      <c r="C8" s="28">
        <v>2311</v>
      </c>
      <c r="D8" s="28">
        <v>2241</v>
      </c>
      <c r="E8" s="28">
        <v>2566</v>
      </c>
      <c r="F8" s="28"/>
      <c r="G8" s="28"/>
      <c r="H8" s="28"/>
      <c r="I8" s="28"/>
      <c r="J8" s="28"/>
      <c r="K8" s="28"/>
      <c r="L8" s="28"/>
      <c r="M8" s="28"/>
      <c r="N8" s="28"/>
      <c r="O8" s="5">
        <f>SUM(C8:N8)</f>
        <v>7118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60"/>
      <c r="B9" s="27" t="s">
        <v>116</v>
      </c>
      <c r="C9" s="28">
        <v>506</v>
      </c>
      <c r="D9" s="28">
        <v>363</v>
      </c>
      <c r="E9" s="28">
        <f>543</f>
        <v>543</v>
      </c>
      <c r="F9" s="28"/>
      <c r="G9" s="28"/>
      <c r="H9" s="28"/>
      <c r="I9" s="28"/>
      <c r="J9" s="28"/>
      <c r="K9" s="28"/>
      <c r="L9" s="28"/>
      <c r="M9" s="28"/>
      <c r="N9" s="28"/>
      <c r="O9" s="5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26"/>
      <c r="B10" s="26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61"/>
      <c r="B11" s="162"/>
      <c r="C11" s="3" t="s">
        <v>1</v>
      </c>
      <c r="D11" s="3" t="s">
        <v>2</v>
      </c>
      <c r="E11" s="3" t="s">
        <v>3</v>
      </c>
      <c r="F11" s="3" t="s">
        <v>4</v>
      </c>
      <c r="G11" s="3" t="s">
        <v>5</v>
      </c>
      <c r="H11" s="3" t="s">
        <v>6</v>
      </c>
      <c r="I11" s="3" t="s">
        <v>7</v>
      </c>
      <c r="J11" s="3" t="s">
        <v>8</v>
      </c>
      <c r="K11" s="3" t="s">
        <v>9</v>
      </c>
      <c r="L11" s="3" t="s">
        <v>10</v>
      </c>
      <c r="M11" s="3" t="s">
        <v>11</v>
      </c>
      <c r="N11" s="3" t="s">
        <v>12</v>
      </c>
      <c r="O11" s="3" t="s">
        <v>13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167" t="s">
        <v>117</v>
      </c>
      <c r="B12" s="27" t="s">
        <v>118</v>
      </c>
      <c r="C12" s="28">
        <v>12033</v>
      </c>
      <c r="D12" s="28">
        <v>9895</v>
      </c>
      <c r="E12" s="28">
        <v>11673</v>
      </c>
      <c r="F12" s="28"/>
      <c r="G12" s="28"/>
      <c r="H12" s="28"/>
      <c r="I12" s="28"/>
      <c r="J12" s="28"/>
      <c r="K12" s="28"/>
      <c r="L12" s="28"/>
      <c r="M12" s="28"/>
      <c r="N12" s="28"/>
      <c r="O12" s="5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159"/>
      <c r="B13" s="27" t="s">
        <v>119</v>
      </c>
      <c r="C13" s="28">
        <v>1438</v>
      </c>
      <c r="D13" s="28">
        <f>1196</f>
        <v>1196</v>
      </c>
      <c r="E13" s="28">
        <v>1208</v>
      </c>
      <c r="F13" s="28"/>
      <c r="G13" s="28"/>
      <c r="H13" s="28"/>
      <c r="I13" s="28"/>
      <c r="J13" s="28"/>
      <c r="K13" s="28"/>
      <c r="L13" s="28"/>
      <c r="M13" s="28"/>
      <c r="N13" s="28"/>
      <c r="O13" s="5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159"/>
      <c r="B14" s="27" t="s">
        <v>120</v>
      </c>
      <c r="C14" s="28">
        <v>9696</v>
      </c>
      <c r="D14" s="28">
        <f>787+6953</f>
        <v>7740</v>
      </c>
      <c r="E14" s="28">
        <v>6526</v>
      </c>
      <c r="F14" s="28"/>
      <c r="G14" s="28"/>
      <c r="H14" s="28"/>
      <c r="I14" s="28"/>
      <c r="J14" s="28"/>
      <c r="K14" s="28"/>
      <c r="L14" s="28"/>
      <c r="M14" s="28"/>
      <c r="N14" s="28"/>
      <c r="O14" s="5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160"/>
      <c r="B15" s="27" t="s">
        <v>114</v>
      </c>
      <c r="C15" s="28">
        <v>0</v>
      </c>
      <c r="D15" s="28">
        <v>0</v>
      </c>
      <c r="E15" s="28">
        <v>0</v>
      </c>
      <c r="F15" s="28"/>
      <c r="G15" s="28"/>
      <c r="H15" s="28"/>
      <c r="I15" s="28"/>
      <c r="J15" s="28"/>
      <c r="K15" s="28"/>
      <c r="L15" s="28"/>
      <c r="M15" s="28"/>
      <c r="N15" s="28"/>
      <c r="O15" s="5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26"/>
      <c r="B16" s="2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26"/>
      <c r="B17" s="2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26"/>
      <c r="B18" s="26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26"/>
      <c r="B19" s="2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">
      <c r="A20" s="26"/>
      <c r="B20" s="2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26"/>
      <c r="B21" s="26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26"/>
      <c r="B22" s="2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26"/>
      <c r="B23" s="26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26"/>
      <c r="B24" s="26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26"/>
      <c r="B25" s="2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26"/>
      <c r="B26" s="2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26"/>
      <c r="B27" s="2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26"/>
      <c r="B28" s="26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26"/>
      <c r="B29" s="26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26"/>
      <c r="B30" s="2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26"/>
      <c r="B31" s="2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26"/>
      <c r="B32" s="26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26"/>
      <c r="B33" s="26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26"/>
      <c r="B34" s="2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26"/>
      <c r="B35" s="26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26"/>
      <c r="B36" s="2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26"/>
      <c r="B37" s="26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26"/>
      <c r="B38" s="26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26"/>
      <c r="B39" s="26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26"/>
      <c r="B40" s="26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26"/>
      <c r="B41" s="26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26"/>
      <c r="B42" s="26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26"/>
      <c r="B43" s="26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26"/>
      <c r="B44" s="26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26"/>
      <c r="B45" s="26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26"/>
      <c r="B46" s="26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26"/>
      <c r="B47" s="26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26"/>
      <c r="B48" s="26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26"/>
      <c r="B49" s="26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26"/>
      <c r="B50" s="26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26"/>
      <c r="B51" s="26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26"/>
      <c r="B52" s="26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26"/>
      <c r="B53" s="26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26"/>
      <c r="B54" s="26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26"/>
      <c r="B55" s="26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26"/>
      <c r="B56" s="26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26"/>
      <c r="B57" s="26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26"/>
      <c r="B58" s="26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26"/>
      <c r="B59" s="26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26"/>
      <c r="B60" s="26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26"/>
      <c r="B61" s="26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26"/>
      <c r="B62" s="26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26"/>
      <c r="B63" s="26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26"/>
      <c r="B64" s="26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26"/>
      <c r="B65" s="26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26"/>
      <c r="B66" s="26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26"/>
      <c r="B67" s="26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26"/>
      <c r="B68" s="26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26"/>
      <c r="B69" s="26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26"/>
      <c r="B70" s="26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26"/>
      <c r="B71" s="26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26"/>
      <c r="B72" s="26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26"/>
      <c r="B73" s="26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26"/>
      <c r="B74" s="26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26"/>
      <c r="B75" s="26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26"/>
      <c r="B76" s="26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26"/>
      <c r="B77" s="26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26"/>
      <c r="B78" s="26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26"/>
      <c r="B79" s="26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26"/>
      <c r="B80" s="26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26"/>
      <c r="B81" s="26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26"/>
      <c r="B82" s="26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26"/>
      <c r="B83" s="26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26"/>
      <c r="B84" s="26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26"/>
      <c r="B85" s="26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26"/>
      <c r="B86" s="26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26"/>
      <c r="B87" s="26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26"/>
      <c r="B88" s="26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26"/>
      <c r="B89" s="26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26"/>
      <c r="B90" s="26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26"/>
      <c r="B91" s="26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26"/>
      <c r="B92" s="26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26"/>
      <c r="B93" s="26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26"/>
      <c r="B94" s="26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26"/>
      <c r="B95" s="26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26"/>
      <c r="B96" s="26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26"/>
      <c r="B97" s="26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26"/>
      <c r="B98" s="26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26"/>
      <c r="B99" s="26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26"/>
      <c r="B100" s="26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26"/>
      <c r="B101" s="26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26"/>
      <c r="B102" s="26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26"/>
      <c r="B103" s="26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26"/>
      <c r="B104" s="26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26"/>
      <c r="B105" s="26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26"/>
      <c r="B106" s="26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26"/>
      <c r="B107" s="26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26"/>
      <c r="B108" s="26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26"/>
      <c r="B109" s="26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26"/>
      <c r="B110" s="2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26"/>
      <c r="B111" s="2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26"/>
      <c r="B112" s="26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26"/>
      <c r="B113" s="26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26"/>
      <c r="B114" s="26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26"/>
      <c r="B115" s="26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26"/>
      <c r="B116" s="26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26"/>
      <c r="B117" s="26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26"/>
      <c r="B118" s="26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26"/>
      <c r="B119" s="26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26"/>
      <c r="B120" s="26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26"/>
      <c r="B121" s="26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26"/>
      <c r="B122" s="26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26"/>
      <c r="B123" s="26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26"/>
      <c r="B124" s="26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26"/>
      <c r="B125" s="26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26"/>
      <c r="B126" s="26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26"/>
      <c r="B127" s="26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26"/>
      <c r="B128" s="26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26"/>
      <c r="B129" s="26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26"/>
      <c r="B130" s="26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26"/>
      <c r="B131" s="26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26"/>
      <c r="B132" s="26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26"/>
      <c r="B133" s="26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26"/>
      <c r="B134" s="2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26"/>
      <c r="B135" s="2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26"/>
      <c r="B136" s="26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26"/>
      <c r="B137" s="2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26"/>
      <c r="B138" s="2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26"/>
      <c r="B139" s="26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26"/>
      <c r="B140" s="26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26"/>
      <c r="B141" s="26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26"/>
      <c r="B142" s="26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26"/>
      <c r="B143" s="26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26"/>
      <c r="B144" s="26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26"/>
      <c r="B145" s="26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26"/>
      <c r="B146" s="26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26"/>
      <c r="B147" s="26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26"/>
      <c r="B148" s="26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26"/>
      <c r="B149" s="26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26"/>
      <c r="B150" s="26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26"/>
      <c r="B151" s="26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26"/>
      <c r="B152" s="26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26"/>
      <c r="B153" s="26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26"/>
      <c r="B154" s="26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26"/>
      <c r="B155" s="26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26"/>
      <c r="B156" s="26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26"/>
      <c r="B157" s="26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26"/>
      <c r="B158" s="26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26"/>
      <c r="B159" s="26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26"/>
      <c r="B160" s="26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26"/>
      <c r="B161" s="26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26"/>
      <c r="B162" s="26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26"/>
      <c r="B163" s="26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26"/>
      <c r="B164" s="26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26"/>
      <c r="B165" s="26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26"/>
      <c r="B166" s="26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26"/>
      <c r="B167" s="26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26"/>
      <c r="B168" s="26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26"/>
      <c r="B169" s="26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26"/>
      <c r="B170" s="26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26"/>
      <c r="B171" s="26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26"/>
      <c r="B172" s="26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26"/>
      <c r="B173" s="26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26"/>
      <c r="B174" s="26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26"/>
      <c r="B175" s="26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26"/>
      <c r="B176" s="26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26"/>
      <c r="B177" s="26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26"/>
      <c r="B178" s="26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26"/>
      <c r="B179" s="26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26"/>
      <c r="B180" s="26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26"/>
      <c r="B181" s="26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26"/>
      <c r="B182" s="26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26"/>
      <c r="B183" s="26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26"/>
      <c r="B184" s="26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26"/>
      <c r="B185" s="26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26"/>
      <c r="B186" s="26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26"/>
      <c r="B187" s="26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26"/>
      <c r="B188" s="26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26"/>
      <c r="B189" s="26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26"/>
      <c r="B190" s="26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26"/>
      <c r="B191" s="26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26"/>
      <c r="B192" s="26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26"/>
      <c r="B193" s="26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26"/>
      <c r="B194" s="26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26"/>
      <c r="B195" s="26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26"/>
      <c r="B196" s="26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26"/>
      <c r="B197" s="26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26"/>
      <c r="B198" s="26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26"/>
      <c r="B199" s="26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26"/>
      <c r="B200" s="26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26"/>
      <c r="B201" s="26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26"/>
      <c r="B202" s="26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26"/>
      <c r="B203" s="26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26"/>
      <c r="B204" s="26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26"/>
      <c r="B205" s="26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26"/>
      <c r="B206" s="26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26"/>
      <c r="B207" s="26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26"/>
      <c r="B208" s="26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26"/>
      <c r="B209" s="26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26"/>
      <c r="B210" s="26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26"/>
      <c r="B211" s="26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26"/>
      <c r="B212" s="26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26"/>
      <c r="B213" s="26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26"/>
      <c r="B214" s="26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26"/>
      <c r="B215" s="26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26"/>
      <c r="B216" s="26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26"/>
      <c r="B217" s="26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26"/>
      <c r="B218" s="26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26"/>
      <c r="B219" s="26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26"/>
      <c r="B220" s="26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26"/>
      <c r="B221" s="26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26"/>
      <c r="B222" s="26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26"/>
      <c r="B223" s="26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26"/>
      <c r="B224" s="26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26"/>
      <c r="B225" s="26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26"/>
      <c r="B226" s="26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26"/>
      <c r="B227" s="26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26"/>
      <c r="B228" s="26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26"/>
      <c r="B229" s="26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26"/>
      <c r="B230" s="26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26"/>
      <c r="B231" s="26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26"/>
      <c r="B232" s="26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26"/>
      <c r="B233" s="26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26"/>
      <c r="B234" s="26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26"/>
      <c r="B235" s="26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26"/>
      <c r="B236" s="26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26"/>
      <c r="B237" s="26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26"/>
      <c r="B238" s="26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26"/>
      <c r="B239" s="26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26"/>
      <c r="B240" s="26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26"/>
      <c r="B241" s="26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26"/>
      <c r="B242" s="26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26"/>
      <c r="B243" s="26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26"/>
      <c r="B244" s="26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26"/>
      <c r="B245" s="26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26"/>
      <c r="B246" s="26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26"/>
      <c r="B247" s="26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26"/>
      <c r="B248" s="26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26"/>
      <c r="B249" s="26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26"/>
      <c r="B250" s="26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26"/>
      <c r="B251" s="26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26"/>
      <c r="B252" s="26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26"/>
      <c r="B253" s="26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26"/>
      <c r="B254" s="26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26"/>
      <c r="B255" s="26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26"/>
      <c r="B256" s="26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26"/>
      <c r="B257" s="26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26"/>
      <c r="B258" s="26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26"/>
      <c r="B259" s="26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26"/>
      <c r="B260" s="26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26"/>
      <c r="B261" s="26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26"/>
      <c r="B262" s="26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26"/>
      <c r="B263" s="26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26"/>
      <c r="B264" s="26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26"/>
      <c r="B265" s="26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26"/>
      <c r="B266" s="26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26"/>
      <c r="B267" s="26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26"/>
      <c r="B268" s="26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26"/>
      <c r="B269" s="26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26"/>
      <c r="B270" s="26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26"/>
      <c r="B271" s="26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26"/>
      <c r="B272" s="26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26"/>
      <c r="B273" s="26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26"/>
      <c r="B274" s="26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26"/>
      <c r="B275" s="26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26"/>
      <c r="B276" s="26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26"/>
      <c r="B277" s="26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26"/>
      <c r="B278" s="26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26"/>
      <c r="B279" s="26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26"/>
      <c r="B280" s="26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26"/>
      <c r="B281" s="26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26"/>
      <c r="B282" s="26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26"/>
      <c r="B283" s="26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26"/>
      <c r="B284" s="26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26"/>
      <c r="B285" s="26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26"/>
      <c r="B286" s="26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26"/>
      <c r="B287" s="26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26"/>
      <c r="B288" s="26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26"/>
      <c r="B289" s="26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26"/>
      <c r="B290" s="26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26"/>
      <c r="B291" s="26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26"/>
      <c r="B292" s="26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26"/>
      <c r="B293" s="26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26"/>
      <c r="B294" s="26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26"/>
      <c r="B295" s="26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26"/>
      <c r="B296" s="26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26"/>
      <c r="B297" s="26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26"/>
      <c r="B298" s="26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26"/>
      <c r="B299" s="26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26"/>
      <c r="B300" s="26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26"/>
      <c r="B301" s="26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26"/>
      <c r="B302" s="26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26"/>
      <c r="B303" s="26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26"/>
      <c r="B304" s="26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26"/>
      <c r="B305" s="26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26"/>
      <c r="B306" s="26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26"/>
      <c r="B307" s="26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26"/>
      <c r="B308" s="26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26"/>
      <c r="B309" s="26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26"/>
      <c r="B310" s="26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26"/>
      <c r="B311" s="26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26"/>
      <c r="B312" s="26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26"/>
      <c r="B313" s="26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26"/>
      <c r="B314" s="26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26"/>
      <c r="B315" s="26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26"/>
      <c r="B316" s="26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26"/>
      <c r="B317" s="26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26"/>
      <c r="B318" s="26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26"/>
      <c r="B319" s="26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26"/>
      <c r="B320" s="26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26"/>
      <c r="B321" s="26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26"/>
      <c r="B322" s="26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26"/>
      <c r="B323" s="26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26"/>
      <c r="B324" s="26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26"/>
      <c r="B325" s="26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26"/>
      <c r="B326" s="26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26"/>
      <c r="B327" s="26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26"/>
      <c r="B328" s="26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26"/>
      <c r="B329" s="26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26"/>
      <c r="B330" s="26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26"/>
      <c r="B331" s="26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26"/>
      <c r="B332" s="26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26"/>
      <c r="B333" s="26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26"/>
      <c r="B334" s="26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26"/>
      <c r="B335" s="26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26"/>
      <c r="B336" s="26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26"/>
      <c r="B337" s="26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26"/>
      <c r="B338" s="26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26"/>
      <c r="B339" s="26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26"/>
      <c r="B340" s="26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26"/>
      <c r="B341" s="26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26"/>
      <c r="B342" s="26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26"/>
      <c r="B343" s="26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26"/>
      <c r="B344" s="26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26"/>
      <c r="B345" s="26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26"/>
      <c r="B346" s="26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26"/>
      <c r="B347" s="26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26"/>
      <c r="B348" s="26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26"/>
      <c r="B349" s="26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26"/>
      <c r="B350" s="26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26"/>
      <c r="B351" s="26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26"/>
      <c r="B352" s="26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26"/>
      <c r="B353" s="26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26"/>
      <c r="B354" s="26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26"/>
      <c r="B355" s="26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26"/>
      <c r="B356" s="26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26"/>
      <c r="B357" s="26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26"/>
      <c r="B358" s="26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26"/>
      <c r="B359" s="26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26"/>
      <c r="B360" s="26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26"/>
      <c r="B361" s="26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26"/>
      <c r="B362" s="26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26"/>
      <c r="B363" s="26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26"/>
      <c r="B364" s="26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26"/>
      <c r="B365" s="26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26"/>
      <c r="B366" s="26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26"/>
      <c r="B367" s="26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26"/>
      <c r="B368" s="26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26"/>
      <c r="B369" s="26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26"/>
      <c r="B370" s="26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26"/>
      <c r="B371" s="26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26"/>
      <c r="B372" s="26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26"/>
      <c r="B373" s="26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26"/>
      <c r="B374" s="26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26"/>
      <c r="B375" s="26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26"/>
      <c r="B376" s="26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26"/>
      <c r="B377" s="26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26"/>
      <c r="B378" s="26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26"/>
      <c r="B379" s="26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26"/>
      <c r="B380" s="26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26"/>
      <c r="B381" s="26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26"/>
      <c r="B382" s="26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26"/>
      <c r="B383" s="26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26"/>
      <c r="B384" s="26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26"/>
      <c r="B385" s="26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26"/>
      <c r="B386" s="26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26"/>
      <c r="B387" s="26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26"/>
      <c r="B388" s="26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26"/>
      <c r="B389" s="26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26"/>
      <c r="B390" s="26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26"/>
      <c r="B391" s="26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26"/>
      <c r="B392" s="26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26"/>
      <c r="B393" s="26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26"/>
      <c r="B394" s="26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26"/>
      <c r="B395" s="26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26"/>
      <c r="B396" s="26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26"/>
      <c r="B397" s="26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26"/>
      <c r="B398" s="26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26"/>
      <c r="B399" s="26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26"/>
      <c r="B400" s="26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26"/>
      <c r="B401" s="26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26"/>
      <c r="B402" s="26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26"/>
      <c r="B403" s="26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26"/>
      <c r="B404" s="26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26"/>
      <c r="B405" s="26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26"/>
      <c r="B406" s="26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26"/>
      <c r="B407" s="26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26"/>
      <c r="B408" s="26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26"/>
      <c r="B409" s="26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26"/>
      <c r="B410" s="26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26"/>
      <c r="B411" s="26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26"/>
      <c r="B412" s="26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26"/>
      <c r="B413" s="26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26"/>
      <c r="B414" s="26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26"/>
      <c r="B415" s="26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26"/>
      <c r="B416" s="26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26"/>
      <c r="B417" s="26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26"/>
      <c r="B418" s="26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26"/>
      <c r="B419" s="26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26"/>
      <c r="B420" s="26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26"/>
      <c r="B421" s="26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26"/>
      <c r="B422" s="26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26"/>
      <c r="B423" s="26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26"/>
      <c r="B424" s="26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26"/>
      <c r="B425" s="26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26"/>
      <c r="B426" s="26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26"/>
      <c r="B427" s="26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26"/>
      <c r="B428" s="26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26"/>
      <c r="B429" s="26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26"/>
      <c r="B430" s="26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26"/>
      <c r="B431" s="26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26"/>
      <c r="B432" s="26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26"/>
      <c r="B433" s="26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26"/>
      <c r="B434" s="26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26"/>
      <c r="B435" s="26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26"/>
      <c r="B436" s="26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26"/>
      <c r="B437" s="26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26"/>
      <c r="B438" s="26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26"/>
      <c r="B439" s="26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26"/>
      <c r="B440" s="26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26"/>
      <c r="B441" s="26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26"/>
      <c r="B442" s="26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26"/>
      <c r="B443" s="26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26"/>
      <c r="B444" s="26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26"/>
      <c r="B445" s="26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26"/>
      <c r="B446" s="26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26"/>
      <c r="B447" s="26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26"/>
      <c r="B448" s="26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26"/>
      <c r="B449" s="26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26"/>
      <c r="B450" s="26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26"/>
      <c r="B451" s="26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26"/>
      <c r="B452" s="26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26"/>
      <c r="B453" s="26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26"/>
      <c r="B454" s="26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26"/>
      <c r="B455" s="26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26"/>
      <c r="B456" s="26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26"/>
      <c r="B457" s="26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26"/>
      <c r="B458" s="26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26"/>
      <c r="B459" s="26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26"/>
      <c r="B460" s="26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26"/>
      <c r="B461" s="26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26"/>
      <c r="B462" s="26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26"/>
      <c r="B463" s="26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26"/>
      <c r="B464" s="26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26"/>
      <c r="B465" s="26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26"/>
      <c r="B466" s="26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26"/>
      <c r="B467" s="26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26"/>
      <c r="B468" s="26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26"/>
      <c r="B469" s="26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26"/>
      <c r="B470" s="26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26"/>
      <c r="B471" s="26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26"/>
      <c r="B472" s="26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26"/>
      <c r="B473" s="26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26"/>
      <c r="B474" s="26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26"/>
      <c r="B475" s="26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26"/>
      <c r="B476" s="26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26"/>
      <c r="B477" s="26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26"/>
      <c r="B478" s="26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26"/>
      <c r="B479" s="26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26"/>
      <c r="B480" s="26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26"/>
      <c r="B481" s="26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26"/>
      <c r="B482" s="26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26"/>
      <c r="B483" s="26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26"/>
      <c r="B484" s="26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26"/>
      <c r="B485" s="26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26"/>
      <c r="B486" s="26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26"/>
      <c r="B487" s="26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26"/>
      <c r="B488" s="26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26"/>
      <c r="B489" s="26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26"/>
      <c r="B490" s="26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26"/>
      <c r="B491" s="26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26"/>
      <c r="B492" s="26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26"/>
      <c r="B493" s="26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26"/>
      <c r="B494" s="26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26"/>
      <c r="B495" s="26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26"/>
      <c r="B496" s="26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26"/>
      <c r="B497" s="26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26"/>
      <c r="B498" s="26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26"/>
      <c r="B499" s="26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26"/>
      <c r="B500" s="26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26"/>
      <c r="B501" s="26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26"/>
      <c r="B502" s="26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26"/>
      <c r="B503" s="26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26"/>
      <c r="B504" s="26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26"/>
      <c r="B505" s="26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26"/>
      <c r="B506" s="26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26"/>
      <c r="B507" s="26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26"/>
      <c r="B508" s="26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26"/>
      <c r="B509" s="26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26"/>
      <c r="B510" s="26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26"/>
      <c r="B511" s="26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26"/>
      <c r="B512" s="26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26"/>
      <c r="B513" s="26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26"/>
      <c r="B514" s="26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26"/>
      <c r="B515" s="26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26"/>
      <c r="B516" s="26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26"/>
      <c r="B517" s="26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26"/>
      <c r="B518" s="26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26"/>
      <c r="B519" s="26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26"/>
      <c r="B520" s="26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26"/>
      <c r="B521" s="26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26"/>
      <c r="B522" s="26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26"/>
      <c r="B523" s="26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26"/>
      <c r="B524" s="26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26"/>
      <c r="B525" s="26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26"/>
      <c r="B526" s="26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26"/>
      <c r="B527" s="26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26"/>
      <c r="B528" s="26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26"/>
      <c r="B529" s="26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26"/>
      <c r="B530" s="26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26"/>
      <c r="B531" s="26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26"/>
      <c r="B532" s="26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26"/>
      <c r="B533" s="26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26"/>
      <c r="B534" s="26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26"/>
      <c r="B535" s="26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26"/>
      <c r="B536" s="26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26"/>
      <c r="B537" s="26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26"/>
      <c r="B538" s="26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26"/>
      <c r="B539" s="26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26"/>
      <c r="B540" s="26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26"/>
      <c r="B541" s="26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26"/>
      <c r="B542" s="26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26"/>
      <c r="B543" s="26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26"/>
      <c r="B544" s="26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26"/>
      <c r="B545" s="26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26"/>
      <c r="B546" s="26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26"/>
      <c r="B547" s="26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26"/>
      <c r="B548" s="26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26"/>
      <c r="B549" s="26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26"/>
      <c r="B550" s="26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26"/>
      <c r="B551" s="26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26"/>
      <c r="B552" s="26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26"/>
      <c r="B553" s="26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26"/>
      <c r="B554" s="26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26"/>
      <c r="B555" s="26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26"/>
      <c r="B556" s="26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26"/>
      <c r="B557" s="26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26"/>
      <c r="B558" s="26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26"/>
      <c r="B559" s="26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26"/>
      <c r="B560" s="26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26"/>
      <c r="B561" s="26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26"/>
      <c r="B562" s="26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26"/>
      <c r="B563" s="26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26"/>
      <c r="B564" s="26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26"/>
      <c r="B565" s="26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26"/>
      <c r="B566" s="26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26"/>
      <c r="B567" s="26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26"/>
      <c r="B568" s="26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26"/>
      <c r="B569" s="26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26"/>
      <c r="B570" s="26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26"/>
      <c r="B571" s="26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26"/>
      <c r="B572" s="26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26"/>
      <c r="B573" s="26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26"/>
      <c r="B574" s="26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26"/>
      <c r="B575" s="26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26"/>
      <c r="B576" s="26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26"/>
      <c r="B577" s="26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26"/>
      <c r="B578" s="26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26"/>
      <c r="B579" s="26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26"/>
      <c r="B580" s="26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26"/>
      <c r="B581" s="26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26"/>
      <c r="B582" s="26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26"/>
      <c r="B583" s="26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26"/>
      <c r="B584" s="26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26"/>
      <c r="B585" s="26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26"/>
      <c r="B586" s="26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26"/>
      <c r="B587" s="26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26"/>
      <c r="B588" s="26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26"/>
      <c r="B589" s="26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26"/>
      <c r="B590" s="26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26"/>
      <c r="B591" s="26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26"/>
      <c r="B592" s="26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26"/>
      <c r="B593" s="26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26"/>
      <c r="B594" s="26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26"/>
      <c r="B595" s="26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26"/>
      <c r="B596" s="26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26"/>
      <c r="B597" s="26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26"/>
      <c r="B598" s="26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26"/>
      <c r="B599" s="26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26"/>
      <c r="B600" s="26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26"/>
      <c r="B601" s="26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26"/>
      <c r="B602" s="26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26"/>
      <c r="B603" s="26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26"/>
      <c r="B604" s="26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26"/>
      <c r="B605" s="26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26"/>
      <c r="B606" s="26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26"/>
      <c r="B607" s="26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26"/>
      <c r="B608" s="26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26"/>
      <c r="B609" s="26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26"/>
      <c r="B610" s="26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26"/>
      <c r="B611" s="26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26"/>
      <c r="B612" s="26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26"/>
      <c r="B613" s="26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26"/>
      <c r="B614" s="26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26"/>
      <c r="B615" s="26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26"/>
      <c r="B616" s="26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26"/>
      <c r="B617" s="26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26"/>
      <c r="B618" s="26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26"/>
      <c r="B619" s="26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26"/>
      <c r="B620" s="26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26"/>
      <c r="B621" s="26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26"/>
      <c r="B622" s="26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26"/>
      <c r="B623" s="26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26"/>
      <c r="B624" s="26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26"/>
      <c r="B625" s="26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26"/>
      <c r="B626" s="26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26"/>
      <c r="B627" s="26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26"/>
      <c r="B628" s="26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26"/>
      <c r="B629" s="26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26"/>
      <c r="B630" s="26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26"/>
      <c r="B631" s="26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26"/>
      <c r="B632" s="26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26"/>
      <c r="B633" s="26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26"/>
      <c r="B634" s="26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26"/>
      <c r="B635" s="26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26"/>
      <c r="B636" s="26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26"/>
      <c r="B637" s="26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26"/>
      <c r="B638" s="26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26"/>
      <c r="B639" s="26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26"/>
      <c r="B640" s="26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26"/>
      <c r="B641" s="26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26"/>
      <c r="B642" s="26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26"/>
      <c r="B643" s="26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26"/>
      <c r="B644" s="26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26"/>
      <c r="B645" s="26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26"/>
      <c r="B646" s="26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26"/>
      <c r="B647" s="26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26"/>
      <c r="B648" s="26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26"/>
      <c r="B649" s="26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26"/>
      <c r="B650" s="26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26"/>
      <c r="B651" s="26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26"/>
      <c r="B652" s="26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26"/>
      <c r="B653" s="26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26"/>
      <c r="B654" s="26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26"/>
      <c r="B655" s="26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26"/>
      <c r="B656" s="26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26"/>
      <c r="B657" s="26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26"/>
      <c r="B658" s="26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26"/>
      <c r="B659" s="26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26"/>
      <c r="B660" s="26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26"/>
      <c r="B661" s="26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26"/>
      <c r="B662" s="26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26"/>
      <c r="B663" s="26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26"/>
      <c r="B664" s="26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26"/>
      <c r="B665" s="26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26"/>
      <c r="B666" s="26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26"/>
      <c r="B667" s="26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26"/>
      <c r="B668" s="26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26"/>
      <c r="B669" s="26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26"/>
      <c r="B670" s="26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26"/>
      <c r="B671" s="26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26"/>
      <c r="B672" s="26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26"/>
      <c r="B673" s="26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26"/>
      <c r="B674" s="26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26"/>
      <c r="B675" s="26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26"/>
      <c r="B676" s="26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26"/>
      <c r="B677" s="26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26"/>
      <c r="B678" s="26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26"/>
      <c r="B679" s="26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26"/>
      <c r="B680" s="26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26"/>
      <c r="B681" s="26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26"/>
      <c r="B682" s="26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26"/>
      <c r="B683" s="26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26"/>
      <c r="B684" s="26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26"/>
      <c r="B685" s="26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26"/>
      <c r="B686" s="26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26"/>
      <c r="B687" s="26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26"/>
      <c r="B688" s="26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26"/>
      <c r="B689" s="26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26"/>
      <c r="B690" s="26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26"/>
      <c r="B691" s="26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26"/>
      <c r="B692" s="26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26"/>
      <c r="B693" s="26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26"/>
      <c r="B694" s="26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26"/>
      <c r="B695" s="26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26"/>
      <c r="B696" s="26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26"/>
      <c r="B697" s="26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26"/>
      <c r="B698" s="26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26"/>
      <c r="B699" s="26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26"/>
      <c r="B700" s="26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26"/>
      <c r="B701" s="26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26"/>
      <c r="B702" s="26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26"/>
      <c r="B703" s="26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26"/>
      <c r="B704" s="26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26"/>
      <c r="B705" s="26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26"/>
      <c r="B706" s="26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26"/>
      <c r="B707" s="26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26"/>
      <c r="B708" s="26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26"/>
      <c r="B709" s="26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26"/>
      <c r="B710" s="26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26"/>
      <c r="B711" s="26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26"/>
      <c r="B712" s="26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26"/>
      <c r="B713" s="26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26"/>
      <c r="B714" s="26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26"/>
      <c r="B715" s="26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26"/>
      <c r="B716" s="26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26"/>
      <c r="B717" s="26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26"/>
      <c r="B718" s="26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26"/>
      <c r="B719" s="26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26"/>
      <c r="B720" s="26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26"/>
      <c r="B721" s="26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26"/>
      <c r="B722" s="26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26"/>
      <c r="B723" s="26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26"/>
      <c r="B724" s="26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26"/>
      <c r="B725" s="26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26"/>
      <c r="B726" s="26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26"/>
      <c r="B727" s="26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26"/>
      <c r="B728" s="26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26"/>
      <c r="B729" s="26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26"/>
      <c r="B730" s="26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26"/>
      <c r="B731" s="26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26"/>
      <c r="B732" s="26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26"/>
      <c r="B733" s="26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26"/>
      <c r="B734" s="26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26"/>
      <c r="B735" s="26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26"/>
      <c r="B736" s="26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26"/>
      <c r="B737" s="26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26"/>
      <c r="B738" s="26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26"/>
      <c r="B739" s="26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26"/>
      <c r="B740" s="26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26"/>
      <c r="B741" s="26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26"/>
      <c r="B742" s="26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26"/>
      <c r="B743" s="26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26"/>
      <c r="B744" s="26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26"/>
      <c r="B745" s="26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26"/>
      <c r="B746" s="26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26"/>
      <c r="B747" s="26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26"/>
      <c r="B748" s="26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26"/>
      <c r="B749" s="26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26"/>
      <c r="B750" s="26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26"/>
      <c r="B751" s="26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26"/>
      <c r="B752" s="26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26"/>
      <c r="B753" s="26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26"/>
      <c r="B754" s="26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26"/>
      <c r="B755" s="26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26"/>
      <c r="B756" s="26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26"/>
      <c r="B757" s="26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26"/>
      <c r="B758" s="26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26"/>
      <c r="B759" s="26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26"/>
      <c r="B760" s="26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26"/>
      <c r="B761" s="26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26"/>
      <c r="B762" s="26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26"/>
      <c r="B763" s="26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26"/>
      <c r="B764" s="26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26"/>
      <c r="B765" s="26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26"/>
      <c r="B766" s="26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26"/>
      <c r="B767" s="26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26"/>
      <c r="B768" s="26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26"/>
      <c r="B769" s="26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26"/>
      <c r="B770" s="26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26"/>
      <c r="B771" s="26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26"/>
      <c r="B772" s="26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26"/>
      <c r="B773" s="26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26"/>
      <c r="B774" s="26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26"/>
      <c r="B775" s="26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26"/>
      <c r="B776" s="26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26"/>
      <c r="B777" s="26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26"/>
      <c r="B778" s="26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26"/>
      <c r="B779" s="26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26"/>
      <c r="B780" s="26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26"/>
      <c r="B781" s="26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26"/>
      <c r="B782" s="26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26"/>
      <c r="B783" s="26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26"/>
      <c r="B784" s="26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26"/>
      <c r="B785" s="26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26"/>
      <c r="B786" s="26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26"/>
      <c r="B787" s="26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26"/>
      <c r="B788" s="26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26"/>
      <c r="B789" s="26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26"/>
      <c r="B790" s="26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26"/>
      <c r="B791" s="26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26"/>
      <c r="B792" s="26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26"/>
      <c r="B793" s="26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26"/>
      <c r="B794" s="26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26"/>
      <c r="B795" s="26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26"/>
      <c r="B796" s="26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26"/>
      <c r="B797" s="26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26"/>
      <c r="B798" s="26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26"/>
      <c r="B799" s="26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26"/>
      <c r="B800" s="26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26"/>
      <c r="B801" s="26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26"/>
      <c r="B802" s="26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26"/>
      <c r="B803" s="26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26"/>
      <c r="B804" s="26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26"/>
      <c r="B805" s="26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26"/>
      <c r="B806" s="26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26"/>
      <c r="B807" s="26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26"/>
      <c r="B808" s="26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26"/>
      <c r="B809" s="26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26"/>
      <c r="B810" s="26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26"/>
      <c r="B811" s="26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26"/>
      <c r="B812" s="26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26"/>
      <c r="B813" s="26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26"/>
      <c r="B814" s="26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26"/>
      <c r="B815" s="26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26"/>
      <c r="B816" s="26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26"/>
      <c r="B817" s="26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26"/>
      <c r="B818" s="26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26"/>
      <c r="B819" s="26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26"/>
      <c r="B820" s="26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26"/>
      <c r="B821" s="26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26"/>
      <c r="B822" s="26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26"/>
      <c r="B823" s="26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26"/>
      <c r="B824" s="26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26"/>
      <c r="B825" s="26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26"/>
      <c r="B826" s="26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26"/>
      <c r="B827" s="26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26"/>
      <c r="B828" s="26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26"/>
      <c r="B829" s="26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26"/>
      <c r="B830" s="26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26"/>
      <c r="B831" s="26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26"/>
      <c r="B832" s="26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26"/>
      <c r="B833" s="26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26"/>
      <c r="B834" s="26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26"/>
      <c r="B835" s="26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26"/>
      <c r="B836" s="26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26"/>
      <c r="B837" s="26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26"/>
      <c r="B838" s="26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26"/>
      <c r="B839" s="26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26"/>
      <c r="B840" s="26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26"/>
      <c r="B841" s="26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26"/>
      <c r="B842" s="26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26"/>
      <c r="B843" s="26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26"/>
      <c r="B844" s="26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26"/>
      <c r="B845" s="26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26"/>
      <c r="B846" s="26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26"/>
      <c r="B847" s="26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26"/>
      <c r="B848" s="26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26"/>
      <c r="B849" s="26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26"/>
      <c r="B850" s="26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26"/>
      <c r="B851" s="26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26"/>
      <c r="B852" s="26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26"/>
      <c r="B853" s="26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26"/>
      <c r="B854" s="26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26"/>
      <c r="B855" s="26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26"/>
      <c r="B856" s="26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26"/>
      <c r="B857" s="26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26"/>
      <c r="B858" s="26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26"/>
      <c r="B859" s="26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26"/>
      <c r="B860" s="26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26"/>
      <c r="B861" s="26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26"/>
      <c r="B862" s="26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26"/>
      <c r="B863" s="26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26"/>
      <c r="B864" s="26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26"/>
      <c r="B865" s="26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26"/>
      <c r="B866" s="26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26"/>
      <c r="B867" s="26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26"/>
      <c r="B868" s="26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26"/>
      <c r="B869" s="26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26"/>
      <c r="B870" s="26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26"/>
      <c r="B871" s="26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26"/>
      <c r="B872" s="26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26"/>
      <c r="B873" s="26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26"/>
      <c r="B874" s="26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26"/>
      <c r="B875" s="26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26"/>
      <c r="B876" s="26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26"/>
      <c r="B877" s="26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26"/>
      <c r="B878" s="26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26"/>
      <c r="B879" s="26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26"/>
      <c r="B880" s="26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26"/>
      <c r="B881" s="26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26"/>
      <c r="B882" s="26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26"/>
      <c r="B883" s="26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26"/>
      <c r="B884" s="26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26"/>
      <c r="B885" s="26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26"/>
      <c r="B886" s="26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26"/>
      <c r="B887" s="26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26"/>
      <c r="B888" s="26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26"/>
      <c r="B889" s="26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26"/>
      <c r="B890" s="26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26"/>
      <c r="B891" s="26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26"/>
      <c r="B892" s="26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26"/>
      <c r="B893" s="26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26"/>
      <c r="B894" s="26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26"/>
      <c r="B895" s="26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26"/>
      <c r="B896" s="26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26"/>
      <c r="B897" s="26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26"/>
      <c r="B898" s="26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26"/>
      <c r="B899" s="26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26"/>
      <c r="B900" s="26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26"/>
      <c r="B901" s="26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26"/>
      <c r="B902" s="26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26"/>
      <c r="B903" s="26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26"/>
      <c r="B904" s="26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26"/>
      <c r="B905" s="26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26"/>
      <c r="B906" s="26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26"/>
      <c r="B907" s="26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26"/>
      <c r="B908" s="26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26"/>
      <c r="B909" s="26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26"/>
      <c r="B910" s="26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26"/>
      <c r="B911" s="26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26"/>
      <c r="B912" s="26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26"/>
      <c r="B913" s="26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26"/>
      <c r="B914" s="26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26"/>
      <c r="B915" s="26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26"/>
      <c r="B916" s="26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26"/>
      <c r="B917" s="26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26"/>
      <c r="B918" s="26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26"/>
      <c r="B919" s="26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26"/>
      <c r="B920" s="26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26"/>
      <c r="B921" s="26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26"/>
      <c r="B922" s="26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26"/>
      <c r="B923" s="26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26"/>
      <c r="B924" s="26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26"/>
      <c r="B925" s="26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26"/>
      <c r="B926" s="26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26"/>
      <c r="B927" s="26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26"/>
      <c r="B928" s="26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26"/>
      <c r="B929" s="26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26"/>
      <c r="B930" s="26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26"/>
      <c r="B931" s="26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26"/>
      <c r="B932" s="26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26"/>
      <c r="B933" s="26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26"/>
      <c r="B934" s="26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26"/>
      <c r="B935" s="26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26"/>
      <c r="B936" s="26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26"/>
      <c r="B937" s="26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26"/>
      <c r="B938" s="26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26"/>
      <c r="B939" s="26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26"/>
      <c r="B940" s="26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26"/>
      <c r="B941" s="26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26"/>
      <c r="B942" s="26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26"/>
      <c r="B943" s="26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26"/>
      <c r="B944" s="26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26"/>
      <c r="B945" s="26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26"/>
      <c r="B946" s="26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26"/>
      <c r="B947" s="26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26"/>
      <c r="B948" s="26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26"/>
      <c r="B949" s="26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26"/>
      <c r="B950" s="26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26"/>
      <c r="B951" s="26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26"/>
      <c r="B952" s="26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26"/>
      <c r="B953" s="26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26"/>
      <c r="B954" s="26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26"/>
      <c r="B955" s="26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26"/>
      <c r="B956" s="26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26"/>
      <c r="B957" s="26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26"/>
      <c r="B958" s="26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26"/>
      <c r="B959" s="26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26"/>
      <c r="B960" s="26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26"/>
      <c r="B961" s="26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26"/>
      <c r="B962" s="26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26"/>
      <c r="B963" s="26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26"/>
      <c r="B964" s="26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26"/>
      <c r="B965" s="26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26"/>
      <c r="B966" s="26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26"/>
      <c r="B967" s="26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26"/>
      <c r="B968" s="26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26"/>
      <c r="B969" s="26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26"/>
      <c r="B970" s="26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26"/>
      <c r="B971" s="26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26"/>
      <c r="B972" s="26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26"/>
      <c r="B973" s="26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26"/>
      <c r="B974" s="26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26"/>
      <c r="B975" s="26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26"/>
      <c r="B976" s="26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26"/>
      <c r="B977" s="26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26"/>
      <c r="B978" s="26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26"/>
      <c r="B979" s="26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26"/>
      <c r="B980" s="26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26"/>
      <c r="B981" s="26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26"/>
      <c r="B982" s="26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26"/>
      <c r="B983" s="26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26"/>
      <c r="B984" s="26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26"/>
      <c r="B985" s="26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26"/>
      <c r="B986" s="26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26"/>
      <c r="B987" s="26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26"/>
      <c r="B988" s="26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26"/>
      <c r="B989" s="26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26"/>
      <c r="B990" s="26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26"/>
      <c r="B991" s="26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26"/>
      <c r="B992" s="26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26"/>
      <c r="B993" s="26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26"/>
      <c r="B994" s="26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26"/>
      <c r="B995" s="26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26"/>
      <c r="B996" s="26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26"/>
      <c r="B997" s="26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26"/>
      <c r="B998" s="26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26"/>
      <c r="B999" s="26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26"/>
      <c r="B1000" s="26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O1"/>
    <mergeCell ref="A3:B3"/>
    <mergeCell ref="A4:A9"/>
    <mergeCell ref="A11:B11"/>
    <mergeCell ref="A12:A1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O24"/>
  <sheetViews>
    <sheetView workbookViewId="0">
      <selection activeCell="F7" sqref="F7"/>
    </sheetView>
  </sheetViews>
  <sheetFormatPr defaultRowHeight="14.4" x14ac:dyDescent="0.3"/>
  <cols>
    <col min="1" max="1" width="38" customWidth="1"/>
    <col min="2" max="2" width="41.6640625" bestFit="1" customWidth="1"/>
    <col min="3" max="3" width="12" customWidth="1"/>
    <col min="4" max="4" width="12" style="79" customWidth="1"/>
    <col min="5" max="14" width="12" customWidth="1"/>
    <col min="15" max="15" width="14" customWidth="1"/>
  </cols>
  <sheetData>
    <row r="2" spans="1:15" ht="19.2" customHeight="1" x14ac:dyDescent="0.3">
      <c r="A2" s="51" t="s">
        <v>131</v>
      </c>
      <c r="B2" s="51"/>
      <c r="C2" s="51"/>
      <c r="D2" s="74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5" ht="17.55" customHeight="1" x14ac:dyDescent="0.3">
      <c r="A3" s="43" t="s">
        <v>67</v>
      </c>
      <c r="B3" s="43" t="s">
        <v>132</v>
      </c>
      <c r="C3" s="43" t="s">
        <v>1</v>
      </c>
      <c r="D3" s="75" t="s">
        <v>2</v>
      </c>
      <c r="E3" s="43" t="s">
        <v>3</v>
      </c>
      <c r="F3" s="43" t="s">
        <v>4</v>
      </c>
      <c r="G3" s="43" t="s">
        <v>5</v>
      </c>
      <c r="H3" s="43" t="s">
        <v>6</v>
      </c>
      <c r="I3" s="43" t="s">
        <v>7</v>
      </c>
      <c r="J3" s="43" t="s">
        <v>8</v>
      </c>
      <c r="K3" s="43" t="s">
        <v>9</v>
      </c>
      <c r="L3" s="43" t="s">
        <v>10</v>
      </c>
      <c r="M3" s="43" t="s">
        <v>11</v>
      </c>
      <c r="N3" s="43" t="s">
        <v>12</v>
      </c>
      <c r="O3" s="43" t="s">
        <v>121</v>
      </c>
    </row>
    <row r="4" spans="1:15" x14ac:dyDescent="0.3">
      <c r="A4" s="55" t="s">
        <v>122</v>
      </c>
      <c r="B4" s="52" t="s">
        <v>122</v>
      </c>
      <c r="C4" s="44">
        <v>591</v>
      </c>
      <c r="D4" s="76">
        <v>588</v>
      </c>
      <c r="E4" s="44">
        <v>596</v>
      </c>
      <c r="F4" s="44">
        <v>610</v>
      </c>
      <c r="G4" s="44"/>
      <c r="H4" s="44"/>
      <c r="I4" s="44"/>
      <c r="J4" s="44"/>
      <c r="K4" s="44"/>
      <c r="L4" s="44"/>
      <c r="M4" s="44"/>
      <c r="N4" s="44"/>
      <c r="O4" s="45">
        <f>IF(COUNTA(C4:N4)=0,"",SUM(C4:N4))</f>
        <v>2385</v>
      </c>
    </row>
    <row r="5" spans="1:15" x14ac:dyDescent="0.3">
      <c r="A5" s="46"/>
      <c r="B5" s="53"/>
      <c r="C5" s="47"/>
      <c r="D5" s="77"/>
      <c r="E5" s="47"/>
      <c r="F5" s="47"/>
      <c r="G5" s="47"/>
      <c r="H5" s="47"/>
      <c r="I5" s="47"/>
      <c r="J5" s="47"/>
      <c r="K5" s="47"/>
      <c r="L5" s="47"/>
      <c r="M5" s="47"/>
      <c r="N5" s="47"/>
      <c r="O5" s="46"/>
    </row>
    <row r="6" spans="1:15" x14ac:dyDescent="0.3">
      <c r="A6" s="55" t="s">
        <v>123</v>
      </c>
      <c r="B6" s="52" t="s">
        <v>123</v>
      </c>
      <c r="C6" s="44">
        <v>144</v>
      </c>
      <c r="D6" s="76">
        <v>138</v>
      </c>
      <c r="E6" s="44">
        <v>148</v>
      </c>
      <c r="F6" s="44">
        <v>143</v>
      </c>
      <c r="G6" s="44"/>
      <c r="H6" s="44"/>
      <c r="I6" s="44"/>
      <c r="J6" s="44"/>
      <c r="K6" s="44"/>
      <c r="L6" s="44"/>
      <c r="M6" s="44"/>
      <c r="N6" s="44"/>
      <c r="O6" s="45">
        <f>IF(COUNTA(C6:N6)=0,"",SUM(C6:N6))</f>
        <v>573</v>
      </c>
    </row>
    <row r="7" spans="1:15" x14ac:dyDescent="0.3">
      <c r="A7" s="46"/>
      <c r="B7" s="53"/>
      <c r="C7" s="47"/>
      <c r="D7" s="77"/>
      <c r="E7" s="47"/>
      <c r="F7" s="47"/>
      <c r="G7" s="47"/>
      <c r="H7" s="47"/>
      <c r="I7" s="47"/>
      <c r="J7" s="47"/>
      <c r="K7" s="47"/>
      <c r="L7" s="47"/>
      <c r="M7" s="47"/>
      <c r="N7" s="47"/>
      <c r="O7" s="46"/>
    </row>
    <row r="8" spans="1:15" x14ac:dyDescent="0.3">
      <c r="A8" s="55" t="s">
        <v>124</v>
      </c>
      <c r="B8" s="52" t="s">
        <v>124</v>
      </c>
      <c r="C8" s="44">
        <v>134</v>
      </c>
      <c r="D8" s="76">
        <v>136</v>
      </c>
      <c r="E8" s="44">
        <v>139</v>
      </c>
      <c r="F8" s="44">
        <v>140</v>
      </c>
      <c r="G8" s="44"/>
      <c r="H8" s="44"/>
      <c r="I8" s="44"/>
      <c r="J8" s="44"/>
      <c r="K8" s="44"/>
      <c r="L8" s="44"/>
      <c r="M8" s="44"/>
      <c r="N8" s="44"/>
      <c r="O8" s="45">
        <f>IF(COUNTA(C8:N8)=0,"",SUM(C8:N8))</f>
        <v>549</v>
      </c>
    </row>
    <row r="9" spans="1:15" x14ac:dyDescent="0.3">
      <c r="A9" s="46"/>
      <c r="B9" s="53"/>
      <c r="C9" s="47"/>
      <c r="D9" s="77"/>
      <c r="E9" s="47"/>
      <c r="F9" s="47"/>
      <c r="G9" s="47"/>
      <c r="H9" s="47"/>
      <c r="I9" s="47"/>
      <c r="J9" s="47"/>
      <c r="K9" s="47"/>
      <c r="L9" s="47"/>
      <c r="M9" s="47"/>
      <c r="N9" s="47"/>
      <c r="O9" s="46"/>
    </row>
    <row r="10" spans="1:15" x14ac:dyDescent="0.3">
      <c r="A10" s="55" t="s">
        <v>125</v>
      </c>
      <c r="B10" s="52" t="s">
        <v>125</v>
      </c>
      <c r="C10" s="44">
        <v>4</v>
      </c>
      <c r="D10" s="76">
        <v>10</v>
      </c>
      <c r="E10" s="44">
        <v>20</v>
      </c>
      <c r="F10" s="44">
        <v>6</v>
      </c>
      <c r="G10" s="44"/>
      <c r="H10" s="44"/>
      <c r="I10" s="44"/>
      <c r="J10" s="44"/>
      <c r="K10" s="44"/>
      <c r="L10" s="44"/>
      <c r="M10" s="44"/>
      <c r="N10" s="44"/>
      <c r="O10" s="45">
        <f>IF(COUNTA(C10:N10)=0,"",SUM(C10:N10))</f>
        <v>40</v>
      </c>
    </row>
    <row r="11" spans="1:15" x14ac:dyDescent="0.3">
      <c r="A11" s="46"/>
      <c r="B11" s="53"/>
      <c r="C11" s="47"/>
      <c r="D11" s="7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6"/>
    </row>
    <row r="12" spans="1:15" x14ac:dyDescent="0.3">
      <c r="A12" s="55" t="s">
        <v>126</v>
      </c>
      <c r="B12" s="52" t="s">
        <v>126</v>
      </c>
      <c r="C12" s="44">
        <v>5</v>
      </c>
      <c r="D12" s="76">
        <v>9</v>
      </c>
      <c r="E12" s="44">
        <v>4</v>
      </c>
      <c r="F12" s="44">
        <v>7</v>
      </c>
      <c r="G12" s="44"/>
      <c r="H12" s="44"/>
      <c r="I12" s="44"/>
      <c r="J12" s="44"/>
      <c r="K12" s="44"/>
      <c r="L12" s="44"/>
      <c r="M12" s="44"/>
      <c r="N12" s="44"/>
      <c r="O12" s="45">
        <f>IF(COUNTA(C12:N12)=0,"",SUM(C12:N12))</f>
        <v>25</v>
      </c>
    </row>
    <row r="13" spans="1:15" x14ac:dyDescent="0.3">
      <c r="A13" s="46"/>
      <c r="B13" s="53"/>
      <c r="C13" s="47"/>
      <c r="D13" s="7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6"/>
    </row>
    <row r="14" spans="1:15" x14ac:dyDescent="0.3">
      <c r="A14" s="55" t="s">
        <v>127</v>
      </c>
      <c r="B14" s="52" t="s">
        <v>127</v>
      </c>
      <c r="C14" s="69">
        <v>7.7999999999999996E-3</v>
      </c>
      <c r="D14" s="69">
        <v>1.5900000000000001E-2</v>
      </c>
      <c r="E14" s="106">
        <v>1.9699999999999999E-2</v>
      </c>
      <c r="F14" s="69">
        <v>1.09E-2</v>
      </c>
      <c r="G14" s="44"/>
      <c r="H14" s="44"/>
      <c r="I14" s="44"/>
      <c r="J14" s="44"/>
      <c r="K14" s="44"/>
      <c r="L14" s="44"/>
      <c r="M14" s="44"/>
      <c r="N14" s="44"/>
      <c r="O14" s="45">
        <f>IF(COUNTA(C14:N14)=0,"",AVERAGE(C14:N14))</f>
        <v>1.3574999999999999E-2</v>
      </c>
    </row>
    <row r="15" spans="1:15" x14ac:dyDescent="0.3">
      <c r="A15" s="48" t="s">
        <v>28</v>
      </c>
      <c r="B15" s="54" t="s">
        <v>28</v>
      </c>
      <c r="C15" s="49"/>
      <c r="D15" s="78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50"/>
    </row>
    <row r="16" spans="1:15" x14ac:dyDescent="0.3">
      <c r="A16" s="46"/>
      <c r="B16" s="53"/>
      <c r="C16" s="47"/>
      <c r="D16" s="7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6"/>
    </row>
    <row r="17" spans="1:15" x14ac:dyDescent="0.3">
      <c r="A17" s="55" t="s">
        <v>128</v>
      </c>
      <c r="B17" s="52" t="s">
        <v>128</v>
      </c>
      <c r="C17" s="69">
        <v>3.4599999999999999E-2</v>
      </c>
      <c r="D17" s="69">
        <v>1.7500000000000002E-2</v>
      </c>
      <c r="E17" s="106">
        <v>3.4000000000000002E-2</v>
      </c>
      <c r="F17" s="69">
        <v>3.4599999999999999E-2</v>
      </c>
      <c r="G17" s="44"/>
      <c r="H17" s="44"/>
      <c r="I17" s="44"/>
      <c r="J17" s="44"/>
      <c r="K17" s="44"/>
      <c r="L17" s="44"/>
      <c r="M17" s="44"/>
      <c r="N17" s="44"/>
      <c r="O17" s="45">
        <f>IF(COUNTA(C17:N17)=0,"",AVERAGE(C17:N17))</f>
        <v>3.0175E-2</v>
      </c>
    </row>
    <row r="18" spans="1:15" x14ac:dyDescent="0.3">
      <c r="A18" s="48" t="s">
        <v>28</v>
      </c>
      <c r="B18" s="54" t="s">
        <v>28</v>
      </c>
      <c r="C18" s="49"/>
      <c r="D18" s="78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50"/>
    </row>
    <row r="19" spans="1:15" x14ac:dyDescent="0.3">
      <c r="A19" s="46"/>
      <c r="B19" s="53"/>
      <c r="C19" s="47"/>
      <c r="D19" s="7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6"/>
    </row>
    <row r="20" spans="1:15" x14ac:dyDescent="0.3">
      <c r="A20" s="55" t="s">
        <v>129</v>
      </c>
      <c r="B20" s="52" t="s">
        <v>129</v>
      </c>
      <c r="C20" s="44">
        <v>4</v>
      </c>
      <c r="D20" s="76">
        <v>8</v>
      </c>
      <c r="E20" s="44">
        <v>2</v>
      </c>
      <c r="F20" s="44">
        <v>3</v>
      </c>
      <c r="G20" s="44"/>
      <c r="H20" s="44"/>
      <c r="I20" s="44"/>
      <c r="J20" s="44"/>
      <c r="K20" s="44"/>
      <c r="L20" s="44"/>
      <c r="M20" s="44"/>
      <c r="N20" s="44"/>
      <c r="O20" s="45">
        <f>IF(COUNTA(C20:N20)=0,"",SUM(C20:N20))</f>
        <v>17</v>
      </c>
    </row>
    <row r="21" spans="1:15" x14ac:dyDescent="0.3">
      <c r="A21" s="46"/>
      <c r="B21" s="53"/>
      <c r="C21" s="47"/>
      <c r="D21" s="7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6"/>
    </row>
    <row r="22" spans="1:15" x14ac:dyDescent="0.3">
      <c r="A22" s="55" t="s">
        <v>130</v>
      </c>
      <c r="B22" s="52" t="s">
        <v>130</v>
      </c>
      <c r="C22" s="44">
        <v>0</v>
      </c>
      <c r="D22" s="76">
        <v>0</v>
      </c>
      <c r="E22" s="44">
        <v>0</v>
      </c>
      <c r="F22" s="44">
        <v>0</v>
      </c>
      <c r="G22" s="44"/>
      <c r="H22" s="44"/>
      <c r="I22" s="44"/>
      <c r="J22" s="44"/>
      <c r="K22" s="44"/>
      <c r="L22" s="44"/>
      <c r="M22" s="44"/>
      <c r="N22" s="44"/>
      <c r="O22" s="45">
        <f>IF(COUNTA(C22:N22)=0,"",SUM(C22:N22))</f>
        <v>0</v>
      </c>
    </row>
    <row r="23" spans="1:15" x14ac:dyDescent="0.3">
      <c r="A23" s="48" t="s">
        <v>28</v>
      </c>
      <c r="B23" s="54" t="s">
        <v>28</v>
      </c>
      <c r="C23" s="49"/>
      <c r="D23" s="78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50"/>
    </row>
    <row r="24" spans="1:15" x14ac:dyDescent="0.3">
      <c r="A24" s="46"/>
      <c r="B24" s="53"/>
      <c r="C24" s="47"/>
      <c r="D24" s="7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73789-EAFD-46EB-96A3-B35731B74BFA}">
  <dimension ref="A1:O20"/>
  <sheetViews>
    <sheetView tabSelected="1" topLeftCell="A2" workbookViewId="0">
      <selection activeCell="H18" sqref="H18"/>
    </sheetView>
  </sheetViews>
  <sheetFormatPr defaultRowHeight="14.4" x14ac:dyDescent="0.3"/>
  <cols>
    <col min="1" max="1" width="29.6640625" bestFit="1" customWidth="1"/>
    <col min="2" max="2" width="57.6640625" bestFit="1" customWidth="1"/>
    <col min="3" max="6" width="15.6640625" bestFit="1" customWidth="1"/>
    <col min="7" max="7" width="9" bestFit="1" customWidth="1"/>
    <col min="8" max="8" width="10.77734375" bestFit="1" customWidth="1"/>
    <col min="9" max="9" width="12.88671875" bestFit="1" customWidth="1"/>
    <col min="10" max="10" width="12.21875" bestFit="1" customWidth="1"/>
    <col min="11" max="11" width="14" bestFit="1" customWidth="1"/>
    <col min="12" max="12" width="13.21875" bestFit="1" customWidth="1"/>
    <col min="13" max="13" width="10.77734375" bestFit="1" customWidth="1"/>
    <col min="14" max="14" width="12.88671875" bestFit="1" customWidth="1"/>
    <col min="15" max="15" width="16.6640625" bestFit="1" customWidth="1"/>
  </cols>
  <sheetData>
    <row r="1" spans="1:15" ht="21" hidden="1" x14ac:dyDescent="0.3">
      <c r="A1" s="152"/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</row>
    <row r="2" spans="1:15" ht="37.799999999999997" customHeight="1" x14ac:dyDescent="0.3">
      <c r="A2" s="57" t="s">
        <v>133</v>
      </c>
      <c r="B2" s="57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x14ac:dyDescent="0.3">
      <c r="A3" s="153"/>
      <c r="B3" s="153"/>
      <c r="C3" s="58" t="s">
        <v>1</v>
      </c>
      <c r="D3" s="59" t="s">
        <v>2</v>
      </c>
      <c r="E3" s="59" t="s">
        <v>3</v>
      </c>
      <c r="F3" s="59" t="s">
        <v>4</v>
      </c>
      <c r="G3" s="59" t="s">
        <v>5</v>
      </c>
      <c r="H3" s="59" t="s">
        <v>6</v>
      </c>
      <c r="I3" s="59" t="s">
        <v>7</v>
      </c>
      <c r="J3" s="59" t="s">
        <v>8</v>
      </c>
      <c r="K3" s="59" t="s">
        <v>9</v>
      </c>
      <c r="L3" s="59" t="s">
        <v>10</v>
      </c>
      <c r="M3" s="59" t="s">
        <v>11</v>
      </c>
      <c r="N3" s="59" t="s">
        <v>12</v>
      </c>
      <c r="O3" s="59" t="s">
        <v>13</v>
      </c>
    </row>
    <row r="4" spans="1:15" ht="17.399999999999999" customHeight="1" x14ac:dyDescent="0.3">
      <c r="A4" s="154" t="s">
        <v>134</v>
      </c>
      <c r="B4" s="62" t="s">
        <v>135</v>
      </c>
      <c r="C4" s="63">
        <v>116000</v>
      </c>
      <c r="D4" s="70">
        <v>140400</v>
      </c>
      <c r="E4" s="107">
        <v>124600</v>
      </c>
      <c r="F4" s="70">
        <v>110800</v>
      </c>
      <c r="G4" s="64"/>
      <c r="H4" s="64"/>
      <c r="I4" s="64"/>
      <c r="J4" s="64"/>
      <c r="K4" s="64"/>
      <c r="L4" s="64"/>
      <c r="M4" s="64"/>
      <c r="N4" s="64"/>
      <c r="O4" s="70">
        <f>SUM(C4:N4)</f>
        <v>491800</v>
      </c>
    </row>
    <row r="5" spans="1:15" ht="17.399999999999999" customHeight="1" x14ac:dyDescent="0.3">
      <c r="A5" s="154"/>
      <c r="B5" s="62" t="s">
        <v>136</v>
      </c>
      <c r="C5" s="63">
        <v>2000</v>
      </c>
      <c r="D5" s="70">
        <v>2000</v>
      </c>
      <c r="E5" s="107">
        <v>2000</v>
      </c>
      <c r="F5" s="70">
        <v>2000</v>
      </c>
      <c r="G5" s="64"/>
      <c r="H5" s="64"/>
      <c r="I5" s="64"/>
      <c r="J5" s="64"/>
      <c r="K5" s="64"/>
      <c r="L5" s="64"/>
      <c r="M5" s="64"/>
      <c r="N5" s="64"/>
      <c r="O5" s="70">
        <f>SUM(C5:N5)</f>
        <v>8000</v>
      </c>
    </row>
    <row r="6" spans="1:15" ht="17.399999999999999" customHeight="1" x14ac:dyDescent="0.3">
      <c r="A6" s="154"/>
      <c r="B6" s="62" t="s">
        <v>137</v>
      </c>
      <c r="C6" s="63">
        <v>5200</v>
      </c>
      <c r="D6" s="70">
        <v>5200</v>
      </c>
      <c r="E6" s="107">
        <v>5200</v>
      </c>
      <c r="F6" s="70">
        <v>5200</v>
      </c>
      <c r="G6" s="64"/>
      <c r="H6" s="64"/>
      <c r="I6" s="64"/>
      <c r="J6" s="64"/>
      <c r="K6" s="64"/>
      <c r="L6" s="64"/>
      <c r="M6" s="64"/>
      <c r="N6" s="64"/>
      <c r="O6" s="70">
        <f>SUM(C6:N6)</f>
        <v>20800</v>
      </c>
    </row>
    <row r="7" spans="1:15" ht="17.399999999999999" customHeight="1" x14ac:dyDescent="0.3">
      <c r="A7" s="154"/>
      <c r="B7" s="62" t="s">
        <v>138</v>
      </c>
      <c r="C7" s="63">
        <v>2632875</v>
      </c>
      <c r="D7" s="70">
        <v>2962865</v>
      </c>
      <c r="E7" s="107">
        <v>2952575</v>
      </c>
      <c r="F7" s="70">
        <v>2702490.52</v>
      </c>
      <c r="G7" s="64"/>
      <c r="H7" s="64"/>
      <c r="I7" s="64"/>
      <c r="J7" s="64"/>
      <c r="K7" s="64"/>
      <c r="L7" s="64"/>
      <c r="M7" s="64"/>
      <c r="N7" s="64"/>
      <c r="O7" s="70">
        <f>SUM(C7:N7)</f>
        <v>11250805.52</v>
      </c>
    </row>
    <row r="8" spans="1:15" ht="17.399999999999999" customHeight="1" x14ac:dyDescent="0.3">
      <c r="A8" s="154"/>
      <c r="B8" s="62" t="s">
        <v>139</v>
      </c>
      <c r="C8" s="63">
        <v>36000</v>
      </c>
      <c r="D8" s="70">
        <v>36000</v>
      </c>
      <c r="E8" s="107">
        <v>36000</v>
      </c>
      <c r="F8" s="70">
        <v>36000</v>
      </c>
      <c r="G8" s="64"/>
      <c r="H8" s="64"/>
      <c r="I8" s="64"/>
      <c r="J8" s="64"/>
      <c r="K8" s="64"/>
      <c r="L8" s="64"/>
      <c r="M8" s="64"/>
      <c r="N8" s="64"/>
      <c r="O8" s="70">
        <f>SUM(C8:N8)</f>
        <v>144000</v>
      </c>
    </row>
    <row r="9" spans="1:15" ht="17.399999999999999" customHeight="1" x14ac:dyDescent="0.3">
      <c r="A9" s="154"/>
      <c r="B9" s="62" t="s">
        <v>140</v>
      </c>
      <c r="C9" s="63">
        <v>31640</v>
      </c>
      <c r="D9" s="70">
        <v>31640</v>
      </c>
      <c r="E9" s="107">
        <v>32360</v>
      </c>
      <c r="F9" s="70">
        <v>32450</v>
      </c>
      <c r="G9" s="64"/>
      <c r="H9" s="64"/>
      <c r="I9" s="64"/>
      <c r="J9" s="64"/>
      <c r="K9" s="64"/>
      <c r="L9" s="64"/>
      <c r="M9" s="64"/>
      <c r="N9" s="64"/>
      <c r="O9" s="70">
        <f t="shared" ref="O9:O19" si="0">SUM(C9:N9)</f>
        <v>128090</v>
      </c>
    </row>
    <row r="10" spans="1:15" ht="17.399999999999999" customHeight="1" x14ac:dyDescent="0.3">
      <c r="A10" s="154"/>
      <c r="B10" s="62" t="s">
        <v>141</v>
      </c>
      <c r="C10" s="63">
        <v>20000</v>
      </c>
      <c r="D10" s="70">
        <v>20000</v>
      </c>
      <c r="E10" s="107">
        <v>20000</v>
      </c>
      <c r="F10" s="70">
        <v>20000</v>
      </c>
      <c r="G10" s="64"/>
      <c r="H10" s="64"/>
      <c r="I10" s="64"/>
      <c r="J10" s="64"/>
      <c r="K10" s="64"/>
      <c r="L10" s="64"/>
      <c r="M10" s="64"/>
      <c r="N10" s="64"/>
      <c r="O10" s="70">
        <f t="shared" si="0"/>
        <v>80000</v>
      </c>
    </row>
    <row r="11" spans="1:15" ht="17.399999999999999" customHeight="1" x14ac:dyDescent="0.3">
      <c r="A11" s="154"/>
      <c r="B11" s="62" t="s">
        <v>1276</v>
      </c>
      <c r="C11" s="63">
        <v>0</v>
      </c>
      <c r="D11" s="70">
        <v>6000</v>
      </c>
      <c r="E11" s="107">
        <v>6000</v>
      </c>
      <c r="F11" s="70">
        <v>6000</v>
      </c>
      <c r="G11" s="64"/>
      <c r="H11" s="64"/>
      <c r="I11" s="64"/>
      <c r="J11" s="64"/>
      <c r="K11" s="64"/>
      <c r="L11" s="64"/>
      <c r="M11" s="64"/>
      <c r="N11" s="64"/>
      <c r="O11" s="70">
        <f t="shared" si="0"/>
        <v>18000</v>
      </c>
    </row>
    <row r="12" spans="1:15" ht="17.399999999999999" customHeight="1" x14ac:dyDescent="0.3">
      <c r="A12" s="154"/>
      <c r="B12" s="62" t="s">
        <v>142</v>
      </c>
      <c r="C12" s="63">
        <v>3317.72</v>
      </c>
      <c r="D12" s="70">
        <v>3041.64</v>
      </c>
      <c r="E12" s="107">
        <v>3580.56</v>
      </c>
      <c r="F12" s="70">
        <v>3301.88</v>
      </c>
      <c r="G12" s="64"/>
      <c r="H12" s="64"/>
      <c r="I12" s="64"/>
      <c r="J12" s="64"/>
      <c r="K12" s="64"/>
      <c r="L12" s="64"/>
      <c r="M12" s="64"/>
      <c r="N12" s="64"/>
      <c r="O12" s="70">
        <f t="shared" si="0"/>
        <v>13241.8</v>
      </c>
    </row>
    <row r="13" spans="1:15" ht="17.399999999999999" customHeight="1" x14ac:dyDescent="0.3">
      <c r="A13" s="154"/>
      <c r="B13" s="62" t="s">
        <v>143</v>
      </c>
      <c r="C13" s="63">
        <v>8000</v>
      </c>
      <c r="D13" s="70">
        <v>8000</v>
      </c>
      <c r="E13" s="107">
        <v>8000</v>
      </c>
      <c r="F13" s="70">
        <v>8000</v>
      </c>
      <c r="G13" s="64"/>
      <c r="H13" s="64"/>
      <c r="I13" s="64"/>
      <c r="J13" s="64"/>
      <c r="K13" s="64"/>
      <c r="L13" s="64"/>
      <c r="M13" s="64"/>
      <c r="N13" s="64"/>
      <c r="O13" s="70">
        <f t="shared" si="0"/>
        <v>32000</v>
      </c>
    </row>
    <row r="14" spans="1:15" ht="17.399999999999999" customHeight="1" x14ac:dyDescent="0.3">
      <c r="A14" s="154"/>
      <c r="B14" s="62" t="s">
        <v>1275</v>
      </c>
      <c r="C14" s="63">
        <v>52074.12</v>
      </c>
      <c r="D14" s="70">
        <v>54970.78</v>
      </c>
      <c r="E14" s="107">
        <v>57544.12</v>
      </c>
      <c r="F14" s="70">
        <v>58044.12</v>
      </c>
      <c r="G14" s="64"/>
      <c r="H14" s="64"/>
      <c r="I14" s="64"/>
      <c r="J14" s="64"/>
      <c r="K14" s="64"/>
      <c r="L14" s="64"/>
      <c r="M14" s="64"/>
      <c r="N14" s="64"/>
      <c r="O14" s="70">
        <f t="shared" si="0"/>
        <v>222633.13999999998</v>
      </c>
    </row>
    <row r="15" spans="1:15" ht="17.399999999999999" customHeight="1" x14ac:dyDescent="0.3">
      <c r="A15" s="154"/>
      <c r="B15" s="62" t="s">
        <v>145</v>
      </c>
      <c r="C15" s="63">
        <v>4500</v>
      </c>
      <c r="D15" s="70">
        <v>4500</v>
      </c>
      <c r="E15" s="107">
        <v>4500</v>
      </c>
      <c r="F15" s="70">
        <v>4500</v>
      </c>
      <c r="G15" s="64"/>
      <c r="H15" s="64"/>
      <c r="I15" s="64"/>
      <c r="J15" s="64"/>
      <c r="K15" s="64"/>
      <c r="L15" s="64"/>
      <c r="M15" s="64"/>
      <c r="N15" s="64"/>
      <c r="O15" s="70">
        <f t="shared" si="0"/>
        <v>18000</v>
      </c>
    </row>
    <row r="16" spans="1:15" ht="17.399999999999999" customHeight="1" x14ac:dyDescent="0.3">
      <c r="A16" s="154"/>
      <c r="B16" s="62" t="s">
        <v>1277</v>
      </c>
      <c r="C16" s="63">
        <v>2427768.04</v>
      </c>
      <c r="D16" s="70">
        <v>2446870.5699999998</v>
      </c>
      <c r="E16" s="107">
        <v>2569649.67</v>
      </c>
      <c r="F16" s="70">
        <v>2263489.33</v>
      </c>
      <c r="G16" s="64"/>
      <c r="H16" s="64"/>
      <c r="I16" s="64"/>
      <c r="J16" s="64"/>
      <c r="K16" s="64"/>
      <c r="L16" s="64"/>
      <c r="M16" s="64"/>
      <c r="N16" s="64"/>
      <c r="O16" s="70">
        <f>SUM(C16:N16)</f>
        <v>9707777.6099999994</v>
      </c>
    </row>
    <row r="17" spans="1:15" ht="17.399999999999999" customHeight="1" x14ac:dyDescent="0.3">
      <c r="A17" s="154"/>
      <c r="B17" s="62" t="s">
        <v>3783</v>
      </c>
      <c r="C17" s="63" t="s">
        <v>3784</v>
      </c>
      <c r="D17" s="70" t="s">
        <v>3784</v>
      </c>
      <c r="E17" s="107">
        <v>12774.2</v>
      </c>
      <c r="F17" s="70">
        <v>18000</v>
      </c>
      <c r="G17" s="64"/>
      <c r="H17" s="64"/>
      <c r="I17" s="64"/>
      <c r="J17" s="64"/>
      <c r="K17" s="64"/>
      <c r="L17" s="64"/>
      <c r="M17" s="64"/>
      <c r="N17" s="64"/>
      <c r="O17" s="70">
        <f t="shared" si="0"/>
        <v>30774.2</v>
      </c>
    </row>
    <row r="18" spans="1:15" ht="17.399999999999999" customHeight="1" x14ac:dyDescent="0.3">
      <c r="A18" s="154"/>
      <c r="B18" s="62" t="s">
        <v>144</v>
      </c>
      <c r="C18" s="63">
        <v>200</v>
      </c>
      <c r="D18" s="70">
        <v>5200</v>
      </c>
      <c r="E18" s="107">
        <f>13500+4744</f>
        <v>18244</v>
      </c>
      <c r="F18" s="70"/>
      <c r="G18" s="64"/>
      <c r="H18" s="64"/>
      <c r="I18" s="64"/>
      <c r="J18" s="64"/>
      <c r="K18" s="64"/>
      <c r="L18" s="64"/>
      <c r="M18" s="64"/>
      <c r="N18" s="64"/>
      <c r="O18" s="70">
        <f t="shared" si="0"/>
        <v>23644</v>
      </c>
    </row>
    <row r="19" spans="1:15" ht="17.399999999999999" customHeight="1" x14ac:dyDescent="0.3">
      <c r="A19" s="154"/>
      <c r="B19" s="62" t="s">
        <v>13</v>
      </c>
      <c r="C19" s="63">
        <f>SUM(C4:C18)</f>
        <v>5339574.8800000008</v>
      </c>
      <c r="D19" s="70">
        <f t="shared" ref="D19:N19" si="1">SUM(D4:D18)</f>
        <v>5726687.9900000002</v>
      </c>
      <c r="E19" s="107">
        <f t="shared" si="1"/>
        <v>5853027.5499999998</v>
      </c>
      <c r="F19" s="70">
        <f>SUM(F4:F18)</f>
        <v>5270275.8499999996</v>
      </c>
      <c r="G19" s="64">
        <f t="shared" si="1"/>
        <v>0</v>
      </c>
      <c r="H19" s="64">
        <f t="shared" si="1"/>
        <v>0</v>
      </c>
      <c r="I19" s="64">
        <f t="shared" si="1"/>
        <v>0</v>
      </c>
      <c r="J19" s="64">
        <f t="shared" si="1"/>
        <v>0</v>
      </c>
      <c r="K19" s="64">
        <f t="shared" si="1"/>
        <v>0</v>
      </c>
      <c r="L19" s="64">
        <f t="shared" si="1"/>
        <v>0</v>
      </c>
      <c r="M19" s="64">
        <f t="shared" si="1"/>
        <v>0</v>
      </c>
      <c r="N19" s="64">
        <f t="shared" si="1"/>
        <v>0</v>
      </c>
      <c r="O19" s="70">
        <f t="shared" si="0"/>
        <v>22189566.270000003</v>
      </c>
    </row>
    <row r="20" spans="1:15" x14ac:dyDescent="0.3">
      <c r="A20" s="60"/>
      <c r="B20" s="60"/>
      <c r="C20" s="61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</row>
  </sheetData>
  <mergeCells count="3">
    <mergeCell ref="A1:O1"/>
    <mergeCell ref="A3:B3"/>
    <mergeCell ref="A4:A19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F14E5-63AF-4626-887A-E20AC1DAB7DF}">
  <dimension ref="A1:U759"/>
  <sheetViews>
    <sheetView topLeftCell="A735" workbookViewId="0">
      <selection activeCell="B762" sqref="B762"/>
    </sheetView>
  </sheetViews>
  <sheetFormatPr defaultRowHeight="14.4" x14ac:dyDescent="0.3"/>
  <cols>
    <col min="1" max="1" width="5.5546875" customWidth="1"/>
    <col min="2" max="2" width="46.77734375" bestFit="1" customWidth="1"/>
    <col min="3" max="3" width="34.88671875" bestFit="1" customWidth="1"/>
    <col min="4" max="4" width="13.88671875" bestFit="1" customWidth="1"/>
    <col min="5" max="5" width="44.33203125" bestFit="1" customWidth="1"/>
    <col min="6" max="6" width="43" bestFit="1" customWidth="1"/>
    <col min="7" max="7" width="22.77734375" bestFit="1" customWidth="1"/>
    <col min="8" max="8" width="27.77734375" bestFit="1" customWidth="1"/>
    <col min="9" max="9" width="19" bestFit="1" customWidth="1"/>
    <col min="10" max="10" width="9.33203125" style="85" bestFit="1" customWidth="1"/>
    <col min="11" max="11" width="10.5546875" style="85" bestFit="1" customWidth="1"/>
    <col min="12" max="12" width="14.33203125" style="85" bestFit="1" customWidth="1"/>
    <col min="13" max="13" width="21.109375" style="100" bestFit="1" customWidth="1"/>
    <col min="14" max="14" width="21.21875" style="100" bestFit="1" customWidth="1"/>
    <col min="15" max="15" width="18.77734375" style="100" bestFit="1" customWidth="1"/>
    <col min="16" max="16" width="19.44140625" style="102" bestFit="1" customWidth="1"/>
    <col min="17" max="17" width="19.5546875" style="102" bestFit="1" customWidth="1"/>
    <col min="18" max="18" width="17" style="102" bestFit="1" customWidth="1"/>
    <col min="19" max="19" width="21.109375" style="100" bestFit="1" customWidth="1"/>
    <col min="20" max="20" width="21.21875" style="100" bestFit="1" customWidth="1"/>
    <col min="21" max="21" width="18.77734375" style="100" bestFit="1" customWidth="1"/>
  </cols>
  <sheetData>
    <row r="1" spans="1:21" s="85" customFormat="1" ht="15" thickBot="1" x14ac:dyDescent="0.35">
      <c r="A1" s="82" t="s">
        <v>146</v>
      </c>
      <c r="B1" s="83" t="s">
        <v>147</v>
      </c>
      <c r="C1" s="83" t="s">
        <v>148</v>
      </c>
      <c r="D1" s="83" t="s">
        <v>1274</v>
      </c>
      <c r="E1" s="83" t="s">
        <v>834</v>
      </c>
      <c r="F1" s="81" t="s">
        <v>1270</v>
      </c>
      <c r="G1" s="81" t="s">
        <v>1271</v>
      </c>
      <c r="H1" s="84" t="s">
        <v>1273</v>
      </c>
      <c r="I1" s="97" t="s">
        <v>1272</v>
      </c>
      <c r="J1" s="98" t="s">
        <v>1390</v>
      </c>
      <c r="K1" s="98" t="s">
        <v>1389</v>
      </c>
      <c r="L1" s="98" t="s">
        <v>3780</v>
      </c>
      <c r="M1" s="103" t="s">
        <v>1391</v>
      </c>
      <c r="N1" s="99" t="s">
        <v>1392</v>
      </c>
      <c r="O1" s="103" t="s">
        <v>1393</v>
      </c>
      <c r="P1" s="101" t="s">
        <v>1394</v>
      </c>
      <c r="Q1" s="101" t="s">
        <v>1395</v>
      </c>
      <c r="R1" s="101" t="s">
        <v>1396</v>
      </c>
      <c r="S1" s="103" t="s">
        <v>3828</v>
      </c>
      <c r="T1" s="99" t="s">
        <v>3829</v>
      </c>
      <c r="U1" s="103" t="s">
        <v>3830</v>
      </c>
    </row>
    <row r="2" spans="1:21" ht="15" thickBot="1" x14ac:dyDescent="0.35">
      <c r="A2" s="117">
        <v>1</v>
      </c>
      <c r="B2" s="118" t="s">
        <v>149</v>
      </c>
      <c r="C2" s="118" t="s">
        <v>150</v>
      </c>
      <c r="D2" s="118" t="s">
        <v>2636</v>
      </c>
      <c r="E2" s="118" t="s">
        <v>151</v>
      </c>
      <c r="F2" s="119"/>
      <c r="G2" s="118"/>
      <c r="H2" s="120"/>
      <c r="I2" s="121"/>
      <c r="J2" s="110" t="s">
        <v>1397</v>
      </c>
      <c r="K2" s="110" t="s">
        <v>1398</v>
      </c>
      <c r="L2" s="110" t="s">
        <v>3781</v>
      </c>
      <c r="M2" s="111" t="s">
        <v>1399</v>
      </c>
      <c r="N2" s="111" t="s">
        <v>1400</v>
      </c>
      <c r="O2" s="111" t="s">
        <v>1401</v>
      </c>
      <c r="P2" s="112" t="s">
        <v>1570</v>
      </c>
      <c r="Q2" s="112" t="s">
        <v>1534</v>
      </c>
      <c r="R2" s="112" t="s">
        <v>1571</v>
      </c>
      <c r="S2" s="144">
        <v>1681.94</v>
      </c>
      <c r="T2" s="111">
        <v>538.45000000000005</v>
      </c>
      <c r="U2" s="144">
        <v>1143.49</v>
      </c>
    </row>
    <row r="3" spans="1:21" ht="15" thickBot="1" x14ac:dyDescent="0.35">
      <c r="A3" s="117">
        <v>2</v>
      </c>
      <c r="B3" s="118" t="s">
        <v>152</v>
      </c>
      <c r="C3" s="118" t="s">
        <v>153</v>
      </c>
      <c r="D3" s="118" t="s">
        <v>2637</v>
      </c>
      <c r="E3" s="118" t="s">
        <v>154</v>
      </c>
      <c r="F3" s="119"/>
      <c r="G3" s="118"/>
      <c r="H3" s="120"/>
      <c r="I3" s="121"/>
      <c r="J3" s="110" t="s">
        <v>1402</v>
      </c>
      <c r="K3" s="110" t="s">
        <v>1403</v>
      </c>
      <c r="L3" s="110" t="s">
        <v>3781</v>
      </c>
      <c r="M3" s="111" t="s">
        <v>1404</v>
      </c>
      <c r="N3" s="111" t="s">
        <v>1405</v>
      </c>
      <c r="O3" s="111" t="s">
        <v>1406</v>
      </c>
      <c r="P3" s="112" t="s">
        <v>1792</v>
      </c>
      <c r="Q3" s="112" t="s">
        <v>1793</v>
      </c>
      <c r="R3" s="112" t="s">
        <v>1794</v>
      </c>
      <c r="S3" s="144">
        <v>4369.4399999999996</v>
      </c>
      <c r="T3" s="111">
        <v>413.22</v>
      </c>
      <c r="U3" s="144">
        <v>3956.22</v>
      </c>
    </row>
    <row r="4" spans="1:21" ht="15" thickBot="1" x14ac:dyDescent="0.35">
      <c r="A4" s="117">
        <v>3</v>
      </c>
      <c r="B4" s="118" t="s">
        <v>155</v>
      </c>
      <c r="C4" s="118" t="s">
        <v>150</v>
      </c>
      <c r="D4" s="118" t="s">
        <v>2638</v>
      </c>
      <c r="E4" s="118" t="s">
        <v>156</v>
      </c>
      <c r="F4" s="119"/>
      <c r="G4" s="118"/>
      <c r="H4" s="120"/>
      <c r="I4" s="121"/>
      <c r="J4" s="110" t="s">
        <v>1407</v>
      </c>
      <c r="K4" s="110" t="s">
        <v>1403</v>
      </c>
      <c r="L4" s="110" t="s">
        <v>3781</v>
      </c>
      <c r="M4" s="111" t="s">
        <v>1399</v>
      </c>
      <c r="N4" s="111" t="s">
        <v>1400</v>
      </c>
      <c r="O4" s="111" t="s">
        <v>1401</v>
      </c>
      <c r="P4" s="112" t="s">
        <v>1570</v>
      </c>
      <c r="Q4" s="112" t="s">
        <v>1534</v>
      </c>
      <c r="R4" s="112" t="s">
        <v>1571</v>
      </c>
      <c r="S4" s="144">
        <v>1684.8</v>
      </c>
      <c r="T4" s="111">
        <v>127.31</v>
      </c>
      <c r="U4" s="144">
        <v>1557.49</v>
      </c>
    </row>
    <row r="5" spans="1:21" ht="15" thickBot="1" x14ac:dyDescent="0.35">
      <c r="A5" s="117">
        <v>4</v>
      </c>
      <c r="B5" s="122" t="s">
        <v>157</v>
      </c>
      <c r="C5" s="118" t="s">
        <v>158</v>
      </c>
      <c r="D5" s="118"/>
      <c r="E5" s="118" t="s">
        <v>159</v>
      </c>
      <c r="F5" s="119"/>
      <c r="G5" s="118"/>
      <c r="H5" s="120"/>
      <c r="I5" s="121"/>
      <c r="J5" s="123" t="s">
        <v>3766</v>
      </c>
      <c r="K5" s="110" t="s">
        <v>3767</v>
      </c>
      <c r="L5" s="110" t="s">
        <v>3781</v>
      </c>
      <c r="M5" s="111"/>
      <c r="N5" s="111"/>
      <c r="O5" s="111"/>
      <c r="P5" s="112" t="s">
        <v>3211</v>
      </c>
      <c r="Q5" s="112" t="s">
        <v>3364</v>
      </c>
      <c r="R5" s="112" t="s">
        <v>3560</v>
      </c>
      <c r="S5" s="144">
        <v>3328.42</v>
      </c>
      <c r="T5" s="111">
        <v>287.99</v>
      </c>
      <c r="U5" s="144">
        <v>3040.43</v>
      </c>
    </row>
    <row r="6" spans="1:21" ht="15" thickBot="1" x14ac:dyDescent="0.35">
      <c r="A6" s="117">
        <v>5</v>
      </c>
      <c r="B6" s="118" t="s">
        <v>160</v>
      </c>
      <c r="C6" s="118" t="s">
        <v>150</v>
      </c>
      <c r="D6" s="118" t="s">
        <v>2639</v>
      </c>
      <c r="E6" s="118" t="s">
        <v>161</v>
      </c>
      <c r="F6" s="119"/>
      <c r="G6" s="118"/>
      <c r="H6" s="120"/>
      <c r="I6" s="121"/>
      <c r="J6" s="110" t="s">
        <v>1408</v>
      </c>
      <c r="K6" s="110" t="s">
        <v>1403</v>
      </c>
      <c r="L6" s="110" t="s">
        <v>3781</v>
      </c>
      <c r="M6" s="111" t="s">
        <v>1409</v>
      </c>
      <c r="N6" s="111" t="s">
        <v>1410</v>
      </c>
      <c r="O6" s="111" t="s">
        <v>1411</v>
      </c>
      <c r="P6" s="112" t="s">
        <v>3212</v>
      </c>
      <c r="Q6" s="112" t="s">
        <v>1534</v>
      </c>
      <c r="R6" s="112" t="s">
        <v>3561</v>
      </c>
      <c r="S6" s="144">
        <v>1884.56</v>
      </c>
      <c r="T6" s="111">
        <v>127.05</v>
      </c>
      <c r="U6" s="144">
        <v>1757.51</v>
      </c>
    </row>
    <row r="7" spans="1:21" ht="15" thickBot="1" x14ac:dyDescent="0.35">
      <c r="A7" s="117">
        <v>6</v>
      </c>
      <c r="B7" s="118" t="s">
        <v>162</v>
      </c>
      <c r="C7" s="118" t="s">
        <v>158</v>
      </c>
      <c r="D7" s="118" t="s">
        <v>2640</v>
      </c>
      <c r="E7" s="118" t="s">
        <v>163</v>
      </c>
      <c r="F7" s="119"/>
      <c r="G7" s="118"/>
      <c r="H7" s="120"/>
      <c r="I7" s="121"/>
      <c r="J7" s="110" t="s">
        <v>1412</v>
      </c>
      <c r="K7" s="110" t="s">
        <v>1403</v>
      </c>
      <c r="L7" s="110" t="s">
        <v>3781</v>
      </c>
      <c r="M7" s="111" t="s">
        <v>1413</v>
      </c>
      <c r="N7" s="111" t="s">
        <v>1414</v>
      </c>
      <c r="O7" s="111" t="s">
        <v>1415</v>
      </c>
      <c r="P7" s="112" t="s">
        <v>3213</v>
      </c>
      <c r="Q7" s="112" t="s">
        <v>3365</v>
      </c>
      <c r="R7" s="112" t="s">
        <v>3562</v>
      </c>
      <c r="S7" s="144">
        <v>3504.93</v>
      </c>
      <c r="T7" s="111">
        <v>309.18</v>
      </c>
      <c r="U7" s="144">
        <v>3195.75</v>
      </c>
    </row>
    <row r="8" spans="1:21" ht="15" thickBot="1" x14ac:dyDescent="0.35">
      <c r="A8" s="117">
        <v>7</v>
      </c>
      <c r="B8" s="118" t="s">
        <v>164</v>
      </c>
      <c r="C8" s="118" t="s">
        <v>150</v>
      </c>
      <c r="D8" s="118" t="s">
        <v>2641</v>
      </c>
      <c r="E8" s="118" t="s">
        <v>154</v>
      </c>
      <c r="F8" s="119"/>
      <c r="G8" s="118"/>
      <c r="H8" s="120"/>
      <c r="I8" s="121"/>
      <c r="J8" s="110" t="s">
        <v>1416</v>
      </c>
      <c r="K8" s="110" t="s">
        <v>1403</v>
      </c>
      <c r="L8" s="110" t="s">
        <v>3781</v>
      </c>
      <c r="M8" s="111" t="s">
        <v>1399</v>
      </c>
      <c r="N8" s="111" t="s">
        <v>1400</v>
      </c>
      <c r="O8" s="111" t="s">
        <v>1401</v>
      </c>
      <c r="P8" s="112" t="s">
        <v>1570</v>
      </c>
      <c r="Q8" s="112" t="s">
        <v>1534</v>
      </c>
      <c r="R8" s="112" t="s">
        <v>1571</v>
      </c>
      <c r="S8" s="144">
        <v>1681.94</v>
      </c>
      <c r="T8" s="111">
        <v>127.05</v>
      </c>
      <c r="U8" s="144">
        <v>1554.89</v>
      </c>
    </row>
    <row r="9" spans="1:21" ht="15" thickBot="1" x14ac:dyDescent="0.35">
      <c r="A9" s="117">
        <v>8</v>
      </c>
      <c r="B9" s="118" t="s">
        <v>165</v>
      </c>
      <c r="C9" s="118" t="s">
        <v>166</v>
      </c>
      <c r="D9" s="118" t="s">
        <v>2642</v>
      </c>
      <c r="E9" s="118" t="s">
        <v>163</v>
      </c>
      <c r="F9" s="119"/>
      <c r="G9" s="118"/>
      <c r="H9" s="120"/>
      <c r="I9" s="121"/>
      <c r="J9" s="110" t="s">
        <v>1417</v>
      </c>
      <c r="K9" s="110" t="s">
        <v>1398</v>
      </c>
      <c r="L9" s="110" t="s">
        <v>3781</v>
      </c>
      <c r="M9" s="111" t="s">
        <v>1418</v>
      </c>
      <c r="N9" s="111" t="s">
        <v>1419</v>
      </c>
      <c r="O9" s="111" t="s">
        <v>1420</v>
      </c>
      <c r="P9" s="112" t="s">
        <v>3214</v>
      </c>
      <c r="Q9" s="112" t="s">
        <v>3366</v>
      </c>
      <c r="R9" s="112" t="s">
        <v>3563</v>
      </c>
      <c r="S9" s="144">
        <v>5277.25</v>
      </c>
      <c r="T9" s="111">
        <v>639.86</v>
      </c>
      <c r="U9" s="144">
        <v>4637.3900000000003</v>
      </c>
    </row>
    <row r="10" spans="1:21" ht="15" thickBot="1" x14ac:dyDescent="0.35">
      <c r="A10" s="117">
        <v>9</v>
      </c>
      <c r="B10" s="118" t="s">
        <v>167</v>
      </c>
      <c r="C10" s="118" t="s">
        <v>150</v>
      </c>
      <c r="D10" s="118" t="s">
        <v>2643</v>
      </c>
      <c r="E10" s="118" t="s">
        <v>168</v>
      </c>
      <c r="F10" s="119"/>
      <c r="G10" s="118"/>
      <c r="H10" s="120"/>
      <c r="I10" s="121"/>
      <c r="J10" s="110" t="s">
        <v>1421</v>
      </c>
      <c r="K10" s="110" t="s">
        <v>1403</v>
      </c>
      <c r="L10" s="110" t="s">
        <v>3781</v>
      </c>
      <c r="M10" s="111" t="s">
        <v>1422</v>
      </c>
      <c r="N10" s="111" t="s">
        <v>1400</v>
      </c>
      <c r="O10" s="111" t="s">
        <v>1423</v>
      </c>
      <c r="P10" s="112" t="s">
        <v>1671</v>
      </c>
      <c r="Q10" s="112" t="s">
        <v>3367</v>
      </c>
      <c r="R10" s="112" t="s">
        <v>3564</v>
      </c>
      <c r="S10" s="144">
        <v>2186.52</v>
      </c>
      <c r="T10" s="111">
        <v>644.08000000000004</v>
      </c>
      <c r="U10" s="144">
        <v>1542.44</v>
      </c>
    </row>
    <row r="11" spans="1:21" ht="15" thickBot="1" x14ac:dyDescent="0.35">
      <c r="A11" s="117">
        <v>10</v>
      </c>
      <c r="B11" s="118" t="s">
        <v>169</v>
      </c>
      <c r="C11" s="118" t="s">
        <v>158</v>
      </c>
      <c r="D11" s="118" t="s">
        <v>2644</v>
      </c>
      <c r="E11" s="118" t="s">
        <v>170</v>
      </c>
      <c r="F11" s="119"/>
      <c r="G11" s="118"/>
      <c r="H11" s="120"/>
      <c r="I11" s="121"/>
      <c r="J11" s="110" t="s">
        <v>1424</v>
      </c>
      <c r="K11" s="110" t="s">
        <v>1398</v>
      </c>
      <c r="L11" s="110" t="s">
        <v>3781</v>
      </c>
      <c r="M11" s="111" t="s">
        <v>1425</v>
      </c>
      <c r="N11" s="111" t="s">
        <v>1426</v>
      </c>
      <c r="O11" s="111" t="s">
        <v>1427</v>
      </c>
      <c r="P11" s="112" t="s">
        <v>3215</v>
      </c>
      <c r="Q11" s="112" t="s">
        <v>3368</v>
      </c>
      <c r="R11" s="112" t="s">
        <v>3565</v>
      </c>
      <c r="S11" s="144">
        <v>3433.45</v>
      </c>
      <c r="T11" s="111">
        <v>300.60000000000002</v>
      </c>
      <c r="U11" s="144">
        <v>3132.85</v>
      </c>
    </row>
    <row r="12" spans="1:21" ht="15" thickBot="1" x14ac:dyDescent="0.35">
      <c r="A12" s="117">
        <v>11</v>
      </c>
      <c r="B12" s="118" t="s">
        <v>171</v>
      </c>
      <c r="C12" s="118" t="s">
        <v>150</v>
      </c>
      <c r="D12" s="118" t="s">
        <v>2645</v>
      </c>
      <c r="E12" s="118" t="s">
        <v>163</v>
      </c>
      <c r="F12" s="119"/>
      <c r="G12" s="118"/>
      <c r="H12" s="120"/>
      <c r="I12" s="121"/>
      <c r="J12" s="110" t="s">
        <v>1428</v>
      </c>
      <c r="K12" s="110" t="s">
        <v>1403</v>
      </c>
      <c r="L12" s="110" t="s">
        <v>3781</v>
      </c>
      <c r="M12" s="111" t="s">
        <v>1429</v>
      </c>
      <c r="N12" s="111" t="s">
        <v>1430</v>
      </c>
      <c r="O12" s="111" t="s">
        <v>1431</v>
      </c>
      <c r="P12" s="112" t="s">
        <v>3216</v>
      </c>
      <c r="Q12" s="112" t="s">
        <v>3369</v>
      </c>
      <c r="R12" s="112" t="s">
        <v>3566</v>
      </c>
      <c r="S12" s="144">
        <v>1781.92</v>
      </c>
      <c r="T12" s="111">
        <v>129.97</v>
      </c>
      <c r="U12" s="144">
        <v>1651.95</v>
      </c>
    </row>
    <row r="13" spans="1:21" ht="15" thickBot="1" x14ac:dyDescent="0.35">
      <c r="A13" s="117">
        <v>12</v>
      </c>
      <c r="B13" s="118" t="s">
        <v>172</v>
      </c>
      <c r="C13" s="118" t="s">
        <v>150</v>
      </c>
      <c r="D13" s="118" t="s">
        <v>2646</v>
      </c>
      <c r="E13" s="118" t="s">
        <v>173</v>
      </c>
      <c r="F13" s="119"/>
      <c r="G13" s="118"/>
      <c r="H13" s="120"/>
      <c r="I13" s="121"/>
      <c r="J13" s="110" t="s">
        <v>1432</v>
      </c>
      <c r="K13" s="110" t="s">
        <v>1403</v>
      </c>
      <c r="L13" s="110" t="s">
        <v>3781</v>
      </c>
      <c r="M13" s="111" t="s">
        <v>1433</v>
      </c>
      <c r="N13" s="111" t="s">
        <v>1434</v>
      </c>
      <c r="O13" s="111" t="s">
        <v>1435</v>
      </c>
      <c r="P13" s="112" t="s">
        <v>3217</v>
      </c>
      <c r="Q13" s="112" t="s">
        <v>3370</v>
      </c>
      <c r="R13" s="112" t="s">
        <v>3567</v>
      </c>
      <c r="S13" s="144">
        <v>1698.16</v>
      </c>
      <c r="T13" s="111">
        <v>586.16</v>
      </c>
      <c r="U13" s="144">
        <v>1112</v>
      </c>
    </row>
    <row r="14" spans="1:21" ht="15" thickBot="1" x14ac:dyDescent="0.35">
      <c r="A14" s="117">
        <v>13</v>
      </c>
      <c r="B14" s="118" t="s">
        <v>174</v>
      </c>
      <c r="C14" s="118" t="s">
        <v>150</v>
      </c>
      <c r="D14" s="118" t="s">
        <v>2647</v>
      </c>
      <c r="E14" s="118" t="s">
        <v>163</v>
      </c>
      <c r="F14" s="119"/>
      <c r="G14" s="118"/>
      <c r="H14" s="120"/>
      <c r="I14" s="121"/>
      <c r="J14" s="110" t="s">
        <v>1436</v>
      </c>
      <c r="K14" s="110" t="s">
        <v>1398</v>
      </c>
      <c r="L14" s="110" t="s">
        <v>3781</v>
      </c>
      <c r="M14" s="111" t="s">
        <v>1437</v>
      </c>
      <c r="N14" s="111" t="s">
        <v>1438</v>
      </c>
      <c r="O14" s="111" t="s">
        <v>1439</v>
      </c>
      <c r="P14" s="112" t="s">
        <v>3218</v>
      </c>
      <c r="Q14" s="112" t="s">
        <v>3371</v>
      </c>
      <c r="R14" s="112" t="s">
        <v>3568</v>
      </c>
      <c r="S14" s="144">
        <v>1978.4</v>
      </c>
      <c r="T14" s="111">
        <v>147.65</v>
      </c>
      <c r="U14" s="144">
        <v>1830.75</v>
      </c>
    </row>
    <row r="15" spans="1:21" ht="15" thickBot="1" x14ac:dyDescent="0.35">
      <c r="A15" s="117">
        <v>14</v>
      </c>
      <c r="B15" s="118" t="s">
        <v>175</v>
      </c>
      <c r="C15" s="118" t="s">
        <v>150</v>
      </c>
      <c r="D15" s="118" t="s">
        <v>2648</v>
      </c>
      <c r="E15" s="118" t="s">
        <v>170</v>
      </c>
      <c r="F15" s="119"/>
      <c r="G15" s="118"/>
      <c r="H15" s="120"/>
      <c r="I15" s="121"/>
      <c r="J15" s="110" t="s">
        <v>1440</v>
      </c>
      <c r="K15" s="110" t="s">
        <v>1403</v>
      </c>
      <c r="L15" s="110" t="s">
        <v>3781</v>
      </c>
      <c r="M15" s="111" t="s">
        <v>1441</v>
      </c>
      <c r="N15" s="111" t="s">
        <v>1400</v>
      </c>
      <c r="O15" s="111" t="s">
        <v>1442</v>
      </c>
      <c r="P15" s="112" t="s">
        <v>1776</v>
      </c>
      <c r="Q15" s="112" t="s">
        <v>3372</v>
      </c>
      <c r="R15" s="112" t="s">
        <v>3569</v>
      </c>
      <c r="S15" s="144">
        <v>1817.02</v>
      </c>
      <c r="T15" s="111">
        <v>539.30999999999995</v>
      </c>
      <c r="U15" s="144">
        <v>1277.71</v>
      </c>
    </row>
    <row r="16" spans="1:21" ht="15" thickBot="1" x14ac:dyDescent="0.35">
      <c r="A16" s="117">
        <v>15</v>
      </c>
      <c r="B16" s="118" t="s">
        <v>176</v>
      </c>
      <c r="C16" s="118" t="s">
        <v>158</v>
      </c>
      <c r="D16" s="118" t="s">
        <v>2649</v>
      </c>
      <c r="E16" s="118" t="s">
        <v>177</v>
      </c>
      <c r="F16" s="119"/>
      <c r="G16" s="118"/>
      <c r="H16" s="120"/>
      <c r="I16" s="121"/>
      <c r="J16" s="110" t="s">
        <v>1443</v>
      </c>
      <c r="K16" s="110" t="s">
        <v>1444</v>
      </c>
      <c r="L16" s="110" t="s">
        <v>3781</v>
      </c>
      <c r="M16" s="111" t="s">
        <v>1425</v>
      </c>
      <c r="N16" s="111" t="s">
        <v>1426</v>
      </c>
      <c r="O16" s="111" t="s">
        <v>1427</v>
      </c>
      <c r="P16" s="112" t="s">
        <v>3215</v>
      </c>
      <c r="Q16" s="112" t="s">
        <v>2424</v>
      </c>
      <c r="R16" s="112" t="s">
        <v>3570</v>
      </c>
      <c r="S16" s="144">
        <v>3757.71</v>
      </c>
      <c r="T16" s="111">
        <v>339.51</v>
      </c>
      <c r="U16" s="144">
        <v>3418.2</v>
      </c>
    </row>
    <row r="17" spans="1:21" ht="15" thickBot="1" x14ac:dyDescent="0.35">
      <c r="A17" s="117">
        <v>16</v>
      </c>
      <c r="B17" s="118" t="s">
        <v>178</v>
      </c>
      <c r="C17" s="118" t="s">
        <v>179</v>
      </c>
      <c r="D17" s="118" t="s">
        <v>2650</v>
      </c>
      <c r="E17" s="118" t="s">
        <v>180</v>
      </c>
      <c r="F17" s="119"/>
      <c r="G17" s="118"/>
      <c r="H17" s="120"/>
      <c r="I17" s="121"/>
      <c r="J17" s="110" t="s">
        <v>1445</v>
      </c>
      <c r="K17" s="110" t="s">
        <v>1403</v>
      </c>
      <c r="L17" s="110" t="s">
        <v>3781</v>
      </c>
      <c r="M17" s="111" t="s">
        <v>1446</v>
      </c>
      <c r="N17" s="111" t="s">
        <v>1447</v>
      </c>
      <c r="O17" s="111" t="s">
        <v>1448</v>
      </c>
      <c r="P17" s="112" t="s">
        <v>1446</v>
      </c>
      <c r="Q17" s="112" t="s">
        <v>3373</v>
      </c>
      <c r="R17" s="112" t="s">
        <v>3571</v>
      </c>
      <c r="S17" s="144">
        <v>5564</v>
      </c>
      <c r="T17" s="144">
        <v>2258.52</v>
      </c>
      <c r="U17" s="144">
        <v>3305.48</v>
      </c>
    </row>
    <row r="18" spans="1:21" ht="15" thickBot="1" x14ac:dyDescent="0.35">
      <c r="A18" s="117">
        <v>17</v>
      </c>
      <c r="B18" s="118" t="s">
        <v>181</v>
      </c>
      <c r="C18" s="118" t="s">
        <v>158</v>
      </c>
      <c r="D18" s="118" t="s">
        <v>2651</v>
      </c>
      <c r="E18" s="118" t="s">
        <v>182</v>
      </c>
      <c r="F18" s="119"/>
      <c r="G18" s="118"/>
      <c r="H18" s="120"/>
      <c r="I18" s="121"/>
      <c r="J18" s="110" t="s">
        <v>1449</v>
      </c>
      <c r="K18" s="110" t="s">
        <v>1403</v>
      </c>
      <c r="L18" s="110" t="s">
        <v>3781</v>
      </c>
      <c r="M18" s="111" t="s">
        <v>1425</v>
      </c>
      <c r="N18" s="111" t="s">
        <v>1426</v>
      </c>
      <c r="O18" s="111" t="s">
        <v>1427</v>
      </c>
      <c r="P18" s="112" t="s">
        <v>3215</v>
      </c>
      <c r="Q18" s="112" t="s">
        <v>2424</v>
      </c>
      <c r="R18" s="112" t="s">
        <v>3570</v>
      </c>
      <c r="S18" s="144">
        <v>3433.34</v>
      </c>
      <c r="T18" s="111">
        <v>300.58999999999997</v>
      </c>
      <c r="U18" s="144">
        <v>3132.75</v>
      </c>
    </row>
    <row r="19" spans="1:21" ht="15" thickBot="1" x14ac:dyDescent="0.35">
      <c r="A19" s="117">
        <v>18</v>
      </c>
      <c r="B19" s="118" t="s">
        <v>183</v>
      </c>
      <c r="C19" s="118" t="s">
        <v>184</v>
      </c>
      <c r="D19" s="118" t="s">
        <v>2652</v>
      </c>
      <c r="E19" s="118" t="s">
        <v>185</v>
      </c>
      <c r="F19" s="119"/>
      <c r="G19" s="118"/>
      <c r="H19" s="120"/>
      <c r="I19" s="121"/>
      <c r="J19" s="110" t="s">
        <v>1450</v>
      </c>
      <c r="K19" s="110" t="s">
        <v>1403</v>
      </c>
      <c r="L19" s="110" t="s">
        <v>3781</v>
      </c>
      <c r="M19" s="111" t="s">
        <v>1451</v>
      </c>
      <c r="N19" s="111" t="s">
        <v>1452</v>
      </c>
      <c r="O19" s="111" t="s">
        <v>1453</v>
      </c>
      <c r="P19" s="112" t="s">
        <v>1451</v>
      </c>
      <c r="Q19" s="112" t="s">
        <v>1452</v>
      </c>
      <c r="R19" s="112" t="s">
        <v>1453</v>
      </c>
      <c r="S19" s="144">
        <v>3818.4</v>
      </c>
      <c r="T19" s="111">
        <v>563.57000000000005</v>
      </c>
      <c r="U19" s="144">
        <v>3254.83</v>
      </c>
    </row>
    <row r="20" spans="1:21" ht="15" thickBot="1" x14ac:dyDescent="0.35">
      <c r="A20" s="117">
        <v>19</v>
      </c>
      <c r="B20" s="118" t="s">
        <v>186</v>
      </c>
      <c r="C20" s="118" t="s">
        <v>150</v>
      </c>
      <c r="D20" s="118" t="s">
        <v>2653</v>
      </c>
      <c r="E20" s="118" t="s">
        <v>187</v>
      </c>
      <c r="F20" s="119"/>
      <c r="G20" s="118"/>
      <c r="H20" s="120"/>
      <c r="I20" s="121"/>
      <c r="J20" s="110" t="s">
        <v>1454</v>
      </c>
      <c r="K20" s="110" t="s">
        <v>1403</v>
      </c>
      <c r="L20" s="110" t="s">
        <v>3781</v>
      </c>
      <c r="M20" s="111" t="s">
        <v>1422</v>
      </c>
      <c r="N20" s="111" t="s">
        <v>1400</v>
      </c>
      <c r="O20" s="111" t="s">
        <v>1423</v>
      </c>
      <c r="P20" s="112" t="s">
        <v>1671</v>
      </c>
      <c r="Q20" s="112" t="s">
        <v>1534</v>
      </c>
      <c r="R20" s="112" t="s">
        <v>1672</v>
      </c>
      <c r="S20" s="144">
        <v>1749.48</v>
      </c>
      <c r="T20" s="111">
        <v>127.05</v>
      </c>
      <c r="U20" s="144">
        <v>1622.43</v>
      </c>
    </row>
    <row r="21" spans="1:21" ht="15" thickBot="1" x14ac:dyDescent="0.35">
      <c r="A21" s="117">
        <v>20</v>
      </c>
      <c r="B21" s="118" t="s">
        <v>188</v>
      </c>
      <c r="C21" s="118" t="s">
        <v>158</v>
      </c>
      <c r="D21" s="118" t="s">
        <v>2654</v>
      </c>
      <c r="E21" s="118" t="s">
        <v>161</v>
      </c>
      <c r="F21" s="119"/>
      <c r="G21" s="118"/>
      <c r="H21" s="120"/>
      <c r="I21" s="121"/>
      <c r="J21" s="110" t="s">
        <v>1455</v>
      </c>
      <c r="K21" s="110" t="s">
        <v>1403</v>
      </c>
      <c r="L21" s="110" t="s">
        <v>3781</v>
      </c>
      <c r="M21" s="111" t="s">
        <v>1456</v>
      </c>
      <c r="N21" s="111" t="s">
        <v>1457</v>
      </c>
      <c r="O21" s="111" t="s">
        <v>1458</v>
      </c>
      <c r="P21" s="112" t="s">
        <v>3219</v>
      </c>
      <c r="Q21" s="112" t="s">
        <v>3374</v>
      </c>
      <c r="R21" s="112" t="s">
        <v>3572</v>
      </c>
      <c r="S21" s="144">
        <v>3093.84</v>
      </c>
      <c r="T21" s="111">
        <v>259.85000000000002</v>
      </c>
      <c r="U21" s="144">
        <v>2833.99</v>
      </c>
    </row>
    <row r="22" spans="1:21" ht="15" thickBot="1" x14ac:dyDescent="0.35">
      <c r="A22" s="117">
        <v>21</v>
      </c>
      <c r="B22" s="118" t="s">
        <v>189</v>
      </c>
      <c r="C22" s="118" t="s">
        <v>158</v>
      </c>
      <c r="D22" s="118" t="s">
        <v>2655</v>
      </c>
      <c r="E22" s="118" t="s">
        <v>163</v>
      </c>
      <c r="F22" s="119"/>
      <c r="G22" s="118"/>
      <c r="H22" s="120"/>
      <c r="I22" s="121"/>
      <c r="J22" s="110" t="s">
        <v>1459</v>
      </c>
      <c r="K22" s="110" t="s">
        <v>1403</v>
      </c>
      <c r="L22" s="110" t="s">
        <v>3781</v>
      </c>
      <c r="M22" s="111" t="s">
        <v>1456</v>
      </c>
      <c r="N22" s="111" t="s">
        <v>1457</v>
      </c>
      <c r="O22" s="111" t="s">
        <v>1458</v>
      </c>
      <c r="P22" s="112" t="s">
        <v>3219</v>
      </c>
      <c r="Q22" s="112" t="s">
        <v>3374</v>
      </c>
      <c r="R22" s="112" t="s">
        <v>3572</v>
      </c>
      <c r="S22" s="144">
        <v>3092.36</v>
      </c>
      <c r="T22" s="111">
        <v>259.67</v>
      </c>
      <c r="U22" s="144">
        <v>2832.69</v>
      </c>
    </row>
    <row r="23" spans="1:21" ht="15" thickBot="1" x14ac:dyDescent="0.35">
      <c r="A23" s="117">
        <v>22</v>
      </c>
      <c r="B23" s="118" t="s">
        <v>190</v>
      </c>
      <c r="C23" s="118" t="s">
        <v>153</v>
      </c>
      <c r="D23" s="118" t="s">
        <v>2656</v>
      </c>
      <c r="E23" s="118" t="s">
        <v>191</v>
      </c>
      <c r="F23" s="119"/>
      <c r="G23" s="118"/>
      <c r="H23" s="120"/>
      <c r="I23" s="121"/>
      <c r="J23" s="110" t="s">
        <v>1460</v>
      </c>
      <c r="K23" s="110" t="s">
        <v>1403</v>
      </c>
      <c r="L23" s="110" t="s">
        <v>3781</v>
      </c>
      <c r="M23" s="111" t="s">
        <v>1461</v>
      </c>
      <c r="N23" s="111" t="s">
        <v>1462</v>
      </c>
      <c r="O23" s="111" t="s">
        <v>1463</v>
      </c>
      <c r="P23" s="112" t="s">
        <v>2148</v>
      </c>
      <c r="Q23" s="112" t="s">
        <v>2149</v>
      </c>
      <c r="R23" s="112" t="s">
        <v>2150</v>
      </c>
      <c r="S23" s="144">
        <v>5958.33</v>
      </c>
      <c r="T23" s="111">
        <v>953.23</v>
      </c>
      <c r="U23" s="144">
        <v>5005.1000000000004</v>
      </c>
    </row>
    <row r="24" spans="1:21" ht="15" thickBot="1" x14ac:dyDescent="0.35">
      <c r="A24" s="117">
        <v>23</v>
      </c>
      <c r="B24" s="118" t="s">
        <v>192</v>
      </c>
      <c r="C24" s="118" t="s">
        <v>158</v>
      </c>
      <c r="D24" s="118" t="s">
        <v>2657</v>
      </c>
      <c r="E24" s="118" t="s">
        <v>193</v>
      </c>
      <c r="F24" s="119"/>
      <c r="G24" s="118"/>
      <c r="H24" s="120"/>
      <c r="I24" s="121"/>
      <c r="J24" s="110" t="s">
        <v>1464</v>
      </c>
      <c r="K24" s="110" t="s">
        <v>1403</v>
      </c>
      <c r="L24" s="110" t="s">
        <v>3781</v>
      </c>
      <c r="M24" s="111" t="s">
        <v>1425</v>
      </c>
      <c r="N24" s="111" t="s">
        <v>1426</v>
      </c>
      <c r="O24" s="111" t="s">
        <v>1427</v>
      </c>
      <c r="P24" s="112" t="s">
        <v>3220</v>
      </c>
      <c r="Q24" s="112" t="s">
        <v>3375</v>
      </c>
      <c r="R24" s="112" t="s">
        <v>3573</v>
      </c>
      <c r="S24" s="144">
        <v>3433.34</v>
      </c>
      <c r="T24" s="111">
        <v>300.58999999999997</v>
      </c>
      <c r="U24" s="144">
        <v>3132.75</v>
      </c>
    </row>
    <row r="25" spans="1:21" ht="15" thickBot="1" x14ac:dyDescent="0.35">
      <c r="A25" s="117">
        <v>24</v>
      </c>
      <c r="B25" s="118" t="s">
        <v>194</v>
      </c>
      <c r="C25" s="118" t="s">
        <v>195</v>
      </c>
      <c r="D25" s="118" t="s">
        <v>2658</v>
      </c>
      <c r="E25" s="118" t="s">
        <v>163</v>
      </c>
      <c r="F25" s="119"/>
      <c r="G25" s="118"/>
      <c r="H25" s="120"/>
      <c r="I25" s="121"/>
      <c r="J25" s="110" t="s">
        <v>1465</v>
      </c>
      <c r="K25" s="110" t="s">
        <v>1403</v>
      </c>
      <c r="L25" s="110" t="s">
        <v>3781</v>
      </c>
      <c r="M25" s="111" t="s">
        <v>1466</v>
      </c>
      <c r="N25" s="111" t="s">
        <v>1467</v>
      </c>
      <c r="O25" s="111" t="s">
        <v>1468</v>
      </c>
      <c r="P25" s="112" t="s">
        <v>1466</v>
      </c>
      <c r="Q25" s="112" t="s">
        <v>1467</v>
      </c>
      <c r="R25" s="112" t="s">
        <v>1468</v>
      </c>
      <c r="S25" s="144">
        <v>5192.3999999999996</v>
      </c>
      <c r="T25" s="111">
        <v>572.4</v>
      </c>
      <c r="U25" s="144">
        <v>4620</v>
      </c>
    </row>
    <row r="26" spans="1:21" ht="15" thickBot="1" x14ac:dyDescent="0.35">
      <c r="A26" s="117">
        <v>25</v>
      </c>
      <c r="B26" s="118" t="s">
        <v>196</v>
      </c>
      <c r="C26" s="118" t="s">
        <v>153</v>
      </c>
      <c r="D26" s="118" t="s">
        <v>2659</v>
      </c>
      <c r="E26" s="118" t="s">
        <v>191</v>
      </c>
      <c r="F26" s="119"/>
      <c r="G26" s="118"/>
      <c r="H26" s="120"/>
      <c r="I26" s="121"/>
      <c r="J26" s="110" t="s">
        <v>1469</v>
      </c>
      <c r="K26" s="110" t="s">
        <v>1403</v>
      </c>
      <c r="L26" s="110" t="s">
        <v>3781</v>
      </c>
      <c r="M26" s="111" t="s">
        <v>1470</v>
      </c>
      <c r="N26" s="111" t="s">
        <v>1471</v>
      </c>
      <c r="O26" s="111" t="s">
        <v>1472</v>
      </c>
      <c r="P26" s="112" t="s">
        <v>2148</v>
      </c>
      <c r="Q26" s="112" t="s">
        <v>2149</v>
      </c>
      <c r="R26" s="112" t="s">
        <v>2150</v>
      </c>
      <c r="S26" s="144">
        <v>4766.66</v>
      </c>
      <c r="T26" s="111">
        <v>468.83</v>
      </c>
      <c r="U26" s="144">
        <v>4297.83</v>
      </c>
    </row>
    <row r="27" spans="1:21" ht="15" thickBot="1" x14ac:dyDescent="0.35">
      <c r="A27" s="117">
        <v>26</v>
      </c>
      <c r="B27" s="118" t="s">
        <v>197</v>
      </c>
      <c r="C27" s="118" t="s">
        <v>158</v>
      </c>
      <c r="D27" s="118" t="s">
        <v>2660</v>
      </c>
      <c r="E27" s="118" t="s">
        <v>198</v>
      </c>
      <c r="F27" s="119"/>
      <c r="G27" s="118"/>
      <c r="H27" s="120"/>
      <c r="I27" s="121"/>
      <c r="J27" s="110" t="s">
        <v>1473</v>
      </c>
      <c r="K27" s="110" t="s">
        <v>1403</v>
      </c>
      <c r="L27" s="110" t="s">
        <v>3781</v>
      </c>
      <c r="M27" s="111" t="s">
        <v>1425</v>
      </c>
      <c r="N27" s="111" t="s">
        <v>1426</v>
      </c>
      <c r="O27" s="111" t="s">
        <v>1427</v>
      </c>
      <c r="P27" s="112" t="s">
        <v>3215</v>
      </c>
      <c r="Q27" s="112" t="s">
        <v>2424</v>
      </c>
      <c r="R27" s="112" t="s">
        <v>3570</v>
      </c>
      <c r="S27" s="144">
        <v>3433.34</v>
      </c>
      <c r="T27" s="111">
        <v>300.58999999999997</v>
      </c>
      <c r="U27" s="144">
        <v>3132.75</v>
      </c>
    </row>
    <row r="28" spans="1:21" ht="15" thickBot="1" x14ac:dyDescent="0.35">
      <c r="A28" s="117">
        <v>27</v>
      </c>
      <c r="B28" s="118" t="s">
        <v>199</v>
      </c>
      <c r="C28" s="118" t="s">
        <v>158</v>
      </c>
      <c r="D28" s="118" t="s">
        <v>2661</v>
      </c>
      <c r="E28" s="118" t="s">
        <v>200</v>
      </c>
      <c r="F28" s="119"/>
      <c r="G28" s="118"/>
      <c r="H28" s="120"/>
      <c r="I28" s="121"/>
      <c r="J28" s="110" t="s">
        <v>1474</v>
      </c>
      <c r="K28" s="110" t="s">
        <v>1403</v>
      </c>
      <c r="L28" s="110" t="s">
        <v>3781</v>
      </c>
      <c r="M28" s="111" t="s">
        <v>1425</v>
      </c>
      <c r="N28" s="111" t="s">
        <v>1475</v>
      </c>
      <c r="O28" s="111" t="s">
        <v>1476</v>
      </c>
      <c r="P28" s="112" t="s">
        <v>3215</v>
      </c>
      <c r="Q28" s="112" t="s">
        <v>2424</v>
      </c>
      <c r="R28" s="112" t="s">
        <v>3570</v>
      </c>
      <c r="S28" s="144">
        <v>3090.01</v>
      </c>
      <c r="T28" s="111">
        <v>616.36</v>
      </c>
      <c r="U28" s="144">
        <v>2473.65</v>
      </c>
    </row>
    <row r="29" spans="1:21" ht="15" thickBot="1" x14ac:dyDescent="0.35">
      <c r="A29" s="117">
        <v>28</v>
      </c>
      <c r="B29" s="118" t="s">
        <v>201</v>
      </c>
      <c r="C29" s="118" t="s">
        <v>150</v>
      </c>
      <c r="D29" s="118" t="s">
        <v>2662</v>
      </c>
      <c r="E29" s="118" t="s">
        <v>159</v>
      </c>
      <c r="F29" s="119"/>
      <c r="G29" s="118"/>
      <c r="H29" s="120"/>
      <c r="I29" s="121"/>
      <c r="J29" s="110" t="s">
        <v>1477</v>
      </c>
      <c r="K29" s="110" t="s">
        <v>1403</v>
      </c>
      <c r="L29" s="110" t="s">
        <v>3781</v>
      </c>
      <c r="M29" s="111" t="s">
        <v>1433</v>
      </c>
      <c r="N29" s="111" t="s">
        <v>1478</v>
      </c>
      <c r="O29" s="111" t="s">
        <v>1479</v>
      </c>
      <c r="P29" s="112" t="s">
        <v>3221</v>
      </c>
      <c r="Q29" s="112" t="s">
        <v>3376</v>
      </c>
      <c r="R29" s="112" t="s">
        <v>3574</v>
      </c>
      <c r="S29" s="144">
        <v>1714.38</v>
      </c>
      <c r="T29" s="111">
        <v>196.76</v>
      </c>
      <c r="U29" s="144">
        <v>1517.62</v>
      </c>
    </row>
    <row r="30" spans="1:21" ht="15" thickBot="1" x14ac:dyDescent="0.35">
      <c r="A30" s="117">
        <v>29</v>
      </c>
      <c r="B30" s="118" t="s">
        <v>202</v>
      </c>
      <c r="C30" s="118" t="s">
        <v>150</v>
      </c>
      <c r="D30" s="118" t="s">
        <v>2663</v>
      </c>
      <c r="E30" s="118" t="s">
        <v>173</v>
      </c>
      <c r="F30" s="119"/>
      <c r="G30" s="118"/>
      <c r="H30" s="120"/>
      <c r="I30" s="121"/>
      <c r="J30" s="110" t="s">
        <v>1480</v>
      </c>
      <c r="K30" s="110" t="s">
        <v>1403</v>
      </c>
      <c r="L30" s="110" t="s">
        <v>3781</v>
      </c>
      <c r="M30" s="111" t="s">
        <v>1481</v>
      </c>
      <c r="N30" s="111" t="s">
        <v>1482</v>
      </c>
      <c r="O30" s="111" t="s">
        <v>1483</v>
      </c>
      <c r="P30" s="112" t="s">
        <v>3222</v>
      </c>
      <c r="Q30" s="112" t="s">
        <v>3377</v>
      </c>
      <c r="R30" s="112" t="s">
        <v>3575</v>
      </c>
      <c r="S30" s="144">
        <v>1749.48</v>
      </c>
      <c r="T30" s="111">
        <v>127.05</v>
      </c>
      <c r="U30" s="144">
        <v>1622.43</v>
      </c>
    </row>
    <row r="31" spans="1:21" ht="15" thickBot="1" x14ac:dyDescent="0.35">
      <c r="A31" s="117">
        <v>30</v>
      </c>
      <c r="B31" s="118" t="s">
        <v>203</v>
      </c>
      <c r="C31" s="118" t="s">
        <v>204</v>
      </c>
      <c r="D31" s="118" t="s">
        <v>2664</v>
      </c>
      <c r="E31" s="118" t="s">
        <v>151</v>
      </c>
      <c r="F31" s="119"/>
      <c r="G31" s="118"/>
      <c r="H31" s="120"/>
      <c r="I31" s="121"/>
      <c r="J31" s="110" t="s">
        <v>1484</v>
      </c>
      <c r="K31" s="110" t="s">
        <v>1403</v>
      </c>
      <c r="L31" s="110" t="s">
        <v>3781</v>
      </c>
      <c r="M31" s="111" t="s">
        <v>1485</v>
      </c>
      <c r="N31" s="111" t="s">
        <v>1486</v>
      </c>
      <c r="O31" s="111" t="s">
        <v>1487</v>
      </c>
      <c r="P31" s="112" t="s">
        <v>1776</v>
      </c>
      <c r="Q31" s="112" t="s">
        <v>1534</v>
      </c>
      <c r="R31" s="112" t="s">
        <v>1777</v>
      </c>
      <c r="S31" s="144">
        <v>1817.02</v>
      </c>
      <c r="T31" s="111">
        <v>127.05</v>
      </c>
      <c r="U31" s="144">
        <v>1689.97</v>
      </c>
    </row>
    <row r="32" spans="1:21" ht="15" thickBot="1" x14ac:dyDescent="0.35">
      <c r="A32" s="117">
        <v>31</v>
      </c>
      <c r="B32" s="118" t="s">
        <v>205</v>
      </c>
      <c r="C32" s="118" t="s">
        <v>150</v>
      </c>
      <c r="D32" s="118" t="s">
        <v>2665</v>
      </c>
      <c r="E32" s="118" t="s">
        <v>163</v>
      </c>
      <c r="F32" s="119"/>
      <c r="G32" s="118"/>
      <c r="H32" s="120"/>
      <c r="I32" s="121"/>
      <c r="J32" s="110" t="s">
        <v>1488</v>
      </c>
      <c r="K32" s="110" t="s">
        <v>1403</v>
      </c>
      <c r="L32" s="110" t="s">
        <v>3781</v>
      </c>
      <c r="M32" s="111" t="s">
        <v>1399</v>
      </c>
      <c r="N32" s="111" t="s">
        <v>1400</v>
      </c>
      <c r="O32" s="111" t="s">
        <v>1401</v>
      </c>
      <c r="P32" s="112" t="s">
        <v>3223</v>
      </c>
      <c r="Q32" s="112" t="s">
        <v>3378</v>
      </c>
      <c r="R32" s="112" t="s">
        <v>3576</v>
      </c>
      <c r="S32" s="144">
        <v>1873.3</v>
      </c>
      <c r="T32" s="111">
        <v>144.27000000000001</v>
      </c>
      <c r="U32" s="144">
        <v>1729.03</v>
      </c>
    </row>
    <row r="33" spans="1:21" ht="15" thickBot="1" x14ac:dyDescent="0.35">
      <c r="A33" s="117">
        <v>32</v>
      </c>
      <c r="B33" s="118" t="s">
        <v>206</v>
      </c>
      <c r="C33" s="118" t="s">
        <v>207</v>
      </c>
      <c r="D33" s="118" t="s">
        <v>2666</v>
      </c>
      <c r="E33" s="118" t="s">
        <v>208</v>
      </c>
      <c r="F33" s="119"/>
      <c r="G33" s="118"/>
      <c r="H33" s="120"/>
      <c r="I33" s="121"/>
      <c r="J33" s="110" t="s">
        <v>1489</v>
      </c>
      <c r="K33" s="110" t="s">
        <v>1403</v>
      </c>
      <c r="L33" s="110" t="s">
        <v>3781</v>
      </c>
      <c r="M33" s="111" t="s">
        <v>1490</v>
      </c>
      <c r="N33" s="111" t="s">
        <v>1491</v>
      </c>
      <c r="O33" s="111" t="s">
        <v>1492</v>
      </c>
      <c r="P33" s="112" t="s">
        <v>3224</v>
      </c>
      <c r="Q33" s="112" t="s">
        <v>3379</v>
      </c>
      <c r="R33" s="112" t="s">
        <v>3577</v>
      </c>
      <c r="S33" s="144">
        <v>4088.56</v>
      </c>
      <c r="T33" s="144">
        <v>1399.08</v>
      </c>
      <c r="U33" s="144">
        <v>2689.48</v>
      </c>
    </row>
    <row r="34" spans="1:21" ht="15" thickBot="1" x14ac:dyDescent="0.35">
      <c r="A34" s="117">
        <v>33</v>
      </c>
      <c r="B34" s="118" t="s">
        <v>209</v>
      </c>
      <c r="C34" s="118" t="s">
        <v>210</v>
      </c>
      <c r="D34" s="118" t="s">
        <v>2667</v>
      </c>
      <c r="E34" s="118" t="s">
        <v>159</v>
      </c>
      <c r="F34" s="119"/>
      <c r="G34" s="118"/>
      <c r="H34" s="120"/>
      <c r="I34" s="121"/>
      <c r="J34" s="110" t="s">
        <v>1493</v>
      </c>
      <c r="K34" s="110" t="s">
        <v>1403</v>
      </c>
      <c r="L34" s="110" t="s">
        <v>3781</v>
      </c>
      <c r="M34" s="111" t="s">
        <v>1494</v>
      </c>
      <c r="N34" s="111" t="s">
        <v>1495</v>
      </c>
      <c r="O34" s="111" t="s">
        <v>1496</v>
      </c>
      <c r="P34" s="112" t="s">
        <v>3225</v>
      </c>
      <c r="Q34" s="112" t="s">
        <v>3380</v>
      </c>
      <c r="R34" s="112" t="s">
        <v>3578</v>
      </c>
      <c r="S34" s="144">
        <v>2267.6</v>
      </c>
      <c r="T34" s="111">
        <v>179.76</v>
      </c>
      <c r="U34" s="144">
        <v>2087.84</v>
      </c>
    </row>
    <row r="35" spans="1:21" ht="15" thickBot="1" x14ac:dyDescent="0.35">
      <c r="A35" s="117">
        <v>34</v>
      </c>
      <c r="B35" s="118" t="s">
        <v>211</v>
      </c>
      <c r="C35" s="118" t="s">
        <v>158</v>
      </c>
      <c r="D35" s="118" t="s">
        <v>2668</v>
      </c>
      <c r="E35" s="118" t="s">
        <v>156</v>
      </c>
      <c r="F35" s="119"/>
      <c r="G35" s="118"/>
      <c r="H35" s="120"/>
      <c r="I35" s="121"/>
      <c r="J35" s="110" t="s">
        <v>1497</v>
      </c>
      <c r="K35" s="110" t="s">
        <v>1403</v>
      </c>
      <c r="L35" s="110" t="s">
        <v>3781</v>
      </c>
      <c r="M35" s="111" t="s">
        <v>1425</v>
      </c>
      <c r="N35" s="111" t="s">
        <v>1475</v>
      </c>
      <c r="O35" s="111" t="s">
        <v>1476</v>
      </c>
      <c r="P35" s="112" t="s">
        <v>3215</v>
      </c>
      <c r="Q35" s="112" t="s">
        <v>2424</v>
      </c>
      <c r="R35" s="112" t="s">
        <v>3570</v>
      </c>
      <c r="S35" s="144">
        <v>3433.34</v>
      </c>
      <c r="T35" s="111">
        <v>300.58999999999997</v>
      </c>
      <c r="U35" s="144">
        <v>3132.75</v>
      </c>
    </row>
    <row r="36" spans="1:21" ht="15" thickBot="1" x14ac:dyDescent="0.35">
      <c r="A36" s="117">
        <v>35</v>
      </c>
      <c r="B36" s="118" t="s">
        <v>212</v>
      </c>
      <c r="C36" s="118" t="s">
        <v>150</v>
      </c>
      <c r="D36" s="118" t="s">
        <v>2669</v>
      </c>
      <c r="E36" s="118" t="s">
        <v>161</v>
      </c>
      <c r="F36" s="119"/>
      <c r="G36" s="118"/>
      <c r="H36" s="120"/>
      <c r="I36" s="121"/>
      <c r="J36" s="110" t="s">
        <v>1498</v>
      </c>
      <c r="K36" s="110" t="s">
        <v>1398</v>
      </c>
      <c r="L36" s="110" t="s">
        <v>3781</v>
      </c>
      <c r="M36" s="111" t="s">
        <v>1499</v>
      </c>
      <c r="N36" s="111" t="s">
        <v>1500</v>
      </c>
      <c r="O36" s="111" t="s">
        <v>1501</v>
      </c>
      <c r="P36" s="112" t="s">
        <v>1570</v>
      </c>
      <c r="Q36" s="112" t="s">
        <v>3381</v>
      </c>
      <c r="R36" s="112" t="s">
        <v>3579</v>
      </c>
      <c r="S36" s="144">
        <v>1697.19</v>
      </c>
      <c r="T36" s="111">
        <v>757.89</v>
      </c>
      <c r="U36" s="111">
        <v>939.3</v>
      </c>
    </row>
    <row r="37" spans="1:21" ht="15" thickBot="1" x14ac:dyDescent="0.35">
      <c r="A37" s="117">
        <v>36</v>
      </c>
      <c r="B37" s="118" t="s">
        <v>213</v>
      </c>
      <c r="C37" s="118" t="s">
        <v>214</v>
      </c>
      <c r="D37" s="118" t="s">
        <v>2670</v>
      </c>
      <c r="E37" s="118" t="s">
        <v>161</v>
      </c>
      <c r="F37" s="119"/>
      <c r="G37" s="118"/>
      <c r="H37" s="120"/>
      <c r="I37" s="121"/>
      <c r="J37" s="110" t="s">
        <v>1502</v>
      </c>
      <c r="K37" s="110" t="s">
        <v>1403</v>
      </c>
      <c r="L37" s="110" t="s">
        <v>3781</v>
      </c>
      <c r="M37" s="111" t="s">
        <v>1418</v>
      </c>
      <c r="N37" s="111" t="s">
        <v>1419</v>
      </c>
      <c r="O37" s="111" t="s">
        <v>1420</v>
      </c>
      <c r="P37" s="112" t="s">
        <v>3226</v>
      </c>
      <c r="Q37" s="112" t="s">
        <v>3382</v>
      </c>
      <c r="R37" s="112" t="s">
        <v>3580</v>
      </c>
      <c r="S37" s="144">
        <v>5229.17</v>
      </c>
      <c r="T37" s="111">
        <v>589.55999999999995</v>
      </c>
      <c r="U37" s="144">
        <v>4639.6099999999997</v>
      </c>
    </row>
    <row r="38" spans="1:21" ht="15" thickBot="1" x14ac:dyDescent="0.35">
      <c r="A38" s="117">
        <v>37</v>
      </c>
      <c r="B38" s="118" t="s">
        <v>215</v>
      </c>
      <c r="C38" s="118" t="s">
        <v>216</v>
      </c>
      <c r="D38" s="118" t="s">
        <v>2671</v>
      </c>
      <c r="E38" s="118" t="s">
        <v>180</v>
      </c>
      <c r="F38" s="119"/>
      <c r="G38" s="118"/>
      <c r="H38" s="120"/>
      <c r="I38" s="121"/>
      <c r="J38" s="110" t="s">
        <v>1503</v>
      </c>
      <c r="K38" s="110" t="s">
        <v>1403</v>
      </c>
      <c r="L38" s="110" t="s">
        <v>3781</v>
      </c>
      <c r="M38" s="111" t="s">
        <v>1504</v>
      </c>
      <c r="N38" s="111" t="s">
        <v>1505</v>
      </c>
      <c r="O38" s="111" t="s">
        <v>1506</v>
      </c>
      <c r="P38" s="112" t="s">
        <v>1504</v>
      </c>
      <c r="Q38" s="112" t="s">
        <v>3383</v>
      </c>
      <c r="R38" s="112" t="s">
        <v>3581</v>
      </c>
      <c r="S38" s="144">
        <v>4836</v>
      </c>
      <c r="T38" s="144">
        <v>1321.7</v>
      </c>
      <c r="U38" s="144">
        <v>3514.3</v>
      </c>
    </row>
    <row r="39" spans="1:21" ht="15" thickBot="1" x14ac:dyDescent="0.35">
      <c r="A39" s="117">
        <v>38</v>
      </c>
      <c r="B39" s="118" t="s">
        <v>217</v>
      </c>
      <c r="C39" s="118" t="s">
        <v>218</v>
      </c>
      <c r="D39" s="118" t="s">
        <v>2672</v>
      </c>
      <c r="E39" s="118" t="s">
        <v>161</v>
      </c>
      <c r="F39" s="119"/>
      <c r="G39" s="118"/>
      <c r="H39" s="120"/>
      <c r="I39" s="121"/>
      <c r="J39" s="110" t="s">
        <v>1507</v>
      </c>
      <c r="K39" s="110" t="s">
        <v>1403</v>
      </c>
      <c r="L39" s="110" t="s">
        <v>3781</v>
      </c>
      <c r="M39" s="111" t="s">
        <v>1456</v>
      </c>
      <c r="N39" s="111" t="s">
        <v>1457</v>
      </c>
      <c r="O39" s="111" t="s">
        <v>1458</v>
      </c>
      <c r="P39" s="112" t="s">
        <v>3227</v>
      </c>
      <c r="Q39" s="112" t="s">
        <v>3384</v>
      </c>
      <c r="R39" s="112" t="s">
        <v>3582</v>
      </c>
      <c r="S39" s="144">
        <v>4088.55</v>
      </c>
      <c r="T39" s="111">
        <v>379.21</v>
      </c>
      <c r="U39" s="144">
        <v>3709.34</v>
      </c>
    </row>
    <row r="40" spans="1:21" ht="15" thickBot="1" x14ac:dyDescent="0.35">
      <c r="A40" s="117">
        <v>39</v>
      </c>
      <c r="B40" s="118" t="s">
        <v>219</v>
      </c>
      <c r="C40" s="118" t="s">
        <v>179</v>
      </c>
      <c r="D40" s="118" t="s">
        <v>2673</v>
      </c>
      <c r="E40" s="118" t="s">
        <v>187</v>
      </c>
      <c r="F40" s="119"/>
      <c r="G40" s="118"/>
      <c r="H40" s="120"/>
      <c r="I40" s="121"/>
      <c r="J40" s="110" t="s">
        <v>1508</v>
      </c>
      <c r="K40" s="110" t="s">
        <v>1403</v>
      </c>
      <c r="L40" s="110" t="s">
        <v>3781</v>
      </c>
      <c r="M40" s="111" t="s">
        <v>1509</v>
      </c>
      <c r="N40" s="111" t="s">
        <v>1510</v>
      </c>
      <c r="O40" s="111" t="s">
        <v>1511</v>
      </c>
      <c r="P40" s="112" t="s">
        <v>1509</v>
      </c>
      <c r="Q40" s="112" t="s">
        <v>1510</v>
      </c>
      <c r="R40" s="112" t="s">
        <v>1511</v>
      </c>
      <c r="S40" s="144">
        <v>4833.28</v>
      </c>
      <c r="T40" s="111">
        <v>478.16</v>
      </c>
      <c r="U40" s="144">
        <v>4355.12</v>
      </c>
    </row>
    <row r="41" spans="1:21" ht="15" thickBot="1" x14ac:dyDescent="0.35">
      <c r="A41" s="117">
        <v>40</v>
      </c>
      <c r="B41" s="118" t="s">
        <v>220</v>
      </c>
      <c r="C41" s="118" t="s">
        <v>150</v>
      </c>
      <c r="D41" s="118" t="s">
        <v>2674</v>
      </c>
      <c r="E41" s="118" t="s">
        <v>163</v>
      </c>
      <c r="F41" s="119"/>
      <c r="G41" s="118"/>
      <c r="H41" s="120"/>
      <c r="I41" s="121"/>
      <c r="J41" s="110" t="s">
        <v>1512</v>
      </c>
      <c r="K41" s="110" t="s">
        <v>1403</v>
      </c>
      <c r="L41" s="110" t="s">
        <v>3781</v>
      </c>
      <c r="M41" s="111" t="s">
        <v>1513</v>
      </c>
      <c r="N41" s="111" t="s">
        <v>1514</v>
      </c>
      <c r="O41" s="111" t="s">
        <v>1515</v>
      </c>
      <c r="P41" s="112" t="s">
        <v>3228</v>
      </c>
      <c r="Q41" s="112" t="s">
        <v>3385</v>
      </c>
      <c r="R41" s="112" t="s">
        <v>3583</v>
      </c>
      <c r="S41" s="144">
        <v>2331.88</v>
      </c>
      <c r="T41" s="111">
        <v>379.06</v>
      </c>
      <c r="U41" s="144">
        <v>1952.82</v>
      </c>
    </row>
    <row r="42" spans="1:21" ht="15" thickBot="1" x14ac:dyDescent="0.35">
      <c r="A42" s="117">
        <v>41</v>
      </c>
      <c r="B42" s="118" t="s">
        <v>221</v>
      </c>
      <c r="C42" s="118" t="s">
        <v>150</v>
      </c>
      <c r="D42" s="118" t="s">
        <v>2675</v>
      </c>
      <c r="E42" s="118" t="s">
        <v>200</v>
      </c>
      <c r="F42" s="119"/>
      <c r="G42" s="118"/>
      <c r="H42" s="120"/>
      <c r="I42" s="121"/>
      <c r="J42" s="110" t="s">
        <v>1516</v>
      </c>
      <c r="K42" s="110" t="s">
        <v>1403</v>
      </c>
      <c r="L42" s="110" t="s">
        <v>3781</v>
      </c>
      <c r="M42" s="111" t="s">
        <v>1399</v>
      </c>
      <c r="N42" s="111" t="s">
        <v>1400</v>
      </c>
      <c r="O42" s="111" t="s">
        <v>1401</v>
      </c>
      <c r="P42" s="112" t="s">
        <v>1570</v>
      </c>
      <c r="Q42" s="112" t="s">
        <v>1534</v>
      </c>
      <c r="R42" s="112" t="s">
        <v>1571</v>
      </c>
      <c r="S42" s="144">
        <v>1682.49</v>
      </c>
      <c r="T42" s="111">
        <v>127.1</v>
      </c>
      <c r="U42" s="144">
        <v>1555.39</v>
      </c>
    </row>
    <row r="43" spans="1:21" ht="15" thickBot="1" x14ac:dyDescent="0.35">
      <c r="A43" s="117">
        <v>42</v>
      </c>
      <c r="B43" s="118" t="s">
        <v>222</v>
      </c>
      <c r="C43" s="118" t="s">
        <v>150</v>
      </c>
      <c r="D43" s="118" t="s">
        <v>2676</v>
      </c>
      <c r="E43" s="118" t="s">
        <v>223</v>
      </c>
      <c r="F43" s="119"/>
      <c r="G43" s="118"/>
      <c r="H43" s="120"/>
      <c r="I43" s="121"/>
      <c r="J43" s="110" t="s">
        <v>1517</v>
      </c>
      <c r="K43" s="110" t="s">
        <v>1403</v>
      </c>
      <c r="L43" s="110" t="s">
        <v>3781</v>
      </c>
      <c r="M43" s="111" t="s">
        <v>1518</v>
      </c>
      <c r="N43" s="111" t="s">
        <v>1519</v>
      </c>
      <c r="O43" s="111" t="s">
        <v>1520</v>
      </c>
      <c r="P43" s="112" t="s">
        <v>3229</v>
      </c>
      <c r="Q43" s="112" t="s">
        <v>3386</v>
      </c>
      <c r="R43" s="112" t="s">
        <v>3584</v>
      </c>
      <c r="S43" s="144">
        <v>2129.46</v>
      </c>
      <c r="T43" s="111">
        <v>167.33</v>
      </c>
      <c r="U43" s="144">
        <v>1962.13</v>
      </c>
    </row>
    <row r="44" spans="1:21" ht="15" thickBot="1" x14ac:dyDescent="0.35">
      <c r="A44" s="117">
        <v>43</v>
      </c>
      <c r="B44" s="118" t="s">
        <v>224</v>
      </c>
      <c r="C44" s="118" t="s">
        <v>158</v>
      </c>
      <c r="D44" s="118" t="s">
        <v>2677</v>
      </c>
      <c r="E44" s="118" t="s">
        <v>161</v>
      </c>
      <c r="F44" s="119"/>
      <c r="G44" s="118"/>
      <c r="H44" s="120"/>
      <c r="I44" s="121"/>
      <c r="J44" s="110" t="s">
        <v>1521</v>
      </c>
      <c r="K44" s="110" t="s">
        <v>1403</v>
      </c>
      <c r="L44" s="110" t="s">
        <v>3781</v>
      </c>
      <c r="M44" s="111" t="s">
        <v>1456</v>
      </c>
      <c r="N44" s="111" t="s">
        <v>1457</v>
      </c>
      <c r="O44" s="111" t="s">
        <v>1458</v>
      </c>
      <c r="P44" s="112" t="s">
        <v>3219</v>
      </c>
      <c r="Q44" s="112" t="s">
        <v>3374</v>
      </c>
      <c r="R44" s="112" t="s">
        <v>3572</v>
      </c>
      <c r="S44" s="144">
        <v>3090.01</v>
      </c>
      <c r="T44" s="111">
        <v>259.39</v>
      </c>
      <c r="U44" s="144">
        <v>2830.62</v>
      </c>
    </row>
    <row r="45" spans="1:21" ht="15" thickBot="1" x14ac:dyDescent="0.35">
      <c r="A45" s="117">
        <v>44</v>
      </c>
      <c r="B45" s="118" t="s">
        <v>225</v>
      </c>
      <c r="C45" s="118" t="s">
        <v>150</v>
      </c>
      <c r="D45" s="118" t="s">
        <v>2678</v>
      </c>
      <c r="E45" s="118" t="s">
        <v>163</v>
      </c>
      <c r="F45" s="119"/>
      <c r="G45" s="118"/>
      <c r="H45" s="120"/>
      <c r="I45" s="121"/>
      <c r="J45" s="110" t="s">
        <v>1522</v>
      </c>
      <c r="K45" s="110" t="s">
        <v>1403</v>
      </c>
      <c r="L45" s="110" t="s">
        <v>3781</v>
      </c>
      <c r="M45" s="111" t="s">
        <v>1523</v>
      </c>
      <c r="N45" s="111" t="s">
        <v>1524</v>
      </c>
      <c r="O45" s="111" t="s">
        <v>1525</v>
      </c>
      <c r="P45" s="112" t="s">
        <v>3230</v>
      </c>
      <c r="Q45" s="112" t="s">
        <v>3387</v>
      </c>
      <c r="R45" s="112" t="s">
        <v>3585</v>
      </c>
      <c r="S45" s="144">
        <v>1925.2</v>
      </c>
      <c r="T45" s="111">
        <v>148.94</v>
      </c>
      <c r="U45" s="144">
        <v>1776.26</v>
      </c>
    </row>
    <row r="46" spans="1:21" ht="15" thickBot="1" x14ac:dyDescent="0.35">
      <c r="A46" s="117">
        <v>45</v>
      </c>
      <c r="B46" s="118" t="s">
        <v>226</v>
      </c>
      <c r="C46" s="118" t="s">
        <v>150</v>
      </c>
      <c r="D46" s="118" t="s">
        <v>2679</v>
      </c>
      <c r="E46" s="118" t="s">
        <v>159</v>
      </c>
      <c r="F46" s="119"/>
      <c r="G46" s="118"/>
      <c r="H46" s="120"/>
      <c r="I46" s="121"/>
      <c r="J46" s="110" t="s">
        <v>1526</v>
      </c>
      <c r="K46" s="110" t="s">
        <v>1403</v>
      </c>
      <c r="L46" s="110" t="s">
        <v>3781</v>
      </c>
      <c r="M46" s="111" t="s">
        <v>1527</v>
      </c>
      <c r="N46" s="111" t="s">
        <v>1528</v>
      </c>
      <c r="O46" s="111" t="s">
        <v>1529</v>
      </c>
      <c r="P46" s="112" t="s">
        <v>3221</v>
      </c>
      <c r="Q46" s="112" t="s">
        <v>3388</v>
      </c>
      <c r="R46" s="112" t="s">
        <v>3586</v>
      </c>
      <c r="S46" s="144">
        <v>1681.94</v>
      </c>
      <c r="T46" s="111">
        <v>127.05</v>
      </c>
      <c r="U46" s="144">
        <v>1554.89</v>
      </c>
    </row>
    <row r="47" spans="1:21" ht="15" thickBot="1" x14ac:dyDescent="0.35">
      <c r="A47" s="117">
        <v>46</v>
      </c>
      <c r="B47" s="118" t="s">
        <v>227</v>
      </c>
      <c r="C47" s="118" t="s">
        <v>150</v>
      </c>
      <c r="D47" s="118" t="s">
        <v>2680</v>
      </c>
      <c r="E47" s="118" t="s">
        <v>182</v>
      </c>
      <c r="F47" s="119"/>
      <c r="G47" s="118"/>
      <c r="H47" s="120"/>
      <c r="I47" s="121"/>
      <c r="J47" s="110" t="s">
        <v>1530</v>
      </c>
      <c r="K47" s="110" t="s">
        <v>1403</v>
      </c>
      <c r="L47" s="110" t="s">
        <v>3781</v>
      </c>
      <c r="M47" s="111" t="s">
        <v>1399</v>
      </c>
      <c r="N47" s="111" t="s">
        <v>1400</v>
      </c>
      <c r="O47" s="111" t="s">
        <v>1401</v>
      </c>
      <c r="P47" s="112" t="s">
        <v>1570</v>
      </c>
      <c r="Q47" s="112" t="s">
        <v>1534</v>
      </c>
      <c r="R47" s="112" t="s">
        <v>1571</v>
      </c>
      <c r="S47" s="144">
        <v>1681.94</v>
      </c>
      <c r="T47" s="111">
        <v>127.05</v>
      </c>
      <c r="U47" s="144">
        <v>1554.89</v>
      </c>
    </row>
    <row r="48" spans="1:21" ht="15" thickBot="1" x14ac:dyDescent="0.35">
      <c r="A48" s="117">
        <v>47</v>
      </c>
      <c r="B48" s="118" t="s">
        <v>228</v>
      </c>
      <c r="C48" s="118" t="s">
        <v>150</v>
      </c>
      <c r="D48" s="118" t="s">
        <v>2681</v>
      </c>
      <c r="E48" s="118" t="s">
        <v>161</v>
      </c>
      <c r="F48" s="119"/>
      <c r="G48" s="118"/>
      <c r="H48" s="120"/>
      <c r="I48" s="121"/>
      <c r="J48" s="110" t="s">
        <v>1531</v>
      </c>
      <c r="K48" s="110" t="s">
        <v>1532</v>
      </c>
      <c r="L48" s="110" t="s">
        <v>3781</v>
      </c>
      <c r="M48" s="111" t="s">
        <v>1533</v>
      </c>
      <c r="N48" s="111" t="s">
        <v>1534</v>
      </c>
      <c r="O48" s="111" t="s">
        <v>1401</v>
      </c>
      <c r="P48" s="112" t="s">
        <v>1570</v>
      </c>
      <c r="Q48" s="112" t="s">
        <v>1534</v>
      </c>
      <c r="R48" s="112" t="s">
        <v>1571</v>
      </c>
      <c r="S48" s="144">
        <v>1681.94</v>
      </c>
      <c r="T48" s="111">
        <v>127.05</v>
      </c>
      <c r="U48" s="144">
        <v>1554.89</v>
      </c>
    </row>
    <row r="49" spans="1:21" ht="15" thickBot="1" x14ac:dyDescent="0.35">
      <c r="A49" s="117">
        <v>48</v>
      </c>
      <c r="B49" s="118" t="s">
        <v>229</v>
      </c>
      <c r="C49" s="118" t="s">
        <v>150</v>
      </c>
      <c r="D49" s="118" t="s">
        <v>2682</v>
      </c>
      <c r="E49" s="118" t="s">
        <v>185</v>
      </c>
      <c r="F49" s="119"/>
      <c r="G49" s="118"/>
      <c r="H49" s="120"/>
      <c r="I49" s="121"/>
      <c r="J49" s="110" t="s">
        <v>1535</v>
      </c>
      <c r="K49" s="110" t="s">
        <v>1403</v>
      </c>
      <c r="L49" s="110" t="s">
        <v>3781</v>
      </c>
      <c r="M49" s="111" t="s">
        <v>1399</v>
      </c>
      <c r="N49" s="111" t="s">
        <v>1400</v>
      </c>
      <c r="O49" s="111" t="s">
        <v>1401</v>
      </c>
      <c r="P49" s="112" t="s">
        <v>1570</v>
      </c>
      <c r="Q49" s="112" t="s">
        <v>1534</v>
      </c>
      <c r="R49" s="112" t="s">
        <v>1571</v>
      </c>
      <c r="S49" s="144">
        <v>1681.94</v>
      </c>
      <c r="T49" s="111">
        <v>127.05</v>
      </c>
      <c r="U49" s="144">
        <v>1554.89</v>
      </c>
    </row>
    <row r="50" spans="1:21" ht="15" thickBot="1" x14ac:dyDescent="0.35">
      <c r="A50" s="117">
        <v>49</v>
      </c>
      <c r="B50" s="118" t="s">
        <v>230</v>
      </c>
      <c r="C50" s="118" t="s">
        <v>150</v>
      </c>
      <c r="D50" s="118" t="s">
        <v>2683</v>
      </c>
      <c r="E50" s="118" t="s">
        <v>177</v>
      </c>
      <c r="F50" s="119"/>
      <c r="G50" s="118"/>
      <c r="H50" s="120"/>
      <c r="I50" s="121"/>
      <c r="J50" s="110" t="s">
        <v>1536</v>
      </c>
      <c r="K50" s="110" t="s">
        <v>1403</v>
      </c>
      <c r="L50" s="110" t="s">
        <v>3781</v>
      </c>
      <c r="M50" s="111" t="s">
        <v>1422</v>
      </c>
      <c r="N50" s="111" t="s">
        <v>1400</v>
      </c>
      <c r="O50" s="111" t="s">
        <v>1423</v>
      </c>
      <c r="P50" s="112" t="s">
        <v>1671</v>
      </c>
      <c r="Q50" s="112" t="s">
        <v>1534</v>
      </c>
      <c r="R50" s="112" t="s">
        <v>1672</v>
      </c>
      <c r="S50" s="144">
        <v>1749.48</v>
      </c>
      <c r="T50" s="111">
        <v>127.05</v>
      </c>
      <c r="U50" s="144">
        <v>1622.43</v>
      </c>
    </row>
    <row r="51" spans="1:21" ht="15" thickBot="1" x14ac:dyDescent="0.35">
      <c r="A51" s="117">
        <v>50</v>
      </c>
      <c r="B51" s="122" t="s">
        <v>231</v>
      </c>
      <c r="C51" s="118" t="s">
        <v>204</v>
      </c>
      <c r="D51" s="118"/>
      <c r="E51" s="118" t="s">
        <v>161</v>
      </c>
      <c r="F51" s="119"/>
      <c r="G51" s="118"/>
      <c r="H51" s="120"/>
      <c r="I51" s="121"/>
      <c r="J51" s="123" t="s">
        <v>3768</v>
      </c>
      <c r="K51" s="110" t="s">
        <v>3769</v>
      </c>
      <c r="L51" s="110" t="s">
        <v>3831</v>
      </c>
      <c r="M51" s="111"/>
      <c r="N51" s="111"/>
      <c r="O51" s="111"/>
      <c r="P51" s="112" t="s">
        <v>3231</v>
      </c>
      <c r="Q51" s="112" t="s">
        <v>3231</v>
      </c>
      <c r="R51" s="112" t="s">
        <v>3587</v>
      </c>
      <c r="S51" s="111"/>
      <c r="T51" s="111"/>
      <c r="U51" s="111"/>
    </row>
    <row r="52" spans="1:21" ht="15" thickBot="1" x14ac:dyDescent="0.35">
      <c r="A52" s="117">
        <v>51</v>
      </c>
      <c r="B52" s="118" t="s">
        <v>232</v>
      </c>
      <c r="C52" s="118" t="s">
        <v>233</v>
      </c>
      <c r="D52" s="118" t="s">
        <v>2684</v>
      </c>
      <c r="E52" s="118" t="s">
        <v>234</v>
      </c>
      <c r="F52" s="119"/>
      <c r="G52" s="118"/>
      <c r="H52" s="120"/>
      <c r="I52" s="121"/>
      <c r="J52" s="110" t="s">
        <v>1537</v>
      </c>
      <c r="K52" s="110" t="s">
        <v>1538</v>
      </c>
      <c r="L52" s="110" t="s">
        <v>3781</v>
      </c>
      <c r="M52" s="111" t="s">
        <v>1539</v>
      </c>
      <c r="N52" s="111" t="s">
        <v>1540</v>
      </c>
      <c r="O52" s="111" t="s">
        <v>1541</v>
      </c>
      <c r="P52" s="112" t="s">
        <v>1539</v>
      </c>
      <c r="Q52" s="112" t="s">
        <v>1540</v>
      </c>
      <c r="R52" s="112" t="s">
        <v>1541</v>
      </c>
      <c r="S52" s="144">
        <v>2800</v>
      </c>
      <c r="T52" s="111">
        <v>227.68</v>
      </c>
      <c r="U52" s="144">
        <v>2572.3200000000002</v>
      </c>
    </row>
    <row r="53" spans="1:21" ht="15" thickBot="1" x14ac:dyDescent="0.35">
      <c r="A53" s="117">
        <v>52</v>
      </c>
      <c r="B53" s="118" t="s">
        <v>235</v>
      </c>
      <c r="C53" s="118" t="s">
        <v>158</v>
      </c>
      <c r="D53" s="118" t="s">
        <v>2685</v>
      </c>
      <c r="E53" s="118" t="s">
        <v>168</v>
      </c>
      <c r="F53" s="119"/>
      <c r="G53" s="118"/>
      <c r="H53" s="120"/>
      <c r="I53" s="121"/>
      <c r="J53" s="110" t="s">
        <v>1542</v>
      </c>
      <c r="K53" s="110" t="s">
        <v>1403</v>
      </c>
      <c r="L53" s="110" t="s">
        <v>3781</v>
      </c>
      <c r="M53" s="111" t="s">
        <v>1456</v>
      </c>
      <c r="N53" s="111" t="s">
        <v>1457</v>
      </c>
      <c r="O53" s="111" t="s">
        <v>1458</v>
      </c>
      <c r="P53" s="112" t="s">
        <v>3232</v>
      </c>
      <c r="Q53" s="112" t="s">
        <v>3389</v>
      </c>
      <c r="R53" s="112" t="s">
        <v>3588</v>
      </c>
      <c r="S53" s="144">
        <v>3092.48</v>
      </c>
      <c r="T53" s="111">
        <v>259.68</v>
      </c>
      <c r="U53" s="144">
        <v>2832.8</v>
      </c>
    </row>
    <row r="54" spans="1:21" ht="15" thickBot="1" x14ac:dyDescent="0.35">
      <c r="A54" s="117">
        <v>53</v>
      </c>
      <c r="B54" s="118" t="s">
        <v>236</v>
      </c>
      <c r="C54" s="118" t="s">
        <v>150</v>
      </c>
      <c r="D54" s="118" t="s">
        <v>2686</v>
      </c>
      <c r="E54" s="118" t="s">
        <v>237</v>
      </c>
      <c r="F54" s="119"/>
      <c r="G54" s="118"/>
      <c r="H54" s="120"/>
      <c r="I54" s="121"/>
      <c r="J54" s="110" t="s">
        <v>1543</v>
      </c>
      <c r="K54" s="110" t="s">
        <v>1398</v>
      </c>
      <c r="L54" s="110" t="s">
        <v>3781</v>
      </c>
      <c r="M54" s="111" t="s">
        <v>1399</v>
      </c>
      <c r="N54" s="111" t="s">
        <v>1400</v>
      </c>
      <c r="O54" s="111" t="s">
        <v>1401</v>
      </c>
      <c r="P54" s="112" t="s">
        <v>1570</v>
      </c>
      <c r="Q54" s="112" t="s">
        <v>1534</v>
      </c>
      <c r="R54" s="112" t="s">
        <v>1571</v>
      </c>
      <c r="S54" s="144">
        <v>1681.94</v>
      </c>
      <c r="T54" s="111">
        <v>127.05</v>
      </c>
      <c r="U54" s="144">
        <v>1554.89</v>
      </c>
    </row>
    <row r="55" spans="1:21" ht="15" thickBot="1" x14ac:dyDescent="0.35">
      <c r="A55" s="117">
        <v>54</v>
      </c>
      <c r="B55" s="118" t="s">
        <v>238</v>
      </c>
      <c r="C55" s="118" t="s">
        <v>239</v>
      </c>
      <c r="D55" s="118" t="s">
        <v>2687</v>
      </c>
      <c r="E55" s="118" t="s">
        <v>240</v>
      </c>
      <c r="F55" s="119"/>
      <c r="G55" s="118"/>
      <c r="H55" s="120"/>
      <c r="I55" s="121"/>
      <c r="J55" s="110" t="s">
        <v>1544</v>
      </c>
      <c r="K55" s="110" t="s">
        <v>1403</v>
      </c>
      <c r="L55" s="110" t="s">
        <v>3781</v>
      </c>
      <c r="M55" s="111" t="s">
        <v>1545</v>
      </c>
      <c r="N55" s="111" t="s">
        <v>1546</v>
      </c>
      <c r="O55" s="111" t="s">
        <v>1547</v>
      </c>
      <c r="P55" s="112" t="s">
        <v>1545</v>
      </c>
      <c r="Q55" s="112" t="s">
        <v>1546</v>
      </c>
      <c r="R55" s="112" t="s">
        <v>1547</v>
      </c>
      <c r="S55" s="144">
        <v>9054.6200000000008</v>
      </c>
      <c r="T55" s="144">
        <v>2245.5</v>
      </c>
      <c r="U55" s="144">
        <v>6809.12</v>
      </c>
    </row>
    <row r="56" spans="1:21" ht="15" thickBot="1" x14ac:dyDescent="0.35">
      <c r="A56" s="117">
        <v>55</v>
      </c>
      <c r="B56" s="118" t="s">
        <v>241</v>
      </c>
      <c r="C56" s="118" t="s">
        <v>207</v>
      </c>
      <c r="D56" s="118" t="s">
        <v>2688</v>
      </c>
      <c r="E56" s="118" t="s">
        <v>208</v>
      </c>
      <c r="F56" s="119"/>
      <c r="G56" s="118"/>
      <c r="H56" s="120"/>
      <c r="I56" s="121"/>
      <c r="J56" s="110" t="s">
        <v>1548</v>
      </c>
      <c r="K56" s="110" t="s">
        <v>1403</v>
      </c>
      <c r="L56" s="110" t="s">
        <v>3781</v>
      </c>
      <c r="M56" s="111" t="s">
        <v>1549</v>
      </c>
      <c r="N56" s="111" t="s">
        <v>1550</v>
      </c>
      <c r="O56" s="111" t="s">
        <v>1551</v>
      </c>
      <c r="P56" s="112" t="s">
        <v>3233</v>
      </c>
      <c r="Q56" s="112" t="s">
        <v>3390</v>
      </c>
      <c r="R56" s="112" t="s">
        <v>3589</v>
      </c>
      <c r="S56" s="144">
        <v>5047.4399999999996</v>
      </c>
      <c r="T56" s="144">
        <v>1550.07</v>
      </c>
      <c r="U56" s="144">
        <v>3497.37</v>
      </c>
    </row>
    <row r="57" spans="1:21" ht="15" thickBot="1" x14ac:dyDescent="0.35">
      <c r="A57" s="117">
        <v>56</v>
      </c>
      <c r="B57" s="118" t="s">
        <v>242</v>
      </c>
      <c r="C57" s="118" t="s">
        <v>158</v>
      </c>
      <c r="D57" s="118" t="s">
        <v>2689</v>
      </c>
      <c r="E57" s="118" t="s">
        <v>208</v>
      </c>
      <c r="F57" s="119"/>
      <c r="G57" s="118"/>
      <c r="H57" s="120"/>
      <c r="I57" s="121"/>
      <c r="J57" s="110" t="s">
        <v>1552</v>
      </c>
      <c r="K57" s="110" t="s">
        <v>1403</v>
      </c>
      <c r="L57" s="110" t="s">
        <v>3781</v>
      </c>
      <c r="M57" s="111" t="s">
        <v>1425</v>
      </c>
      <c r="N57" s="111" t="s">
        <v>1426</v>
      </c>
      <c r="O57" s="111" t="s">
        <v>1427</v>
      </c>
      <c r="P57" s="112" t="s">
        <v>3234</v>
      </c>
      <c r="Q57" s="112" t="s">
        <v>3391</v>
      </c>
      <c r="R57" s="112" t="s">
        <v>3590</v>
      </c>
      <c r="S57" s="144">
        <v>3141.87</v>
      </c>
      <c r="T57" s="111">
        <v>441.05</v>
      </c>
      <c r="U57" s="144">
        <v>2700.82</v>
      </c>
    </row>
    <row r="58" spans="1:21" ht="15" thickBot="1" x14ac:dyDescent="0.35">
      <c r="A58" s="117">
        <v>57</v>
      </c>
      <c r="B58" s="122" t="s">
        <v>243</v>
      </c>
      <c r="C58" s="118" t="s">
        <v>150</v>
      </c>
      <c r="D58" s="118"/>
      <c r="E58" s="118" t="s">
        <v>163</v>
      </c>
      <c r="F58" s="119"/>
      <c r="G58" s="118"/>
      <c r="H58" s="120"/>
      <c r="I58" s="121"/>
      <c r="J58" s="123" t="s">
        <v>3770</v>
      </c>
      <c r="K58" s="110" t="s">
        <v>3769</v>
      </c>
      <c r="L58" s="110" t="s">
        <v>3781</v>
      </c>
      <c r="M58" s="111"/>
      <c r="N58" s="111"/>
      <c r="O58" s="111"/>
      <c r="P58" s="112" t="s">
        <v>1672</v>
      </c>
      <c r="Q58" s="112" t="s">
        <v>3392</v>
      </c>
      <c r="R58" s="112" t="s">
        <v>3591</v>
      </c>
      <c r="S58" s="144">
        <v>2148.37</v>
      </c>
      <c r="T58" s="111">
        <v>169.03</v>
      </c>
      <c r="U58" s="144">
        <v>1979.34</v>
      </c>
    </row>
    <row r="59" spans="1:21" ht="15" thickBot="1" x14ac:dyDescent="0.35">
      <c r="A59" s="117">
        <v>58</v>
      </c>
      <c r="B59" s="118" t="s">
        <v>244</v>
      </c>
      <c r="C59" s="118" t="s">
        <v>158</v>
      </c>
      <c r="D59" s="118" t="s">
        <v>2690</v>
      </c>
      <c r="E59" s="118" t="s">
        <v>245</v>
      </c>
      <c r="F59" s="119"/>
      <c r="G59" s="118"/>
      <c r="H59" s="120"/>
      <c r="I59" s="121"/>
      <c r="J59" s="110" t="s">
        <v>1553</v>
      </c>
      <c r="K59" s="110" t="s">
        <v>1403</v>
      </c>
      <c r="L59" s="110" t="s">
        <v>3781</v>
      </c>
      <c r="M59" s="111" t="s">
        <v>1425</v>
      </c>
      <c r="N59" s="111" t="s">
        <v>1426</v>
      </c>
      <c r="O59" s="111" t="s">
        <v>1427</v>
      </c>
      <c r="P59" s="112" t="s">
        <v>3215</v>
      </c>
      <c r="Q59" s="112" t="s">
        <v>2424</v>
      </c>
      <c r="R59" s="112" t="s">
        <v>3570</v>
      </c>
      <c r="S59" s="144">
        <v>3433.34</v>
      </c>
      <c r="T59" s="144">
        <v>1397.05</v>
      </c>
      <c r="U59" s="144">
        <v>2036.29</v>
      </c>
    </row>
    <row r="60" spans="1:21" ht="15" thickBot="1" x14ac:dyDescent="0.35">
      <c r="A60" s="117">
        <v>59</v>
      </c>
      <c r="B60" s="118" t="s">
        <v>246</v>
      </c>
      <c r="C60" s="118" t="s">
        <v>158</v>
      </c>
      <c r="D60" s="118" t="s">
        <v>2691</v>
      </c>
      <c r="E60" s="118" t="s">
        <v>168</v>
      </c>
      <c r="F60" s="119"/>
      <c r="G60" s="118"/>
      <c r="H60" s="120"/>
      <c r="I60" s="121"/>
      <c r="J60" s="110" t="s">
        <v>1554</v>
      </c>
      <c r="K60" s="110" t="s">
        <v>1403</v>
      </c>
      <c r="L60" s="110" t="s">
        <v>3781</v>
      </c>
      <c r="M60" s="111" t="s">
        <v>1555</v>
      </c>
      <c r="N60" s="111" t="s">
        <v>1556</v>
      </c>
      <c r="O60" s="111" t="s">
        <v>1557</v>
      </c>
      <c r="P60" s="112" t="s">
        <v>3235</v>
      </c>
      <c r="Q60" s="112" t="s">
        <v>3393</v>
      </c>
      <c r="R60" s="112" t="s">
        <v>3592</v>
      </c>
      <c r="S60" s="144">
        <v>3931.36</v>
      </c>
      <c r="T60" s="111">
        <v>360.35</v>
      </c>
      <c r="U60" s="144">
        <v>3571.01</v>
      </c>
    </row>
    <row r="61" spans="1:21" ht="15" thickBot="1" x14ac:dyDescent="0.35">
      <c r="A61" s="117">
        <v>60</v>
      </c>
      <c r="B61" s="118" t="s">
        <v>247</v>
      </c>
      <c r="C61" s="118" t="s">
        <v>248</v>
      </c>
      <c r="D61" s="118" t="s">
        <v>2692</v>
      </c>
      <c r="E61" s="118" t="s">
        <v>163</v>
      </c>
      <c r="F61" s="119"/>
      <c r="G61" s="118"/>
      <c r="H61" s="120"/>
      <c r="I61" s="121"/>
      <c r="J61" s="110" t="s">
        <v>1558</v>
      </c>
      <c r="K61" s="110" t="s">
        <v>1403</v>
      </c>
      <c r="L61" s="110" t="s">
        <v>3781</v>
      </c>
      <c r="M61" s="111" t="s">
        <v>1559</v>
      </c>
      <c r="N61" s="111" t="s">
        <v>1560</v>
      </c>
      <c r="O61" s="111" t="s">
        <v>1561</v>
      </c>
      <c r="P61" s="112" t="s">
        <v>1559</v>
      </c>
      <c r="Q61" s="112" t="s">
        <v>1560</v>
      </c>
      <c r="R61" s="112" t="s">
        <v>1561</v>
      </c>
      <c r="S61" s="144">
        <v>4368.7299999999996</v>
      </c>
      <c r="T61" s="111">
        <v>413.12</v>
      </c>
      <c r="U61" s="144">
        <v>3955.61</v>
      </c>
    </row>
    <row r="62" spans="1:21" ht="15" thickBot="1" x14ac:dyDescent="0.35">
      <c r="A62" s="117">
        <v>61</v>
      </c>
      <c r="B62" s="118" t="s">
        <v>249</v>
      </c>
      <c r="C62" s="118" t="s">
        <v>150</v>
      </c>
      <c r="D62" s="118" t="s">
        <v>2693</v>
      </c>
      <c r="E62" s="118" t="s">
        <v>159</v>
      </c>
      <c r="F62" s="119"/>
      <c r="G62" s="118"/>
      <c r="H62" s="120"/>
      <c r="I62" s="121"/>
      <c r="J62" s="110" t="s">
        <v>1562</v>
      </c>
      <c r="K62" s="110" t="s">
        <v>1563</v>
      </c>
      <c r="L62" s="110" t="s">
        <v>3781</v>
      </c>
      <c r="M62" s="111" t="s">
        <v>1564</v>
      </c>
      <c r="N62" s="111" t="s">
        <v>1565</v>
      </c>
      <c r="O62" s="111" t="s">
        <v>1566</v>
      </c>
      <c r="P62" s="112" t="s">
        <v>1776</v>
      </c>
      <c r="Q62" s="112" t="s">
        <v>1534</v>
      </c>
      <c r="R62" s="112" t="s">
        <v>1777</v>
      </c>
      <c r="S62" s="144">
        <v>1817.02</v>
      </c>
      <c r="T62" s="111">
        <v>127.05</v>
      </c>
      <c r="U62" s="144">
        <v>1689.97</v>
      </c>
    </row>
    <row r="63" spans="1:21" ht="15" thickBot="1" x14ac:dyDescent="0.35">
      <c r="A63" s="117">
        <v>62</v>
      </c>
      <c r="B63" s="118" t="s">
        <v>250</v>
      </c>
      <c r="C63" s="118" t="s">
        <v>150</v>
      </c>
      <c r="D63" s="118" t="s">
        <v>2694</v>
      </c>
      <c r="E63" s="118" t="s">
        <v>163</v>
      </c>
      <c r="F63" s="119"/>
      <c r="G63" s="118"/>
      <c r="H63" s="120"/>
      <c r="I63" s="121"/>
      <c r="J63" s="110" t="s">
        <v>1567</v>
      </c>
      <c r="K63" s="110" t="s">
        <v>1403</v>
      </c>
      <c r="L63" s="110" t="s">
        <v>3781</v>
      </c>
      <c r="M63" s="111" t="s">
        <v>1399</v>
      </c>
      <c r="N63" s="111" t="s">
        <v>1400</v>
      </c>
      <c r="O63" s="111" t="s">
        <v>1401</v>
      </c>
      <c r="P63" s="112" t="s">
        <v>1570</v>
      </c>
      <c r="Q63" s="112" t="s">
        <v>1534</v>
      </c>
      <c r="R63" s="112" t="s">
        <v>1571</v>
      </c>
      <c r="S63" s="144">
        <v>1681.94</v>
      </c>
      <c r="T63" s="111">
        <v>127.05</v>
      </c>
      <c r="U63" s="144">
        <v>1554.89</v>
      </c>
    </row>
    <row r="64" spans="1:21" ht="15" thickBot="1" x14ac:dyDescent="0.35">
      <c r="A64" s="117">
        <v>63</v>
      </c>
      <c r="B64" s="118" t="s">
        <v>251</v>
      </c>
      <c r="C64" s="118" t="s">
        <v>158</v>
      </c>
      <c r="D64" s="118" t="s">
        <v>2695</v>
      </c>
      <c r="E64" s="118" t="s">
        <v>177</v>
      </c>
      <c r="F64" s="119"/>
      <c r="G64" s="118"/>
      <c r="H64" s="120"/>
      <c r="I64" s="121"/>
      <c r="J64" s="110" t="s">
        <v>1568</v>
      </c>
      <c r="K64" s="110" t="s">
        <v>1403</v>
      </c>
      <c r="L64" s="110" t="s">
        <v>3781</v>
      </c>
      <c r="M64" s="111" t="s">
        <v>1425</v>
      </c>
      <c r="N64" s="111" t="s">
        <v>1426</v>
      </c>
      <c r="O64" s="111" t="s">
        <v>1427</v>
      </c>
      <c r="P64" s="112" t="s">
        <v>3236</v>
      </c>
      <c r="Q64" s="112" t="s">
        <v>3394</v>
      </c>
      <c r="R64" s="112" t="s">
        <v>3593</v>
      </c>
      <c r="S64" s="144">
        <v>3757.54</v>
      </c>
      <c r="T64" s="111">
        <v>339.49</v>
      </c>
      <c r="U64" s="144">
        <v>3418.05</v>
      </c>
    </row>
    <row r="65" spans="1:21" ht="15" thickBot="1" x14ac:dyDescent="0.35">
      <c r="A65" s="117">
        <v>64</v>
      </c>
      <c r="B65" s="118" t="s">
        <v>252</v>
      </c>
      <c r="C65" s="118" t="s">
        <v>253</v>
      </c>
      <c r="D65" s="118" t="s">
        <v>2696</v>
      </c>
      <c r="E65" s="118" t="s">
        <v>254</v>
      </c>
      <c r="F65" s="119"/>
      <c r="G65" s="118"/>
      <c r="H65" s="120"/>
      <c r="I65" s="121"/>
      <c r="J65" s="110" t="s">
        <v>1569</v>
      </c>
      <c r="K65" s="110" t="s">
        <v>1403</v>
      </c>
      <c r="L65" s="110" t="s">
        <v>3781</v>
      </c>
      <c r="M65" s="111" t="s">
        <v>1570</v>
      </c>
      <c r="N65" s="111" t="s">
        <v>1534</v>
      </c>
      <c r="O65" s="111" t="s">
        <v>1571</v>
      </c>
      <c r="P65" s="112" t="s">
        <v>1570</v>
      </c>
      <c r="Q65" s="112" t="s">
        <v>1534</v>
      </c>
      <c r="R65" s="112" t="s">
        <v>1571</v>
      </c>
      <c r="S65" s="144">
        <v>1621</v>
      </c>
      <c r="T65" s="111">
        <v>204.19</v>
      </c>
      <c r="U65" s="144">
        <v>1416.81</v>
      </c>
    </row>
    <row r="66" spans="1:21" ht="15" thickBot="1" x14ac:dyDescent="0.35">
      <c r="A66" s="117">
        <v>65</v>
      </c>
      <c r="B66" s="118" t="s">
        <v>255</v>
      </c>
      <c r="C66" s="118" t="s">
        <v>150</v>
      </c>
      <c r="D66" s="118" t="s">
        <v>2697</v>
      </c>
      <c r="E66" s="118" t="s">
        <v>177</v>
      </c>
      <c r="F66" s="119"/>
      <c r="G66" s="118"/>
      <c r="H66" s="120"/>
      <c r="I66" s="121"/>
      <c r="J66" s="110" t="s">
        <v>1572</v>
      </c>
      <c r="K66" s="110" t="s">
        <v>1444</v>
      </c>
      <c r="L66" s="110" t="s">
        <v>3781</v>
      </c>
      <c r="M66" s="111" t="s">
        <v>1399</v>
      </c>
      <c r="N66" s="111" t="s">
        <v>1400</v>
      </c>
      <c r="O66" s="111" t="s">
        <v>1401</v>
      </c>
      <c r="P66" s="112" t="s">
        <v>1570</v>
      </c>
      <c r="Q66" s="112" t="s">
        <v>1534</v>
      </c>
      <c r="R66" s="112" t="s">
        <v>1571</v>
      </c>
      <c r="S66" s="144">
        <v>2006.14</v>
      </c>
      <c r="T66" s="111">
        <v>156.22999999999999</v>
      </c>
      <c r="U66" s="144">
        <v>1849.91</v>
      </c>
    </row>
    <row r="67" spans="1:21" ht="15" thickBot="1" x14ac:dyDescent="0.35">
      <c r="A67" s="117">
        <v>66</v>
      </c>
      <c r="B67" s="118" t="s">
        <v>256</v>
      </c>
      <c r="C67" s="118" t="s">
        <v>179</v>
      </c>
      <c r="D67" s="118" t="s">
        <v>2698</v>
      </c>
      <c r="E67" s="118" t="s">
        <v>257</v>
      </c>
      <c r="F67" s="119"/>
      <c r="G67" s="118"/>
      <c r="H67" s="120"/>
      <c r="I67" s="121"/>
      <c r="J67" s="110" t="s">
        <v>1573</v>
      </c>
      <c r="K67" s="110" t="s">
        <v>1574</v>
      </c>
      <c r="L67" s="110" t="s">
        <v>3781</v>
      </c>
      <c r="M67" s="111" t="s">
        <v>1509</v>
      </c>
      <c r="N67" s="111" t="s">
        <v>1510</v>
      </c>
      <c r="O67" s="111" t="s">
        <v>1511</v>
      </c>
      <c r="P67" s="112" t="s">
        <v>1509</v>
      </c>
      <c r="Q67" s="112" t="s">
        <v>1510</v>
      </c>
      <c r="R67" s="112" t="s">
        <v>1511</v>
      </c>
      <c r="S67" s="144">
        <v>4280</v>
      </c>
      <c r="T67" s="111">
        <v>402.18</v>
      </c>
      <c r="U67" s="144">
        <v>3877.82</v>
      </c>
    </row>
    <row r="68" spans="1:21" ht="15" thickBot="1" x14ac:dyDescent="0.35">
      <c r="A68" s="117">
        <v>67</v>
      </c>
      <c r="B68" s="118" t="s">
        <v>258</v>
      </c>
      <c r="C68" s="118" t="s">
        <v>179</v>
      </c>
      <c r="D68" s="118" t="s">
        <v>2699</v>
      </c>
      <c r="E68" s="118" t="s">
        <v>193</v>
      </c>
      <c r="F68" s="119"/>
      <c r="G68" s="118"/>
      <c r="H68" s="120"/>
      <c r="I68" s="121"/>
      <c r="J68" s="110" t="s">
        <v>1575</v>
      </c>
      <c r="K68" s="110" t="s">
        <v>1403</v>
      </c>
      <c r="L68" s="110" t="s">
        <v>3781</v>
      </c>
      <c r="M68" s="111" t="s">
        <v>1509</v>
      </c>
      <c r="N68" s="111" t="s">
        <v>1510</v>
      </c>
      <c r="O68" s="111" t="s">
        <v>1511</v>
      </c>
      <c r="P68" s="112" t="s">
        <v>1509</v>
      </c>
      <c r="Q68" s="112" t="s">
        <v>1510</v>
      </c>
      <c r="R68" s="112" t="s">
        <v>1511</v>
      </c>
      <c r="S68" s="144">
        <v>4280</v>
      </c>
      <c r="T68" s="111">
        <v>402.18</v>
      </c>
      <c r="U68" s="144">
        <v>3877.82</v>
      </c>
    </row>
    <row r="69" spans="1:21" ht="15" thickBot="1" x14ac:dyDescent="0.35">
      <c r="A69" s="117">
        <v>68</v>
      </c>
      <c r="B69" s="118" t="s">
        <v>259</v>
      </c>
      <c r="C69" s="118" t="s">
        <v>260</v>
      </c>
      <c r="D69" s="118" t="s">
        <v>2700</v>
      </c>
      <c r="E69" s="118" t="s">
        <v>163</v>
      </c>
      <c r="F69" s="119"/>
      <c r="G69" s="118"/>
      <c r="H69" s="120"/>
      <c r="I69" s="121"/>
      <c r="J69" s="110" t="s">
        <v>1576</v>
      </c>
      <c r="K69" s="110" t="s">
        <v>1403</v>
      </c>
      <c r="L69" s="110" t="s">
        <v>3781</v>
      </c>
      <c r="M69" s="111" t="s">
        <v>1577</v>
      </c>
      <c r="N69" s="111" t="s">
        <v>1578</v>
      </c>
      <c r="O69" s="111" t="s">
        <v>1579</v>
      </c>
      <c r="P69" s="112" t="s">
        <v>3225</v>
      </c>
      <c r="Q69" s="112" t="s">
        <v>3395</v>
      </c>
      <c r="R69" s="112" t="s">
        <v>3594</v>
      </c>
      <c r="S69" s="144">
        <v>2386.46</v>
      </c>
      <c r="T69" s="111">
        <v>311.55</v>
      </c>
      <c r="U69" s="144">
        <v>2074.91</v>
      </c>
    </row>
    <row r="70" spans="1:21" ht="15" thickBot="1" x14ac:dyDescent="0.35">
      <c r="A70" s="117">
        <v>69</v>
      </c>
      <c r="B70" s="118" t="s">
        <v>261</v>
      </c>
      <c r="C70" s="118" t="s">
        <v>179</v>
      </c>
      <c r="D70" s="118" t="s">
        <v>2701</v>
      </c>
      <c r="E70" s="118" t="s">
        <v>262</v>
      </c>
      <c r="F70" s="119"/>
      <c r="G70" s="118"/>
      <c r="H70" s="120"/>
      <c r="I70" s="121"/>
      <c r="J70" s="110" t="s">
        <v>1580</v>
      </c>
      <c r="K70" s="110" t="s">
        <v>1398</v>
      </c>
      <c r="L70" s="110" t="s">
        <v>3781</v>
      </c>
      <c r="M70" s="111" t="s">
        <v>1509</v>
      </c>
      <c r="N70" s="111" t="s">
        <v>1510</v>
      </c>
      <c r="O70" s="111" t="s">
        <v>1511</v>
      </c>
      <c r="P70" s="112" t="s">
        <v>1509</v>
      </c>
      <c r="Q70" s="112" t="s">
        <v>1510</v>
      </c>
      <c r="R70" s="112" t="s">
        <v>1511</v>
      </c>
      <c r="S70" s="144">
        <v>4280</v>
      </c>
      <c r="T70" s="111">
        <v>402.18</v>
      </c>
      <c r="U70" s="144">
        <v>3877.82</v>
      </c>
    </row>
    <row r="71" spans="1:21" ht="15" thickBot="1" x14ac:dyDescent="0.35">
      <c r="A71" s="117">
        <v>70</v>
      </c>
      <c r="B71" s="118" t="s">
        <v>263</v>
      </c>
      <c r="C71" s="118" t="s">
        <v>150</v>
      </c>
      <c r="D71" s="118" t="s">
        <v>2702</v>
      </c>
      <c r="E71" s="118" t="s">
        <v>177</v>
      </c>
      <c r="F71" s="119"/>
      <c r="G71" s="118"/>
      <c r="H71" s="120"/>
      <c r="I71" s="121"/>
      <c r="J71" s="110" t="s">
        <v>1581</v>
      </c>
      <c r="K71" s="110" t="s">
        <v>1403</v>
      </c>
      <c r="L71" s="110" t="s">
        <v>3781</v>
      </c>
      <c r="M71" s="111" t="s">
        <v>1399</v>
      </c>
      <c r="N71" s="111" t="s">
        <v>1400</v>
      </c>
      <c r="O71" s="111" t="s">
        <v>1401</v>
      </c>
      <c r="P71" s="112" t="s">
        <v>1570</v>
      </c>
      <c r="Q71" s="112" t="s">
        <v>1534</v>
      </c>
      <c r="R71" s="112" t="s">
        <v>1571</v>
      </c>
      <c r="S71" s="144">
        <v>1681.94</v>
      </c>
      <c r="T71" s="111">
        <v>127.05</v>
      </c>
      <c r="U71" s="144">
        <v>1554.89</v>
      </c>
    </row>
    <row r="72" spans="1:21" ht="15" thickBot="1" x14ac:dyDescent="0.35">
      <c r="A72" s="117">
        <v>71</v>
      </c>
      <c r="B72" s="118" t="s">
        <v>264</v>
      </c>
      <c r="C72" s="118" t="s">
        <v>248</v>
      </c>
      <c r="D72" s="118" t="s">
        <v>2703</v>
      </c>
      <c r="E72" s="118" t="s">
        <v>161</v>
      </c>
      <c r="F72" s="119"/>
      <c r="G72" s="118"/>
      <c r="H72" s="120"/>
      <c r="I72" s="121"/>
      <c r="J72" s="110" t="s">
        <v>1582</v>
      </c>
      <c r="K72" s="110" t="s">
        <v>1403</v>
      </c>
      <c r="L72" s="110" t="s">
        <v>3781</v>
      </c>
      <c r="M72" s="111" t="s">
        <v>1583</v>
      </c>
      <c r="N72" s="111" t="s">
        <v>1584</v>
      </c>
      <c r="O72" s="111" t="s">
        <v>1585</v>
      </c>
      <c r="P72" s="112" t="s">
        <v>1559</v>
      </c>
      <c r="Q72" s="112" t="s">
        <v>1560</v>
      </c>
      <c r="R72" s="112" t="s">
        <v>1561</v>
      </c>
      <c r="S72" s="144">
        <v>5130.59</v>
      </c>
      <c r="T72" s="111">
        <v>566.54</v>
      </c>
      <c r="U72" s="144">
        <v>4564.05</v>
      </c>
    </row>
    <row r="73" spans="1:21" ht="15" thickBot="1" x14ac:dyDescent="0.35">
      <c r="A73" s="117">
        <v>72</v>
      </c>
      <c r="B73" s="118" t="s">
        <v>265</v>
      </c>
      <c r="C73" s="118" t="s">
        <v>184</v>
      </c>
      <c r="D73" s="118" t="s">
        <v>2704</v>
      </c>
      <c r="E73" s="118" t="s">
        <v>161</v>
      </c>
      <c r="F73" s="119"/>
      <c r="G73" s="118"/>
      <c r="H73" s="120"/>
      <c r="I73" s="121"/>
      <c r="J73" s="110" t="s">
        <v>1586</v>
      </c>
      <c r="K73" s="110" t="s">
        <v>1403</v>
      </c>
      <c r="L73" s="110" t="s">
        <v>3781</v>
      </c>
      <c r="M73" s="111" t="s">
        <v>1451</v>
      </c>
      <c r="N73" s="111" t="s">
        <v>1452</v>
      </c>
      <c r="O73" s="111" t="s">
        <v>1453</v>
      </c>
      <c r="P73" s="112" t="s">
        <v>1451</v>
      </c>
      <c r="Q73" s="112" t="s">
        <v>1452</v>
      </c>
      <c r="R73" s="112" t="s">
        <v>1453</v>
      </c>
      <c r="S73" s="144">
        <v>3818.4</v>
      </c>
      <c r="T73" s="111">
        <v>346.79</v>
      </c>
      <c r="U73" s="144">
        <v>3471.61</v>
      </c>
    </row>
    <row r="74" spans="1:21" ht="15" thickBot="1" x14ac:dyDescent="0.35">
      <c r="A74" s="117">
        <v>73</v>
      </c>
      <c r="B74" s="118" t="s">
        <v>266</v>
      </c>
      <c r="C74" s="118" t="s">
        <v>158</v>
      </c>
      <c r="D74" s="118" t="s">
        <v>2705</v>
      </c>
      <c r="E74" s="118" t="s">
        <v>267</v>
      </c>
      <c r="F74" s="119"/>
      <c r="G74" s="118"/>
      <c r="H74" s="120"/>
      <c r="I74" s="121"/>
      <c r="J74" s="110" t="s">
        <v>1587</v>
      </c>
      <c r="K74" s="110" t="s">
        <v>1398</v>
      </c>
      <c r="L74" s="110" t="s">
        <v>3781</v>
      </c>
      <c r="M74" s="111" t="s">
        <v>1425</v>
      </c>
      <c r="N74" s="111" t="s">
        <v>1588</v>
      </c>
      <c r="O74" s="111" t="s">
        <v>1589</v>
      </c>
      <c r="P74" s="112">
        <v>0</v>
      </c>
      <c r="Q74" s="112">
        <v>0</v>
      </c>
      <c r="R74" s="112">
        <v>0</v>
      </c>
      <c r="S74" s="144">
        <v>3433.34</v>
      </c>
      <c r="T74" s="144">
        <v>3433.34</v>
      </c>
      <c r="U74" s="111">
        <v>0</v>
      </c>
    </row>
    <row r="75" spans="1:21" ht="15" thickBot="1" x14ac:dyDescent="0.35">
      <c r="A75" s="117">
        <v>74</v>
      </c>
      <c r="B75" s="118" t="s">
        <v>268</v>
      </c>
      <c r="C75" s="118" t="s">
        <v>150</v>
      </c>
      <c r="D75" s="118" t="s">
        <v>2706</v>
      </c>
      <c r="E75" s="118" t="s">
        <v>161</v>
      </c>
      <c r="F75" s="119"/>
      <c r="G75" s="118"/>
      <c r="H75" s="120"/>
      <c r="I75" s="121"/>
      <c r="J75" s="110" t="s">
        <v>1590</v>
      </c>
      <c r="K75" s="110" t="s">
        <v>1398</v>
      </c>
      <c r="L75" s="110" t="s">
        <v>3781</v>
      </c>
      <c r="M75" s="111" t="s">
        <v>1591</v>
      </c>
      <c r="N75" s="111" t="s">
        <v>1592</v>
      </c>
      <c r="O75" s="111" t="s">
        <v>1593</v>
      </c>
      <c r="P75" s="112" t="s">
        <v>3237</v>
      </c>
      <c r="Q75" s="112" t="s">
        <v>3396</v>
      </c>
      <c r="R75" s="112" t="s">
        <v>3595</v>
      </c>
      <c r="S75" s="144">
        <v>1909.03</v>
      </c>
      <c r="T75" s="111">
        <v>147.49</v>
      </c>
      <c r="U75" s="144">
        <v>1761.54</v>
      </c>
    </row>
    <row r="76" spans="1:21" ht="15" thickBot="1" x14ac:dyDescent="0.35">
      <c r="A76" s="117">
        <v>75</v>
      </c>
      <c r="B76" s="118" t="s">
        <v>269</v>
      </c>
      <c r="C76" s="118" t="s">
        <v>158</v>
      </c>
      <c r="D76" s="118" t="s">
        <v>2707</v>
      </c>
      <c r="E76" s="118" t="s">
        <v>270</v>
      </c>
      <c r="F76" s="119"/>
      <c r="G76" s="118"/>
      <c r="H76" s="120"/>
      <c r="I76" s="121"/>
      <c r="J76" s="110" t="s">
        <v>1594</v>
      </c>
      <c r="K76" s="110" t="s">
        <v>1403</v>
      </c>
      <c r="L76" s="110" t="s">
        <v>3781</v>
      </c>
      <c r="M76" s="111" t="s">
        <v>1595</v>
      </c>
      <c r="N76" s="111" t="s">
        <v>1596</v>
      </c>
      <c r="O76" s="111" t="s">
        <v>1597</v>
      </c>
      <c r="P76" s="112" t="s">
        <v>3238</v>
      </c>
      <c r="Q76" s="112" t="s">
        <v>3397</v>
      </c>
      <c r="R76" s="112" t="s">
        <v>3596</v>
      </c>
      <c r="S76" s="144">
        <v>4463.34</v>
      </c>
      <c r="T76" s="111">
        <v>426.36</v>
      </c>
      <c r="U76" s="144">
        <v>4036.98</v>
      </c>
    </row>
    <row r="77" spans="1:21" ht="15" thickBot="1" x14ac:dyDescent="0.35">
      <c r="A77" s="117">
        <v>76</v>
      </c>
      <c r="B77" s="118" t="s">
        <v>271</v>
      </c>
      <c r="C77" s="118" t="s">
        <v>260</v>
      </c>
      <c r="D77" s="118" t="s">
        <v>2708</v>
      </c>
      <c r="E77" s="118" t="s">
        <v>272</v>
      </c>
      <c r="F77" s="119"/>
      <c r="G77" s="118"/>
      <c r="H77" s="120"/>
      <c r="I77" s="121"/>
      <c r="J77" s="110" t="s">
        <v>1598</v>
      </c>
      <c r="K77" s="110" t="s">
        <v>1403</v>
      </c>
      <c r="L77" s="110" t="s">
        <v>3781</v>
      </c>
      <c r="M77" s="111" t="s">
        <v>1599</v>
      </c>
      <c r="N77" s="111" t="s">
        <v>1600</v>
      </c>
      <c r="O77" s="111" t="s">
        <v>1601</v>
      </c>
      <c r="P77" s="112" t="s">
        <v>1599</v>
      </c>
      <c r="Q77" s="112" t="s">
        <v>1600</v>
      </c>
      <c r="R77" s="112" t="s">
        <v>1601</v>
      </c>
      <c r="S77" s="144">
        <v>1834.15</v>
      </c>
      <c r="T77" s="111">
        <v>140.75</v>
      </c>
      <c r="U77" s="144">
        <v>1693.4</v>
      </c>
    </row>
    <row r="78" spans="1:21" ht="15" thickBot="1" x14ac:dyDescent="0.35">
      <c r="A78" s="117">
        <v>77</v>
      </c>
      <c r="B78" s="118" t="s">
        <v>273</v>
      </c>
      <c r="C78" s="118" t="s">
        <v>150</v>
      </c>
      <c r="D78" s="118" t="s">
        <v>2709</v>
      </c>
      <c r="E78" s="118" t="s">
        <v>161</v>
      </c>
      <c r="F78" s="119"/>
      <c r="G78" s="118"/>
      <c r="H78" s="120"/>
      <c r="I78" s="121"/>
      <c r="J78" s="110" t="s">
        <v>1602</v>
      </c>
      <c r="K78" s="110" t="s">
        <v>1403</v>
      </c>
      <c r="L78" s="110" t="s">
        <v>3781</v>
      </c>
      <c r="M78" s="111" t="s">
        <v>1603</v>
      </c>
      <c r="N78" s="111" t="s">
        <v>1528</v>
      </c>
      <c r="O78" s="111" t="s">
        <v>1604</v>
      </c>
      <c r="P78" s="112" t="s">
        <v>1776</v>
      </c>
      <c r="Q78" s="112" t="s">
        <v>1534</v>
      </c>
      <c r="R78" s="112" t="s">
        <v>1777</v>
      </c>
      <c r="S78" s="144">
        <v>1833.24</v>
      </c>
      <c r="T78" s="111">
        <v>177.89</v>
      </c>
      <c r="U78" s="144">
        <v>1655.35</v>
      </c>
    </row>
    <row r="79" spans="1:21" ht="15" thickBot="1" x14ac:dyDescent="0.35">
      <c r="A79" s="117">
        <v>78</v>
      </c>
      <c r="B79" s="118" t="s">
        <v>274</v>
      </c>
      <c r="C79" s="118" t="s">
        <v>158</v>
      </c>
      <c r="D79" s="118" t="s">
        <v>2710</v>
      </c>
      <c r="E79" s="118" t="s">
        <v>163</v>
      </c>
      <c r="F79" s="119"/>
      <c r="G79" s="118"/>
      <c r="H79" s="120"/>
      <c r="I79" s="121"/>
      <c r="J79" s="110" t="s">
        <v>1605</v>
      </c>
      <c r="K79" s="110" t="s">
        <v>1403</v>
      </c>
      <c r="L79" s="110" t="s">
        <v>3781</v>
      </c>
      <c r="M79" s="111" t="s">
        <v>1456</v>
      </c>
      <c r="N79" s="111" t="s">
        <v>1457</v>
      </c>
      <c r="O79" s="111" t="s">
        <v>1458</v>
      </c>
      <c r="P79" s="112" t="s">
        <v>3219</v>
      </c>
      <c r="Q79" s="112" t="s">
        <v>3374</v>
      </c>
      <c r="R79" s="112" t="s">
        <v>3572</v>
      </c>
      <c r="S79" s="144">
        <v>3090.01</v>
      </c>
      <c r="T79" s="111">
        <v>259.39</v>
      </c>
      <c r="U79" s="144">
        <v>2830.62</v>
      </c>
    </row>
    <row r="80" spans="1:21" ht="15" thickBot="1" x14ac:dyDescent="0.35">
      <c r="A80" s="117">
        <v>79</v>
      </c>
      <c r="B80" s="118" t="s">
        <v>275</v>
      </c>
      <c r="C80" s="118" t="s">
        <v>158</v>
      </c>
      <c r="D80" s="118" t="s">
        <v>2711</v>
      </c>
      <c r="E80" s="118" t="s">
        <v>276</v>
      </c>
      <c r="F80" s="119"/>
      <c r="G80" s="118"/>
      <c r="H80" s="120"/>
      <c r="I80" s="121"/>
      <c r="J80" s="110" t="s">
        <v>1606</v>
      </c>
      <c r="K80" s="110" t="s">
        <v>1403</v>
      </c>
      <c r="L80" s="110" t="s">
        <v>3781</v>
      </c>
      <c r="M80" s="111" t="s">
        <v>1425</v>
      </c>
      <c r="N80" s="111" t="s">
        <v>1426</v>
      </c>
      <c r="O80" s="111" t="s">
        <v>1427</v>
      </c>
      <c r="P80" s="112" t="s">
        <v>3215</v>
      </c>
      <c r="Q80" s="112" t="s">
        <v>2424</v>
      </c>
      <c r="R80" s="112" t="s">
        <v>3570</v>
      </c>
      <c r="S80" s="144">
        <v>3433.34</v>
      </c>
      <c r="T80" s="111">
        <v>300.58999999999997</v>
      </c>
      <c r="U80" s="144">
        <v>3132.75</v>
      </c>
    </row>
    <row r="81" spans="1:21" ht="15" thickBot="1" x14ac:dyDescent="0.35">
      <c r="A81" s="117">
        <v>80</v>
      </c>
      <c r="B81" s="118" t="s">
        <v>277</v>
      </c>
      <c r="C81" s="118" t="s">
        <v>150</v>
      </c>
      <c r="D81" s="118" t="s">
        <v>2712</v>
      </c>
      <c r="E81" s="118" t="s">
        <v>278</v>
      </c>
      <c r="F81" s="119"/>
      <c r="G81" s="118"/>
      <c r="H81" s="120"/>
      <c r="I81" s="121"/>
      <c r="J81" s="110" t="s">
        <v>1607</v>
      </c>
      <c r="K81" s="110" t="s">
        <v>1403</v>
      </c>
      <c r="L81" s="110" t="s">
        <v>3781</v>
      </c>
      <c r="M81" s="111" t="s">
        <v>1608</v>
      </c>
      <c r="N81" s="111" t="s">
        <v>1609</v>
      </c>
      <c r="O81" s="111" t="s">
        <v>1610</v>
      </c>
      <c r="P81" s="112" t="s">
        <v>3239</v>
      </c>
      <c r="Q81" s="112" t="s">
        <v>3398</v>
      </c>
      <c r="R81" s="112" t="s">
        <v>3597</v>
      </c>
      <c r="S81" s="144">
        <v>1921.72</v>
      </c>
      <c r="T81" s="111">
        <v>731.8</v>
      </c>
      <c r="U81" s="144">
        <v>1189.92</v>
      </c>
    </row>
    <row r="82" spans="1:21" ht="15" thickBot="1" x14ac:dyDescent="0.35">
      <c r="A82" s="117">
        <v>81</v>
      </c>
      <c r="B82" s="118" t="s">
        <v>279</v>
      </c>
      <c r="C82" s="118" t="s">
        <v>158</v>
      </c>
      <c r="D82" s="118" t="s">
        <v>2713</v>
      </c>
      <c r="E82" s="118" t="s">
        <v>173</v>
      </c>
      <c r="F82" s="119"/>
      <c r="G82" s="118"/>
      <c r="H82" s="120"/>
      <c r="I82" s="121"/>
      <c r="J82" s="110" t="s">
        <v>1611</v>
      </c>
      <c r="K82" s="110" t="s">
        <v>1403</v>
      </c>
      <c r="L82" s="110" t="s">
        <v>3781</v>
      </c>
      <c r="M82" s="111" t="s">
        <v>1612</v>
      </c>
      <c r="N82" s="111" t="s">
        <v>1613</v>
      </c>
      <c r="O82" s="111" t="s">
        <v>1614</v>
      </c>
      <c r="P82" s="112" t="s">
        <v>3240</v>
      </c>
      <c r="Q82" s="112" t="s">
        <v>3399</v>
      </c>
      <c r="R82" s="112" t="s">
        <v>3598</v>
      </c>
      <c r="S82" s="144">
        <v>3880.68</v>
      </c>
      <c r="T82" s="111">
        <v>779.13</v>
      </c>
      <c r="U82" s="144">
        <v>3101.55</v>
      </c>
    </row>
    <row r="83" spans="1:21" ht="15" thickBot="1" x14ac:dyDescent="0.35">
      <c r="A83" s="117">
        <v>82</v>
      </c>
      <c r="B83" s="118" t="s">
        <v>280</v>
      </c>
      <c r="C83" s="118" t="s">
        <v>150</v>
      </c>
      <c r="D83" s="118" t="s">
        <v>2714</v>
      </c>
      <c r="E83" s="118" t="s">
        <v>168</v>
      </c>
      <c r="F83" s="119"/>
      <c r="G83" s="118"/>
      <c r="H83" s="120"/>
      <c r="I83" s="121"/>
      <c r="J83" s="110" t="s">
        <v>1615</v>
      </c>
      <c r="K83" s="110" t="s">
        <v>1403</v>
      </c>
      <c r="L83" s="110" t="s">
        <v>3781</v>
      </c>
      <c r="M83" s="111" t="s">
        <v>1616</v>
      </c>
      <c r="N83" s="111" t="s">
        <v>1617</v>
      </c>
      <c r="O83" s="111" t="s">
        <v>1618</v>
      </c>
      <c r="P83" s="112" t="s">
        <v>3241</v>
      </c>
      <c r="Q83" s="112" t="s">
        <v>3400</v>
      </c>
      <c r="R83" s="112" t="s">
        <v>3599</v>
      </c>
      <c r="S83" s="144">
        <v>1911.7</v>
      </c>
      <c r="T83" s="111">
        <v>644.70000000000005</v>
      </c>
      <c r="U83" s="144">
        <v>1267</v>
      </c>
    </row>
    <row r="84" spans="1:21" ht="15" thickBot="1" x14ac:dyDescent="0.35">
      <c r="A84" s="117">
        <v>83</v>
      </c>
      <c r="B84" s="118" t="s">
        <v>281</v>
      </c>
      <c r="C84" s="118" t="s">
        <v>150</v>
      </c>
      <c r="D84" s="118" t="s">
        <v>2715</v>
      </c>
      <c r="E84" s="118" t="s">
        <v>257</v>
      </c>
      <c r="F84" s="119"/>
      <c r="G84" s="118"/>
      <c r="H84" s="120"/>
      <c r="I84" s="121"/>
      <c r="J84" s="110" t="s">
        <v>1619</v>
      </c>
      <c r="K84" s="110" t="s">
        <v>1403</v>
      </c>
      <c r="L84" s="110" t="s">
        <v>3781</v>
      </c>
      <c r="M84" s="111" t="s">
        <v>1399</v>
      </c>
      <c r="N84" s="111" t="s">
        <v>1400</v>
      </c>
      <c r="O84" s="111" t="s">
        <v>1401</v>
      </c>
      <c r="P84" s="112" t="s">
        <v>1570</v>
      </c>
      <c r="Q84" s="112" t="s">
        <v>1534</v>
      </c>
      <c r="R84" s="112" t="s">
        <v>1571</v>
      </c>
      <c r="S84" s="144">
        <v>1681.94</v>
      </c>
      <c r="T84" s="111">
        <v>127.05</v>
      </c>
      <c r="U84" s="144">
        <v>1554.89</v>
      </c>
    </row>
    <row r="85" spans="1:21" ht="15" thickBot="1" x14ac:dyDescent="0.35">
      <c r="A85" s="117">
        <v>84</v>
      </c>
      <c r="B85" s="118" t="s">
        <v>282</v>
      </c>
      <c r="C85" s="118" t="s">
        <v>158</v>
      </c>
      <c r="D85" s="118" t="s">
        <v>2716</v>
      </c>
      <c r="E85" s="118" t="s">
        <v>168</v>
      </c>
      <c r="F85" s="119"/>
      <c r="G85" s="118"/>
      <c r="H85" s="120"/>
      <c r="I85" s="121"/>
      <c r="J85" s="110" t="s">
        <v>1620</v>
      </c>
      <c r="K85" s="110" t="s">
        <v>1403</v>
      </c>
      <c r="L85" s="110" t="s">
        <v>3781</v>
      </c>
      <c r="M85" s="111" t="s">
        <v>1621</v>
      </c>
      <c r="N85" s="111" t="s">
        <v>1622</v>
      </c>
      <c r="O85" s="111" t="s">
        <v>1623</v>
      </c>
      <c r="P85" s="112" t="s">
        <v>3242</v>
      </c>
      <c r="Q85" s="112" t="s">
        <v>3401</v>
      </c>
      <c r="R85" s="112" t="s">
        <v>3600</v>
      </c>
      <c r="S85" s="144">
        <v>3537.03</v>
      </c>
      <c r="T85" s="144">
        <v>1518.23</v>
      </c>
      <c r="U85" s="144">
        <v>2018.8</v>
      </c>
    </row>
    <row r="86" spans="1:21" ht="15" thickBot="1" x14ac:dyDescent="0.35">
      <c r="A86" s="117">
        <v>85</v>
      </c>
      <c r="B86" s="118" t="s">
        <v>283</v>
      </c>
      <c r="C86" s="118" t="s">
        <v>150</v>
      </c>
      <c r="D86" s="118" t="s">
        <v>2717</v>
      </c>
      <c r="E86" s="118" t="s">
        <v>284</v>
      </c>
      <c r="F86" s="119"/>
      <c r="G86" s="118"/>
      <c r="H86" s="120"/>
      <c r="I86" s="121"/>
      <c r="J86" s="110" t="s">
        <v>1624</v>
      </c>
      <c r="K86" s="110" t="s">
        <v>1403</v>
      </c>
      <c r="L86" s="110" t="s">
        <v>3781</v>
      </c>
      <c r="M86" s="111" t="s">
        <v>1422</v>
      </c>
      <c r="N86" s="111" t="s">
        <v>1400</v>
      </c>
      <c r="O86" s="111" t="s">
        <v>1423</v>
      </c>
      <c r="P86" s="112" t="s">
        <v>1671</v>
      </c>
      <c r="Q86" s="112" t="s">
        <v>1534</v>
      </c>
      <c r="R86" s="112" t="s">
        <v>1672</v>
      </c>
      <c r="S86" s="144">
        <v>1749.48</v>
      </c>
      <c r="T86" s="111">
        <v>127.05</v>
      </c>
      <c r="U86" s="144">
        <v>1622.43</v>
      </c>
    </row>
    <row r="87" spans="1:21" ht="15" thickBot="1" x14ac:dyDescent="0.35">
      <c r="A87" s="117">
        <v>86</v>
      </c>
      <c r="B87" s="118" t="s">
        <v>285</v>
      </c>
      <c r="C87" s="118" t="s">
        <v>214</v>
      </c>
      <c r="D87" s="118" t="s">
        <v>2718</v>
      </c>
      <c r="E87" s="118" t="s">
        <v>159</v>
      </c>
      <c r="F87" s="119"/>
      <c r="G87" s="118"/>
      <c r="H87" s="120"/>
      <c r="I87" s="121"/>
      <c r="J87" s="110" t="s">
        <v>1625</v>
      </c>
      <c r="K87" s="110" t="s">
        <v>1403</v>
      </c>
      <c r="L87" s="110" t="s">
        <v>3781</v>
      </c>
      <c r="M87" s="111" t="s">
        <v>1626</v>
      </c>
      <c r="N87" s="111" t="s">
        <v>1627</v>
      </c>
      <c r="O87" s="111" t="s">
        <v>1628</v>
      </c>
      <c r="P87" s="112" t="s">
        <v>3243</v>
      </c>
      <c r="Q87" s="112" t="s">
        <v>3402</v>
      </c>
      <c r="R87" s="112" t="s">
        <v>3601</v>
      </c>
      <c r="S87" s="144">
        <v>4909.37</v>
      </c>
      <c r="T87" s="111">
        <v>488.81</v>
      </c>
      <c r="U87" s="144">
        <v>4420.5600000000004</v>
      </c>
    </row>
    <row r="88" spans="1:21" ht="15" thickBot="1" x14ac:dyDescent="0.35">
      <c r="A88" s="117">
        <v>87</v>
      </c>
      <c r="B88" s="118" t="s">
        <v>286</v>
      </c>
      <c r="C88" s="118" t="s">
        <v>150</v>
      </c>
      <c r="D88" s="118" t="s">
        <v>2719</v>
      </c>
      <c r="E88" s="118" t="s">
        <v>185</v>
      </c>
      <c r="F88" s="119"/>
      <c r="G88" s="118"/>
      <c r="H88" s="120"/>
      <c r="I88" s="121"/>
      <c r="J88" s="110" t="s">
        <v>1629</v>
      </c>
      <c r="K88" s="110" t="s">
        <v>1403</v>
      </c>
      <c r="L88" s="110" t="s">
        <v>3781</v>
      </c>
      <c r="M88" s="111" t="s">
        <v>1422</v>
      </c>
      <c r="N88" s="111" t="s">
        <v>1400</v>
      </c>
      <c r="O88" s="111" t="s">
        <v>1423</v>
      </c>
      <c r="P88" s="112" t="s">
        <v>1671</v>
      </c>
      <c r="Q88" s="112" t="s">
        <v>1534</v>
      </c>
      <c r="R88" s="112" t="s">
        <v>1672</v>
      </c>
      <c r="S88" s="144">
        <v>1749.48</v>
      </c>
      <c r="T88" s="111">
        <v>127.05</v>
      </c>
      <c r="U88" s="144">
        <v>1622.43</v>
      </c>
    </row>
    <row r="89" spans="1:21" ht="15" thickBot="1" x14ac:dyDescent="0.35">
      <c r="A89" s="117">
        <v>88</v>
      </c>
      <c r="B89" s="118" t="s">
        <v>287</v>
      </c>
      <c r="C89" s="118" t="s">
        <v>150</v>
      </c>
      <c r="D89" s="118" t="s">
        <v>2720</v>
      </c>
      <c r="E89" s="118" t="s">
        <v>161</v>
      </c>
      <c r="F89" s="119"/>
      <c r="G89" s="118"/>
      <c r="H89" s="120"/>
      <c r="I89" s="121"/>
      <c r="J89" s="110" t="s">
        <v>1630</v>
      </c>
      <c r="K89" s="110" t="s">
        <v>1403</v>
      </c>
      <c r="L89" s="110" t="s">
        <v>3781</v>
      </c>
      <c r="M89" s="111" t="s">
        <v>1399</v>
      </c>
      <c r="N89" s="111" t="s">
        <v>1400</v>
      </c>
      <c r="O89" s="111" t="s">
        <v>1401</v>
      </c>
      <c r="P89" s="112" t="s">
        <v>3244</v>
      </c>
      <c r="Q89" s="112" t="s">
        <v>3403</v>
      </c>
      <c r="R89" s="112" t="s">
        <v>3602</v>
      </c>
      <c r="S89" s="144">
        <v>1681.94</v>
      </c>
      <c r="T89" s="111">
        <v>127.05</v>
      </c>
      <c r="U89" s="144">
        <v>1554.89</v>
      </c>
    </row>
    <row r="90" spans="1:21" ht="15" thickBot="1" x14ac:dyDescent="0.35">
      <c r="A90" s="117">
        <v>89</v>
      </c>
      <c r="B90" s="118" t="s">
        <v>288</v>
      </c>
      <c r="C90" s="118" t="s">
        <v>107</v>
      </c>
      <c r="D90" s="118" t="s">
        <v>2721</v>
      </c>
      <c r="E90" s="118" t="s">
        <v>240</v>
      </c>
      <c r="F90" s="119"/>
      <c r="G90" s="118"/>
      <c r="H90" s="120"/>
      <c r="I90" s="121"/>
      <c r="J90" s="110" t="s">
        <v>1631</v>
      </c>
      <c r="K90" s="110" t="s">
        <v>1403</v>
      </c>
      <c r="L90" s="110" t="s">
        <v>3781</v>
      </c>
      <c r="M90" s="111" t="s">
        <v>1632</v>
      </c>
      <c r="N90" s="111" t="s">
        <v>1633</v>
      </c>
      <c r="O90" s="111" t="s">
        <v>1634</v>
      </c>
      <c r="P90" s="112" t="s">
        <v>1632</v>
      </c>
      <c r="Q90" s="112" t="s">
        <v>1714</v>
      </c>
      <c r="R90" s="112" t="s">
        <v>1715</v>
      </c>
      <c r="S90" s="144">
        <v>3000</v>
      </c>
      <c r="T90" s="111">
        <v>248.58</v>
      </c>
      <c r="U90" s="144">
        <v>2751.42</v>
      </c>
    </row>
    <row r="91" spans="1:21" ht="15" thickBot="1" x14ac:dyDescent="0.35">
      <c r="A91" s="117">
        <v>90</v>
      </c>
      <c r="B91" s="118" t="s">
        <v>289</v>
      </c>
      <c r="C91" s="118" t="s">
        <v>150</v>
      </c>
      <c r="D91" s="118" t="s">
        <v>2722</v>
      </c>
      <c r="E91" s="118" t="s">
        <v>182</v>
      </c>
      <c r="F91" s="119"/>
      <c r="G91" s="118"/>
      <c r="H91" s="120"/>
      <c r="I91" s="121"/>
      <c r="J91" s="110" t="s">
        <v>1635</v>
      </c>
      <c r="K91" s="110" t="s">
        <v>1403</v>
      </c>
      <c r="L91" s="110" t="s">
        <v>3781</v>
      </c>
      <c r="M91" s="111" t="s">
        <v>1399</v>
      </c>
      <c r="N91" s="111" t="s">
        <v>1400</v>
      </c>
      <c r="O91" s="111" t="s">
        <v>1401</v>
      </c>
      <c r="P91" s="112" t="s">
        <v>1570</v>
      </c>
      <c r="Q91" s="112" t="s">
        <v>1534</v>
      </c>
      <c r="R91" s="112" t="s">
        <v>1571</v>
      </c>
      <c r="S91" s="144">
        <v>1681.94</v>
      </c>
      <c r="T91" s="111">
        <v>382.6</v>
      </c>
      <c r="U91" s="144">
        <v>1299.3399999999999</v>
      </c>
    </row>
    <row r="92" spans="1:21" ht="15" thickBot="1" x14ac:dyDescent="0.35">
      <c r="A92" s="117">
        <v>91</v>
      </c>
      <c r="B92" s="118" t="s">
        <v>290</v>
      </c>
      <c r="C92" s="118" t="s">
        <v>248</v>
      </c>
      <c r="D92" s="118" t="s">
        <v>2723</v>
      </c>
      <c r="E92" s="118" t="s">
        <v>291</v>
      </c>
      <c r="F92" s="119"/>
      <c r="G92" s="118"/>
      <c r="H92" s="120"/>
      <c r="I92" s="121"/>
      <c r="J92" s="110" t="s">
        <v>1636</v>
      </c>
      <c r="K92" s="110" t="s">
        <v>1403</v>
      </c>
      <c r="L92" s="110" t="s">
        <v>3781</v>
      </c>
      <c r="M92" s="111" t="s">
        <v>1559</v>
      </c>
      <c r="N92" s="111" t="s">
        <v>1560</v>
      </c>
      <c r="O92" s="111" t="s">
        <v>1561</v>
      </c>
      <c r="P92" s="112" t="s">
        <v>1559</v>
      </c>
      <c r="Q92" s="112" t="s">
        <v>1560</v>
      </c>
      <c r="R92" s="112" t="s">
        <v>1561</v>
      </c>
      <c r="S92" s="144">
        <v>4327</v>
      </c>
      <c r="T92" s="111">
        <v>407.82</v>
      </c>
      <c r="U92" s="144">
        <v>3919.18</v>
      </c>
    </row>
    <row r="93" spans="1:21" ht="15" thickBot="1" x14ac:dyDescent="0.35">
      <c r="A93" s="117">
        <v>92</v>
      </c>
      <c r="B93" s="118" t="s">
        <v>292</v>
      </c>
      <c r="C93" s="118" t="s">
        <v>153</v>
      </c>
      <c r="D93" s="118" t="s">
        <v>2724</v>
      </c>
      <c r="E93" s="118" t="s">
        <v>163</v>
      </c>
      <c r="F93" s="119"/>
      <c r="G93" s="118"/>
      <c r="H93" s="120"/>
      <c r="I93" s="121"/>
      <c r="J93" s="110" t="s">
        <v>1637</v>
      </c>
      <c r="K93" s="110" t="s">
        <v>1403</v>
      </c>
      <c r="L93" s="110" t="s">
        <v>3781</v>
      </c>
      <c r="M93" s="111" t="s">
        <v>1638</v>
      </c>
      <c r="N93" s="111" t="s">
        <v>1639</v>
      </c>
      <c r="O93" s="111" t="s">
        <v>1640</v>
      </c>
      <c r="P93" s="112" t="s">
        <v>3245</v>
      </c>
      <c r="Q93" s="112" t="s">
        <v>3404</v>
      </c>
      <c r="R93" s="112" t="s">
        <v>3603</v>
      </c>
      <c r="S93" s="144">
        <v>5577.46</v>
      </c>
      <c r="T93" s="144">
        <v>1873.79</v>
      </c>
      <c r="U93" s="144">
        <v>3703.67</v>
      </c>
    </row>
    <row r="94" spans="1:21" ht="15" thickBot="1" x14ac:dyDescent="0.35">
      <c r="A94" s="117">
        <v>93</v>
      </c>
      <c r="B94" s="118" t="s">
        <v>293</v>
      </c>
      <c r="C94" s="118" t="s">
        <v>158</v>
      </c>
      <c r="D94" s="118" t="s">
        <v>2725</v>
      </c>
      <c r="E94" s="118" t="s">
        <v>257</v>
      </c>
      <c r="F94" s="119"/>
      <c r="G94" s="118"/>
      <c r="H94" s="120"/>
      <c r="I94" s="121"/>
      <c r="J94" s="110" t="s">
        <v>1641</v>
      </c>
      <c r="K94" s="110" t="s">
        <v>1642</v>
      </c>
      <c r="L94" s="110" t="s">
        <v>3781</v>
      </c>
      <c r="M94" s="111" t="s">
        <v>1643</v>
      </c>
      <c r="N94" s="111" t="s">
        <v>1644</v>
      </c>
      <c r="O94" s="111" t="s">
        <v>1645</v>
      </c>
      <c r="P94" s="112" t="s">
        <v>3246</v>
      </c>
      <c r="Q94" s="112" t="s">
        <v>3397</v>
      </c>
      <c r="R94" s="112" t="s">
        <v>3604</v>
      </c>
      <c r="S94" s="144">
        <v>3546.69</v>
      </c>
      <c r="T94" s="111">
        <v>314.19</v>
      </c>
      <c r="U94" s="144">
        <v>3232.5</v>
      </c>
    </row>
    <row r="95" spans="1:21" ht="15" thickBot="1" x14ac:dyDescent="0.35">
      <c r="A95" s="117">
        <v>94</v>
      </c>
      <c r="B95" s="118" t="s">
        <v>294</v>
      </c>
      <c r="C95" s="118" t="s">
        <v>150</v>
      </c>
      <c r="D95" s="118" t="s">
        <v>2726</v>
      </c>
      <c r="E95" s="118" t="s">
        <v>163</v>
      </c>
      <c r="F95" s="119"/>
      <c r="G95" s="118"/>
      <c r="H95" s="120"/>
      <c r="I95" s="121"/>
      <c r="J95" s="110" t="s">
        <v>1646</v>
      </c>
      <c r="K95" s="110" t="s">
        <v>1403</v>
      </c>
      <c r="L95" s="110" t="s">
        <v>3781</v>
      </c>
      <c r="M95" s="111" t="s">
        <v>1647</v>
      </c>
      <c r="N95" s="111" t="s">
        <v>1592</v>
      </c>
      <c r="O95" s="111" t="s">
        <v>1648</v>
      </c>
      <c r="P95" s="112" t="s">
        <v>3247</v>
      </c>
      <c r="Q95" s="112" t="s">
        <v>3405</v>
      </c>
      <c r="R95" s="112" t="s">
        <v>3605</v>
      </c>
      <c r="S95" s="144">
        <v>1925.27</v>
      </c>
      <c r="T95" s="111">
        <v>148.94999999999999</v>
      </c>
      <c r="U95" s="144">
        <v>1776.32</v>
      </c>
    </row>
    <row r="96" spans="1:21" ht="15" thickBot="1" x14ac:dyDescent="0.35">
      <c r="A96" s="117">
        <v>95</v>
      </c>
      <c r="B96" s="118" t="s">
        <v>295</v>
      </c>
      <c r="C96" s="118" t="s">
        <v>150</v>
      </c>
      <c r="D96" s="118" t="s">
        <v>2727</v>
      </c>
      <c r="E96" s="118" t="s">
        <v>296</v>
      </c>
      <c r="F96" s="119"/>
      <c r="G96" s="118"/>
      <c r="H96" s="120"/>
      <c r="I96" s="121"/>
      <c r="J96" s="110" t="s">
        <v>1649</v>
      </c>
      <c r="K96" s="110" t="s">
        <v>1403</v>
      </c>
      <c r="L96" s="110" t="s">
        <v>3781</v>
      </c>
      <c r="M96" s="111" t="s">
        <v>1399</v>
      </c>
      <c r="N96" s="111" t="s">
        <v>1400</v>
      </c>
      <c r="O96" s="111" t="s">
        <v>1401</v>
      </c>
      <c r="P96" s="112" t="s">
        <v>1570</v>
      </c>
      <c r="Q96" s="112" t="s">
        <v>1534</v>
      </c>
      <c r="R96" s="112" t="s">
        <v>1571</v>
      </c>
      <c r="S96" s="144">
        <v>1681.94</v>
      </c>
      <c r="T96" s="111">
        <v>127.05</v>
      </c>
      <c r="U96" s="144">
        <v>1554.89</v>
      </c>
    </row>
    <row r="97" spans="1:21" ht="15" thickBot="1" x14ac:dyDescent="0.35">
      <c r="A97" s="117">
        <v>96</v>
      </c>
      <c r="B97" s="118" t="s">
        <v>297</v>
      </c>
      <c r="C97" s="118" t="s">
        <v>248</v>
      </c>
      <c r="D97" s="118" t="s">
        <v>2728</v>
      </c>
      <c r="E97" s="118" t="s">
        <v>177</v>
      </c>
      <c r="F97" s="119"/>
      <c r="G97" s="118"/>
      <c r="H97" s="120"/>
      <c r="I97" s="121"/>
      <c r="J97" s="110" t="s">
        <v>1650</v>
      </c>
      <c r="K97" s="110" t="s">
        <v>1403</v>
      </c>
      <c r="L97" s="110" t="s">
        <v>3781</v>
      </c>
      <c r="M97" s="111" t="s">
        <v>1559</v>
      </c>
      <c r="N97" s="111" t="s">
        <v>1560</v>
      </c>
      <c r="O97" s="111" t="s">
        <v>1561</v>
      </c>
      <c r="P97" s="112" t="s">
        <v>1559</v>
      </c>
      <c r="Q97" s="112" t="s">
        <v>1560</v>
      </c>
      <c r="R97" s="112" t="s">
        <v>1561</v>
      </c>
      <c r="S97" s="144">
        <v>4651.2</v>
      </c>
      <c r="T97" s="111">
        <v>452.67</v>
      </c>
      <c r="U97" s="144">
        <v>4198.53</v>
      </c>
    </row>
    <row r="98" spans="1:21" ht="15" thickBot="1" x14ac:dyDescent="0.35">
      <c r="A98" s="117">
        <v>97</v>
      </c>
      <c r="B98" s="118" t="s">
        <v>298</v>
      </c>
      <c r="C98" s="118" t="s">
        <v>233</v>
      </c>
      <c r="D98" s="118" t="s">
        <v>2729</v>
      </c>
      <c r="E98" s="118" t="s">
        <v>170</v>
      </c>
      <c r="F98" s="119"/>
      <c r="G98" s="118"/>
      <c r="H98" s="120"/>
      <c r="I98" s="121"/>
      <c r="J98" s="110" t="s">
        <v>1651</v>
      </c>
      <c r="K98" s="110" t="s">
        <v>1652</v>
      </c>
      <c r="L98" s="110" t="s">
        <v>3781</v>
      </c>
      <c r="M98" s="111" t="s">
        <v>1653</v>
      </c>
      <c r="N98" s="111" t="s">
        <v>1654</v>
      </c>
      <c r="O98" s="111" t="s">
        <v>1655</v>
      </c>
      <c r="P98" s="112" t="s">
        <v>1653</v>
      </c>
      <c r="Q98" s="112" t="s">
        <v>1654</v>
      </c>
      <c r="R98" s="112" t="s">
        <v>1655</v>
      </c>
      <c r="S98" s="144">
        <v>2800</v>
      </c>
      <c r="T98" s="111">
        <v>227.68</v>
      </c>
      <c r="U98" s="144">
        <v>2572.3200000000002</v>
      </c>
    </row>
    <row r="99" spans="1:21" ht="15" thickBot="1" x14ac:dyDescent="0.35">
      <c r="A99" s="117">
        <v>98</v>
      </c>
      <c r="B99" s="118" t="s">
        <v>299</v>
      </c>
      <c r="C99" s="118" t="s">
        <v>150</v>
      </c>
      <c r="D99" s="118" t="s">
        <v>2730</v>
      </c>
      <c r="E99" s="118" t="s">
        <v>291</v>
      </c>
      <c r="F99" s="119"/>
      <c r="G99" s="118"/>
      <c r="H99" s="120"/>
      <c r="I99" s="121"/>
      <c r="J99" s="110" t="s">
        <v>1656</v>
      </c>
      <c r="K99" s="110" t="s">
        <v>1403</v>
      </c>
      <c r="L99" s="110" t="s">
        <v>3781</v>
      </c>
      <c r="M99" s="111" t="s">
        <v>1422</v>
      </c>
      <c r="N99" s="111" t="s">
        <v>1400</v>
      </c>
      <c r="O99" s="111" t="s">
        <v>1423</v>
      </c>
      <c r="P99" s="112" t="s">
        <v>1671</v>
      </c>
      <c r="Q99" s="112" t="s">
        <v>1534</v>
      </c>
      <c r="R99" s="112" t="s">
        <v>1672</v>
      </c>
      <c r="S99" s="144">
        <v>1749.48</v>
      </c>
      <c r="T99" s="111">
        <v>127.05</v>
      </c>
      <c r="U99" s="144">
        <v>1622.43</v>
      </c>
    </row>
    <row r="100" spans="1:21" ht="15" thickBot="1" x14ac:dyDescent="0.35">
      <c r="A100" s="117">
        <v>99</v>
      </c>
      <c r="B100" s="118" t="s">
        <v>300</v>
      </c>
      <c r="C100" s="118" t="s">
        <v>150</v>
      </c>
      <c r="D100" s="118" t="s">
        <v>2731</v>
      </c>
      <c r="E100" s="118" t="s">
        <v>301</v>
      </c>
      <c r="F100" s="119"/>
      <c r="G100" s="118"/>
      <c r="H100" s="120"/>
      <c r="I100" s="121"/>
      <c r="J100" s="110" t="s">
        <v>1657</v>
      </c>
      <c r="K100" s="110" t="s">
        <v>1403</v>
      </c>
      <c r="L100" s="110" t="s">
        <v>3781</v>
      </c>
      <c r="M100" s="111" t="s">
        <v>1513</v>
      </c>
      <c r="N100" s="111" t="s">
        <v>1658</v>
      </c>
      <c r="O100" s="111" t="s">
        <v>1659</v>
      </c>
      <c r="P100" s="112" t="s">
        <v>3248</v>
      </c>
      <c r="Q100" s="112" t="s">
        <v>3406</v>
      </c>
      <c r="R100" s="112" t="s">
        <v>3606</v>
      </c>
      <c r="S100" s="144">
        <v>1909.03</v>
      </c>
      <c r="T100" s="111">
        <v>670.59</v>
      </c>
      <c r="U100" s="144">
        <v>1238.44</v>
      </c>
    </row>
    <row r="101" spans="1:21" ht="15" thickBot="1" x14ac:dyDescent="0.35">
      <c r="A101" s="117">
        <v>100</v>
      </c>
      <c r="B101" s="118" t="s">
        <v>302</v>
      </c>
      <c r="C101" s="118" t="s">
        <v>150</v>
      </c>
      <c r="D101" s="118" t="s">
        <v>2732</v>
      </c>
      <c r="E101" s="118" t="s">
        <v>159</v>
      </c>
      <c r="F101" s="119"/>
      <c r="G101" s="118"/>
      <c r="H101" s="120"/>
      <c r="I101" s="121"/>
      <c r="J101" s="110" t="s">
        <v>1660</v>
      </c>
      <c r="K101" s="110" t="s">
        <v>1403</v>
      </c>
      <c r="L101" s="110" t="s">
        <v>3781</v>
      </c>
      <c r="M101" s="111" t="s">
        <v>1399</v>
      </c>
      <c r="N101" s="111" t="s">
        <v>1400</v>
      </c>
      <c r="O101" s="111" t="s">
        <v>1401</v>
      </c>
      <c r="P101" s="112" t="s">
        <v>1570</v>
      </c>
      <c r="Q101" s="112" t="s">
        <v>1534</v>
      </c>
      <c r="R101" s="112" t="s">
        <v>1571</v>
      </c>
      <c r="S101" s="144">
        <v>1681.94</v>
      </c>
      <c r="T101" s="111">
        <v>127.05</v>
      </c>
      <c r="U101" s="144">
        <v>1554.89</v>
      </c>
    </row>
    <row r="102" spans="1:21" ht="15" thickBot="1" x14ac:dyDescent="0.35">
      <c r="A102" s="117">
        <v>101</v>
      </c>
      <c r="B102" s="118" t="s">
        <v>303</v>
      </c>
      <c r="C102" s="118" t="s">
        <v>150</v>
      </c>
      <c r="D102" s="118" t="s">
        <v>2733</v>
      </c>
      <c r="E102" s="118" t="s">
        <v>163</v>
      </c>
      <c r="F102" s="119"/>
      <c r="G102" s="118"/>
      <c r="H102" s="120"/>
      <c r="I102" s="121"/>
      <c r="J102" s="110" t="s">
        <v>1661</v>
      </c>
      <c r="K102" s="110" t="s">
        <v>1403</v>
      </c>
      <c r="L102" s="110" t="s">
        <v>3781</v>
      </c>
      <c r="M102" s="111" t="s">
        <v>1422</v>
      </c>
      <c r="N102" s="111" t="s">
        <v>1400</v>
      </c>
      <c r="O102" s="111" t="s">
        <v>1423</v>
      </c>
      <c r="P102" s="112" t="s">
        <v>1570</v>
      </c>
      <c r="Q102" s="112" t="s">
        <v>1534</v>
      </c>
      <c r="R102" s="112" t="s">
        <v>1571</v>
      </c>
      <c r="S102" s="144">
        <v>1681.94</v>
      </c>
      <c r="T102" s="111">
        <v>127.05</v>
      </c>
      <c r="U102" s="144">
        <v>1554.89</v>
      </c>
    </row>
    <row r="103" spans="1:21" ht="15" thickBot="1" x14ac:dyDescent="0.35">
      <c r="A103" s="117">
        <v>102</v>
      </c>
      <c r="B103" s="118" t="s">
        <v>304</v>
      </c>
      <c r="C103" s="118" t="s">
        <v>248</v>
      </c>
      <c r="D103" s="118" t="s">
        <v>2734</v>
      </c>
      <c r="E103" s="118" t="s">
        <v>305</v>
      </c>
      <c r="F103" s="119"/>
      <c r="G103" s="118"/>
      <c r="H103" s="120"/>
      <c r="I103" s="121"/>
      <c r="J103" s="110" t="s">
        <v>1662</v>
      </c>
      <c r="K103" s="110" t="s">
        <v>1403</v>
      </c>
      <c r="L103" s="110" t="s">
        <v>3781</v>
      </c>
      <c r="M103" s="111" t="s">
        <v>1559</v>
      </c>
      <c r="N103" s="111" t="s">
        <v>1663</v>
      </c>
      <c r="O103" s="111" t="s">
        <v>1664</v>
      </c>
      <c r="P103" s="112" t="s">
        <v>1559</v>
      </c>
      <c r="Q103" s="112" t="s">
        <v>1663</v>
      </c>
      <c r="R103" s="112" t="s">
        <v>1664</v>
      </c>
      <c r="S103" s="144">
        <v>4327</v>
      </c>
      <c r="T103" s="144">
        <v>1227.55</v>
      </c>
      <c r="U103" s="144">
        <v>3099.45</v>
      </c>
    </row>
    <row r="104" spans="1:21" ht="15" thickBot="1" x14ac:dyDescent="0.35">
      <c r="A104" s="117">
        <v>103</v>
      </c>
      <c r="B104" s="118" t="s">
        <v>306</v>
      </c>
      <c r="C104" s="118" t="s">
        <v>150</v>
      </c>
      <c r="D104" s="118" t="s">
        <v>2735</v>
      </c>
      <c r="E104" s="118" t="s">
        <v>161</v>
      </c>
      <c r="F104" s="119"/>
      <c r="G104" s="118"/>
      <c r="H104" s="120"/>
      <c r="I104" s="121"/>
      <c r="J104" s="110" t="s">
        <v>1665</v>
      </c>
      <c r="K104" s="110" t="s">
        <v>1403</v>
      </c>
      <c r="L104" s="110" t="s">
        <v>3781</v>
      </c>
      <c r="M104" s="111" t="s">
        <v>1666</v>
      </c>
      <c r="N104" s="111" t="s">
        <v>1667</v>
      </c>
      <c r="O104" s="111" t="s">
        <v>1668</v>
      </c>
      <c r="P104" s="112" t="s">
        <v>3248</v>
      </c>
      <c r="Q104" s="112" t="s">
        <v>3407</v>
      </c>
      <c r="R104" s="112" t="s">
        <v>3607</v>
      </c>
      <c r="S104" s="144">
        <v>1925.27</v>
      </c>
      <c r="T104" s="111">
        <v>148.94999999999999</v>
      </c>
      <c r="U104" s="144">
        <v>1776.32</v>
      </c>
    </row>
    <row r="105" spans="1:21" ht="15" thickBot="1" x14ac:dyDescent="0.35">
      <c r="A105" s="117">
        <v>104</v>
      </c>
      <c r="B105" s="118" t="s">
        <v>307</v>
      </c>
      <c r="C105" s="118" t="s">
        <v>253</v>
      </c>
      <c r="D105" s="118" t="s">
        <v>2736</v>
      </c>
      <c r="E105" s="118" t="s">
        <v>308</v>
      </c>
      <c r="F105" s="119"/>
      <c r="G105" s="118"/>
      <c r="H105" s="120"/>
      <c r="I105" s="121"/>
      <c r="J105" s="110" t="s">
        <v>1669</v>
      </c>
      <c r="K105" s="110" t="s">
        <v>1403</v>
      </c>
      <c r="L105" s="110" t="s">
        <v>3781</v>
      </c>
      <c r="M105" s="111">
        <v>0</v>
      </c>
      <c r="N105" s="111">
        <v>0</v>
      </c>
      <c r="O105" s="111">
        <v>0</v>
      </c>
      <c r="P105" s="112" t="s">
        <v>1570</v>
      </c>
      <c r="Q105" s="112" t="s">
        <v>3408</v>
      </c>
      <c r="R105" s="112" t="s">
        <v>3608</v>
      </c>
      <c r="S105" s="144">
        <v>1688.54</v>
      </c>
      <c r="T105" s="111">
        <v>121.57</v>
      </c>
      <c r="U105" s="144">
        <v>1566.97</v>
      </c>
    </row>
    <row r="106" spans="1:21" ht="15" thickBot="1" x14ac:dyDescent="0.35">
      <c r="A106" s="117">
        <v>105</v>
      </c>
      <c r="B106" s="118" t="s">
        <v>309</v>
      </c>
      <c r="C106" s="118" t="s">
        <v>253</v>
      </c>
      <c r="D106" s="118" t="s">
        <v>2737</v>
      </c>
      <c r="E106" s="118" t="s">
        <v>276</v>
      </c>
      <c r="F106" s="119"/>
      <c r="G106" s="118"/>
      <c r="H106" s="120"/>
      <c r="I106" s="121"/>
      <c r="J106" s="110" t="s">
        <v>1670</v>
      </c>
      <c r="K106" s="110" t="s">
        <v>1403</v>
      </c>
      <c r="L106" s="110" t="s">
        <v>3781</v>
      </c>
      <c r="M106" s="111" t="s">
        <v>1671</v>
      </c>
      <c r="N106" s="111" t="s">
        <v>1534</v>
      </c>
      <c r="O106" s="111" t="s">
        <v>1672</v>
      </c>
      <c r="P106" s="112" t="s">
        <v>1671</v>
      </c>
      <c r="Q106" s="112" t="s">
        <v>1534</v>
      </c>
      <c r="R106" s="112" t="s">
        <v>1672</v>
      </c>
      <c r="S106" s="144">
        <v>1691.65</v>
      </c>
      <c r="T106" s="111">
        <v>94.12</v>
      </c>
      <c r="U106" s="144">
        <v>1597.53</v>
      </c>
    </row>
    <row r="107" spans="1:21" ht="15" thickBot="1" x14ac:dyDescent="0.35">
      <c r="A107" s="117">
        <v>106</v>
      </c>
      <c r="B107" s="118" t="s">
        <v>310</v>
      </c>
      <c r="C107" s="118" t="s">
        <v>233</v>
      </c>
      <c r="D107" s="118" t="s">
        <v>2738</v>
      </c>
      <c r="E107" s="118" t="s">
        <v>170</v>
      </c>
      <c r="F107" s="119"/>
      <c r="G107" s="118"/>
      <c r="H107" s="120"/>
      <c r="I107" s="121"/>
      <c r="J107" s="110" t="s">
        <v>1673</v>
      </c>
      <c r="K107" s="110" t="s">
        <v>1403</v>
      </c>
      <c r="L107" s="110" t="s">
        <v>3781</v>
      </c>
      <c r="M107" s="111" t="s">
        <v>1539</v>
      </c>
      <c r="N107" s="111" t="s">
        <v>1540</v>
      </c>
      <c r="O107" s="111" t="s">
        <v>1541</v>
      </c>
      <c r="P107" s="112" t="s">
        <v>1539</v>
      </c>
      <c r="Q107" s="112" t="s">
        <v>1540</v>
      </c>
      <c r="R107" s="112" t="s">
        <v>1541</v>
      </c>
      <c r="S107" s="144">
        <v>2800</v>
      </c>
      <c r="T107" s="111">
        <v>227.68</v>
      </c>
      <c r="U107" s="144">
        <v>2572.3200000000002</v>
      </c>
    </row>
    <row r="108" spans="1:21" ht="15" thickBot="1" x14ac:dyDescent="0.35">
      <c r="A108" s="117">
        <v>107</v>
      </c>
      <c r="B108" s="118" t="s">
        <v>311</v>
      </c>
      <c r="C108" s="118" t="s">
        <v>150</v>
      </c>
      <c r="D108" s="118" t="s">
        <v>2739</v>
      </c>
      <c r="E108" s="118" t="s">
        <v>168</v>
      </c>
      <c r="F108" s="119"/>
      <c r="G108" s="118"/>
      <c r="H108" s="120"/>
      <c r="I108" s="121"/>
      <c r="J108" s="110" t="s">
        <v>1674</v>
      </c>
      <c r="K108" s="110" t="s">
        <v>1403</v>
      </c>
      <c r="L108" s="110" t="s">
        <v>3781</v>
      </c>
      <c r="M108" s="111" t="s">
        <v>1422</v>
      </c>
      <c r="N108" s="111" t="s">
        <v>1675</v>
      </c>
      <c r="O108" s="111" t="s">
        <v>1676</v>
      </c>
      <c r="P108" s="112" t="s">
        <v>1671</v>
      </c>
      <c r="Q108" s="112" t="s">
        <v>1534</v>
      </c>
      <c r="R108" s="112" t="s">
        <v>1672</v>
      </c>
      <c r="S108" s="144">
        <v>1749.48</v>
      </c>
      <c r="T108" s="111">
        <v>127.05</v>
      </c>
      <c r="U108" s="144">
        <v>1622.43</v>
      </c>
    </row>
    <row r="109" spans="1:21" ht="15" thickBot="1" x14ac:dyDescent="0.35">
      <c r="A109" s="117">
        <v>108</v>
      </c>
      <c r="B109" s="118" t="s">
        <v>312</v>
      </c>
      <c r="C109" s="118" t="s">
        <v>253</v>
      </c>
      <c r="D109" s="118" t="s">
        <v>2740</v>
      </c>
      <c r="E109" s="118" t="s">
        <v>182</v>
      </c>
      <c r="F109" s="119"/>
      <c r="G109" s="118"/>
      <c r="H109" s="120"/>
      <c r="I109" s="121"/>
      <c r="J109" s="110" t="s">
        <v>1677</v>
      </c>
      <c r="K109" s="110" t="s">
        <v>1403</v>
      </c>
      <c r="L109" s="110" t="s">
        <v>3781</v>
      </c>
      <c r="M109" s="111">
        <v>0</v>
      </c>
      <c r="N109" s="111">
        <v>0</v>
      </c>
      <c r="O109" s="111">
        <v>0</v>
      </c>
      <c r="P109" s="112">
        <v>0</v>
      </c>
      <c r="Q109" s="112">
        <v>0</v>
      </c>
      <c r="R109" s="112">
        <v>0</v>
      </c>
      <c r="S109" s="144">
        <v>1621</v>
      </c>
      <c r="T109" s="144">
        <v>1621</v>
      </c>
      <c r="U109" s="111">
        <v>0</v>
      </c>
    </row>
    <row r="110" spans="1:21" ht="15" thickBot="1" x14ac:dyDescent="0.35">
      <c r="A110" s="117">
        <v>109</v>
      </c>
      <c r="B110" s="118" t="s">
        <v>313</v>
      </c>
      <c r="C110" s="118" t="s">
        <v>150</v>
      </c>
      <c r="D110" s="118" t="s">
        <v>2741</v>
      </c>
      <c r="E110" s="118" t="s">
        <v>163</v>
      </c>
      <c r="F110" s="119"/>
      <c r="G110" s="118"/>
      <c r="H110" s="120"/>
      <c r="I110" s="121"/>
      <c r="J110" s="110" t="s">
        <v>1678</v>
      </c>
      <c r="K110" s="110" t="s">
        <v>1403</v>
      </c>
      <c r="L110" s="110" t="s">
        <v>3781</v>
      </c>
      <c r="M110" s="111" t="s">
        <v>1422</v>
      </c>
      <c r="N110" s="111" t="s">
        <v>1400</v>
      </c>
      <c r="O110" s="111" t="s">
        <v>1423</v>
      </c>
      <c r="P110" s="112" t="s">
        <v>1671</v>
      </c>
      <c r="Q110" s="112" t="s">
        <v>1534</v>
      </c>
      <c r="R110" s="112" t="s">
        <v>1672</v>
      </c>
      <c r="S110" s="144">
        <v>1756.28</v>
      </c>
      <c r="T110" s="111">
        <v>127.66</v>
      </c>
      <c r="U110" s="144">
        <v>1628.62</v>
      </c>
    </row>
    <row r="111" spans="1:21" ht="15" thickBot="1" x14ac:dyDescent="0.35">
      <c r="A111" s="117">
        <v>110</v>
      </c>
      <c r="B111" s="118" t="s">
        <v>314</v>
      </c>
      <c r="C111" s="118" t="s">
        <v>179</v>
      </c>
      <c r="D111" s="118" t="s">
        <v>2742</v>
      </c>
      <c r="E111" s="118" t="s">
        <v>315</v>
      </c>
      <c r="F111" s="119"/>
      <c r="G111" s="118"/>
      <c r="H111" s="120"/>
      <c r="I111" s="121"/>
      <c r="J111" s="110" t="s">
        <v>1679</v>
      </c>
      <c r="K111" s="110" t="s">
        <v>1680</v>
      </c>
      <c r="L111" s="110" t="s">
        <v>3781</v>
      </c>
      <c r="M111" s="111" t="s">
        <v>1509</v>
      </c>
      <c r="N111" s="111" t="s">
        <v>1510</v>
      </c>
      <c r="O111" s="111" t="s">
        <v>1511</v>
      </c>
      <c r="P111" s="112" t="s">
        <v>1509</v>
      </c>
      <c r="Q111" s="112" t="s">
        <v>1510</v>
      </c>
      <c r="R111" s="112" t="s">
        <v>1511</v>
      </c>
      <c r="S111" s="144">
        <v>4280</v>
      </c>
      <c r="T111" s="111">
        <v>402.18</v>
      </c>
      <c r="U111" s="144">
        <v>3877.82</v>
      </c>
    </row>
    <row r="112" spans="1:21" ht="15" thickBot="1" x14ac:dyDescent="0.35">
      <c r="A112" s="117">
        <v>111</v>
      </c>
      <c r="B112" s="118" t="s">
        <v>316</v>
      </c>
      <c r="C112" s="118" t="s">
        <v>179</v>
      </c>
      <c r="D112" s="118" t="s">
        <v>2743</v>
      </c>
      <c r="E112" s="118" t="s">
        <v>317</v>
      </c>
      <c r="F112" s="119"/>
      <c r="G112" s="118"/>
      <c r="H112" s="120"/>
      <c r="I112" s="121"/>
      <c r="J112" s="110" t="s">
        <v>1681</v>
      </c>
      <c r="K112" s="110" t="s">
        <v>1403</v>
      </c>
      <c r="L112" s="110" t="s">
        <v>3781</v>
      </c>
      <c r="M112" s="111" t="s">
        <v>1682</v>
      </c>
      <c r="N112" s="111" t="s">
        <v>1683</v>
      </c>
      <c r="O112" s="111" t="s">
        <v>1684</v>
      </c>
      <c r="P112" s="112" t="s">
        <v>1694</v>
      </c>
      <c r="Q112" s="112" t="s">
        <v>3409</v>
      </c>
      <c r="R112" s="112" t="s">
        <v>3609</v>
      </c>
      <c r="S112" s="144">
        <v>5136</v>
      </c>
      <c r="T112" s="144">
        <v>1546.08</v>
      </c>
      <c r="U112" s="144">
        <v>3589.92</v>
      </c>
    </row>
    <row r="113" spans="1:21" ht="15" thickBot="1" x14ac:dyDescent="0.35">
      <c r="A113" s="117">
        <v>112</v>
      </c>
      <c r="B113" s="118" t="s">
        <v>318</v>
      </c>
      <c r="C113" s="118" t="s">
        <v>184</v>
      </c>
      <c r="D113" s="118" t="s">
        <v>2744</v>
      </c>
      <c r="E113" s="118" t="s">
        <v>163</v>
      </c>
      <c r="F113" s="119"/>
      <c r="G113" s="118"/>
      <c r="H113" s="120"/>
      <c r="I113" s="121"/>
      <c r="J113" s="110" t="s">
        <v>1685</v>
      </c>
      <c r="K113" s="110" t="s">
        <v>1652</v>
      </c>
      <c r="L113" s="110" t="s">
        <v>3781</v>
      </c>
      <c r="M113" s="111" t="s">
        <v>1451</v>
      </c>
      <c r="N113" s="111" t="s">
        <v>1452</v>
      </c>
      <c r="O113" s="111" t="s">
        <v>1453</v>
      </c>
      <c r="P113" s="112" t="s">
        <v>1451</v>
      </c>
      <c r="Q113" s="112" t="s">
        <v>1452</v>
      </c>
      <c r="R113" s="112" t="s">
        <v>1453</v>
      </c>
      <c r="S113" s="144">
        <v>3818.4</v>
      </c>
      <c r="T113" s="111">
        <v>437.69</v>
      </c>
      <c r="U113" s="144">
        <v>3380.71</v>
      </c>
    </row>
    <row r="114" spans="1:21" ht="15" thickBot="1" x14ac:dyDescent="0.35">
      <c r="A114" s="117">
        <v>113</v>
      </c>
      <c r="B114" s="118" t="s">
        <v>319</v>
      </c>
      <c r="C114" s="118" t="s">
        <v>150</v>
      </c>
      <c r="D114" s="118" t="s">
        <v>2745</v>
      </c>
      <c r="E114" s="118" t="s">
        <v>320</v>
      </c>
      <c r="F114" s="119"/>
      <c r="G114" s="118"/>
      <c r="H114" s="120"/>
      <c r="I114" s="121"/>
      <c r="J114" s="110" t="s">
        <v>1686</v>
      </c>
      <c r="K114" s="110" t="s">
        <v>1403</v>
      </c>
      <c r="L114" s="110" t="s">
        <v>3781</v>
      </c>
      <c r="M114" s="111" t="s">
        <v>1422</v>
      </c>
      <c r="N114" s="111" t="s">
        <v>1400</v>
      </c>
      <c r="O114" s="111" t="s">
        <v>1423</v>
      </c>
      <c r="P114" s="112" t="s">
        <v>1671</v>
      </c>
      <c r="Q114" s="112" t="s">
        <v>1534</v>
      </c>
      <c r="R114" s="112" t="s">
        <v>1672</v>
      </c>
      <c r="S114" s="144">
        <v>1749.48</v>
      </c>
      <c r="T114" s="111">
        <v>127.05</v>
      </c>
      <c r="U114" s="144">
        <v>1622.43</v>
      </c>
    </row>
    <row r="115" spans="1:21" ht="15" thickBot="1" x14ac:dyDescent="0.35">
      <c r="A115" s="117">
        <v>114</v>
      </c>
      <c r="B115" s="118" t="s">
        <v>321</v>
      </c>
      <c r="C115" s="118" t="s">
        <v>179</v>
      </c>
      <c r="D115" s="118" t="s">
        <v>2746</v>
      </c>
      <c r="E115" s="118" t="s">
        <v>322</v>
      </c>
      <c r="F115" s="119"/>
      <c r="G115" s="118"/>
      <c r="H115" s="120"/>
      <c r="I115" s="121"/>
      <c r="J115" s="110" t="s">
        <v>1687</v>
      </c>
      <c r="K115" s="110" t="s">
        <v>1403</v>
      </c>
      <c r="L115" s="110" t="s">
        <v>3781</v>
      </c>
      <c r="M115" s="111" t="s">
        <v>1509</v>
      </c>
      <c r="N115" s="111" t="s">
        <v>1688</v>
      </c>
      <c r="O115" s="111" t="s">
        <v>1689</v>
      </c>
      <c r="P115" s="112" t="s">
        <v>1509</v>
      </c>
      <c r="Q115" s="112" t="s">
        <v>1688</v>
      </c>
      <c r="R115" s="112" t="s">
        <v>1689</v>
      </c>
      <c r="S115" s="144">
        <v>4280</v>
      </c>
      <c r="T115" s="144">
        <v>1633.52</v>
      </c>
      <c r="U115" s="144">
        <v>2646.48</v>
      </c>
    </row>
    <row r="116" spans="1:21" ht="15" thickBot="1" x14ac:dyDescent="0.35">
      <c r="A116" s="117">
        <v>115</v>
      </c>
      <c r="B116" s="118" t="s">
        <v>323</v>
      </c>
      <c r="C116" s="118" t="s">
        <v>150</v>
      </c>
      <c r="D116" s="118" t="s">
        <v>2747</v>
      </c>
      <c r="E116" s="118" t="s">
        <v>284</v>
      </c>
      <c r="F116" s="119"/>
      <c r="G116" s="118"/>
      <c r="H116" s="120"/>
      <c r="I116" s="121"/>
      <c r="J116" s="110" t="s">
        <v>1690</v>
      </c>
      <c r="K116" s="110" t="s">
        <v>1403</v>
      </c>
      <c r="L116" s="110" t="s">
        <v>3781</v>
      </c>
      <c r="M116" s="111" t="s">
        <v>1399</v>
      </c>
      <c r="N116" s="111" t="s">
        <v>1400</v>
      </c>
      <c r="O116" s="111" t="s">
        <v>1401</v>
      </c>
      <c r="P116" s="112" t="s">
        <v>1570</v>
      </c>
      <c r="Q116" s="112" t="s">
        <v>1534</v>
      </c>
      <c r="R116" s="112" t="s">
        <v>1571</v>
      </c>
      <c r="S116" s="144">
        <v>1681.94</v>
      </c>
      <c r="T116" s="111">
        <v>127.05</v>
      </c>
      <c r="U116" s="144">
        <v>1554.89</v>
      </c>
    </row>
    <row r="117" spans="1:21" ht="15" thickBot="1" x14ac:dyDescent="0.35">
      <c r="A117" s="117">
        <v>116</v>
      </c>
      <c r="B117" s="118" t="s">
        <v>324</v>
      </c>
      <c r="C117" s="118" t="s">
        <v>150</v>
      </c>
      <c r="D117" s="118" t="s">
        <v>2748</v>
      </c>
      <c r="E117" s="118" t="s">
        <v>325</v>
      </c>
      <c r="F117" s="119"/>
      <c r="G117" s="118"/>
      <c r="H117" s="120"/>
      <c r="I117" s="121"/>
      <c r="J117" s="110" t="s">
        <v>1691</v>
      </c>
      <c r="K117" s="110" t="s">
        <v>1403</v>
      </c>
      <c r="L117" s="110" t="s">
        <v>3781</v>
      </c>
      <c r="M117" s="111" t="s">
        <v>1399</v>
      </c>
      <c r="N117" s="111" t="s">
        <v>1400</v>
      </c>
      <c r="O117" s="111" t="s">
        <v>1401</v>
      </c>
      <c r="P117" s="112" t="s">
        <v>1570</v>
      </c>
      <c r="Q117" s="112" t="s">
        <v>1534</v>
      </c>
      <c r="R117" s="112" t="s">
        <v>1571</v>
      </c>
      <c r="S117" s="144">
        <v>1681.94</v>
      </c>
      <c r="T117" s="111">
        <v>127.05</v>
      </c>
      <c r="U117" s="144">
        <v>1554.89</v>
      </c>
    </row>
    <row r="118" spans="1:21" ht="15" thickBot="1" x14ac:dyDescent="0.35">
      <c r="A118" s="117">
        <v>117</v>
      </c>
      <c r="B118" s="118" t="s">
        <v>326</v>
      </c>
      <c r="C118" s="118" t="s">
        <v>214</v>
      </c>
      <c r="D118" s="118" t="s">
        <v>2749</v>
      </c>
      <c r="E118" s="118" t="s">
        <v>163</v>
      </c>
      <c r="F118" s="119"/>
      <c r="G118" s="118"/>
      <c r="H118" s="120"/>
      <c r="I118" s="121"/>
      <c r="J118" s="110" t="s">
        <v>1692</v>
      </c>
      <c r="K118" s="110" t="s">
        <v>1680</v>
      </c>
      <c r="L118" s="110" t="s">
        <v>3781</v>
      </c>
      <c r="M118" s="111" t="s">
        <v>1418</v>
      </c>
      <c r="N118" s="111" t="s">
        <v>1419</v>
      </c>
      <c r="O118" s="111" t="s">
        <v>1420</v>
      </c>
      <c r="P118" s="112" t="s">
        <v>3226</v>
      </c>
      <c r="Q118" s="112" t="s">
        <v>3382</v>
      </c>
      <c r="R118" s="112" t="s">
        <v>3580</v>
      </c>
      <c r="S118" s="144">
        <v>5078.8900000000003</v>
      </c>
      <c r="T118" s="111">
        <v>540.79</v>
      </c>
      <c r="U118" s="144">
        <v>4538.1000000000004</v>
      </c>
    </row>
    <row r="119" spans="1:21" ht="15" thickBot="1" x14ac:dyDescent="0.35">
      <c r="A119" s="117">
        <v>118</v>
      </c>
      <c r="B119" s="118" t="s">
        <v>327</v>
      </c>
      <c r="C119" s="118" t="s">
        <v>179</v>
      </c>
      <c r="D119" s="118" t="s">
        <v>2750</v>
      </c>
      <c r="E119" s="118" t="s">
        <v>317</v>
      </c>
      <c r="F119" s="119"/>
      <c r="G119" s="118"/>
      <c r="H119" s="120"/>
      <c r="I119" s="121"/>
      <c r="J119" s="110" t="s">
        <v>1693</v>
      </c>
      <c r="K119" s="110" t="s">
        <v>1403</v>
      </c>
      <c r="L119" s="110" t="s">
        <v>3781</v>
      </c>
      <c r="M119" s="111" t="s">
        <v>1694</v>
      </c>
      <c r="N119" s="111" t="s">
        <v>1695</v>
      </c>
      <c r="O119" s="111" t="s">
        <v>1696</v>
      </c>
      <c r="P119" s="112" t="s">
        <v>3249</v>
      </c>
      <c r="Q119" s="112" t="s">
        <v>3410</v>
      </c>
      <c r="R119" s="112" t="s">
        <v>3610</v>
      </c>
      <c r="S119" s="144">
        <v>5136</v>
      </c>
      <c r="T119" s="111">
        <v>569.24</v>
      </c>
      <c r="U119" s="144">
        <v>4566.76</v>
      </c>
    </row>
    <row r="120" spans="1:21" ht="15" thickBot="1" x14ac:dyDescent="0.35">
      <c r="A120" s="117">
        <v>119</v>
      </c>
      <c r="B120" s="118" t="s">
        <v>328</v>
      </c>
      <c r="C120" s="118" t="s">
        <v>150</v>
      </c>
      <c r="D120" s="118" t="s">
        <v>2751</v>
      </c>
      <c r="E120" s="118" t="s">
        <v>168</v>
      </c>
      <c r="F120" s="119"/>
      <c r="G120" s="118"/>
      <c r="H120" s="120"/>
      <c r="I120" s="121"/>
      <c r="J120" s="110" t="s">
        <v>1697</v>
      </c>
      <c r="K120" s="110" t="s">
        <v>1403</v>
      </c>
      <c r="L120" s="110" t="s">
        <v>3781</v>
      </c>
      <c r="M120" s="111" t="s">
        <v>1698</v>
      </c>
      <c r="N120" s="111" t="s">
        <v>1699</v>
      </c>
      <c r="O120" s="111" t="s">
        <v>1700</v>
      </c>
      <c r="P120" s="112" t="s">
        <v>3228</v>
      </c>
      <c r="Q120" s="112" t="s">
        <v>3411</v>
      </c>
      <c r="R120" s="112" t="s">
        <v>3611</v>
      </c>
      <c r="S120" s="144">
        <v>2013.21</v>
      </c>
      <c r="T120" s="111">
        <v>156.86000000000001</v>
      </c>
      <c r="U120" s="144">
        <v>1856.35</v>
      </c>
    </row>
    <row r="121" spans="1:21" ht="15" thickBot="1" x14ac:dyDescent="0.35">
      <c r="A121" s="117">
        <v>120</v>
      </c>
      <c r="B121" s="118" t="s">
        <v>329</v>
      </c>
      <c r="C121" s="118" t="s">
        <v>150</v>
      </c>
      <c r="D121" s="118" t="s">
        <v>2752</v>
      </c>
      <c r="E121" s="118" t="s">
        <v>330</v>
      </c>
      <c r="F121" s="119"/>
      <c r="G121" s="118"/>
      <c r="H121" s="120"/>
      <c r="I121" s="121"/>
      <c r="J121" s="110" t="s">
        <v>1701</v>
      </c>
      <c r="K121" s="110" t="s">
        <v>1403</v>
      </c>
      <c r="L121" s="110" t="s">
        <v>3781</v>
      </c>
      <c r="M121" s="111" t="s">
        <v>1399</v>
      </c>
      <c r="N121" s="111" t="s">
        <v>1702</v>
      </c>
      <c r="O121" s="111" t="s">
        <v>1703</v>
      </c>
      <c r="P121" s="112" t="s">
        <v>1570</v>
      </c>
      <c r="Q121" s="112" t="s">
        <v>3412</v>
      </c>
      <c r="R121" s="112" t="s">
        <v>3612</v>
      </c>
      <c r="S121" s="144">
        <v>1681.94</v>
      </c>
      <c r="T121" s="111">
        <v>651.35</v>
      </c>
      <c r="U121" s="144">
        <v>1030.5899999999999</v>
      </c>
    </row>
    <row r="122" spans="1:21" ht="15" thickBot="1" x14ac:dyDescent="0.35">
      <c r="A122" s="117">
        <v>121</v>
      </c>
      <c r="B122" s="118" t="s">
        <v>331</v>
      </c>
      <c r="C122" s="118" t="s">
        <v>158</v>
      </c>
      <c r="D122" s="118" t="s">
        <v>2753</v>
      </c>
      <c r="E122" s="118" t="s">
        <v>193</v>
      </c>
      <c r="F122" s="119"/>
      <c r="G122" s="118"/>
      <c r="H122" s="120"/>
      <c r="I122" s="121"/>
      <c r="J122" s="110" t="s">
        <v>1704</v>
      </c>
      <c r="K122" s="110" t="s">
        <v>1403</v>
      </c>
      <c r="L122" s="110" t="s">
        <v>3781</v>
      </c>
      <c r="M122" s="111" t="s">
        <v>1425</v>
      </c>
      <c r="N122" s="111" t="s">
        <v>1426</v>
      </c>
      <c r="O122" s="111" t="s">
        <v>1427</v>
      </c>
      <c r="P122" s="112" t="s">
        <v>3250</v>
      </c>
      <c r="Q122" s="112" t="s">
        <v>3413</v>
      </c>
      <c r="R122" s="112" t="s">
        <v>3613</v>
      </c>
      <c r="S122" s="144">
        <v>3433.34</v>
      </c>
      <c r="T122" s="111">
        <v>300.58999999999997</v>
      </c>
      <c r="U122" s="144">
        <v>3132.75</v>
      </c>
    </row>
    <row r="123" spans="1:21" ht="15" thickBot="1" x14ac:dyDescent="0.35">
      <c r="A123" s="117">
        <v>122</v>
      </c>
      <c r="B123" s="118" t="s">
        <v>332</v>
      </c>
      <c r="C123" s="118" t="s">
        <v>214</v>
      </c>
      <c r="D123" s="118" t="s">
        <v>2754</v>
      </c>
      <c r="E123" s="118" t="s">
        <v>161</v>
      </c>
      <c r="F123" s="119"/>
      <c r="G123" s="118"/>
      <c r="H123" s="120"/>
      <c r="I123" s="121"/>
      <c r="J123" s="110" t="s">
        <v>1705</v>
      </c>
      <c r="K123" s="110" t="s">
        <v>1403</v>
      </c>
      <c r="L123" s="110" t="s">
        <v>3781</v>
      </c>
      <c r="M123" s="111" t="s">
        <v>1418</v>
      </c>
      <c r="N123" s="111" t="s">
        <v>1419</v>
      </c>
      <c r="O123" s="111" t="s">
        <v>1420</v>
      </c>
      <c r="P123" s="112" t="s">
        <v>3214</v>
      </c>
      <c r="Q123" s="112" t="s">
        <v>3366</v>
      </c>
      <c r="R123" s="112" t="s">
        <v>3563</v>
      </c>
      <c r="S123" s="144">
        <v>5226.78</v>
      </c>
      <c r="T123" s="111">
        <v>614.47</v>
      </c>
      <c r="U123" s="144">
        <v>4612.3100000000004</v>
      </c>
    </row>
    <row r="124" spans="1:21" ht="15" thickBot="1" x14ac:dyDescent="0.35">
      <c r="A124" s="117">
        <v>123</v>
      </c>
      <c r="B124" s="118" t="s">
        <v>333</v>
      </c>
      <c r="C124" s="118" t="s">
        <v>150</v>
      </c>
      <c r="D124" s="118" t="s">
        <v>2755</v>
      </c>
      <c r="E124" s="118" t="s">
        <v>320</v>
      </c>
      <c r="F124" s="119"/>
      <c r="G124" s="118"/>
      <c r="H124" s="120"/>
      <c r="I124" s="121"/>
      <c r="J124" s="110" t="s">
        <v>1706</v>
      </c>
      <c r="K124" s="110" t="s">
        <v>1403</v>
      </c>
      <c r="L124" s="110" t="s">
        <v>3781</v>
      </c>
      <c r="M124" s="111" t="s">
        <v>1399</v>
      </c>
      <c r="N124" s="111" t="s">
        <v>1707</v>
      </c>
      <c r="O124" s="111" t="s">
        <v>1708</v>
      </c>
      <c r="P124" s="112" t="s">
        <v>1570</v>
      </c>
      <c r="Q124" s="112" t="s">
        <v>1534</v>
      </c>
      <c r="R124" s="112" t="s">
        <v>1571</v>
      </c>
      <c r="S124" s="144">
        <v>1681.94</v>
      </c>
      <c r="T124" s="111">
        <v>127.05</v>
      </c>
      <c r="U124" s="144">
        <v>1554.89</v>
      </c>
    </row>
    <row r="125" spans="1:21" ht="15" thickBot="1" x14ac:dyDescent="0.35">
      <c r="A125" s="117">
        <v>124</v>
      </c>
      <c r="B125" s="118" t="s">
        <v>334</v>
      </c>
      <c r="C125" s="118" t="s">
        <v>158</v>
      </c>
      <c r="D125" s="118" t="s">
        <v>2756</v>
      </c>
      <c r="E125" s="118" t="s">
        <v>284</v>
      </c>
      <c r="F125" s="119"/>
      <c r="G125" s="118"/>
      <c r="H125" s="120"/>
      <c r="I125" s="121"/>
      <c r="J125" s="110" t="s">
        <v>1709</v>
      </c>
      <c r="K125" s="110" t="s">
        <v>1403</v>
      </c>
      <c r="L125" s="110" t="s">
        <v>3781</v>
      </c>
      <c r="M125" s="111" t="s">
        <v>1425</v>
      </c>
      <c r="N125" s="111" t="s">
        <v>1426</v>
      </c>
      <c r="O125" s="111" t="s">
        <v>1427</v>
      </c>
      <c r="P125" s="112" t="s">
        <v>3215</v>
      </c>
      <c r="Q125" s="112" t="s">
        <v>2424</v>
      </c>
      <c r="R125" s="112" t="s">
        <v>3570</v>
      </c>
      <c r="S125" s="144">
        <v>3433.34</v>
      </c>
      <c r="T125" s="111">
        <v>300.58999999999997</v>
      </c>
      <c r="U125" s="144">
        <v>3132.75</v>
      </c>
    </row>
    <row r="126" spans="1:21" ht="15" thickBot="1" x14ac:dyDescent="0.35">
      <c r="A126" s="117">
        <v>125</v>
      </c>
      <c r="B126" s="118" t="s">
        <v>335</v>
      </c>
      <c r="C126" s="118" t="s">
        <v>336</v>
      </c>
      <c r="D126" s="118" t="s">
        <v>2757</v>
      </c>
      <c r="E126" s="118" t="s">
        <v>337</v>
      </c>
      <c r="F126" s="119"/>
      <c r="G126" s="118"/>
      <c r="H126" s="120"/>
      <c r="I126" s="121"/>
      <c r="J126" s="110" t="s">
        <v>1710</v>
      </c>
      <c r="K126" s="110" t="s">
        <v>1403</v>
      </c>
      <c r="L126" s="110" t="s">
        <v>3781</v>
      </c>
      <c r="M126" s="111">
        <v>0</v>
      </c>
      <c r="N126" s="111">
        <v>0</v>
      </c>
      <c r="O126" s="111">
        <v>0</v>
      </c>
      <c r="P126" s="112">
        <v>0</v>
      </c>
      <c r="Q126" s="112">
        <v>0</v>
      </c>
      <c r="R126" s="112">
        <v>0</v>
      </c>
      <c r="S126" s="144">
        <v>3050</v>
      </c>
      <c r="T126" s="144">
        <v>3050</v>
      </c>
      <c r="U126" s="111">
        <v>0</v>
      </c>
    </row>
    <row r="127" spans="1:21" ht="15" thickBot="1" x14ac:dyDescent="0.35">
      <c r="A127" s="117">
        <v>126</v>
      </c>
      <c r="B127" s="118" t="s">
        <v>338</v>
      </c>
      <c r="C127" s="118" t="s">
        <v>150</v>
      </c>
      <c r="D127" s="118" t="s">
        <v>2758</v>
      </c>
      <c r="E127" s="118" t="s">
        <v>322</v>
      </c>
      <c r="F127" s="119"/>
      <c r="G127" s="118"/>
      <c r="H127" s="120"/>
      <c r="I127" s="121"/>
      <c r="J127" s="110" t="s">
        <v>1711</v>
      </c>
      <c r="K127" s="110" t="s">
        <v>1403</v>
      </c>
      <c r="L127" s="110" t="s">
        <v>3781</v>
      </c>
      <c r="M127" s="111" t="s">
        <v>1422</v>
      </c>
      <c r="N127" s="111" t="s">
        <v>1400</v>
      </c>
      <c r="O127" s="111" t="s">
        <v>1423</v>
      </c>
      <c r="P127" s="112" t="s">
        <v>1570</v>
      </c>
      <c r="Q127" s="112" t="s">
        <v>3414</v>
      </c>
      <c r="R127" s="112" t="s">
        <v>3614</v>
      </c>
      <c r="S127" s="144">
        <v>1681.94</v>
      </c>
      <c r="T127" s="111">
        <v>524.92999999999995</v>
      </c>
      <c r="U127" s="144">
        <v>1157.01</v>
      </c>
    </row>
    <row r="128" spans="1:21" ht="15" thickBot="1" x14ac:dyDescent="0.35">
      <c r="A128" s="117">
        <v>127</v>
      </c>
      <c r="B128" s="118" t="s">
        <v>339</v>
      </c>
      <c r="C128" s="118" t="s">
        <v>150</v>
      </c>
      <c r="D128" s="118" t="s">
        <v>2759</v>
      </c>
      <c r="E128" s="118" t="s">
        <v>161</v>
      </c>
      <c r="F128" s="119"/>
      <c r="G128" s="118"/>
      <c r="H128" s="120"/>
      <c r="I128" s="121"/>
      <c r="J128" s="110" t="s">
        <v>1712</v>
      </c>
      <c r="K128" s="110" t="s">
        <v>1403</v>
      </c>
      <c r="L128" s="110" t="s">
        <v>3781</v>
      </c>
      <c r="M128" s="111" t="s">
        <v>1399</v>
      </c>
      <c r="N128" s="111" t="s">
        <v>1400</v>
      </c>
      <c r="O128" s="111" t="s">
        <v>1401</v>
      </c>
      <c r="P128" s="112" t="s">
        <v>1570</v>
      </c>
      <c r="Q128" s="112" t="s">
        <v>1534</v>
      </c>
      <c r="R128" s="112" t="s">
        <v>1571</v>
      </c>
      <c r="S128" s="144">
        <v>1681.94</v>
      </c>
      <c r="T128" s="111">
        <v>127.05</v>
      </c>
      <c r="U128" s="144">
        <v>1554.89</v>
      </c>
    </row>
    <row r="129" spans="1:21" ht="15" thickBot="1" x14ac:dyDescent="0.35">
      <c r="A129" s="117">
        <v>128</v>
      </c>
      <c r="B129" s="118" t="s">
        <v>340</v>
      </c>
      <c r="C129" s="118" t="s">
        <v>107</v>
      </c>
      <c r="D129" s="118" t="s">
        <v>2760</v>
      </c>
      <c r="E129" s="118" t="s">
        <v>341</v>
      </c>
      <c r="F129" s="119"/>
      <c r="G129" s="118"/>
      <c r="H129" s="120"/>
      <c r="I129" s="121"/>
      <c r="J129" s="110" t="s">
        <v>1713</v>
      </c>
      <c r="K129" s="110" t="s">
        <v>1403</v>
      </c>
      <c r="L129" s="110" t="s">
        <v>3781</v>
      </c>
      <c r="M129" s="111" t="s">
        <v>1632</v>
      </c>
      <c r="N129" s="111" t="s">
        <v>1714</v>
      </c>
      <c r="O129" s="111" t="s">
        <v>1715</v>
      </c>
      <c r="P129" s="112" t="s">
        <v>3251</v>
      </c>
      <c r="Q129" s="112" t="s">
        <v>3415</v>
      </c>
      <c r="R129" s="112" t="s">
        <v>3615</v>
      </c>
      <c r="S129" s="144">
        <v>3900</v>
      </c>
      <c r="T129" s="111">
        <v>356.58</v>
      </c>
      <c r="U129" s="144">
        <v>3543.42</v>
      </c>
    </row>
    <row r="130" spans="1:21" ht="15" thickBot="1" x14ac:dyDescent="0.35">
      <c r="A130" s="117">
        <v>129</v>
      </c>
      <c r="B130" s="118" t="s">
        <v>342</v>
      </c>
      <c r="C130" s="118" t="s">
        <v>179</v>
      </c>
      <c r="D130" s="118" t="s">
        <v>2761</v>
      </c>
      <c r="E130" s="118" t="s">
        <v>343</v>
      </c>
      <c r="F130" s="119"/>
      <c r="G130" s="118"/>
      <c r="H130" s="120"/>
      <c r="I130" s="121"/>
      <c r="J130" s="110" t="s">
        <v>1716</v>
      </c>
      <c r="K130" s="110" t="s">
        <v>1403</v>
      </c>
      <c r="L130" s="110" t="s">
        <v>3781</v>
      </c>
      <c r="M130" s="111" t="s">
        <v>1509</v>
      </c>
      <c r="N130" s="111" t="s">
        <v>1510</v>
      </c>
      <c r="O130" s="111" t="s">
        <v>1511</v>
      </c>
      <c r="P130" s="112" t="s">
        <v>1509</v>
      </c>
      <c r="Q130" s="112" t="s">
        <v>1510</v>
      </c>
      <c r="R130" s="112" t="s">
        <v>1511</v>
      </c>
      <c r="S130" s="144">
        <v>4280</v>
      </c>
      <c r="T130" s="111">
        <v>402.18</v>
      </c>
      <c r="U130" s="144">
        <v>3877.82</v>
      </c>
    </row>
    <row r="131" spans="1:21" ht="15" thickBot="1" x14ac:dyDescent="0.35">
      <c r="A131" s="117">
        <v>130</v>
      </c>
      <c r="B131" s="118" t="s">
        <v>344</v>
      </c>
      <c r="C131" s="118" t="s">
        <v>107</v>
      </c>
      <c r="D131" s="118" t="s">
        <v>2762</v>
      </c>
      <c r="E131" s="118" t="s">
        <v>185</v>
      </c>
      <c r="F131" s="119"/>
      <c r="G131" s="118"/>
      <c r="H131" s="120"/>
      <c r="I131" s="121"/>
      <c r="J131" s="110" t="s">
        <v>1717</v>
      </c>
      <c r="K131" s="110" t="s">
        <v>1563</v>
      </c>
      <c r="L131" s="110" t="s">
        <v>3781</v>
      </c>
      <c r="M131" s="111" t="s">
        <v>1632</v>
      </c>
      <c r="N131" s="111" t="s">
        <v>1714</v>
      </c>
      <c r="O131" s="111" t="s">
        <v>1715</v>
      </c>
      <c r="P131" s="112" t="s">
        <v>1632</v>
      </c>
      <c r="Q131" s="112" t="s">
        <v>1714</v>
      </c>
      <c r="R131" s="112" t="s">
        <v>1715</v>
      </c>
      <c r="S131" s="144">
        <v>3000</v>
      </c>
      <c r="T131" s="111">
        <v>248.58</v>
      </c>
      <c r="U131" s="144">
        <v>2751.42</v>
      </c>
    </row>
    <row r="132" spans="1:21" ht="15" thickBot="1" x14ac:dyDescent="0.35">
      <c r="A132" s="117">
        <v>131</v>
      </c>
      <c r="B132" s="118" t="s">
        <v>345</v>
      </c>
      <c r="C132" s="118" t="s">
        <v>150</v>
      </c>
      <c r="D132" s="118" t="s">
        <v>2763</v>
      </c>
      <c r="E132" s="118" t="s">
        <v>276</v>
      </c>
      <c r="F132" s="119"/>
      <c r="G132" s="118"/>
      <c r="H132" s="120"/>
      <c r="I132" s="121"/>
      <c r="J132" s="110" t="s">
        <v>1718</v>
      </c>
      <c r="K132" s="110" t="s">
        <v>1403</v>
      </c>
      <c r="L132" s="110" t="s">
        <v>3781</v>
      </c>
      <c r="M132" s="111" t="s">
        <v>1399</v>
      </c>
      <c r="N132" s="111" t="s">
        <v>1400</v>
      </c>
      <c r="O132" s="111" t="s">
        <v>1401</v>
      </c>
      <c r="P132" s="112" t="s">
        <v>1570</v>
      </c>
      <c r="Q132" s="112" t="s">
        <v>1534</v>
      </c>
      <c r="R132" s="112" t="s">
        <v>1571</v>
      </c>
      <c r="S132" s="144">
        <v>1681.94</v>
      </c>
      <c r="T132" s="111">
        <v>127.05</v>
      </c>
      <c r="U132" s="144">
        <v>1554.89</v>
      </c>
    </row>
    <row r="133" spans="1:21" ht="15" thickBot="1" x14ac:dyDescent="0.35">
      <c r="A133" s="117">
        <v>132</v>
      </c>
      <c r="B133" s="118" t="s">
        <v>346</v>
      </c>
      <c r="C133" s="118" t="s">
        <v>158</v>
      </c>
      <c r="D133" s="118" t="s">
        <v>2764</v>
      </c>
      <c r="E133" s="118" t="s">
        <v>347</v>
      </c>
      <c r="F133" s="119"/>
      <c r="G133" s="118"/>
      <c r="H133" s="120"/>
      <c r="I133" s="121"/>
      <c r="J133" s="110" t="s">
        <v>1719</v>
      </c>
      <c r="K133" s="110" t="s">
        <v>1403</v>
      </c>
      <c r="L133" s="110" t="s">
        <v>3781</v>
      </c>
      <c r="M133" s="111" t="s">
        <v>1425</v>
      </c>
      <c r="N133" s="111" t="s">
        <v>1426</v>
      </c>
      <c r="O133" s="111" t="s">
        <v>1427</v>
      </c>
      <c r="P133" s="112" t="s">
        <v>3215</v>
      </c>
      <c r="Q133" s="112" t="s">
        <v>2424</v>
      </c>
      <c r="R133" s="112" t="s">
        <v>3570</v>
      </c>
      <c r="S133" s="144">
        <v>3433.34</v>
      </c>
      <c r="T133" s="111">
        <v>300.58999999999997</v>
      </c>
      <c r="U133" s="144">
        <v>3132.75</v>
      </c>
    </row>
    <row r="134" spans="1:21" ht="15" thickBot="1" x14ac:dyDescent="0.35">
      <c r="A134" s="117">
        <v>133</v>
      </c>
      <c r="B134" s="118" t="s">
        <v>348</v>
      </c>
      <c r="C134" s="118" t="s">
        <v>150</v>
      </c>
      <c r="D134" s="118" t="s">
        <v>2765</v>
      </c>
      <c r="E134" s="118" t="s">
        <v>163</v>
      </c>
      <c r="F134" s="119"/>
      <c r="G134" s="118"/>
      <c r="H134" s="120"/>
      <c r="I134" s="121"/>
      <c r="J134" s="110" t="s">
        <v>1720</v>
      </c>
      <c r="K134" s="110" t="s">
        <v>1721</v>
      </c>
      <c r="L134" s="110" t="s">
        <v>3781</v>
      </c>
      <c r="M134" s="111" t="s">
        <v>1722</v>
      </c>
      <c r="N134" s="111" t="s">
        <v>1438</v>
      </c>
      <c r="O134" s="111" t="s">
        <v>1723</v>
      </c>
      <c r="P134" s="112" t="s">
        <v>3252</v>
      </c>
      <c r="Q134" s="112" t="s">
        <v>3407</v>
      </c>
      <c r="R134" s="112" t="s">
        <v>3616</v>
      </c>
      <c r="S134" s="144">
        <v>2059.37</v>
      </c>
      <c r="T134" s="111">
        <v>148.86000000000001</v>
      </c>
      <c r="U134" s="144">
        <v>1910.51</v>
      </c>
    </row>
    <row r="135" spans="1:21" ht="15" thickBot="1" x14ac:dyDescent="0.35">
      <c r="A135" s="117">
        <v>134</v>
      </c>
      <c r="B135" s="118" t="s">
        <v>349</v>
      </c>
      <c r="C135" s="118" t="s">
        <v>150</v>
      </c>
      <c r="D135" s="118" t="s">
        <v>2766</v>
      </c>
      <c r="E135" s="118" t="s">
        <v>163</v>
      </c>
      <c r="F135" s="119"/>
      <c r="G135" s="118"/>
      <c r="H135" s="120"/>
      <c r="I135" s="121"/>
      <c r="J135" s="110" t="s">
        <v>1724</v>
      </c>
      <c r="K135" s="110" t="s">
        <v>1532</v>
      </c>
      <c r="L135" s="110" t="s">
        <v>3781</v>
      </c>
      <c r="M135" s="111" t="s">
        <v>1533</v>
      </c>
      <c r="N135" s="111" t="s">
        <v>1534</v>
      </c>
      <c r="O135" s="111" t="s">
        <v>1401</v>
      </c>
      <c r="P135" s="112" t="s">
        <v>1570</v>
      </c>
      <c r="Q135" s="112" t="s">
        <v>1534</v>
      </c>
      <c r="R135" s="112" t="s">
        <v>1571</v>
      </c>
      <c r="S135" s="144">
        <v>1681.94</v>
      </c>
      <c r="T135" s="111">
        <v>127.05</v>
      </c>
      <c r="U135" s="144">
        <v>1554.89</v>
      </c>
    </row>
    <row r="136" spans="1:21" ht="15" thickBot="1" x14ac:dyDescent="0.35">
      <c r="A136" s="117">
        <v>135</v>
      </c>
      <c r="B136" s="118" t="s">
        <v>350</v>
      </c>
      <c r="C136" s="118" t="s">
        <v>214</v>
      </c>
      <c r="D136" s="118" t="s">
        <v>2767</v>
      </c>
      <c r="E136" s="118" t="s">
        <v>163</v>
      </c>
      <c r="F136" s="119"/>
      <c r="G136" s="118"/>
      <c r="H136" s="120"/>
      <c r="I136" s="121"/>
      <c r="J136" s="110" t="s">
        <v>1725</v>
      </c>
      <c r="K136" s="110" t="s">
        <v>1403</v>
      </c>
      <c r="L136" s="110" t="s">
        <v>3781</v>
      </c>
      <c r="M136" s="111" t="s">
        <v>1418</v>
      </c>
      <c r="N136" s="111" t="s">
        <v>1726</v>
      </c>
      <c r="O136" s="111" t="s">
        <v>1727</v>
      </c>
      <c r="P136" s="112" t="s">
        <v>3214</v>
      </c>
      <c r="Q136" s="112" t="s">
        <v>3416</v>
      </c>
      <c r="R136" s="112" t="s">
        <v>3617</v>
      </c>
      <c r="S136" s="144">
        <v>5282.41</v>
      </c>
      <c r="T136" s="144">
        <v>2029.22</v>
      </c>
      <c r="U136" s="144">
        <v>3253.19</v>
      </c>
    </row>
    <row r="137" spans="1:21" ht="15" thickBot="1" x14ac:dyDescent="0.35">
      <c r="A137" s="117">
        <v>136</v>
      </c>
      <c r="B137" s="118" t="s">
        <v>351</v>
      </c>
      <c r="C137" s="118" t="s">
        <v>150</v>
      </c>
      <c r="D137" s="118" t="s">
        <v>2768</v>
      </c>
      <c r="E137" s="118" t="s">
        <v>163</v>
      </c>
      <c r="F137" s="119"/>
      <c r="G137" s="118"/>
      <c r="H137" s="120"/>
      <c r="I137" s="121"/>
      <c r="J137" s="110" t="s">
        <v>1728</v>
      </c>
      <c r="K137" s="110" t="s">
        <v>1403</v>
      </c>
      <c r="L137" s="110" t="s">
        <v>3781</v>
      </c>
      <c r="M137" s="111" t="s">
        <v>1729</v>
      </c>
      <c r="N137" s="111" t="s">
        <v>1730</v>
      </c>
      <c r="O137" s="111" t="s">
        <v>1731</v>
      </c>
      <c r="P137" s="112" t="s">
        <v>3253</v>
      </c>
      <c r="Q137" s="112" t="s">
        <v>3417</v>
      </c>
      <c r="R137" s="112" t="s">
        <v>3618</v>
      </c>
      <c r="S137" s="144">
        <v>1892.81</v>
      </c>
      <c r="T137" s="111">
        <v>671.75</v>
      </c>
      <c r="U137" s="144">
        <v>1221.06</v>
      </c>
    </row>
    <row r="138" spans="1:21" ht="15" thickBot="1" x14ac:dyDescent="0.35">
      <c r="A138" s="117">
        <v>137</v>
      </c>
      <c r="B138" s="118" t="s">
        <v>352</v>
      </c>
      <c r="C138" s="118" t="s">
        <v>150</v>
      </c>
      <c r="D138" s="118" t="s">
        <v>2769</v>
      </c>
      <c r="E138" s="118" t="s">
        <v>262</v>
      </c>
      <c r="F138" s="119"/>
      <c r="G138" s="118"/>
      <c r="H138" s="120"/>
      <c r="I138" s="121"/>
      <c r="J138" s="110" t="s">
        <v>1732</v>
      </c>
      <c r="K138" s="110" t="s">
        <v>1403</v>
      </c>
      <c r="L138" s="110" t="s">
        <v>3781</v>
      </c>
      <c r="M138" s="111" t="s">
        <v>1399</v>
      </c>
      <c r="N138" s="111" t="s">
        <v>1733</v>
      </c>
      <c r="O138" s="111" t="s">
        <v>1734</v>
      </c>
      <c r="P138" s="112" t="s">
        <v>1570</v>
      </c>
      <c r="Q138" s="112" t="s">
        <v>3418</v>
      </c>
      <c r="R138" s="112" t="s">
        <v>3619</v>
      </c>
      <c r="S138" s="144">
        <v>1831.48</v>
      </c>
      <c r="T138" s="111">
        <v>664.81</v>
      </c>
      <c r="U138" s="144">
        <v>1166.67</v>
      </c>
    </row>
    <row r="139" spans="1:21" ht="15" thickBot="1" x14ac:dyDescent="0.35">
      <c r="A139" s="117">
        <v>138</v>
      </c>
      <c r="B139" s="118" t="s">
        <v>353</v>
      </c>
      <c r="C139" s="118" t="s">
        <v>150</v>
      </c>
      <c r="D139" s="118" t="s">
        <v>2770</v>
      </c>
      <c r="E139" s="118" t="s">
        <v>161</v>
      </c>
      <c r="F139" s="119"/>
      <c r="G139" s="118"/>
      <c r="H139" s="120"/>
      <c r="I139" s="121"/>
      <c r="J139" s="110" t="s">
        <v>1735</v>
      </c>
      <c r="K139" s="110" t="s">
        <v>1403</v>
      </c>
      <c r="L139" s="110" t="s">
        <v>3781</v>
      </c>
      <c r="M139" s="111" t="s">
        <v>1437</v>
      </c>
      <c r="N139" s="111" t="s">
        <v>1438</v>
      </c>
      <c r="O139" s="111" t="s">
        <v>1439</v>
      </c>
      <c r="P139" s="112" t="s">
        <v>3254</v>
      </c>
      <c r="Q139" s="112" t="s">
        <v>3419</v>
      </c>
      <c r="R139" s="112" t="s">
        <v>3620</v>
      </c>
      <c r="S139" s="144">
        <v>2037.37</v>
      </c>
      <c r="T139" s="111">
        <v>159.04</v>
      </c>
      <c r="U139" s="144">
        <v>1878.33</v>
      </c>
    </row>
    <row r="140" spans="1:21" ht="15" thickBot="1" x14ac:dyDescent="0.35">
      <c r="A140" s="117">
        <v>139</v>
      </c>
      <c r="B140" s="118" t="s">
        <v>354</v>
      </c>
      <c r="C140" s="118" t="s">
        <v>150</v>
      </c>
      <c r="D140" s="118" t="s">
        <v>2771</v>
      </c>
      <c r="E140" s="118" t="s">
        <v>355</v>
      </c>
      <c r="F140" s="119"/>
      <c r="G140" s="118"/>
      <c r="H140" s="120"/>
      <c r="I140" s="121"/>
      <c r="J140" s="110" t="s">
        <v>1736</v>
      </c>
      <c r="K140" s="110" t="s">
        <v>1403</v>
      </c>
      <c r="L140" s="110" t="s">
        <v>3781</v>
      </c>
      <c r="M140" s="111" t="s">
        <v>1399</v>
      </c>
      <c r="N140" s="111" t="s">
        <v>1400</v>
      </c>
      <c r="O140" s="111" t="s">
        <v>1401</v>
      </c>
      <c r="P140" s="112" t="s">
        <v>1570</v>
      </c>
      <c r="Q140" s="112" t="s">
        <v>1534</v>
      </c>
      <c r="R140" s="112" t="s">
        <v>1571</v>
      </c>
      <c r="S140" s="144">
        <v>1681.94</v>
      </c>
      <c r="T140" s="111">
        <v>127.05</v>
      </c>
      <c r="U140" s="144">
        <v>1554.89</v>
      </c>
    </row>
    <row r="141" spans="1:21" ht="15" thickBot="1" x14ac:dyDescent="0.35">
      <c r="A141" s="117">
        <v>140</v>
      </c>
      <c r="B141" s="118" t="s">
        <v>356</v>
      </c>
      <c r="C141" s="118" t="s">
        <v>253</v>
      </c>
      <c r="D141" s="118" t="s">
        <v>2772</v>
      </c>
      <c r="E141" s="118" t="s">
        <v>320</v>
      </c>
      <c r="F141" s="119"/>
      <c r="G141" s="118"/>
      <c r="H141" s="120"/>
      <c r="I141" s="121"/>
      <c r="J141" s="110" t="s">
        <v>1737</v>
      </c>
      <c r="K141" s="110" t="s">
        <v>1403</v>
      </c>
      <c r="L141" s="110" t="s">
        <v>3781</v>
      </c>
      <c r="M141" s="111" t="s">
        <v>1570</v>
      </c>
      <c r="N141" s="111" t="s">
        <v>1534</v>
      </c>
      <c r="O141" s="111" t="s">
        <v>1571</v>
      </c>
      <c r="P141" s="112" t="s">
        <v>1570</v>
      </c>
      <c r="Q141" s="112" t="s">
        <v>1534</v>
      </c>
      <c r="R141" s="112" t="s">
        <v>1571</v>
      </c>
      <c r="S141" s="144">
        <v>1621</v>
      </c>
      <c r="T141" s="111">
        <v>121.57</v>
      </c>
      <c r="U141" s="144">
        <v>1499.43</v>
      </c>
    </row>
    <row r="142" spans="1:21" ht="15" thickBot="1" x14ac:dyDescent="0.35">
      <c r="A142" s="117">
        <v>141</v>
      </c>
      <c r="B142" s="118" t="s">
        <v>357</v>
      </c>
      <c r="C142" s="118" t="s">
        <v>260</v>
      </c>
      <c r="D142" s="118" t="s">
        <v>2773</v>
      </c>
      <c r="E142" s="118" t="s">
        <v>272</v>
      </c>
      <c r="F142" s="119"/>
      <c r="G142" s="118"/>
      <c r="H142" s="120"/>
      <c r="I142" s="121"/>
      <c r="J142" s="110" t="s">
        <v>1738</v>
      </c>
      <c r="K142" s="110" t="s">
        <v>1403</v>
      </c>
      <c r="L142" s="110" t="s">
        <v>3781</v>
      </c>
      <c r="M142" s="111" t="s">
        <v>1599</v>
      </c>
      <c r="N142" s="111" t="s">
        <v>1600</v>
      </c>
      <c r="O142" s="111" t="s">
        <v>1601</v>
      </c>
      <c r="P142" s="112" t="s">
        <v>1599</v>
      </c>
      <c r="Q142" s="112" t="s">
        <v>1600</v>
      </c>
      <c r="R142" s="112" t="s">
        <v>1601</v>
      </c>
      <c r="S142" s="144">
        <v>1800</v>
      </c>
      <c r="T142" s="111">
        <v>137.68</v>
      </c>
      <c r="U142" s="144">
        <v>1662.32</v>
      </c>
    </row>
    <row r="143" spans="1:21" ht="15" thickBot="1" x14ac:dyDescent="0.35">
      <c r="A143" s="117">
        <v>142</v>
      </c>
      <c r="B143" s="118" t="s">
        <v>358</v>
      </c>
      <c r="C143" s="118" t="s">
        <v>248</v>
      </c>
      <c r="D143" s="118" t="s">
        <v>2774</v>
      </c>
      <c r="E143" s="118" t="s">
        <v>237</v>
      </c>
      <c r="F143" s="119"/>
      <c r="G143" s="118"/>
      <c r="H143" s="120"/>
      <c r="I143" s="121"/>
      <c r="J143" s="110" t="s">
        <v>1739</v>
      </c>
      <c r="K143" s="110" t="s">
        <v>1403</v>
      </c>
      <c r="L143" s="110" t="s">
        <v>3781</v>
      </c>
      <c r="M143" s="111" t="s">
        <v>1559</v>
      </c>
      <c r="N143" s="111" t="s">
        <v>1560</v>
      </c>
      <c r="O143" s="111" t="s">
        <v>1561</v>
      </c>
      <c r="P143" s="112" t="s">
        <v>1559</v>
      </c>
      <c r="Q143" s="112" t="s">
        <v>1560</v>
      </c>
      <c r="R143" s="112" t="s">
        <v>1561</v>
      </c>
      <c r="S143" s="144">
        <v>4339.0600000000004</v>
      </c>
      <c r="T143" s="111">
        <v>409.27</v>
      </c>
      <c r="U143" s="144">
        <v>3929.79</v>
      </c>
    </row>
    <row r="144" spans="1:21" ht="15" thickBot="1" x14ac:dyDescent="0.35">
      <c r="A144" s="117">
        <v>143</v>
      </c>
      <c r="B144" s="118" t="s">
        <v>359</v>
      </c>
      <c r="C144" s="118" t="s">
        <v>150</v>
      </c>
      <c r="D144" s="118" t="s">
        <v>2775</v>
      </c>
      <c r="E144" s="118" t="s">
        <v>163</v>
      </c>
      <c r="F144" s="119"/>
      <c r="G144" s="118"/>
      <c r="H144" s="120"/>
      <c r="I144" s="121"/>
      <c r="J144" s="110" t="s">
        <v>1740</v>
      </c>
      <c r="K144" s="110" t="s">
        <v>1403</v>
      </c>
      <c r="L144" s="110" t="s">
        <v>3781</v>
      </c>
      <c r="M144" s="111" t="s">
        <v>1741</v>
      </c>
      <c r="N144" s="111" t="s">
        <v>1742</v>
      </c>
      <c r="O144" s="111" t="s">
        <v>1743</v>
      </c>
      <c r="P144" s="112" t="s">
        <v>3255</v>
      </c>
      <c r="Q144" s="112" t="s">
        <v>3420</v>
      </c>
      <c r="R144" s="112" t="s">
        <v>3621</v>
      </c>
      <c r="S144" s="144">
        <v>2459.4</v>
      </c>
      <c r="T144" s="111">
        <v>714.19</v>
      </c>
      <c r="U144" s="144">
        <v>1745.21</v>
      </c>
    </row>
    <row r="145" spans="1:21" ht="15" thickBot="1" x14ac:dyDescent="0.35">
      <c r="A145" s="117">
        <v>144</v>
      </c>
      <c r="B145" s="118" t="s">
        <v>360</v>
      </c>
      <c r="C145" s="118" t="s">
        <v>166</v>
      </c>
      <c r="D145" s="118" t="s">
        <v>2776</v>
      </c>
      <c r="E145" s="118" t="s">
        <v>163</v>
      </c>
      <c r="F145" s="119"/>
      <c r="G145" s="118"/>
      <c r="H145" s="120"/>
      <c r="I145" s="121"/>
      <c r="J145" s="110" t="s">
        <v>1744</v>
      </c>
      <c r="K145" s="110" t="s">
        <v>1403</v>
      </c>
      <c r="L145" s="110" t="s">
        <v>3781</v>
      </c>
      <c r="M145" s="111" t="s">
        <v>1418</v>
      </c>
      <c r="N145" s="111" t="s">
        <v>1726</v>
      </c>
      <c r="O145" s="111" t="s">
        <v>1727</v>
      </c>
      <c r="P145" s="112" t="s">
        <v>3256</v>
      </c>
      <c r="Q145" s="112" t="s">
        <v>3421</v>
      </c>
      <c r="R145" s="112" t="s">
        <v>3622</v>
      </c>
      <c r="S145" s="144">
        <v>5210.28</v>
      </c>
      <c r="T145" s="144">
        <v>2070.64</v>
      </c>
      <c r="U145" s="144">
        <v>3139.64</v>
      </c>
    </row>
    <row r="146" spans="1:21" ht="15" thickBot="1" x14ac:dyDescent="0.35">
      <c r="A146" s="117">
        <v>145</v>
      </c>
      <c r="B146" s="118" t="s">
        <v>361</v>
      </c>
      <c r="C146" s="118" t="s">
        <v>150</v>
      </c>
      <c r="D146" s="118" t="s">
        <v>2777</v>
      </c>
      <c r="E146" s="118" t="s">
        <v>234</v>
      </c>
      <c r="F146" s="119"/>
      <c r="G146" s="118"/>
      <c r="H146" s="120"/>
      <c r="I146" s="121"/>
      <c r="J146" s="110" t="s">
        <v>1745</v>
      </c>
      <c r="K146" s="110" t="s">
        <v>1403</v>
      </c>
      <c r="L146" s="110" t="s">
        <v>3781</v>
      </c>
      <c r="M146" s="111" t="s">
        <v>1399</v>
      </c>
      <c r="N146" s="111" t="s">
        <v>1400</v>
      </c>
      <c r="O146" s="111" t="s">
        <v>1401</v>
      </c>
      <c r="P146" s="112" t="s">
        <v>1570</v>
      </c>
      <c r="Q146" s="112" t="s">
        <v>1534</v>
      </c>
      <c r="R146" s="112" t="s">
        <v>1571</v>
      </c>
      <c r="S146" s="144">
        <v>1681.94</v>
      </c>
      <c r="T146" s="111">
        <v>127.05</v>
      </c>
      <c r="U146" s="144">
        <v>1554.89</v>
      </c>
    </row>
    <row r="147" spans="1:21" ht="15" thickBot="1" x14ac:dyDescent="0.35">
      <c r="A147" s="117">
        <v>146</v>
      </c>
      <c r="B147" s="118" t="s">
        <v>362</v>
      </c>
      <c r="C147" s="118" t="s">
        <v>150</v>
      </c>
      <c r="D147" s="118" t="s">
        <v>2778</v>
      </c>
      <c r="E147" s="118" t="s">
        <v>177</v>
      </c>
      <c r="F147" s="119"/>
      <c r="G147" s="118"/>
      <c r="H147" s="120"/>
      <c r="I147" s="121"/>
      <c r="J147" s="110" t="s">
        <v>1746</v>
      </c>
      <c r="K147" s="110" t="s">
        <v>1398</v>
      </c>
      <c r="L147" s="110" t="s">
        <v>3781</v>
      </c>
      <c r="M147" s="111" t="s">
        <v>1399</v>
      </c>
      <c r="N147" s="111" t="s">
        <v>1400</v>
      </c>
      <c r="O147" s="111" t="s">
        <v>1401</v>
      </c>
      <c r="P147" s="112" t="s">
        <v>1570</v>
      </c>
      <c r="Q147" s="112" t="s">
        <v>1534</v>
      </c>
      <c r="R147" s="112" t="s">
        <v>1571</v>
      </c>
      <c r="S147" s="144">
        <v>1682.13</v>
      </c>
      <c r="T147" s="111">
        <v>127.07</v>
      </c>
      <c r="U147" s="144">
        <v>1555.06</v>
      </c>
    </row>
    <row r="148" spans="1:21" ht="15" thickBot="1" x14ac:dyDescent="0.35">
      <c r="A148" s="117">
        <v>147</v>
      </c>
      <c r="B148" s="118" t="s">
        <v>363</v>
      </c>
      <c r="C148" s="118" t="s">
        <v>150</v>
      </c>
      <c r="D148" s="118" t="s">
        <v>2779</v>
      </c>
      <c r="E148" s="118" t="s">
        <v>163</v>
      </c>
      <c r="F148" s="119"/>
      <c r="G148" s="118"/>
      <c r="H148" s="120"/>
      <c r="I148" s="121"/>
      <c r="J148" s="110" t="s">
        <v>1747</v>
      </c>
      <c r="K148" s="110" t="s">
        <v>1403</v>
      </c>
      <c r="L148" s="110" t="s">
        <v>3781</v>
      </c>
      <c r="M148" s="111" t="s">
        <v>1748</v>
      </c>
      <c r="N148" s="111" t="s">
        <v>1749</v>
      </c>
      <c r="O148" s="111" t="s">
        <v>1750</v>
      </c>
      <c r="P148" s="112" t="s">
        <v>3257</v>
      </c>
      <c r="Q148" s="112" t="s">
        <v>3419</v>
      </c>
      <c r="R148" s="112" t="s">
        <v>3623</v>
      </c>
      <c r="S148" s="144">
        <v>1907.42</v>
      </c>
      <c r="T148" s="111">
        <v>147.34</v>
      </c>
      <c r="U148" s="144">
        <v>1760.08</v>
      </c>
    </row>
    <row r="149" spans="1:21" ht="15" thickBot="1" x14ac:dyDescent="0.35">
      <c r="A149" s="117">
        <v>148</v>
      </c>
      <c r="B149" s="118" t="s">
        <v>364</v>
      </c>
      <c r="C149" s="118" t="s">
        <v>150</v>
      </c>
      <c r="D149" s="118" t="s">
        <v>2780</v>
      </c>
      <c r="E149" s="118" t="s">
        <v>237</v>
      </c>
      <c r="F149" s="119"/>
      <c r="G149" s="118"/>
      <c r="H149" s="120"/>
      <c r="I149" s="121"/>
      <c r="J149" s="110" t="s">
        <v>1751</v>
      </c>
      <c r="K149" s="110" t="s">
        <v>1403</v>
      </c>
      <c r="L149" s="110" t="s">
        <v>3781</v>
      </c>
      <c r="M149" s="111" t="s">
        <v>1399</v>
      </c>
      <c r="N149" s="111" t="s">
        <v>1400</v>
      </c>
      <c r="O149" s="111" t="s">
        <v>1401</v>
      </c>
      <c r="P149" s="112" t="s">
        <v>1570</v>
      </c>
      <c r="Q149" s="112" t="s">
        <v>1534</v>
      </c>
      <c r="R149" s="112" t="s">
        <v>1571</v>
      </c>
      <c r="S149" s="144">
        <v>1681.94</v>
      </c>
      <c r="T149" s="111">
        <v>127.05</v>
      </c>
      <c r="U149" s="144">
        <v>1554.89</v>
      </c>
    </row>
    <row r="150" spans="1:21" ht="15" thickBot="1" x14ac:dyDescent="0.35">
      <c r="A150" s="117">
        <v>149</v>
      </c>
      <c r="B150" s="118" t="s">
        <v>365</v>
      </c>
      <c r="C150" s="118" t="s">
        <v>150</v>
      </c>
      <c r="D150" s="118" t="s">
        <v>2781</v>
      </c>
      <c r="E150" s="118" t="s">
        <v>366</v>
      </c>
      <c r="F150" s="119"/>
      <c r="G150" s="118"/>
      <c r="H150" s="120"/>
      <c r="I150" s="121"/>
      <c r="J150" s="110" t="s">
        <v>1752</v>
      </c>
      <c r="K150" s="110" t="s">
        <v>1403</v>
      </c>
      <c r="L150" s="110" t="s">
        <v>3781</v>
      </c>
      <c r="M150" s="111" t="s">
        <v>1753</v>
      </c>
      <c r="N150" s="111" t="s">
        <v>1754</v>
      </c>
      <c r="O150" s="111" t="s">
        <v>1755</v>
      </c>
      <c r="P150" s="112" t="s">
        <v>3258</v>
      </c>
      <c r="Q150" s="112" t="s">
        <v>3422</v>
      </c>
      <c r="R150" s="112" t="s">
        <v>3624</v>
      </c>
      <c r="S150" s="144">
        <v>2502.83</v>
      </c>
      <c r="T150" s="111">
        <v>200.93</v>
      </c>
      <c r="U150" s="144">
        <v>2301.9</v>
      </c>
    </row>
    <row r="151" spans="1:21" ht="15" thickBot="1" x14ac:dyDescent="0.35">
      <c r="A151" s="117">
        <v>150</v>
      </c>
      <c r="B151" s="118" t="s">
        <v>367</v>
      </c>
      <c r="C151" s="118" t="s">
        <v>153</v>
      </c>
      <c r="D151" s="118" t="s">
        <v>2782</v>
      </c>
      <c r="E151" s="118" t="s">
        <v>191</v>
      </c>
      <c r="F151" s="119"/>
      <c r="G151" s="118"/>
      <c r="H151" s="120"/>
      <c r="I151" s="121"/>
      <c r="J151" s="110" t="s">
        <v>1756</v>
      </c>
      <c r="K151" s="110" t="s">
        <v>1403</v>
      </c>
      <c r="L151" s="110" t="s">
        <v>3781</v>
      </c>
      <c r="M151" s="111" t="s">
        <v>1461</v>
      </c>
      <c r="N151" s="111" t="s">
        <v>1757</v>
      </c>
      <c r="O151" s="111" t="s">
        <v>1758</v>
      </c>
      <c r="P151" s="112" t="s">
        <v>2148</v>
      </c>
      <c r="Q151" s="112" t="s">
        <v>3423</v>
      </c>
      <c r="R151" s="112" t="s">
        <v>3625</v>
      </c>
      <c r="S151" s="144">
        <v>4766.66</v>
      </c>
      <c r="T151" s="144">
        <v>1377.32</v>
      </c>
      <c r="U151" s="144">
        <v>3389.34</v>
      </c>
    </row>
    <row r="152" spans="1:21" ht="15" thickBot="1" x14ac:dyDescent="0.35">
      <c r="A152" s="117">
        <v>151</v>
      </c>
      <c r="B152" s="118" t="s">
        <v>368</v>
      </c>
      <c r="C152" s="118" t="s">
        <v>210</v>
      </c>
      <c r="D152" s="118" t="s">
        <v>2783</v>
      </c>
      <c r="E152" s="118" t="s">
        <v>163</v>
      </c>
      <c r="F152" s="119"/>
      <c r="G152" s="118"/>
      <c r="H152" s="120"/>
      <c r="I152" s="121"/>
      <c r="J152" s="110" t="s">
        <v>1759</v>
      </c>
      <c r="K152" s="110" t="s">
        <v>1403</v>
      </c>
      <c r="L152" s="110" t="s">
        <v>3781</v>
      </c>
      <c r="M152" s="111" t="s">
        <v>1599</v>
      </c>
      <c r="N152" s="111" t="s">
        <v>1600</v>
      </c>
      <c r="O152" s="111" t="s">
        <v>1601</v>
      </c>
      <c r="P152" s="112" t="s">
        <v>1599</v>
      </c>
      <c r="Q152" s="112" t="s">
        <v>1600</v>
      </c>
      <c r="R152" s="112" t="s">
        <v>1601</v>
      </c>
      <c r="S152" s="144">
        <v>1800</v>
      </c>
      <c r="T152" s="111">
        <v>228.86</v>
      </c>
      <c r="U152" s="144">
        <v>1571.14</v>
      </c>
    </row>
    <row r="153" spans="1:21" ht="15" thickBot="1" x14ac:dyDescent="0.35">
      <c r="A153" s="117">
        <v>152</v>
      </c>
      <c r="B153" s="118" t="s">
        <v>369</v>
      </c>
      <c r="C153" s="118" t="s">
        <v>150</v>
      </c>
      <c r="D153" s="118" t="s">
        <v>2784</v>
      </c>
      <c r="E153" s="118" t="s">
        <v>301</v>
      </c>
      <c r="F153" s="119"/>
      <c r="G153" s="118"/>
      <c r="H153" s="120"/>
      <c r="I153" s="121"/>
      <c r="J153" s="110" t="s">
        <v>1760</v>
      </c>
      <c r="K153" s="110" t="s">
        <v>1403</v>
      </c>
      <c r="L153" s="110" t="s">
        <v>3781</v>
      </c>
      <c r="M153" s="111" t="s">
        <v>1761</v>
      </c>
      <c r="N153" s="111" t="s">
        <v>1762</v>
      </c>
      <c r="O153" s="111" t="s">
        <v>1763</v>
      </c>
      <c r="P153" s="112" t="s">
        <v>3259</v>
      </c>
      <c r="Q153" s="112" t="s">
        <v>3424</v>
      </c>
      <c r="R153" s="112" t="s">
        <v>3626</v>
      </c>
      <c r="S153" s="144">
        <v>1908.12</v>
      </c>
      <c r="T153" s="111">
        <v>464.75</v>
      </c>
      <c r="U153" s="144">
        <v>1443.37</v>
      </c>
    </row>
    <row r="154" spans="1:21" ht="15" thickBot="1" x14ac:dyDescent="0.35">
      <c r="A154" s="117">
        <v>153</v>
      </c>
      <c r="B154" s="118" t="s">
        <v>370</v>
      </c>
      <c r="C154" s="118" t="s">
        <v>207</v>
      </c>
      <c r="D154" s="118" t="s">
        <v>2785</v>
      </c>
      <c r="E154" s="118" t="s">
        <v>208</v>
      </c>
      <c r="F154" s="119"/>
      <c r="G154" s="118"/>
      <c r="H154" s="120"/>
      <c r="I154" s="121"/>
      <c r="J154" s="110" t="s">
        <v>1764</v>
      </c>
      <c r="K154" s="110" t="s">
        <v>1403</v>
      </c>
      <c r="L154" s="110" t="s">
        <v>3781</v>
      </c>
      <c r="M154" s="111" t="s">
        <v>1765</v>
      </c>
      <c r="N154" s="111" t="s">
        <v>1766</v>
      </c>
      <c r="O154" s="111" t="s">
        <v>1767</v>
      </c>
      <c r="P154" s="112" t="s">
        <v>3260</v>
      </c>
      <c r="Q154" s="112" t="s">
        <v>3425</v>
      </c>
      <c r="R154" s="112" t="s">
        <v>3627</v>
      </c>
      <c r="S154" s="144">
        <v>3870.09</v>
      </c>
      <c r="T154" s="111">
        <v>353</v>
      </c>
      <c r="U154" s="144">
        <v>3517.09</v>
      </c>
    </row>
    <row r="155" spans="1:21" ht="15" thickBot="1" x14ac:dyDescent="0.35">
      <c r="A155" s="117">
        <v>154</v>
      </c>
      <c r="B155" s="118" t="s">
        <v>371</v>
      </c>
      <c r="C155" s="118" t="s">
        <v>150</v>
      </c>
      <c r="D155" s="118" t="s">
        <v>2786</v>
      </c>
      <c r="E155" s="118" t="s">
        <v>372</v>
      </c>
      <c r="F155" s="119"/>
      <c r="G155" s="118"/>
      <c r="H155" s="120"/>
      <c r="I155" s="121"/>
      <c r="J155" s="110" t="s">
        <v>1768</v>
      </c>
      <c r="K155" s="110" t="s">
        <v>1403</v>
      </c>
      <c r="L155" s="110" t="s">
        <v>3781</v>
      </c>
      <c r="M155" s="111" t="s">
        <v>1441</v>
      </c>
      <c r="N155" s="111" t="s">
        <v>1400</v>
      </c>
      <c r="O155" s="111" t="s">
        <v>1442</v>
      </c>
      <c r="P155" s="112" t="s">
        <v>1776</v>
      </c>
      <c r="Q155" s="112" t="s">
        <v>1534</v>
      </c>
      <c r="R155" s="112" t="s">
        <v>1777</v>
      </c>
      <c r="S155" s="144">
        <v>1817.02</v>
      </c>
      <c r="T155" s="111">
        <v>127.05</v>
      </c>
      <c r="U155" s="144">
        <v>1689.97</v>
      </c>
    </row>
    <row r="156" spans="1:21" ht="15" thickBot="1" x14ac:dyDescent="0.35">
      <c r="A156" s="117">
        <v>155</v>
      </c>
      <c r="B156" s="118" t="s">
        <v>373</v>
      </c>
      <c r="C156" s="118" t="s">
        <v>150</v>
      </c>
      <c r="D156" s="118" t="s">
        <v>2787</v>
      </c>
      <c r="E156" s="118" t="s">
        <v>185</v>
      </c>
      <c r="F156" s="119"/>
      <c r="G156" s="118"/>
      <c r="H156" s="120"/>
      <c r="I156" s="121"/>
      <c r="J156" s="110" t="s">
        <v>1769</v>
      </c>
      <c r="K156" s="110" t="s">
        <v>1398</v>
      </c>
      <c r="L156" s="110" t="s">
        <v>3781</v>
      </c>
      <c r="M156" s="111" t="s">
        <v>1399</v>
      </c>
      <c r="N156" s="111" t="s">
        <v>1400</v>
      </c>
      <c r="O156" s="111" t="s">
        <v>1401</v>
      </c>
      <c r="P156" s="112" t="s">
        <v>1570</v>
      </c>
      <c r="Q156" s="112" t="s">
        <v>1534</v>
      </c>
      <c r="R156" s="112" t="s">
        <v>1571</v>
      </c>
      <c r="S156" s="144">
        <v>1681.94</v>
      </c>
      <c r="T156" s="111">
        <v>127.05</v>
      </c>
      <c r="U156" s="144">
        <v>1554.89</v>
      </c>
    </row>
    <row r="157" spans="1:21" ht="15" thickBot="1" x14ac:dyDescent="0.35">
      <c r="A157" s="117">
        <v>156</v>
      </c>
      <c r="B157" s="118" t="s">
        <v>374</v>
      </c>
      <c r="C157" s="118" t="s">
        <v>210</v>
      </c>
      <c r="D157" s="118" t="s">
        <v>2788</v>
      </c>
      <c r="E157" s="118" t="s">
        <v>272</v>
      </c>
      <c r="F157" s="119"/>
      <c r="G157" s="118"/>
      <c r="H157" s="120"/>
      <c r="I157" s="121"/>
      <c r="J157" s="110" t="s">
        <v>1770</v>
      </c>
      <c r="K157" s="110" t="s">
        <v>1403</v>
      </c>
      <c r="L157" s="110" t="s">
        <v>3781</v>
      </c>
      <c r="M157" s="111" t="s">
        <v>1599</v>
      </c>
      <c r="N157" s="111" t="s">
        <v>1600</v>
      </c>
      <c r="O157" s="111" t="s">
        <v>1601</v>
      </c>
      <c r="P157" s="112" t="s">
        <v>1599</v>
      </c>
      <c r="Q157" s="112" t="s">
        <v>1600</v>
      </c>
      <c r="R157" s="112" t="s">
        <v>1601</v>
      </c>
      <c r="S157" s="144">
        <v>1952.33</v>
      </c>
      <c r="T157" s="111">
        <v>151.38</v>
      </c>
      <c r="U157" s="144">
        <v>1800.95</v>
      </c>
    </row>
    <row r="158" spans="1:21" ht="15" thickBot="1" x14ac:dyDescent="0.35">
      <c r="A158" s="117">
        <v>157</v>
      </c>
      <c r="B158" s="118" t="s">
        <v>375</v>
      </c>
      <c r="C158" s="118" t="s">
        <v>150</v>
      </c>
      <c r="D158" s="118" t="s">
        <v>2789</v>
      </c>
      <c r="E158" s="118" t="s">
        <v>159</v>
      </c>
      <c r="F158" s="119"/>
      <c r="G158" s="118"/>
      <c r="H158" s="120"/>
      <c r="I158" s="121"/>
      <c r="J158" s="110" t="s">
        <v>1771</v>
      </c>
      <c r="K158" s="110" t="s">
        <v>1403</v>
      </c>
      <c r="L158" s="110" t="s">
        <v>3781</v>
      </c>
      <c r="M158" s="111" t="s">
        <v>1772</v>
      </c>
      <c r="N158" s="111" t="s">
        <v>1773</v>
      </c>
      <c r="O158" s="111" t="s">
        <v>1774</v>
      </c>
      <c r="P158" s="112" t="s">
        <v>1570</v>
      </c>
      <c r="Q158" s="112" t="s">
        <v>1534</v>
      </c>
      <c r="R158" s="112" t="s">
        <v>1571</v>
      </c>
      <c r="S158" s="144">
        <v>1712.88</v>
      </c>
      <c r="T158" s="111">
        <v>129.83000000000001</v>
      </c>
      <c r="U158" s="144">
        <v>1583.05</v>
      </c>
    </row>
    <row r="159" spans="1:21" ht="15" thickBot="1" x14ac:dyDescent="0.35">
      <c r="A159" s="117">
        <v>158</v>
      </c>
      <c r="B159" s="118" t="s">
        <v>376</v>
      </c>
      <c r="C159" s="118" t="s">
        <v>253</v>
      </c>
      <c r="D159" s="118" t="s">
        <v>2790</v>
      </c>
      <c r="E159" s="118" t="s">
        <v>355</v>
      </c>
      <c r="F159" s="119"/>
      <c r="G159" s="118"/>
      <c r="H159" s="120"/>
      <c r="I159" s="121"/>
      <c r="J159" s="110" t="s">
        <v>1775</v>
      </c>
      <c r="K159" s="110" t="s">
        <v>1403</v>
      </c>
      <c r="L159" s="110" t="s">
        <v>3781</v>
      </c>
      <c r="M159" s="111" t="s">
        <v>1776</v>
      </c>
      <c r="N159" s="111" t="s">
        <v>1534</v>
      </c>
      <c r="O159" s="111" t="s">
        <v>1777</v>
      </c>
      <c r="P159" s="112" t="s">
        <v>1776</v>
      </c>
      <c r="Q159" s="112" t="s">
        <v>1534</v>
      </c>
      <c r="R159" s="112" t="s">
        <v>1777</v>
      </c>
      <c r="S159" s="144">
        <v>1756.08</v>
      </c>
      <c r="T159" s="111">
        <v>121.57</v>
      </c>
      <c r="U159" s="144">
        <v>1634.51</v>
      </c>
    </row>
    <row r="160" spans="1:21" ht="15" thickBot="1" x14ac:dyDescent="0.35">
      <c r="A160" s="117">
        <v>159</v>
      </c>
      <c r="B160" s="118" t="s">
        <v>377</v>
      </c>
      <c r="C160" s="118" t="s">
        <v>248</v>
      </c>
      <c r="D160" s="118" t="s">
        <v>2791</v>
      </c>
      <c r="E160" s="118" t="s">
        <v>173</v>
      </c>
      <c r="F160" s="119"/>
      <c r="G160" s="118"/>
      <c r="H160" s="120"/>
      <c r="I160" s="121"/>
      <c r="J160" s="110" t="s">
        <v>1778</v>
      </c>
      <c r="K160" s="110" t="s">
        <v>1403</v>
      </c>
      <c r="L160" s="110" t="s">
        <v>3781</v>
      </c>
      <c r="M160" s="111" t="s">
        <v>1779</v>
      </c>
      <c r="N160" s="111" t="s">
        <v>1780</v>
      </c>
      <c r="O160" s="111" t="s">
        <v>1781</v>
      </c>
      <c r="P160" s="112" t="s">
        <v>1779</v>
      </c>
      <c r="Q160" s="112" t="s">
        <v>1780</v>
      </c>
      <c r="R160" s="112" t="s">
        <v>1781</v>
      </c>
      <c r="S160" s="144">
        <v>4759.7</v>
      </c>
      <c r="T160" s="111">
        <v>467.86</v>
      </c>
      <c r="U160" s="144">
        <v>4291.84</v>
      </c>
    </row>
    <row r="161" spans="1:21" ht="15" thickBot="1" x14ac:dyDescent="0.35">
      <c r="A161" s="117">
        <v>160</v>
      </c>
      <c r="B161" s="118" t="s">
        <v>378</v>
      </c>
      <c r="C161" s="118" t="s">
        <v>150</v>
      </c>
      <c r="D161" s="118" t="s">
        <v>2792</v>
      </c>
      <c r="E161" s="118" t="s">
        <v>305</v>
      </c>
      <c r="F161" s="119"/>
      <c r="G161" s="118"/>
      <c r="H161" s="120"/>
      <c r="I161" s="121"/>
      <c r="J161" s="110" t="s">
        <v>1782</v>
      </c>
      <c r="K161" s="110" t="s">
        <v>1538</v>
      </c>
      <c r="L161" s="110" t="s">
        <v>3781</v>
      </c>
      <c r="M161" s="111" t="s">
        <v>1399</v>
      </c>
      <c r="N161" s="111" t="s">
        <v>1400</v>
      </c>
      <c r="O161" s="111" t="s">
        <v>1401</v>
      </c>
      <c r="P161" s="112" t="s">
        <v>1570</v>
      </c>
      <c r="Q161" s="112" t="s">
        <v>3426</v>
      </c>
      <c r="R161" s="112" t="s">
        <v>3591</v>
      </c>
      <c r="S161" s="144">
        <v>1681.94</v>
      </c>
      <c r="T161" s="111">
        <v>127.05</v>
      </c>
      <c r="U161" s="144">
        <v>1554.89</v>
      </c>
    </row>
    <row r="162" spans="1:21" ht="15" thickBot="1" x14ac:dyDescent="0.35">
      <c r="A162" s="117">
        <v>161</v>
      </c>
      <c r="B162" s="118" t="s">
        <v>379</v>
      </c>
      <c r="C162" s="118" t="s">
        <v>150</v>
      </c>
      <c r="D162" s="118" t="s">
        <v>2793</v>
      </c>
      <c r="E162" s="118" t="s">
        <v>168</v>
      </c>
      <c r="F162" s="119"/>
      <c r="G162" s="118"/>
      <c r="H162" s="120"/>
      <c r="I162" s="121"/>
      <c r="J162" s="110" t="s">
        <v>1783</v>
      </c>
      <c r="K162" s="110" t="s">
        <v>1403</v>
      </c>
      <c r="L162" s="110" t="s">
        <v>3781</v>
      </c>
      <c r="M162" s="111" t="s">
        <v>1784</v>
      </c>
      <c r="N162" s="111" t="s">
        <v>1785</v>
      </c>
      <c r="O162" s="111" t="s">
        <v>1786</v>
      </c>
      <c r="P162" s="112" t="s">
        <v>3261</v>
      </c>
      <c r="Q162" s="112" t="s">
        <v>3427</v>
      </c>
      <c r="R162" s="112" t="s">
        <v>3628</v>
      </c>
      <c r="S162" s="144">
        <v>1894.5</v>
      </c>
      <c r="T162" s="111">
        <v>146.18</v>
      </c>
      <c r="U162" s="144">
        <v>1748.32</v>
      </c>
    </row>
    <row r="163" spans="1:21" ht="15" thickBot="1" x14ac:dyDescent="0.35">
      <c r="A163" s="117">
        <v>162</v>
      </c>
      <c r="B163" s="118" t="s">
        <v>380</v>
      </c>
      <c r="C163" s="118" t="s">
        <v>214</v>
      </c>
      <c r="D163" s="118" t="s">
        <v>2794</v>
      </c>
      <c r="E163" s="118" t="s">
        <v>161</v>
      </c>
      <c r="F163" s="119"/>
      <c r="G163" s="118"/>
      <c r="H163" s="120"/>
      <c r="I163" s="121"/>
      <c r="J163" s="110" t="s">
        <v>1787</v>
      </c>
      <c r="K163" s="110" t="s">
        <v>1403</v>
      </c>
      <c r="L163" s="110" t="s">
        <v>3781</v>
      </c>
      <c r="M163" s="111" t="s">
        <v>1418</v>
      </c>
      <c r="N163" s="111" t="s">
        <v>1788</v>
      </c>
      <c r="O163" s="111" t="s">
        <v>1789</v>
      </c>
      <c r="P163" s="112" t="s">
        <v>3214</v>
      </c>
      <c r="Q163" s="112" t="s">
        <v>3428</v>
      </c>
      <c r="R163" s="112" t="s">
        <v>3629</v>
      </c>
      <c r="S163" s="144">
        <v>5267.07</v>
      </c>
      <c r="T163" s="144">
        <v>2060.8200000000002</v>
      </c>
      <c r="U163" s="144">
        <v>3206.25</v>
      </c>
    </row>
    <row r="164" spans="1:21" ht="15" thickBot="1" x14ac:dyDescent="0.35">
      <c r="A164" s="117">
        <v>163</v>
      </c>
      <c r="B164" s="118" t="s">
        <v>381</v>
      </c>
      <c r="C164" s="118" t="s">
        <v>382</v>
      </c>
      <c r="D164" s="118" t="s">
        <v>2795</v>
      </c>
      <c r="E164" s="118" t="s">
        <v>168</v>
      </c>
      <c r="F164" s="119"/>
      <c r="G164" s="118"/>
      <c r="H164" s="120"/>
      <c r="I164" s="121"/>
      <c r="J164" s="110" t="s">
        <v>1790</v>
      </c>
      <c r="K164" s="110" t="s">
        <v>1403</v>
      </c>
      <c r="L164" s="110" t="s">
        <v>3781</v>
      </c>
      <c r="M164" s="111" t="s">
        <v>1545</v>
      </c>
      <c r="N164" s="111" t="s">
        <v>1546</v>
      </c>
      <c r="O164" s="111" t="s">
        <v>1547</v>
      </c>
      <c r="P164" s="112" t="s">
        <v>1545</v>
      </c>
      <c r="Q164" s="112" t="s">
        <v>1546</v>
      </c>
      <c r="R164" s="112" t="s">
        <v>1547</v>
      </c>
      <c r="S164" s="144">
        <v>4120</v>
      </c>
      <c r="T164" s="111">
        <v>382.98</v>
      </c>
      <c r="U164" s="144">
        <v>3737.02</v>
      </c>
    </row>
    <row r="165" spans="1:21" ht="15" thickBot="1" x14ac:dyDescent="0.35">
      <c r="A165" s="117">
        <v>164</v>
      </c>
      <c r="B165" s="118" t="s">
        <v>383</v>
      </c>
      <c r="C165" s="118" t="s">
        <v>384</v>
      </c>
      <c r="D165" s="118" t="s">
        <v>2796</v>
      </c>
      <c r="E165" s="118" t="s">
        <v>385</v>
      </c>
      <c r="F165" s="119"/>
      <c r="G165" s="118"/>
      <c r="H165" s="120"/>
      <c r="I165" s="121"/>
      <c r="J165" s="110" t="s">
        <v>1791</v>
      </c>
      <c r="K165" s="110" t="s">
        <v>1403</v>
      </c>
      <c r="L165" s="110" t="s">
        <v>3781</v>
      </c>
      <c r="M165" s="111" t="s">
        <v>1792</v>
      </c>
      <c r="N165" s="111" t="s">
        <v>1793</v>
      </c>
      <c r="O165" s="111" t="s">
        <v>1794</v>
      </c>
      <c r="P165" s="112" t="s">
        <v>1792</v>
      </c>
      <c r="Q165" s="112" t="s">
        <v>1793</v>
      </c>
      <c r="R165" s="112" t="s">
        <v>1794</v>
      </c>
      <c r="S165" s="144">
        <v>4369.4399999999996</v>
      </c>
      <c r="T165" s="111">
        <v>413.22</v>
      </c>
      <c r="U165" s="144">
        <v>3956.22</v>
      </c>
    </row>
    <row r="166" spans="1:21" ht="15" thickBot="1" x14ac:dyDescent="0.35">
      <c r="A166" s="117">
        <v>165</v>
      </c>
      <c r="B166" s="118" t="s">
        <v>386</v>
      </c>
      <c r="C166" s="118" t="s">
        <v>382</v>
      </c>
      <c r="D166" s="118" t="s">
        <v>2797</v>
      </c>
      <c r="E166" s="118" t="s">
        <v>170</v>
      </c>
      <c r="F166" s="119"/>
      <c r="G166" s="118"/>
      <c r="H166" s="120"/>
      <c r="I166" s="121"/>
      <c r="J166" s="110" t="s">
        <v>1795</v>
      </c>
      <c r="K166" s="110" t="s">
        <v>1403</v>
      </c>
      <c r="L166" s="110" t="s">
        <v>3781</v>
      </c>
      <c r="M166" s="111" t="s">
        <v>1545</v>
      </c>
      <c r="N166" s="111" t="s">
        <v>1546</v>
      </c>
      <c r="O166" s="111" t="s">
        <v>1547</v>
      </c>
      <c r="P166" s="112" t="s">
        <v>3262</v>
      </c>
      <c r="Q166" s="112" t="s">
        <v>3429</v>
      </c>
      <c r="R166" s="112" t="s">
        <v>3630</v>
      </c>
      <c r="S166" s="144">
        <v>6143.98</v>
      </c>
      <c r="T166" s="144">
        <v>1099.98</v>
      </c>
      <c r="U166" s="144">
        <v>5044</v>
      </c>
    </row>
    <row r="167" spans="1:21" ht="15" thickBot="1" x14ac:dyDescent="0.35">
      <c r="A167" s="117">
        <v>166</v>
      </c>
      <c r="B167" s="118" t="s">
        <v>387</v>
      </c>
      <c r="C167" s="118" t="s">
        <v>150</v>
      </c>
      <c r="D167" s="118" t="s">
        <v>2798</v>
      </c>
      <c r="E167" s="118" t="s">
        <v>330</v>
      </c>
      <c r="F167" s="119"/>
      <c r="G167" s="118"/>
      <c r="H167" s="120"/>
      <c r="I167" s="121"/>
      <c r="J167" s="110" t="s">
        <v>1796</v>
      </c>
      <c r="K167" s="110" t="s">
        <v>1403</v>
      </c>
      <c r="L167" s="110" t="s">
        <v>3781</v>
      </c>
      <c r="M167" s="111" t="s">
        <v>1422</v>
      </c>
      <c r="N167" s="111" t="s">
        <v>1400</v>
      </c>
      <c r="O167" s="111" t="s">
        <v>1423</v>
      </c>
      <c r="P167" s="112" t="s">
        <v>1671</v>
      </c>
      <c r="Q167" s="112" t="s">
        <v>1534</v>
      </c>
      <c r="R167" s="112" t="s">
        <v>1672</v>
      </c>
      <c r="S167" s="144">
        <v>1749.48</v>
      </c>
      <c r="T167" s="111">
        <v>127.05</v>
      </c>
      <c r="U167" s="144">
        <v>1622.43</v>
      </c>
    </row>
    <row r="168" spans="1:21" ht="15" thickBot="1" x14ac:dyDescent="0.35">
      <c r="A168" s="117">
        <v>167</v>
      </c>
      <c r="B168" s="118" t="s">
        <v>388</v>
      </c>
      <c r="C168" s="118" t="s">
        <v>150</v>
      </c>
      <c r="D168" s="118" t="s">
        <v>2799</v>
      </c>
      <c r="E168" s="118" t="s">
        <v>305</v>
      </c>
      <c r="F168" s="119"/>
      <c r="G168" s="118"/>
      <c r="H168" s="120"/>
      <c r="I168" s="121"/>
      <c r="J168" s="110" t="s">
        <v>1797</v>
      </c>
      <c r="K168" s="110" t="s">
        <v>1403</v>
      </c>
      <c r="L168" s="110" t="s">
        <v>3781</v>
      </c>
      <c r="M168" s="111" t="s">
        <v>1422</v>
      </c>
      <c r="N168" s="111" t="s">
        <v>1400</v>
      </c>
      <c r="O168" s="111" t="s">
        <v>1423</v>
      </c>
      <c r="P168" s="112" t="s">
        <v>1671</v>
      </c>
      <c r="Q168" s="112" t="s">
        <v>1534</v>
      </c>
      <c r="R168" s="112" t="s">
        <v>1672</v>
      </c>
      <c r="S168" s="144">
        <v>1749.48</v>
      </c>
      <c r="T168" s="111">
        <v>127.05</v>
      </c>
      <c r="U168" s="144">
        <v>1622.43</v>
      </c>
    </row>
    <row r="169" spans="1:21" ht="15" thickBot="1" x14ac:dyDescent="0.35">
      <c r="A169" s="117">
        <v>168</v>
      </c>
      <c r="B169" s="118" t="s">
        <v>389</v>
      </c>
      <c r="C169" s="118" t="s">
        <v>158</v>
      </c>
      <c r="D169" s="118" t="s">
        <v>2800</v>
      </c>
      <c r="E169" s="118" t="s">
        <v>390</v>
      </c>
      <c r="F169" s="119"/>
      <c r="G169" s="118"/>
      <c r="H169" s="120"/>
      <c r="I169" s="121"/>
      <c r="J169" s="110" t="s">
        <v>1798</v>
      </c>
      <c r="K169" s="110" t="s">
        <v>1403</v>
      </c>
      <c r="L169" s="110" t="s">
        <v>3781</v>
      </c>
      <c r="M169" s="111" t="s">
        <v>1425</v>
      </c>
      <c r="N169" s="111" t="s">
        <v>1426</v>
      </c>
      <c r="O169" s="111" t="s">
        <v>1427</v>
      </c>
      <c r="P169" s="112" t="s">
        <v>3215</v>
      </c>
      <c r="Q169" s="112" t="s">
        <v>2424</v>
      </c>
      <c r="R169" s="112" t="s">
        <v>3570</v>
      </c>
      <c r="S169" s="144">
        <v>3674.41</v>
      </c>
      <c r="T169" s="111">
        <v>329.51</v>
      </c>
      <c r="U169" s="144">
        <v>3344.9</v>
      </c>
    </row>
    <row r="170" spans="1:21" ht="15" thickBot="1" x14ac:dyDescent="0.35">
      <c r="A170" s="117">
        <v>169</v>
      </c>
      <c r="B170" s="118" t="s">
        <v>391</v>
      </c>
      <c r="C170" s="118" t="s">
        <v>214</v>
      </c>
      <c r="D170" s="118" t="s">
        <v>2801</v>
      </c>
      <c r="E170" s="118" t="s">
        <v>159</v>
      </c>
      <c r="F170" s="119"/>
      <c r="G170" s="118"/>
      <c r="H170" s="120"/>
      <c r="I170" s="121"/>
      <c r="J170" s="110" t="s">
        <v>1799</v>
      </c>
      <c r="K170" s="110" t="s">
        <v>1403</v>
      </c>
      <c r="L170" s="110" t="s">
        <v>3781</v>
      </c>
      <c r="M170" s="111" t="s">
        <v>1626</v>
      </c>
      <c r="N170" s="111" t="s">
        <v>1627</v>
      </c>
      <c r="O170" s="111" t="s">
        <v>1628</v>
      </c>
      <c r="P170" s="112" t="s">
        <v>3243</v>
      </c>
      <c r="Q170" s="112" t="s">
        <v>3402</v>
      </c>
      <c r="R170" s="112" t="s">
        <v>3601</v>
      </c>
      <c r="S170" s="144">
        <v>4909.37</v>
      </c>
      <c r="T170" s="111">
        <v>488.81</v>
      </c>
      <c r="U170" s="144">
        <v>4420.5600000000004</v>
      </c>
    </row>
    <row r="171" spans="1:21" ht="15" thickBot="1" x14ac:dyDescent="0.35">
      <c r="A171" s="117">
        <v>170</v>
      </c>
      <c r="B171" s="118" t="s">
        <v>392</v>
      </c>
      <c r="C171" s="118" t="s">
        <v>150</v>
      </c>
      <c r="D171" s="118" t="s">
        <v>2802</v>
      </c>
      <c r="E171" s="118" t="s">
        <v>161</v>
      </c>
      <c r="F171" s="119"/>
      <c r="G171" s="118"/>
      <c r="H171" s="120"/>
      <c r="I171" s="121"/>
      <c r="J171" s="110" t="s">
        <v>1800</v>
      </c>
      <c r="K171" s="110" t="s">
        <v>1403</v>
      </c>
      <c r="L171" s="110" t="s">
        <v>3781</v>
      </c>
      <c r="M171" s="111" t="s">
        <v>1801</v>
      </c>
      <c r="N171" s="111" t="s">
        <v>1802</v>
      </c>
      <c r="O171" s="111" t="s">
        <v>1803</v>
      </c>
      <c r="P171" s="112" t="s">
        <v>3228</v>
      </c>
      <c r="Q171" s="112" t="s">
        <v>3430</v>
      </c>
      <c r="R171" s="112" t="s">
        <v>3631</v>
      </c>
      <c r="S171" s="144">
        <v>1892.81</v>
      </c>
      <c r="T171" s="111">
        <v>261.07</v>
      </c>
      <c r="U171" s="144">
        <v>1631.74</v>
      </c>
    </row>
    <row r="172" spans="1:21" ht="15" thickBot="1" x14ac:dyDescent="0.35">
      <c r="A172" s="117">
        <v>171</v>
      </c>
      <c r="B172" s="118" t="s">
        <v>393</v>
      </c>
      <c r="C172" s="118" t="s">
        <v>260</v>
      </c>
      <c r="D172" s="118" t="s">
        <v>2803</v>
      </c>
      <c r="E172" s="118" t="s">
        <v>305</v>
      </c>
      <c r="F172" s="119"/>
      <c r="G172" s="118"/>
      <c r="H172" s="120"/>
      <c r="I172" s="121"/>
      <c r="J172" s="110" t="s">
        <v>1804</v>
      </c>
      <c r="K172" s="110" t="s">
        <v>1403</v>
      </c>
      <c r="L172" s="110" t="s">
        <v>3781</v>
      </c>
      <c r="M172" s="111" t="s">
        <v>1599</v>
      </c>
      <c r="N172" s="111" t="s">
        <v>1600</v>
      </c>
      <c r="O172" s="111" t="s">
        <v>1601</v>
      </c>
      <c r="P172" s="112" t="s">
        <v>1599</v>
      </c>
      <c r="Q172" s="112" t="s">
        <v>3431</v>
      </c>
      <c r="R172" s="112" t="s">
        <v>3632</v>
      </c>
      <c r="S172" s="144">
        <v>1800</v>
      </c>
      <c r="T172" s="111">
        <v>651.01</v>
      </c>
      <c r="U172" s="144">
        <v>1148.99</v>
      </c>
    </row>
    <row r="173" spans="1:21" ht="15" thickBot="1" x14ac:dyDescent="0.35">
      <c r="A173" s="117">
        <v>172</v>
      </c>
      <c r="B173" s="118" t="s">
        <v>394</v>
      </c>
      <c r="C173" s="118" t="s">
        <v>150</v>
      </c>
      <c r="D173" s="118" t="s">
        <v>2804</v>
      </c>
      <c r="E173" s="118" t="s">
        <v>159</v>
      </c>
      <c r="F173" s="119"/>
      <c r="G173" s="118"/>
      <c r="H173" s="120"/>
      <c r="I173" s="121"/>
      <c r="J173" s="110" t="s">
        <v>1805</v>
      </c>
      <c r="K173" s="110" t="s">
        <v>1403</v>
      </c>
      <c r="L173" s="110" t="s">
        <v>3781</v>
      </c>
      <c r="M173" s="111" t="s">
        <v>1806</v>
      </c>
      <c r="N173" s="111" t="s">
        <v>1807</v>
      </c>
      <c r="O173" s="111" t="s">
        <v>1808</v>
      </c>
      <c r="P173" s="112" t="s">
        <v>3217</v>
      </c>
      <c r="Q173" s="112" t="s">
        <v>3370</v>
      </c>
      <c r="R173" s="112" t="s">
        <v>3567</v>
      </c>
      <c r="S173" s="144">
        <v>1720.85</v>
      </c>
      <c r="T173" s="111">
        <v>130.55000000000001</v>
      </c>
      <c r="U173" s="144">
        <v>1590.3</v>
      </c>
    </row>
    <row r="174" spans="1:21" ht="15" thickBot="1" x14ac:dyDescent="0.35">
      <c r="A174" s="117">
        <v>173</v>
      </c>
      <c r="B174" s="118" t="s">
        <v>395</v>
      </c>
      <c r="C174" s="118" t="s">
        <v>158</v>
      </c>
      <c r="D174" s="118" t="s">
        <v>2805</v>
      </c>
      <c r="E174" s="118" t="s">
        <v>296</v>
      </c>
      <c r="F174" s="119"/>
      <c r="G174" s="118"/>
      <c r="H174" s="120"/>
      <c r="I174" s="121"/>
      <c r="J174" s="110" t="s">
        <v>1809</v>
      </c>
      <c r="K174" s="110" t="s">
        <v>1403</v>
      </c>
      <c r="L174" s="110" t="s">
        <v>3781</v>
      </c>
      <c r="M174" s="111" t="s">
        <v>1425</v>
      </c>
      <c r="N174" s="111" t="s">
        <v>1426</v>
      </c>
      <c r="O174" s="111" t="s">
        <v>1427</v>
      </c>
      <c r="P174" s="112" t="s">
        <v>3215</v>
      </c>
      <c r="Q174" s="112" t="s">
        <v>2424</v>
      </c>
      <c r="R174" s="112" t="s">
        <v>3570</v>
      </c>
      <c r="S174" s="144">
        <v>3433.34</v>
      </c>
      <c r="T174" s="111">
        <v>300.58999999999997</v>
      </c>
      <c r="U174" s="144">
        <v>3132.75</v>
      </c>
    </row>
    <row r="175" spans="1:21" ht="15" thickBot="1" x14ac:dyDescent="0.35">
      <c r="A175" s="117">
        <v>174</v>
      </c>
      <c r="B175" s="118" t="s">
        <v>396</v>
      </c>
      <c r="C175" s="118" t="s">
        <v>150</v>
      </c>
      <c r="D175" s="118" t="s">
        <v>2806</v>
      </c>
      <c r="E175" s="118" t="s">
        <v>240</v>
      </c>
      <c r="F175" s="119"/>
      <c r="G175" s="118"/>
      <c r="H175" s="120"/>
      <c r="I175" s="121"/>
      <c r="J175" s="110" t="s">
        <v>1810</v>
      </c>
      <c r="K175" s="110" t="s">
        <v>1403</v>
      </c>
      <c r="L175" s="110" t="s">
        <v>3781</v>
      </c>
      <c r="M175" s="111" t="s">
        <v>1399</v>
      </c>
      <c r="N175" s="111" t="s">
        <v>1400</v>
      </c>
      <c r="O175" s="111" t="s">
        <v>1401</v>
      </c>
      <c r="P175" s="112" t="s">
        <v>1570</v>
      </c>
      <c r="Q175" s="112" t="s">
        <v>1534</v>
      </c>
      <c r="R175" s="112" t="s">
        <v>1571</v>
      </c>
      <c r="S175" s="144">
        <v>1681.94</v>
      </c>
      <c r="T175" s="111">
        <v>306.69</v>
      </c>
      <c r="U175" s="144">
        <v>1375.25</v>
      </c>
    </row>
    <row r="176" spans="1:21" ht="15" thickBot="1" x14ac:dyDescent="0.35">
      <c r="A176" s="117">
        <v>175</v>
      </c>
      <c r="B176" s="118" t="s">
        <v>397</v>
      </c>
      <c r="C176" s="118" t="s">
        <v>179</v>
      </c>
      <c r="D176" s="118" t="s">
        <v>2807</v>
      </c>
      <c r="E176" s="118" t="s">
        <v>320</v>
      </c>
      <c r="F176" s="119"/>
      <c r="G176" s="118"/>
      <c r="H176" s="120"/>
      <c r="I176" s="121"/>
      <c r="J176" s="110" t="s">
        <v>1811</v>
      </c>
      <c r="K176" s="110" t="s">
        <v>1398</v>
      </c>
      <c r="L176" s="110" t="s">
        <v>3781</v>
      </c>
      <c r="M176" s="111" t="s">
        <v>1509</v>
      </c>
      <c r="N176" s="111" t="s">
        <v>1510</v>
      </c>
      <c r="O176" s="111" t="s">
        <v>1511</v>
      </c>
      <c r="P176" s="112" t="s">
        <v>1509</v>
      </c>
      <c r="Q176" s="112" t="s">
        <v>1510</v>
      </c>
      <c r="R176" s="112" t="s">
        <v>1511</v>
      </c>
      <c r="S176" s="144">
        <v>4280</v>
      </c>
      <c r="T176" s="111">
        <v>402.18</v>
      </c>
      <c r="U176" s="144">
        <v>3877.82</v>
      </c>
    </row>
    <row r="177" spans="1:21" ht="15" thickBot="1" x14ac:dyDescent="0.35">
      <c r="A177" s="117">
        <v>176</v>
      </c>
      <c r="B177" s="118" t="s">
        <v>398</v>
      </c>
      <c r="C177" s="118" t="s">
        <v>150</v>
      </c>
      <c r="D177" s="118" t="s">
        <v>2808</v>
      </c>
      <c r="E177" s="118" t="s">
        <v>161</v>
      </c>
      <c r="F177" s="119"/>
      <c r="G177" s="118"/>
      <c r="H177" s="120"/>
      <c r="I177" s="121"/>
      <c r="J177" s="110" t="s">
        <v>1812</v>
      </c>
      <c r="K177" s="110" t="s">
        <v>1403</v>
      </c>
      <c r="L177" s="110" t="s">
        <v>3781</v>
      </c>
      <c r="M177" s="111" t="s">
        <v>1813</v>
      </c>
      <c r="N177" s="111" t="s">
        <v>1814</v>
      </c>
      <c r="O177" s="111" t="s">
        <v>1815</v>
      </c>
      <c r="P177" s="112" t="s">
        <v>3263</v>
      </c>
      <c r="Q177" s="112" t="s">
        <v>3432</v>
      </c>
      <c r="R177" s="112" t="s">
        <v>3633</v>
      </c>
      <c r="S177" s="144">
        <v>2196.7800000000002</v>
      </c>
      <c r="T177" s="111">
        <v>549.62</v>
      </c>
      <c r="U177" s="144">
        <v>1647.16</v>
      </c>
    </row>
    <row r="178" spans="1:21" ht="15" thickBot="1" x14ac:dyDescent="0.35">
      <c r="A178" s="117">
        <v>177</v>
      </c>
      <c r="B178" s="118" t="s">
        <v>399</v>
      </c>
      <c r="C178" s="118" t="s">
        <v>233</v>
      </c>
      <c r="D178" s="118" t="s">
        <v>2809</v>
      </c>
      <c r="E178" s="118" t="s">
        <v>159</v>
      </c>
      <c r="F178" s="119"/>
      <c r="G178" s="118"/>
      <c r="H178" s="120"/>
      <c r="I178" s="121"/>
      <c r="J178" s="110" t="s">
        <v>1816</v>
      </c>
      <c r="K178" s="110" t="s">
        <v>1538</v>
      </c>
      <c r="L178" s="110" t="s">
        <v>3781</v>
      </c>
      <c r="M178" s="111" t="s">
        <v>1539</v>
      </c>
      <c r="N178" s="111" t="s">
        <v>1540</v>
      </c>
      <c r="O178" s="111" t="s">
        <v>1541</v>
      </c>
      <c r="P178" s="112" t="s">
        <v>1539</v>
      </c>
      <c r="Q178" s="112" t="s">
        <v>1540</v>
      </c>
      <c r="R178" s="112" t="s">
        <v>1541</v>
      </c>
      <c r="S178" s="144">
        <v>2800</v>
      </c>
      <c r="T178" s="111">
        <v>227.68</v>
      </c>
      <c r="U178" s="144">
        <v>2572.3200000000002</v>
      </c>
    </row>
    <row r="179" spans="1:21" ht="15" thickBot="1" x14ac:dyDescent="0.35">
      <c r="A179" s="117">
        <v>178</v>
      </c>
      <c r="B179" s="118" t="s">
        <v>400</v>
      </c>
      <c r="C179" s="118" t="s">
        <v>184</v>
      </c>
      <c r="D179" s="118" t="s">
        <v>2810</v>
      </c>
      <c r="E179" s="118" t="s">
        <v>234</v>
      </c>
      <c r="F179" s="119"/>
      <c r="G179" s="118"/>
      <c r="H179" s="120"/>
      <c r="I179" s="121"/>
      <c r="J179" s="110" t="s">
        <v>1817</v>
      </c>
      <c r="K179" s="110" t="s">
        <v>1403</v>
      </c>
      <c r="L179" s="110" t="s">
        <v>3781</v>
      </c>
      <c r="M179" s="111" t="s">
        <v>1451</v>
      </c>
      <c r="N179" s="111" t="s">
        <v>1452</v>
      </c>
      <c r="O179" s="111" t="s">
        <v>1453</v>
      </c>
      <c r="P179" s="112" t="s">
        <v>1451</v>
      </c>
      <c r="Q179" s="112" t="s">
        <v>1452</v>
      </c>
      <c r="R179" s="112" t="s">
        <v>1453</v>
      </c>
      <c r="S179" s="144">
        <v>3818.4</v>
      </c>
      <c r="T179" s="111">
        <v>346.79</v>
      </c>
      <c r="U179" s="144">
        <v>3471.61</v>
      </c>
    </row>
    <row r="180" spans="1:21" ht="15" thickBot="1" x14ac:dyDescent="0.35">
      <c r="A180" s="117">
        <v>179</v>
      </c>
      <c r="B180" s="118" t="s">
        <v>401</v>
      </c>
      <c r="C180" s="118" t="s">
        <v>253</v>
      </c>
      <c r="D180" s="118" t="s">
        <v>2811</v>
      </c>
      <c r="E180" s="118" t="s">
        <v>257</v>
      </c>
      <c r="F180" s="119"/>
      <c r="G180" s="118"/>
      <c r="H180" s="120"/>
      <c r="I180" s="121"/>
      <c r="J180" s="110" t="s">
        <v>1818</v>
      </c>
      <c r="K180" s="110" t="s">
        <v>1403</v>
      </c>
      <c r="L180" s="110" t="s">
        <v>3781</v>
      </c>
      <c r="M180" s="111" t="s">
        <v>1671</v>
      </c>
      <c r="N180" s="111" t="s">
        <v>1534</v>
      </c>
      <c r="O180" s="111" t="s">
        <v>1672</v>
      </c>
      <c r="P180" s="112" t="s">
        <v>1671</v>
      </c>
      <c r="Q180" s="112" t="s">
        <v>1534</v>
      </c>
      <c r="R180" s="112" t="s">
        <v>1672</v>
      </c>
      <c r="S180" s="144">
        <v>1688.54</v>
      </c>
      <c r="T180" s="111">
        <v>121.57</v>
      </c>
      <c r="U180" s="144">
        <v>1566.97</v>
      </c>
    </row>
    <row r="181" spans="1:21" ht="15" thickBot="1" x14ac:dyDescent="0.35">
      <c r="A181" s="117">
        <v>180</v>
      </c>
      <c r="B181" s="118" t="s">
        <v>402</v>
      </c>
      <c r="C181" s="118" t="s">
        <v>158</v>
      </c>
      <c r="D181" s="118" t="s">
        <v>2812</v>
      </c>
      <c r="E181" s="118" t="s">
        <v>322</v>
      </c>
      <c r="F181" s="119"/>
      <c r="G181" s="118"/>
      <c r="H181" s="120"/>
      <c r="I181" s="121"/>
      <c r="J181" s="110" t="s">
        <v>1819</v>
      </c>
      <c r="K181" s="110" t="s">
        <v>1403</v>
      </c>
      <c r="L181" s="110" t="s">
        <v>3781</v>
      </c>
      <c r="M181" s="111" t="s">
        <v>1425</v>
      </c>
      <c r="N181" s="111" t="s">
        <v>1820</v>
      </c>
      <c r="O181" s="111" t="s">
        <v>1821</v>
      </c>
      <c r="P181" s="112" t="s">
        <v>3215</v>
      </c>
      <c r="Q181" s="112" t="s">
        <v>3433</v>
      </c>
      <c r="R181" s="112" t="s">
        <v>3634</v>
      </c>
      <c r="S181" s="144">
        <v>3434.61</v>
      </c>
      <c r="T181" s="111">
        <v>428.17</v>
      </c>
      <c r="U181" s="144">
        <v>3006.44</v>
      </c>
    </row>
    <row r="182" spans="1:21" ht="15" thickBot="1" x14ac:dyDescent="0.35">
      <c r="A182" s="117">
        <v>181</v>
      </c>
      <c r="B182" s="118" t="s">
        <v>403</v>
      </c>
      <c r="C182" s="118" t="s">
        <v>179</v>
      </c>
      <c r="D182" s="118" t="s">
        <v>2813</v>
      </c>
      <c r="E182" s="118" t="s">
        <v>372</v>
      </c>
      <c r="F182" s="119"/>
      <c r="G182" s="118"/>
      <c r="H182" s="120"/>
      <c r="I182" s="121"/>
      <c r="J182" s="110" t="s">
        <v>1822</v>
      </c>
      <c r="K182" s="110" t="s">
        <v>1403</v>
      </c>
      <c r="L182" s="110" t="s">
        <v>3781</v>
      </c>
      <c r="M182" s="111" t="s">
        <v>1509</v>
      </c>
      <c r="N182" s="111" t="s">
        <v>1510</v>
      </c>
      <c r="O182" s="111" t="s">
        <v>1511</v>
      </c>
      <c r="P182" s="112" t="s">
        <v>1509</v>
      </c>
      <c r="Q182" s="112" t="s">
        <v>1510</v>
      </c>
      <c r="R182" s="112" t="s">
        <v>1511</v>
      </c>
      <c r="S182" s="144">
        <v>5108.3900000000003</v>
      </c>
      <c r="T182" s="111">
        <v>555.49</v>
      </c>
      <c r="U182" s="144">
        <v>4552.8999999999996</v>
      </c>
    </row>
    <row r="183" spans="1:21" ht="15" thickBot="1" x14ac:dyDescent="0.35">
      <c r="A183" s="117">
        <v>182</v>
      </c>
      <c r="B183" s="118" t="s">
        <v>404</v>
      </c>
      <c r="C183" s="118" t="s">
        <v>150</v>
      </c>
      <c r="D183" s="118" t="s">
        <v>2814</v>
      </c>
      <c r="E183" s="118" t="s">
        <v>223</v>
      </c>
      <c r="F183" s="119"/>
      <c r="G183" s="118"/>
      <c r="H183" s="120"/>
      <c r="I183" s="121"/>
      <c r="J183" s="110" t="s">
        <v>1823</v>
      </c>
      <c r="K183" s="110" t="s">
        <v>1403</v>
      </c>
      <c r="L183" s="110" t="s">
        <v>3781</v>
      </c>
      <c r="M183" s="111" t="s">
        <v>1824</v>
      </c>
      <c r="N183" s="111" t="s">
        <v>1825</v>
      </c>
      <c r="O183" s="111" t="s">
        <v>1826</v>
      </c>
      <c r="P183" s="112" t="s">
        <v>3264</v>
      </c>
      <c r="Q183" s="112" t="s">
        <v>3434</v>
      </c>
      <c r="R183" s="112" t="s">
        <v>3635</v>
      </c>
      <c r="S183" s="144">
        <v>1684.21</v>
      </c>
      <c r="T183" s="111">
        <v>190.65</v>
      </c>
      <c r="U183" s="144">
        <v>1493.56</v>
      </c>
    </row>
    <row r="184" spans="1:21" ht="15" thickBot="1" x14ac:dyDescent="0.35">
      <c r="A184" s="117">
        <v>183</v>
      </c>
      <c r="B184" s="118" t="s">
        <v>405</v>
      </c>
      <c r="C184" s="118" t="s">
        <v>150</v>
      </c>
      <c r="D184" s="118" t="s">
        <v>2815</v>
      </c>
      <c r="E184" s="118" t="s">
        <v>163</v>
      </c>
      <c r="F184" s="119"/>
      <c r="G184" s="118"/>
      <c r="H184" s="120"/>
      <c r="I184" s="121"/>
      <c r="J184" s="110" t="s">
        <v>1827</v>
      </c>
      <c r="K184" s="110" t="s">
        <v>1403</v>
      </c>
      <c r="L184" s="110" t="s">
        <v>3781</v>
      </c>
      <c r="M184" s="111" t="s">
        <v>1828</v>
      </c>
      <c r="N184" s="111" t="s">
        <v>1829</v>
      </c>
      <c r="O184" s="111" t="s">
        <v>1830</v>
      </c>
      <c r="P184" s="112" t="s">
        <v>3265</v>
      </c>
      <c r="Q184" s="112" t="s">
        <v>3435</v>
      </c>
      <c r="R184" s="112" t="s">
        <v>3636</v>
      </c>
      <c r="S184" s="144">
        <v>2066.42</v>
      </c>
      <c r="T184" s="111">
        <v>161.65</v>
      </c>
      <c r="U184" s="144">
        <v>1904.77</v>
      </c>
    </row>
    <row r="185" spans="1:21" ht="15" thickBot="1" x14ac:dyDescent="0.35">
      <c r="A185" s="117">
        <v>184</v>
      </c>
      <c r="B185" s="118" t="s">
        <v>406</v>
      </c>
      <c r="C185" s="118" t="s">
        <v>179</v>
      </c>
      <c r="D185" s="118" t="s">
        <v>2816</v>
      </c>
      <c r="E185" s="118" t="s">
        <v>341</v>
      </c>
      <c r="F185" s="119"/>
      <c r="G185" s="118"/>
      <c r="H185" s="120"/>
      <c r="I185" s="121"/>
      <c r="J185" s="110" t="s">
        <v>1831</v>
      </c>
      <c r="K185" s="110" t="s">
        <v>1403</v>
      </c>
      <c r="L185" s="110" t="s">
        <v>3781</v>
      </c>
      <c r="M185" s="111" t="s">
        <v>1446</v>
      </c>
      <c r="N185" s="111" t="s">
        <v>1832</v>
      </c>
      <c r="O185" s="111" t="s">
        <v>1833</v>
      </c>
      <c r="P185" s="112" t="s">
        <v>1446</v>
      </c>
      <c r="Q185" s="112" t="s">
        <v>1832</v>
      </c>
      <c r="R185" s="112" t="s">
        <v>1833</v>
      </c>
      <c r="S185" s="144">
        <v>5564</v>
      </c>
      <c r="T185" s="144">
        <v>1192.1199999999999</v>
      </c>
      <c r="U185" s="144">
        <v>4371.88</v>
      </c>
    </row>
    <row r="186" spans="1:21" ht="15" thickBot="1" x14ac:dyDescent="0.35">
      <c r="A186" s="117">
        <v>185</v>
      </c>
      <c r="B186" s="118" t="s">
        <v>407</v>
      </c>
      <c r="C186" s="118" t="s">
        <v>216</v>
      </c>
      <c r="D186" s="118" t="s">
        <v>2817</v>
      </c>
      <c r="E186" s="118" t="s">
        <v>173</v>
      </c>
      <c r="F186" s="119"/>
      <c r="G186" s="118"/>
      <c r="H186" s="120"/>
      <c r="I186" s="121"/>
      <c r="J186" s="110" t="s">
        <v>1834</v>
      </c>
      <c r="K186" s="110" t="s">
        <v>1835</v>
      </c>
      <c r="L186" s="110" t="s">
        <v>3781</v>
      </c>
      <c r="M186" s="111" t="s">
        <v>1836</v>
      </c>
      <c r="N186" s="111" t="s">
        <v>1837</v>
      </c>
      <c r="O186" s="111" t="s">
        <v>1838</v>
      </c>
      <c r="P186" s="112" t="s">
        <v>1836</v>
      </c>
      <c r="Q186" s="112" t="s">
        <v>1837</v>
      </c>
      <c r="R186" s="112" t="s">
        <v>1838</v>
      </c>
      <c r="S186" s="144">
        <v>3720</v>
      </c>
      <c r="T186" s="111">
        <v>334.98</v>
      </c>
      <c r="U186" s="144">
        <v>3385.02</v>
      </c>
    </row>
    <row r="187" spans="1:21" ht="15" thickBot="1" x14ac:dyDescent="0.35">
      <c r="A187" s="117">
        <v>186</v>
      </c>
      <c r="B187" s="118" t="s">
        <v>408</v>
      </c>
      <c r="C187" s="118" t="s">
        <v>253</v>
      </c>
      <c r="D187" s="118" t="s">
        <v>2818</v>
      </c>
      <c r="E187" s="118" t="s">
        <v>317</v>
      </c>
      <c r="F187" s="119"/>
      <c r="G187" s="118"/>
      <c r="H187" s="120"/>
      <c r="I187" s="121"/>
      <c r="J187" s="110" t="s">
        <v>1839</v>
      </c>
      <c r="K187" s="110" t="s">
        <v>1403</v>
      </c>
      <c r="L187" s="110" t="s">
        <v>3781</v>
      </c>
      <c r="M187" s="111" t="s">
        <v>1776</v>
      </c>
      <c r="N187" s="111" t="s">
        <v>1534</v>
      </c>
      <c r="O187" s="111" t="s">
        <v>1777</v>
      </c>
      <c r="P187" s="112" t="s">
        <v>1776</v>
      </c>
      <c r="Q187" s="112" t="s">
        <v>1534</v>
      </c>
      <c r="R187" s="112" t="s">
        <v>1777</v>
      </c>
      <c r="S187" s="144">
        <v>1756.08</v>
      </c>
      <c r="T187" s="111">
        <v>543.85</v>
      </c>
      <c r="U187" s="144">
        <v>1212.23</v>
      </c>
    </row>
    <row r="188" spans="1:21" ht="15" thickBot="1" x14ac:dyDescent="0.35">
      <c r="A188" s="117">
        <v>187</v>
      </c>
      <c r="B188" s="118" t="s">
        <v>409</v>
      </c>
      <c r="C188" s="118" t="s">
        <v>158</v>
      </c>
      <c r="D188" s="118" t="s">
        <v>2819</v>
      </c>
      <c r="E188" s="118" t="s">
        <v>159</v>
      </c>
      <c r="F188" s="119"/>
      <c r="G188" s="118"/>
      <c r="H188" s="120"/>
      <c r="I188" s="121"/>
      <c r="J188" s="110" t="s">
        <v>1840</v>
      </c>
      <c r="K188" s="110" t="s">
        <v>1574</v>
      </c>
      <c r="L188" s="110" t="s">
        <v>3781</v>
      </c>
      <c r="M188" s="111" t="s">
        <v>1841</v>
      </c>
      <c r="N188" s="111" t="s">
        <v>1842</v>
      </c>
      <c r="O188" s="111" t="s">
        <v>1843</v>
      </c>
      <c r="P188" s="112" t="s">
        <v>3215</v>
      </c>
      <c r="Q188" s="112" t="s">
        <v>2424</v>
      </c>
      <c r="R188" s="112" t="s">
        <v>3570</v>
      </c>
      <c r="S188" s="144">
        <v>3433.34</v>
      </c>
      <c r="T188" s="111">
        <v>300.58999999999997</v>
      </c>
      <c r="U188" s="144">
        <v>3132.75</v>
      </c>
    </row>
    <row r="189" spans="1:21" ht="15" thickBot="1" x14ac:dyDescent="0.35">
      <c r="A189" s="117">
        <v>188</v>
      </c>
      <c r="B189" s="118" t="s">
        <v>410</v>
      </c>
      <c r="C189" s="118" t="s">
        <v>195</v>
      </c>
      <c r="D189" s="118" t="s">
        <v>2820</v>
      </c>
      <c r="E189" s="118" t="s">
        <v>161</v>
      </c>
      <c r="F189" s="119"/>
      <c r="G189" s="118"/>
      <c r="H189" s="120"/>
      <c r="I189" s="121"/>
      <c r="J189" s="110" t="s">
        <v>1844</v>
      </c>
      <c r="K189" s="110" t="s">
        <v>1403</v>
      </c>
      <c r="L189" s="110" t="s">
        <v>3781</v>
      </c>
      <c r="M189" s="111" t="s">
        <v>1845</v>
      </c>
      <c r="N189" s="111" t="s">
        <v>1846</v>
      </c>
      <c r="O189" s="111" t="s">
        <v>1847</v>
      </c>
      <c r="P189" s="112" t="s">
        <v>3266</v>
      </c>
      <c r="Q189" s="112" t="s">
        <v>3436</v>
      </c>
      <c r="R189" s="112" t="s">
        <v>3637</v>
      </c>
      <c r="S189" s="144">
        <v>6030.49</v>
      </c>
      <c r="T189" s="111">
        <v>990.01</v>
      </c>
      <c r="U189" s="144">
        <v>5040.4799999999996</v>
      </c>
    </row>
    <row r="190" spans="1:21" ht="15" thickBot="1" x14ac:dyDescent="0.35">
      <c r="A190" s="117">
        <v>189</v>
      </c>
      <c r="B190" s="118" t="s">
        <v>411</v>
      </c>
      <c r="C190" s="118" t="s">
        <v>158</v>
      </c>
      <c r="D190" s="118" t="s">
        <v>2821</v>
      </c>
      <c r="E190" s="118" t="s">
        <v>276</v>
      </c>
      <c r="F190" s="119"/>
      <c r="G190" s="118"/>
      <c r="H190" s="120"/>
      <c r="I190" s="121"/>
      <c r="J190" s="110" t="s">
        <v>1848</v>
      </c>
      <c r="K190" s="110" t="s">
        <v>1403</v>
      </c>
      <c r="L190" s="110" t="s">
        <v>3781</v>
      </c>
      <c r="M190" s="111" t="s">
        <v>1425</v>
      </c>
      <c r="N190" s="111" t="s">
        <v>1426</v>
      </c>
      <c r="O190" s="111" t="s">
        <v>1427</v>
      </c>
      <c r="P190" s="112" t="s">
        <v>3215</v>
      </c>
      <c r="Q190" s="112" t="s">
        <v>2424</v>
      </c>
      <c r="R190" s="112" t="s">
        <v>3570</v>
      </c>
      <c r="S190" s="144">
        <v>3433.34</v>
      </c>
      <c r="T190" s="111">
        <v>300.58999999999997</v>
      </c>
      <c r="U190" s="144">
        <v>3132.75</v>
      </c>
    </row>
    <row r="191" spans="1:21" ht="15" thickBot="1" x14ac:dyDescent="0.35">
      <c r="A191" s="117">
        <v>190</v>
      </c>
      <c r="B191" s="118" t="s">
        <v>412</v>
      </c>
      <c r="C191" s="118" t="s">
        <v>158</v>
      </c>
      <c r="D191" s="118" t="s">
        <v>2822</v>
      </c>
      <c r="E191" s="118" t="s">
        <v>161</v>
      </c>
      <c r="F191" s="119"/>
      <c r="G191" s="118"/>
      <c r="H191" s="120"/>
      <c r="I191" s="121"/>
      <c r="J191" s="110" t="s">
        <v>1849</v>
      </c>
      <c r="K191" s="110" t="s">
        <v>1403</v>
      </c>
      <c r="L191" s="110" t="s">
        <v>3781</v>
      </c>
      <c r="M191" s="111" t="s">
        <v>1621</v>
      </c>
      <c r="N191" s="111" t="s">
        <v>1850</v>
      </c>
      <c r="O191" s="111" t="s">
        <v>1851</v>
      </c>
      <c r="P191" s="112" t="s">
        <v>3267</v>
      </c>
      <c r="Q191" s="112" t="s">
        <v>3437</v>
      </c>
      <c r="R191" s="112" t="s">
        <v>3638</v>
      </c>
      <c r="S191" s="144">
        <v>3535.07</v>
      </c>
      <c r="T191" s="144">
        <v>1283.52</v>
      </c>
      <c r="U191" s="144">
        <v>2251.5500000000002</v>
      </c>
    </row>
    <row r="192" spans="1:21" ht="15" thickBot="1" x14ac:dyDescent="0.35">
      <c r="A192" s="117">
        <v>191</v>
      </c>
      <c r="B192" s="118" t="s">
        <v>413</v>
      </c>
      <c r="C192" s="118" t="s">
        <v>150</v>
      </c>
      <c r="D192" s="118" t="s">
        <v>2823</v>
      </c>
      <c r="E192" s="118" t="s">
        <v>301</v>
      </c>
      <c r="F192" s="119"/>
      <c r="G192" s="118"/>
      <c r="H192" s="120"/>
      <c r="I192" s="121"/>
      <c r="J192" s="110" t="s">
        <v>1852</v>
      </c>
      <c r="K192" s="110" t="s">
        <v>1403</v>
      </c>
      <c r="L192" s="110" t="s">
        <v>3781</v>
      </c>
      <c r="M192" s="111" t="s">
        <v>1801</v>
      </c>
      <c r="N192" s="111" t="s">
        <v>1802</v>
      </c>
      <c r="O192" s="111" t="s">
        <v>1803</v>
      </c>
      <c r="P192" s="112" t="s">
        <v>3248</v>
      </c>
      <c r="Q192" s="112" t="s">
        <v>3438</v>
      </c>
      <c r="R192" s="112" t="s">
        <v>3639</v>
      </c>
      <c r="S192" s="144">
        <v>1876.6</v>
      </c>
      <c r="T192" s="111">
        <v>144.57</v>
      </c>
      <c r="U192" s="144">
        <v>1732.03</v>
      </c>
    </row>
    <row r="193" spans="1:21" ht="15" thickBot="1" x14ac:dyDescent="0.35">
      <c r="A193" s="117">
        <v>192</v>
      </c>
      <c r="B193" s="118" t="s">
        <v>414</v>
      </c>
      <c r="C193" s="118" t="s">
        <v>158</v>
      </c>
      <c r="D193" s="118" t="s">
        <v>2824</v>
      </c>
      <c r="E193" s="118" t="s">
        <v>284</v>
      </c>
      <c r="F193" s="119"/>
      <c r="G193" s="118"/>
      <c r="H193" s="120"/>
      <c r="I193" s="121"/>
      <c r="J193" s="110" t="s">
        <v>1853</v>
      </c>
      <c r="K193" s="110" t="s">
        <v>1403</v>
      </c>
      <c r="L193" s="110" t="s">
        <v>3781</v>
      </c>
      <c r="M193" s="111" t="s">
        <v>1425</v>
      </c>
      <c r="N193" s="111" t="s">
        <v>1426</v>
      </c>
      <c r="O193" s="111" t="s">
        <v>1427</v>
      </c>
      <c r="P193" s="112" t="s">
        <v>3215</v>
      </c>
      <c r="Q193" s="112" t="s">
        <v>2424</v>
      </c>
      <c r="R193" s="112" t="s">
        <v>3570</v>
      </c>
      <c r="S193" s="144">
        <v>3433.34</v>
      </c>
      <c r="T193" s="111">
        <v>300.58999999999997</v>
      </c>
      <c r="U193" s="144">
        <v>3132.75</v>
      </c>
    </row>
    <row r="194" spans="1:21" ht="15" thickBot="1" x14ac:dyDescent="0.35">
      <c r="A194" s="117">
        <v>193</v>
      </c>
      <c r="B194" s="118" t="s">
        <v>415</v>
      </c>
      <c r="C194" s="118" t="s">
        <v>150</v>
      </c>
      <c r="D194" s="118" t="s">
        <v>2825</v>
      </c>
      <c r="E194" s="118" t="s">
        <v>276</v>
      </c>
      <c r="F194" s="119"/>
      <c r="G194" s="118"/>
      <c r="H194" s="120"/>
      <c r="I194" s="121"/>
      <c r="J194" s="110" t="s">
        <v>1854</v>
      </c>
      <c r="K194" s="110" t="s">
        <v>1403</v>
      </c>
      <c r="L194" s="110" t="s">
        <v>3781</v>
      </c>
      <c r="M194" s="111" t="s">
        <v>1422</v>
      </c>
      <c r="N194" s="111" t="s">
        <v>1400</v>
      </c>
      <c r="O194" s="111" t="s">
        <v>1423</v>
      </c>
      <c r="P194" s="112" t="s">
        <v>1671</v>
      </c>
      <c r="Q194" s="112" t="s">
        <v>1534</v>
      </c>
      <c r="R194" s="112" t="s">
        <v>1672</v>
      </c>
      <c r="S194" s="144">
        <v>1749.48</v>
      </c>
      <c r="T194" s="111">
        <v>127.05</v>
      </c>
      <c r="U194" s="144">
        <v>1622.43</v>
      </c>
    </row>
    <row r="195" spans="1:21" ht="15" thickBot="1" x14ac:dyDescent="0.35">
      <c r="A195" s="117">
        <v>194</v>
      </c>
      <c r="B195" s="122" t="s">
        <v>416</v>
      </c>
      <c r="C195" s="118" t="s">
        <v>150</v>
      </c>
      <c r="D195" s="118"/>
      <c r="E195" s="118" t="s">
        <v>173</v>
      </c>
      <c r="F195" s="119"/>
      <c r="G195" s="118"/>
      <c r="H195" s="120"/>
      <c r="I195" s="121"/>
      <c r="J195" s="123" t="s">
        <v>3771</v>
      </c>
      <c r="K195" s="110" t="s">
        <v>1403</v>
      </c>
      <c r="L195" s="110" t="s">
        <v>3781</v>
      </c>
      <c r="M195" s="111"/>
      <c r="N195" s="111"/>
      <c r="O195" s="111"/>
      <c r="P195" s="112" t="s">
        <v>3228</v>
      </c>
      <c r="Q195" s="112" t="s">
        <v>3411</v>
      </c>
      <c r="R195" s="112" t="s">
        <v>3611</v>
      </c>
      <c r="S195" s="144">
        <v>1925.27</v>
      </c>
      <c r="T195" s="111">
        <v>148.94999999999999</v>
      </c>
      <c r="U195" s="144">
        <v>1776.32</v>
      </c>
    </row>
    <row r="196" spans="1:21" ht="15" thickBot="1" x14ac:dyDescent="0.35">
      <c r="A196" s="117">
        <v>195</v>
      </c>
      <c r="B196" s="118" t="s">
        <v>417</v>
      </c>
      <c r="C196" s="118" t="s">
        <v>150</v>
      </c>
      <c r="D196" s="118" t="s">
        <v>2826</v>
      </c>
      <c r="E196" s="118" t="s">
        <v>161</v>
      </c>
      <c r="F196" s="119"/>
      <c r="G196" s="118"/>
      <c r="H196" s="120"/>
      <c r="I196" s="121"/>
      <c r="J196" s="110" t="s">
        <v>1855</v>
      </c>
      <c r="K196" s="110" t="s">
        <v>1403</v>
      </c>
      <c r="L196" s="110" t="s">
        <v>3781</v>
      </c>
      <c r="M196" s="111" t="s">
        <v>1399</v>
      </c>
      <c r="N196" s="111" t="s">
        <v>1400</v>
      </c>
      <c r="O196" s="111" t="s">
        <v>1401</v>
      </c>
      <c r="P196" s="112" t="s">
        <v>1570</v>
      </c>
      <c r="Q196" s="112" t="s">
        <v>1534</v>
      </c>
      <c r="R196" s="112" t="s">
        <v>1571</v>
      </c>
      <c r="S196" s="144">
        <v>1681.94</v>
      </c>
      <c r="T196" s="111">
        <v>321.83</v>
      </c>
      <c r="U196" s="144">
        <v>1360.11</v>
      </c>
    </row>
    <row r="197" spans="1:21" ht="15" thickBot="1" x14ac:dyDescent="0.35">
      <c r="A197" s="117">
        <v>196</v>
      </c>
      <c r="B197" s="118" t="s">
        <v>418</v>
      </c>
      <c r="C197" s="118" t="s">
        <v>150</v>
      </c>
      <c r="D197" s="118" t="s">
        <v>2827</v>
      </c>
      <c r="E197" s="118" t="s">
        <v>161</v>
      </c>
      <c r="F197" s="119"/>
      <c r="G197" s="118"/>
      <c r="H197" s="120"/>
      <c r="I197" s="121"/>
      <c r="J197" s="110" t="s">
        <v>1856</v>
      </c>
      <c r="K197" s="110" t="s">
        <v>1532</v>
      </c>
      <c r="L197" s="110" t="s">
        <v>3781</v>
      </c>
      <c r="M197" s="111" t="s">
        <v>1857</v>
      </c>
      <c r="N197" s="111" t="s">
        <v>1858</v>
      </c>
      <c r="O197" s="111" t="s">
        <v>1859</v>
      </c>
      <c r="P197" s="112" t="s">
        <v>1570</v>
      </c>
      <c r="Q197" s="112" t="s">
        <v>1534</v>
      </c>
      <c r="R197" s="112" t="s">
        <v>1571</v>
      </c>
      <c r="S197" s="144">
        <v>1681.94</v>
      </c>
      <c r="T197" s="111">
        <v>127.05</v>
      </c>
      <c r="U197" s="144">
        <v>1554.89</v>
      </c>
    </row>
    <row r="198" spans="1:21" ht="15" thickBot="1" x14ac:dyDescent="0.35">
      <c r="A198" s="117">
        <v>197</v>
      </c>
      <c r="B198" s="118" t="s">
        <v>419</v>
      </c>
      <c r="C198" s="118" t="s">
        <v>153</v>
      </c>
      <c r="D198" s="118" t="s">
        <v>2828</v>
      </c>
      <c r="E198" s="118" t="s">
        <v>240</v>
      </c>
      <c r="F198" s="119"/>
      <c r="G198" s="118"/>
      <c r="H198" s="120"/>
      <c r="I198" s="121"/>
      <c r="J198" s="110" t="s">
        <v>1860</v>
      </c>
      <c r="K198" s="110" t="s">
        <v>1403</v>
      </c>
      <c r="L198" s="110" t="s">
        <v>3781</v>
      </c>
      <c r="M198" s="111" t="s">
        <v>1404</v>
      </c>
      <c r="N198" s="111" t="s">
        <v>1405</v>
      </c>
      <c r="O198" s="111" t="s">
        <v>1406</v>
      </c>
      <c r="P198" s="112" t="s">
        <v>1792</v>
      </c>
      <c r="Q198" s="112" t="s">
        <v>1793</v>
      </c>
      <c r="R198" s="112" t="s">
        <v>1794</v>
      </c>
      <c r="S198" s="144">
        <v>4380.34</v>
      </c>
      <c r="T198" s="111">
        <v>414.74</v>
      </c>
      <c r="U198" s="144">
        <v>3965.6</v>
      </c>
    </row>
    <row r="199" spans="1:21" ht="15" thickBot="1" x14ac:dyDescent="0.35">
      <c r="A199" s="117">
        <v>198</v>
      </c>
      <c r="B199" s="118" t="s">
        <v>420</v>
      </c>
      <c r="C199" s="118" t="s">
        <v>207</v>
      </c>
      <c r="D199" s="118" t="s">
        <v>2829</v>
      </c>
      <c r="E199" s="118" t="s">
        <v>208</v>
      </c>
      <c r="F199" s="119"/>
      <c r="G199" s="118"/>
      <c r="H199" s="120"/>
      <c r="I199" s="121"/>
      <c r="J199" s="110" t="s">
        <v>1861</v>
      </c>
      <c r="K199" s="110" t="s">
        <v>1403</v>
      </c>
      <c r="L199" s="110" t="s">
        <v>3781</v>
      </c>
      <c r="M199" s="111" t="s">
        <v>1862</v>
      </c>
      <c r="N199" s="111" t="s">
        <v>1863</v>
      </c>
      <c r="O199" s="111" t="s">
        <v>1864</v>
      </c>
      <c r="P199" s="112" t="s">
        <v>3268</v>
      </c>
      <c r="Q199" s="112" t="s">
        <v>3439</v>
      </c>
      <c r="R199" s="112" t="s">
        <v>3640</v>
      </c>
      <c r="S199" s="144">
        <v>4363.18</v>
      </c>
      <c r="T199" s="111">
        <v>412.34</v>
      </c>
      <c r="U199" s="144">
        <v>3950.84</v>
      </c>
    </row>
    <row r="200" spans="1:21" ht="15" thickBot="1" x14ac:dyDescent="0.35">
      <c r="A200" s="117">
        <v>199</v>
      </c>
      <c r="B200" s="118" t="s">
        <v>421</v>
      </c>
      <c r="C200" s="118" t="s">
        <v>107</v>
      </c>
      <c r="D200" s="118" t="s">
        <v>2830</v>
      </c>
      <c r="E200" s="118" t="s">
        <v>270</v>
      </c>
      <c r="F200" s="119"/>
      <c r="G200" s="118"/>
      <c r="H200" s="120"/>
      <c r="I200" s="121"/>
      <c r="J200" s="110" t="s">
        <v>1865</v>
      </c>
      <c r="K200" s="110" t="s">
        <v>1403</v>
      </c>
      <c r="L200" s="110" t="s">
        <v>3781</v>
      </c>
      <c r="M200" s="111" t="s">
        <v>1866</v>
      </c>
      <c r="N200" s="111" t="s">
        <v>1867</v>
      </c>
      <c r="O200" s="111" t="s">
        <v>1868</v>
      </c>
      <c r="P200" s="112" t="s">
        <v>1866</v>
      </c>
      <c r="Q200" s="112" t="s">
        <v>1867</v>
      </c>
      <c r="R200" s="112" t="s">
        <v>1868</v>
      </c>
      <c r="S200" s="144">
        <v>3900</v>
      </c>
      <c r="T200" s="111">
        <v>934.45</v>
      </c>
      <c r="U200" s="144">
        <v>2965.55</v>
      </c>
    </row>
    <row r="201" spans="1:21" ht="15" thickBot="1" x14ac:dyDescent="0.35">
      <c r="A201" s="117">
        <v>200</v>
      </c>
      <c r="B201" s="118" t="s">
        <v>422</v>
      </c>
      <c r="C201" s="118" t="s">
        <v>423</v>
      </c>
      <c r="D201" s="118" t="s">
        <v>2831</v>
      </c>
      <c r="E201" s="118" t="s">
        <v>159</v>
      </c>
      <c r="F201" s="119"/>
      <c r="G201" s="118"/>
      <c r="H201" s="120"/>
      <c r="I201" s="121"/>
      <c r="J201" s="110" t="s">
        <v>1869</v>
      </c>
      <c r="K201" s="110" t="s">
        <v>1403</v>
      </c>
      <c r="L201" s="110" t="s">
        <v>3781</v>
      </c>
      <c r="M201" s="111" t="s">
        <v>1870</v>
      </c>
      <c r="N201" s="111" t="s">
        <v>1871</v>
      </c>
      <c r="O201" s="111" t="s">
        <v>1872</v>
      </c>
      <c r="P201" s="112" t="s">
        <v>3269</v>
      </c>
      <c r="Q201" s="112" t="s">
        <v>3440</v>
      </c>
      <c r="R201" s="112" t="s">
        <v>3641</v>
      </c>
      <c r="S201" s="144">
        <v>6072.91</v>
      </c>
      <c r="T201" s="144">
        <v>1063.76</v>
      </c>
      <c r="U201" s="144">
        <v>5009.1499999999996</v>
      </c>
    </row>
    <row r="202" spans="1:21" ht="15" thickBot="1" x14ac:dyDescent="0.35">
      <c r="A202" s="117">
        <v>201</v>
      </c>
      <c r="B202" s="118" t="s">
        <v>424</v>
      </c>
      <c r="C202" s="118" t="s">
        <v>179</v>
      </c>
      <c r="D202" s="118" t="s">
        <v>2832</v>
      </c>
      <c r="E202" s="118" t="s">
        <v>237</v>
      </c>
      <c r="F202" s="119"/>
      <c r="G202" s="118"/>
      <c r="H202" s="120"/>
      <c r="I202" s="121"/>
      <c r="J202" s="110" t="s">
        <v>1873</v>
      </c>
      <c r="K202" s="110" t="s">
        <v>1874</v>
      </c>
      <c r="L202" s="110" t="s">
        <v>3781</v>
      </c>
      <c r="M202" s="111" t="s">
        <v>1509</v>
      </c>
      <c r="N202" s="111" t="s">
        <v>1510</v>
      </c>
      <c r="O202" s="111" t="s">
        <v>1511</v>
      </c>
      <c r="P202" s="112" t="s">
        <v>1509</v>
      </c>
      <c r="Q202" s="112" t="s">
        <v>1510</v>
      </c>
      <c r="R202" s="112" t="s">
        <v>1511</v>
      </c>
      <c r="S202" s="144">
        <v>4280</v>
      </c>
      <c r="T202" s="111">
        <v>402.18</v>
      </c>
      <c r="U202" s="144">
        <v>3877.82</v>
      </c>
    </row>
    <row r="203" spans="1:21" ht="15" thickBot="1" x14ac:dyDescent="0.35">
      <c r="A203" s="117">
        <v>202</v>
      </c>
      <c r="B203" s="118" t="s">
        <v>425</v>
      </c>
      <c r="C203" s="118" t="s">
        <v>260</v>
      </c>
      <c r="D203" s="118" t="s">
        <v>2833</v>
      </c>
      <c r="E203" s="118" t="s">
        <v>322</v>
      </c>
      <c r="F203" s="119"/>
      <c r="G203" s="118"/>
      <c r="H203" s="120"/>
      <c r="I203" s="121"/>
      <c r="J203" s="110" t="s">
        <v>1875</v>
      </c>
      <c r="K203" s="110" t="s">
        <v>1403</v>
      </c>
      <c r="L203" s="110" t="s">
        <v>3781</v>
      </c>
      <c r="M203" s="111" t="s">
        <v>1599</v>
      </c>
      <c r="N203" s="111" t="s">
        <v>1600</v>
      </c>
      <c r="O203" s="111" t="s">
        <v>1601</v>
      </c>
      <c r="P203" s="112" t="s">
        <v>1599</v>
      </c>
      <c r="Q203" s="112" t="s">
        <v>1600</v>
      </c>
      <c r="R203" s="112" t="s">
        <v>1601</v>
      </c>
      <c r="S203" s="144">
        <v>1800</v>
      </c>
      <c r="T203" s="111">
        <v>137.68</v>
      </c>
      <c r="U203" s="144">
        <v>1662.32</v>
      </c>
    </row>
    <row r="204" spans="1:21" ht="15" thickBot="1" x14ac:dyDescent="0.35">
      <c r="A204" s="117">
        <v>203</v>
      </c>
      <c r="B204" s="118" t="s">
        <v>426</v>
      </c>
      <c r="C204" s="118" t="s">
        <v>158</v>
      </c>
      <c r="D204" s="118" t="s">
        <v>2834</v>
      </c>
      <c r="E204" s="118" t="s">
        <v>161</v>
      </c>
      <c r="F204" s="119"/>
      <c r="G204" s="118"/>
      <c r="H204" s="120"/>
      <c r="I204" s="121"/>
      <c r="J204" s="110" t="s">
        <v>1876</v>
      </c>
      <c r="K204" s="110" t="s">
        <v>1403</v>
      </c>
      <c r="L204" s="110" t="s">
        <v>3781</v>
      </c>
      <c r="M204" s="111" t="s">
        <v>1570</v>
      </c>
      <c r="N204" s="111" t="s">
        <v>1534</v>
      </c>
      <c r="O204" s="111" t="s">
        <v>1571</v>
      </c>
      <c r="P204" s="112" t="s">
        <v>1570</v>
      </c>
      <c r="Q204" s="112" t="s">
        <v>1534</v>
      </c>
      <c r="R204" s="112" t="s">
        <v>1571</v>
      </c>
      <c r="S204" s="144">
        <v>3090.01</v>
      </c>
      <c r="T204" s="111">
        <v>259.39</v>
      </c>
      <c r="U204" s="144">
        <v>2830.62</v>
      </c>
    </row>
    <row r="205" spans="1:21" ht="15" thickBot="1" x14ac:dyDescent="0.35">
      <c r="A205" s="117">
        <v>204</v>
      </c>
      <c r="B205" s="118" t="s">
        <v>427</v>
      </c>
      <c r="C205" s="118" t="s">
        <v>150</v>
      </c>
      <c r="D205" s="118" t="s">
        <v>2835</v>
      </c>
      <c r="E205" s="118" t="s">
        <v>278</v>
      </c>
      <c r="F205" s="119"/>
      <c r="G205" s="118"/>
      <c r="H205" s="120"/>
      <c r="I205" s="121"/>
      <c r="J205" s="110" t="s">
        <v>1877</v>
      </c>
      <c r="K205" s="110" t="s">
        <v>1403</v>
      </c>
      <c r="L205" s="110" t="s">
        <v>3781</v>
      </c>
      <c r="M205" s="111" t="s">
        <v>1399</v>
      </c>
      <c r="N205" s="111" t="s">
        <v>1400</v>
      </c>
      <c r="O205" s="111" t="s">
        <v>1401</v>
      </c>
      <c r="P205" s="112" t="s">
        <v>3270</v>
      </c>
      <c r="Q205" s="112" t="s">
        <v>3441</v>
      </c>
      <c r="R205" s="112" t="s">
        <v>3642</v>
      </c>
      <c r="S205" s="144">
        <v>1681.94</v>
      </c>
      <c r="T205" s="111">
        <v>170.07</v>
      </c>
      <c r="U205" s="144">
        <v>1511.87</v>
      </c>
    </row>
    <row r="206" spans="1:21" ht="15" thickBot="1" x14ac:dyDescent="0.35">
      <c r="A206" s="117">
        <v>205</v>
      </c>
      <c r="B206" s="118" t="s">
        <v>428</v>
      </c>
      <c r="C206" s="118" t="s">
        <v>158</v>
      </c>
      <c r="D206" s="118" t="s">
        <v>2836</v>
      </c>
      <c r="E206" s="118" t="s">
        <v>163</v>
      </c>
      <c r="F206" s="119"/>
      <c r="G206" s="118"/>
      <c r="H206" s="120"/>
      <c r="I206" s="121"/>
      <c r="J206" s="110" t="s">
        <v>1878</v>
      </c>
      <c r="K206" s="110" t="s">
        <v>1403</v>
      </c>
      <c r="L206" s="110" t="s">
        <v>3781</v>
      </c>
      <c r="M206" s="111" t="s">
        <v>1879</v>
      </c>
      <c r="N206" s="111" t="s">
        <v>1880</v>
      </c>
      <c r="O206" s="111" t="s">
        <v>1881</v>
      </c>
      <c r="P206" s="112" t="s">
        <v>3271</v>
      </c>
      <c r="Q206" s="112" t="s">
        <v>3442</v>
      </c>
      <c r="R206" s="112" t="s">
        <v>3643</v>
      </c>
      <c r="S206" s="144">
        <v>3537.03</v>
      </c>
      <c r="T206" s="111">
        <v>313.02999999999997</v>
      </c>
      <c r="U206" s="144">
        <v>3224</v>
      </c>
    </row>
    <row r="207" spans="1:21" ht="15" thickBot="1" x14ac:dyDescent="0.35">
      <c r="A207" s="117">
        <v>206</v>
      </c>
      <c r="B207" s="118" t="s">
        <v>429</v>
      </c>
      <c r="C207" s="118" t="s">
        <v>179</v>
      </c>
      <c r="D207" s="118" t="s">
        <v>2837</v>
      </c>
      <c r="E207" s="118" t="s">
        <v>317</v>
      </c>
      <c r="F207" s="119"/>
      <c r="G207" s="118"/>
      <c r="H207" s="120"/>
      <c r="I207" s="121"/>
      <c r="J207" s="110" t="s">
        <v>1882</v>
      </c>
      <c r="K207" s="110" t="s">
        <v>1403</v>
      </c>
      <c r="L207" s="110" t="s">
        <v>3781</v>
      </c>
      <c r="M207" s="111" t="s">
        <v>1694</v>
      </c>
      <c r="N207" s="111" t="s">
        <v>1695</v>
      </c>
      <c r="O207" s="111" t="s">
        <v>1696</v>
      </c>
      <c r="P207" s="112" t="s">
        <v>1694</v>
      </c>
      <c r="Q207" s="112" t="s">
        <v>1695</v>
      </c>
      <c r="R207" s="112" t="s">
        <v>1696</v>
      </c>
      <c r="S207" s="144">
        <v>5136</v>
      </c>
      <c r="T207" s="111">
        <v>569.24</v>
      </c>
      <c r="U207" s="144">
        <v>4566.76</v>
      </c>
    </row>
    <row r="208" spans="1:21" ht="15" thickBot="1" x14ac:dyDescent="0.35">
      <c r="A208" s="117">
        <v>207</v>
      </c>
      <c r="B208" s="118" t="s">
        <v>430</v>
      </c>
      <c r="C208" s="118" t="s">
        <v>253</v>
      </c>
      <c r="D208" s="118" t="s">
        <v>2838</v>
      </c>
      <c r="E208" s="118" t="s">
        <v>237</v>
      </c>
      <c r="F208" s="119"/>
      <c r="G208" s="118"/>
      <c r="H208" s="120"/>
      <c r="I208" s="121"/>
      <c r="J208" s="110" t="s">
        <v>1883</v>
      </c>
      <c r="K208" s="110" t="s">
        <v>1403</v>
      </c>
      <c r="L208" s="110" t="s">
        <v>3781</v>
      </c>
      <c r="M208" s="111" t="s">
        <v>1570</v>
      </c>
      <c r="N208" s="111" t="s">
        <v>1534</v>
      </c>
      <c r="O208" s="111" t="s">
        <v>1571</v>
      </c>
      <c r="P208" s="112" t="s">
        <v>1570</v>
      </c>
      <c r="Q208" s="112" t="s">
        <v>1534</v>
      </c>
      <c r="R208" s="112" t="s">
        <v>1571</v>
      </c>
      <c r="S208" s="144">
        <v>1621</v>
      </c>
      <c r="T208" s="111">
        <v>121.57</v>
      </c>
      <c r="U208" s="144">
        <v>1499.43</v>
      </c>
    </row>
    <row r="209" spans="1:21" ht="15" thickBot="1" x14ac:dyDescent="0.35">
      <c r="A209" s="117">
        <v>208</v>
      </c>
      <c r="B209" s="118" t="s">
        <v>431</v>
      </c>
      <c r="C209" s="118" t="s">
        <v>150</v>
      </c>
      <c r="D209" s="118" t="s">
        <v>2839</v>
      </c>
      <c r="E209" s="118" t="s">
        <v>254</v>
      </c>
      <c r="F209" s="119"/>
      <c r="G209" s="118"/>
      <c r="H209" s="120"/>
      <c r="I209" s="121"/>
      <c r="J209" s="110" t="s">
        <v>1884</v>
      </c>
      <c r="K209" s="110" t="s">
        <v>1403</v>
      </c>
      <c r="L209" s="110" t="s">
        <v>3781</v>
      </c>
      <c r="M209" s="111" t="s">
        <v>1399</v>
      </c>
      <c r="N209" s="111" t="s">
        <v>1400</v>
      </c>
      <c r="O209" s="111" t="s">
        <v>1401</v>
      </c>
      <c r="P209" s="112" t="s">
        <v>1570</v>
      </c>
      <c r="Q209" s="112" t="s">
        <v>1534</v>
      </c>
      <c r="R209" s="112" t="s">
        <v>1571</v>
      </c>
      <c r="S209" s="144">
        <v>1681.94</v>
      </c>
      <c r="T209" s="111">
        <v>127.05</v>
      </c>
      <c r="U209" s="144">
        <v>1554.89</v>
      </c>
    </row>
    <row r="210" spans="1:21" ht="15" thickBot="1" x14ac:dyDescent="0.35">
      <c r="A210" s="117">
        <v>209</v>
      </c>
      <c r="B210" s="118" t="s">
        <v>432</v>
      </c>
      <c r="C210" s="118" t="s">
        <v>158</v>
      </c>
      <c r="D210" s="118" t="s">
        <v>2840</v>
      </c>
      <c r="E210" s="118" t="s">
        <v>159</v>
      </c>
      <c r="F210" s="119"/>
      <c r="G210" s="118"/>
      <c r="H210" s="120"/>
      <c r="I210" s="121"/>
      <c r="J210" s="110" t="s">
        <v>1885</v>
      </c>
      <c r="K210" s="110" t="s">
        <v>1403</v>
      </c>
      <c r="L210" s="110" t="s">
        <v>3781</v>
      </c>
      <c r="M210" s="111" t="s">
        <v>1886</v>
      </c>
      <c r="N210" s="111" t="s">
        <v>1887</v>
      </c>
      <c r="O210" s="111" t="s">
        <v>1888</v>
      </c>
      <c r="P210" s="112" t="s">
        <v>3272</v>
      </c>
      <c r="Q210" s="112" t="s">
        <v>3443</v>
      </c>
      <c r="R210" s="112" t="s">
        <v>3644</v>
      </c>
      <c r="S210" s="144">
        <v>3179.41</v>
      </c>
      <c r="T210" s="144">
        <v>1419.64</v>
      </c>
      <c r="U210" s="144">
        <v>1759.77</v>
      </c>
    </row>
    <row r="211" spans="1:21" ht="15" thickBot="1" x14ac:dyDescent="0.35">
      <c r="A211" s="117">
        <v>210</v>
      </c>
      <c r="B211" s="118" t="s">
        <v>433</v>
      </c>
      <c r="C211" s="118" t="s">
        <v>166</v>
      </c>
      <c r="D211" s="118" t="s">
        <v>2841</v>
      </c>
      <c r="E211" s="118" t="s">
        <v>163</v>
      </c>
      <c r="F211" s="119"/>
      <c r="G211" s="118"/>
      <c r="H211" s="120"/>
      <c r="I211" s="121"/>
      <c r="J211" s="110" t="s">
        <v>1889</v>
      </c>
      <c r="K211" s="110" t="s">
        <v>1403</v>
      </c>
      <c r="L211" s="110" t="s">
        <v>3781</v>
      </c>
      <c r="M211" s="111" t="s">
        <v>1890</v>
      </c>
      <c r="N211" s="111" t="s">
        <v>1891</v>
      </c>
      <c r="O211" s="111" t="s">
        <v>1892</v>
      </c>
      <c r="P211" s="112" t="s">
        <v>3226</v>
      </c>
      <c r="Q211" s="112" t="s">
        <v>3444</v>
      </c>
      <c r="R211" s="112" t="s">
        <v>3645</v>
      </c>
      <c r="S211" s="144">
        <v>5199.8500000000004</v>
      </c>
      <c r="T211" s="144">
        <v>2388.15</v>
      </c>
      <c r="U211" s="144">
        <v>2811.7</v>
      </c>
    </row>
    <row r="212" spans="1:21" ht="15" thickBot="1" x14ac:dyDescent="0.35">
      <c r="A212" s="117">
        <v>211</v>
      </c>
      <c r="B212" s="118" t="s">
        <v>434</v>
      </c>
      <c r="C212" s="118" t="s">
        <v>214</v>
      </c>
      <c r="D212" s="118" t="s">
        <v>2842</v>
      </c>
      <c r="E212" s="118" t="s">
        <v>159</v>
      </c>
      <c r="F212" s="119"/>
      <c r="G212" s="118"/>
      <c r="H212" s="120"/>
      <c r="I212" s="121"/>
      <c r="J212" s="110" t="s">
        <v>1893</v>
      </c>
      <c r="K212" s="110" t="s">
        <v>1403</v>
      </c>
      <c r="L212" s="110" t="s">
        <v>3781</v>
      </c>
      <c r="M212" s="111" t="s">
        <v>1626</v>
      </c>
      <c r="N212" s="111" t="s">
        <v>1627</v>
      </c>
      <c r="O212" s="111" t="s">
        <v>1628</v>
      </c>
      <c r="P212" s="112" t="s">
        <v>3243</v>
      </c>
      <c r="Q212" s="112" t="s">
        <v>3402</v>
      </c>
      <c r="R212" s="112" t="s">
        <v>3601</v>
      </c>
      <c r="S212" s="144">
        <v>4909.37</v>
      </c>
      <c r="T212" s="111">
        <v>488.81</v>
      </c>
      <c r="U212" s="144">
        <v>4420.5600000000004</v>
      </c>
    </row>
    <row r="213" spans="1:21" ht="15" thickBot="1" x14ac:dyDescent="0.35">
      <c r="A213" s="117">
        <v>212</v>
      </c>
      <c r="B213" s="118" t="s">
        <v>435</v>
      </c>
      <c r="C213" s="118" t="s">
        <v>218</v>
      </c>
      <c r="D213" s="118" t="s">
        <v>2843</v>
      </c>
      <c r="E213" s="118" t="s">
        <v>161</v>
      </c>
      <c r="F213" s="119"/>
      <c r="G213" s="118"/>
      <c r="H213" s="120"/>
      <c r="I213" s="121"/>
      <c r="J213" s="110" t="s">
        <v>1894</v>
      </c>
      <c r="K213" s="110" t="s">
        <v>1403</v>
      </c>
      <c r="L213" s="110" t="s">
        <v>3781</v>
      </c>
      <c r="M213" s="111" t="s">
        <v>1895</v>
      </c>
      <c r="N213" s="111" t="s">
        <v>1896</v>
      </c>
      <c r="O213" s="111" t="s">
        <v>1897</v>
      </c>
      <c r="P213" s="112" t="s">
        <v>3273</v>
      </c>
      <c r="Q213" s="112" t="s">
        <v>3445</v>
      </c>
      <c r="R213" s="112" t="s">
        <v>3646</v>
      </c>
      <c r="S213" s="144">
        <v>3726.73</v>
      </c>
      <c r="T213" s="144">
        <v>1491.18</v>
      </c>
      <c r="U213" s="144">
        <v>2235.5500000000002</v>
      </c>
    </row>
    <row r="214" spans="1:21" ht="15" thickBot="1" x14ac:dyDescent="0.35">
      <c r="A214" s="117">
        <v>213</v>
      </c>
      <c r="B214" s="118" t="s">
        <v>436</v>
      </c>
      <c r="C214" s="118" t="s">
        <v>253</v>
      </c>
      <c r="D214" s="118" t="s">
        <v>2844</v>
      </c>
      <c r="E214" s="118" t="s">
        <v>343</v>
      </c>
      <c r="F214" s="119"/>
      <c r="G214" s="118"/>
      <c r="H214" s="120"/>
      <c r="I214" s="121"/>
      <c r="J214" s="110" t="s">
        <v>1898</v>
      </c>
      <c r="K214" s="110" t="s">
        <v>1403</v>
      </c>
      <c r="L214" s="110" t="s">
        <v>3781</v>
      </c>
      <c r="M214" s="111" t="s">
        <v>1671</v>
      </c>
      <c r="N214" s="111" t="s">
        <v>1534</v>
      </c>
      <c r="O214" s="111" t="s">
        <v>1672</v>
      </c>
      <c r="P214" s="112" t="s">
        <v>1671</v>
      </c>
      <c r="Q214" s="112" t="s">
        <v>3446</v>
      </c>
      <c r="R214" s="112" t="s">
        <v>3647</v>
      </c>
      <c r="S214" s="144">
        <v>1688.54</v>
      </c>
      <c r="T214" s="111">
        <v>667.64</v>
      </c>
      <c r="U214" s="144">
        <v>1020.9</v>
      </c>
    </row>
    <row r="215" spans="1:21" ht="15" thickBot="1" x14ac:dyDescent="0.35">
      <c r="A215" s="117">
        <v>214</v>
      </c>
      <c r="B215" s="118" t="s">
        <v>437</v>
      </c>
      <c r="C215" s="118" t="s">
        <v>150</v>
      </c>
      <c r="D215" s="118" t="s">
        <v>2845</v>
      </c>
      <c r="E215" s="118" t="s">
        <v>163</v>
      </c>
      <c r="F215" s="119"/>
      <c r="G215" s="118"/>
      <c r="H215" s="120"/>
      <c r="I215" s="121"/>
      <c r="J215" s="110" t="s">
        <v>1899</v>
      </c>
      <c r="K215" s="110" t="s">
        <v>1403</v>
      </c>
      <c r="L215" s="110" t="s">
        <v>3831</v>
      </c>
      <c r="M215" s="111" t="s">
        <v>1399</v>
      </c>
      <c r="N215" s="111" t="s">
        <v>1400</v>
      </c>
      <c r="O215" s="111" t="s">
        <v>1401</v>
      </c>
      <c r="P215" s="112" t="s">
        <v>1570</v>
      </c>
      <c r="Q215" s="112" t="s">
        <v>1534</v>
      </c>
      <c r="R215" s="112" t="s">
        <v>1571</v>
      </c>
      <c r="S215" s="111"/>
      <c r="T215" s="111"/>
      <c r="U215" s="111"/>
    </row>
    <row r="216" spans="1:21" ht="15" thickBot="1" x14ac:dyDescent="0.35">
      <c r="A216" s="117">
        <v>215</v>
      </c>
      <c r="B216" s="118" t="s">
        <v>438</v>
      </c>
      <c r="C216" s="118" t="s">
        <v>150</v>
      </c>
      <c r="D216" s="118" t="s">
        <v>2846</v>
      </c>
      <c r="E216" s="118" t="s">
        <v>182</v>
      </c>
      <c r="F216" s="119"/>
      <c r="G216" s="118"/>
      <c r="H216" s="120"/>
      <c r="I216" s="121"/>
      <c r="J216" s="110" t="s">
        <v>1900</v>
      </c>
      <c r="K216" s="110" t="s">
        <v>1403</v>
      </c>
      <c r="L216" s="110" t="s">
        <v>3781</v>
      </c>
      <c r="M216" s="111" t="s">
        <v>1399</v>
      </c>
      <c r="N216" s="111" t="s">
        <v>1400</v>
      </c>
      <c r="O216" s="111" t="s">
        <v>1401</v>
      </c>
      <c r="P216" s="112" t="s">
        <v>1570</v>
      </c>
      <c r="Q216" s="112" t="s">
        <v>1534</v>
      </c>
      <c r="R216" s="112" t="s">
        <v>1571</v>
      </c>
      <c r="S216" s="144">
        <v>1681.94</v>
      </c>
      <c r="T216" s="111">
        <v>127.05</v>
      </c>
      <c r="U216" s="144">
        <v>1554.89</v>
      </c>
    </row>
    <row r="217" spans="1:21" ht="15" thickBot="1" x14ac:dyDescent="0.35">
      <c r="A217" s="117">
        <v>216</v>
      </c>
      <c r="B217" s="118" t="s">
        <v>439</v>
      </c>
      <c r="C217" s="118" t="s">
        <v>150</v>
      </c>
      <c r="D217" s="118" t="s">
        <v>2847</v>
      </c>
      <c r="E217" s="118" t="s">
        <v>305</v>
      </c>
      <c r="F217" s="119"/>
      <c r="G217" s="118"/>
      <c r="H217" s="120"/>
      <c r="I217" s="121"/>
      <c r="J217" s="110" t="s">
        <v>1901</v>
      </c>
      <c r="K217" s="110" t="s">
        <v>1403</v>
      </c>
      <c r="L217" s="110" t="s">
        <v>3781</v>
      </c>
      <c r="M217" s="111" t="s">
        <v>1441</v>
      </c>
      <c r="N217" s="111" t="s">
        <v>1400</v>
      </c>
      <c r="O217" s="111" t="s">
        <v>1442</v>
      </c>
      <c r="P217" s="112" t="s">
        <v>1776</v>
      </c>
      <c r="Q217" s="112" t="s">
        <v>1534</v>
      </c>
      <c r="R217" s="112" t="s">
        <v>1777</v>
      </c>
      <c r="S217" s="144">
        <v>1817.02</v>
      </c>
      <c r="T217" s="111">
        <v>127.05</v>
      </c>
      <c r="U217" s="144">
        <v>1689.97</v>
      </c>
    </row>
    <row r="218" spans="1:21" ht="15" thickBot="1" x14ac:dyDescent="0.35">
      <c r="A218" s="117">
        <v>217</v>
      </c>
      <c r="B218" s="118" t="s">
        <v>440</v>
      </c>
      <c r="C218" s="118" t="s">
        <v>216</v>
      </c>
      <c r="D218" s="118" t="s">
        <v>2848</v>
      </c>
      <c r="E218" s="118" t="s">
        <v>154</v>
      </c>
      <c r="F218" s="119"/>
      <c r="G218" s="118"/>
      <c r="H218" s="120"/>
      <c r="I218" s="121"/>
      <c r="J218" s="110" t="s">
        <v>1902</v>
      </c>
      <c r="K218" s="110" t="s">
        <v>1403</v>
      </c>
      <c r="L218" s="110" t="s">
        <v>3781</v>
      </c>
      <c r="M218" s="111" t="s">
        <v>1836</v>
      </c>
      <c r="N218" s="111" t="s">
        <v>1837</v>
      </c>
      <c r="O218" s="111" t="s">
        <v>1838</v>
      </c>
      <c r="P218" s="112" t="s">
        <v>1836</v>
      </c>
      <c r="Q218" s="112" t="s">
        <v>1837</v>
      </c>
      <c r="R218" s="112" t="s">
        <v>1838</v>
      </c>
      <c r="S218" s="144">
        <v>3720</v>
      </c>
      <c r="T218" s="111">
        <v>334.98</v>
      </c>
      <c r="U218" s="144">
        <v>3385.02</v>
      </c>
    </row>
    <row r="219" spans="1:21" ht="15" thickBot="1" x14ac:dyDescent="0.35">
      <c r="A219" s="117">
        <v>218</v>
      </c>
      <c r="B219" s="118" t="s">
        <v>441</v>
      </c>
      <c r="C219" s="118" t="s">
        <v>150</v>
      </c>
      <c r="D219" s="118" t="s">
        <v>2849</v>
      </c>
      <c r="E219" s="118" t="s">
        <v>163</v>
      </c>
      <c r="F219" s="119"/>
      <c r="G219" s="118"/>
      <c r="H219" s="120"/>
      <c r="I219" s="121"/>
      <c r="J219" s="110" t="s">
        <v>1903</v>
      </c>
      <c r="K219" s="110" t="s">
        <v>1403</v>
      </c>
      <c r="L219" s="110" t="s">
        <v>3781</v>
      </c>
      <c r="M219" s="111" t="s">
        <v>1904</v>
      </c>
      <c r="N219" s="111" t="s">
        <v>1905</v>
      </c>
      <c r="O219" s="111" t="s">
        <v>1906</v>
      </c>
      <c r="P219" s="112" t="s">
        <v>3274</v>
      </c>
      <c r="Q219" s="112" t="s">
        <v>3447</v>
      </c>
      <c r="R219" s="112" t="s">
        <v>3648</v>
      </c>
      <c r="S219" s="144">
        <v>3866.54</v>
      </c>
      <c r="T219" s="111">
        <v>352.57</v>
      </c>
      <c r="U219" s="144">
        <v>3513.97</v>
      </c>
    </row>
    <row r="220" spans="1:21" ht="15" thickBot="1" x14ac:dyDescent="0.35">
      <c r="A220" s="117">
        <v>219</v>
      </c>
      <c r="B220" s="118" t="s">
        <v>442</v>
      </c>
      <c r="C220" s="118" t="s">
        <v>216</v>
      </c>
      <c r="D220" s="118" t="s">
        <v>2850</v>
      </c>
      <c r="E220" s="118" t="s">
        <v>443</v>
      </c>
      <c r="F220" s="119"/>
      <c r="G220" s="118"/>
      <c r="H220" s="120"/>
      <c r="I220" s="121"/>
      <c r="J220" s="110" t="s">
        <v>1907</v>
      </c>
      <c r="K220" s="110" t="s">
        <v>1532</v>
      </c>
      <c r="L220" s="110" t="s">
        <v>3781</v>
      </c>
      <c r="M220" s="111" t="s">
        <v>1836</v>
      </c>
      <c r="N220" s="111" t="s">
        <v>1837</v>
      </c>
      <c r="O220" s="111" t="s">
        <v>1838</v>
      </c>
      <c r="P220" s="112" t="s">
        <v>1836</v>
      </c>
      <c r="Q220" s="112" t="s">
        <v>1837</v>
      </c>
      <c r="R220" s="112" t="s">
        <v>1838</v>
      </c>
      <c r="S220" s="144">
        <v>3720</v>
      </c>
      <c r="T220" s="111">
        <v>334.98</v>
      </c>
      <c r="U220" s="144">
        <v>3385.02</v>
      </c>
    </row>
    <row r="221" spans="1:21" ht="15" thickBot="1" x14ac:dyDescent="0.35">
      <c r="A221" s="117">
        <v>220</v>
      </c>
      <c r="B221" s="118" t="s">
        <v>444</v>
      </c>
      <c r="C221" s="118" t="s">
        <v>158</v>
      </c>
      <c r="D221" s="118" t="s">
        <v>2851</v>
      </c>
      <c r="E221" s="118" t="s">
        <v>372</v>
      </c>
      <c r="F221" s="119"/>
      <c r="G221" s="118"/>
      <c r="H221" s="120"/>
      <c r="I221" s="121"/>
      <c r="J221" s="110" t="s">
        <v>1908</v>
      </c>
      <c r="K221" s="110" t="s">
        <v>1403</v>
      </c>
      <c r="L221" s="110" t="s">
        <v>3781</v>
      </c>
      <c r="M221" s="111" t="s">
        <v>1425</v>
      </c>
      <c r="N221" s="111" t="s">
        <v>1426</v>
      </c>
      <c r="O221" s="111" t="s">
        <v>1427</v>
      </c>
      <c r="P221" s="112" t="s">
        <v>3215</v>
      </c>
      <c r="Q221" s="112" t="s">
        <v>2424</v>
      </c>
      <c r="R221" s="112" t="s">
        <v>3570</v>
      </c>
      <c r="S221" s="144">
        <v>3433.34</v>
      </c>
      <c r="T221" s="111">
        <v>504.23</v>
      </c>
      <c r="U221" s="144">
        <v>2929.11</v>
      </c>
    </row>
    <row r="222" spans="1:21" ht="15" thickBot="1" x14ac:dyDescent="0.35">
      <c r="A222" s="117">
        <v>221</v>
      </c>
      <c r="B222" s="118" t="s">
        <v>445</v>
      </c>
      <c r="C222" s="118" t="s">
        <v>253</v>
      </c>
      <c r="D222" s="118" t="s">
        <v>2852</v>
      </c>
      <c r="E222" s="118" t="s">
        <v>341</v>
      </c>
      <c r="F222" s="119"/>
      <c r="G222" s="118"/>
      <c r="H222" s="120"/>
      <c r="I222" s="121"/>
      <c r="J222" s="110" t="s">
        <v>1909</v>
      </c>
      <c r="K222" s="110" t="s">
        <v>1532</v>
      </c>
      <c r="L222" s="110" t="s">
        <v>3781</v>
      </c>
      <c r="M222" s="111" t="s">
        <v>1910</v>
      </c>
      <c r="N222" s="111" t="s">
        <v>1911</v>
      </c>
      <c r="O222" s="111" t="s">
        <v>1912</v>
      </c>
      <c r="P222" s="112" t="s">
        <v>1910</v>
      </c>
      <c r="Q222" s="112" t="s">
        <v>1911</v>
      </c>
      <c r="R222" s="112" t="s">
        <v>1912</v>
      </c>
      <c r="S222" s="144">
        <v>2107.3000000000002</v>
      </c>
      <c r="T222" s="111">
        <v>165.33</v>
      </c>
      <c r="U222" s="144">
        <v>1941.97</v>
      </c>
    </row>
    <row r="223" spans="1:21" ht="15" thickBot="1" x14ac:dyDescent="0.35">
      <c r="A223" s="117">
        <v>222</v>
      </c>
      <c r="B223" s="118" t="s">
        <v>446</v>
      </c>
      <c r="C223" s="118" t="s">
        <v>150</v>
      </c>
      <c r="D223" s="118" t="s">
        <v>2853</v>
      </c>
      <c r="E223" s="118" t="s">
        <v>245</v>
      </c>
      <c r="F223" s="119"/>
      <c r="G223" s="118"/>
      <c r="H223" s="120"/>
      <c r="I223" s="121"/>
      <c r="J223" s="110" t="s">
        <v>1913</v>
      </c>
      <c r="K223" s="110" t="s">
        <v>1403</v>
      </c>
      <c r="L223" s="110" t="s">
        <v>3781</v>
      </c>
      <c r="M223" s="111">
        <v>0</v>
      </c>
      <c r="N223" s="111">
        <v>0</v>
      </c>
      <c r="O223" s="111">
        <v>0</v>
      </c>
      <c r="P223" s="112">
        <v>0</v>
      </c>
      <c r="Q223" s="112">
        <v>0</v>
      </c>
      <c r="R223" s="112">
        <v>0</v>
      </c>
      <c r="S223" s="144">
        <v>1939.78</v>
      </c>
      <c r="T223" s="144">
        <v>1701.27</v>
      </c>
      <c r="U223" s="111">
        <v>238.51</v>
      </c>
    </row>
    <row r="224" spans="1:21" ht="15" thickBot="1" x14ac:dyDescent="0.35">
      <c r="A224" s="117">
        <v>223</v>
      </c>
      <c r="B224" s="118" t="s">
        <v>447</v>
      </c>
      <c r="C224" s="118" t="s">
        <v>448</v>
      </c>
      <c r="D224" s="118" t="s">
        <v>2854</v>
      </c>
      <c r="E224" s="118" t="s">
        <v>449</v>
      </c>
      <c r="F224" s="119"/>
      <c r="G224" s="118"/>
      <c r="H224" s="120"/>
      <c r="I224" s="121"/>
      <c r="J224" s="110" t="s">
        <v>1914</v>
      </c>
      <c r="K224" s="110" t="s">
        <v>1403</v>
      </c>
      <c r="L224" s="110" t="s">
        <v>3781</v>
      </c>
      <c r="M224" s="111" t="s">
        <v>1915</v>
      </c>
      <c r="N224" s="111" t="s">
        <v>1916</v>
      </c>
      <c r="O224" s="111" t="s">
        <v>1917</v>
      </c>
      <c r="P224" s="112" t="s">
        <v>1915</v>
      </c>
      <c r="Q224" s="112" t="s">
        <v>1916</v>
      </c>
      <c r="R224" s="112" t="s">
        <v>1917</v>
      </c>
      <c r="S224" s="144">
        <v>4034.28</v>
      </c>
      <c r="T224" s="111">
        <v>881.84</v>
      </c>
      <c r="U224" s="144">
        <v>3152.44</v>
      </c>
    </row>
    <row r="225" spans="1:21" ht="15" thickBot="1" x14ac:dyDescent="0.35">
      <c r="A225" s="117">
        <v>224</v>
      </c>
      <c r="B225" s="118" t="s">
        <v>450</v>
      </c>
      <c r="C225" s="118" t="s">
        <v>150</v>
      </c>
      <c r="D225" s="118" t="s">
        <v>2855</v>
      </c>
      <c r="E225" s="118" t="s">
        <v>170</v>
      </c>
      <c r="F225" s="119"/>
      <c r="G225" s="118"/>
      <c r="H225" s="120"/>
      <c r="I225" s="121"/>
      <c r="J225" s="110" t="s">
        <v>1918</v>
      </c>
      <c r="K225" s="110" t="s">
        <v>1403</v>
      </c>
      <c r="L225" s="110" t="s">
        <v>3781</v>
      </c>
      <c r="M225" s="111" t="s">
        <v>1399</v>
      </c>
      <c r="N225" s="111" t="s">
        <v>1919</v>
      </c>
      <c r="O225" s="111" t="s">
        <v>1920</v>
      </c>
      <c r="P225" s="112" t="s">
        <v>1570</v>
      </c>
      <c r="Q225" s="112" t="s">
        <v>1534</v>
      </c>
      <c r="R225" s="112" t="s">
        <v>1571</v>
      </c>
      <c r="S225" s="144">
        <v>1681.94</v>
      </c>
      <c r="T225" s="111">
        <v>127.05</v>
      </c>
      <c r="U225" s="144">
        <v>1554.89</v>
      </c>
    </row>
    <row r="226" spans="1:21" ht="15" thickBot="1" x14ac:dyDescent="0.35">
      <c r="A226" s="117">
        <v>225</v>
      </c>
      <c r="B226" s="118" t="s">
        <v>451</v>
      </c>
      <c r="C226" s="118" t="s">
        <v>107</v>
      </c>
      <c r="D226" s="118" t="s">
        <v>2856</v>
      </c>
      <c r="E226" s="118" t="s">
        <v>347</v>
      </c>
      <c r="F226" s="119"/>
      <c r="G226" s="118"/>
      <c r="H226" s="120"/>
      <c r="I226" s="121"/>
      <c r="J226" s="110" t="s">
        <v>1921</v>
      </c>
      <c r="K226" s="110" t="s">
        <v>1403</v>
      </c>
      <c r="L226" s="110" t="s">
        <v>3781</v>
      </c>
      <c r="M226" s="111" t="s">
        <v>1632</v>
      </c>
      <c r="N226" s="111" t="s">
        <v>1714</v>
      </c>
      <c r="O226" s="111" t="s">
        <v>1715</v>
      </c>
      <c r="P226" s="112" t="s">
        <v>1632</v>
      </c>
      <c r="Q226" s="112" t="s">
        <v>1714</v>
      </c>
      <c r="R226" s="112" t="s">
        <v>1715</v>
      </c>
      <c r="S226" s="144">
        <v>3000</v>
      </c>
      <c r="T226" s="111">
        <v>248.58</v>
      </c>
      <c r="U226" s="144">
        <v>2751.42</v>
      </c>
    </row>
    <row r="227" spans="1:21" ht="15" thickBot="1" x14ac:dyDescent="0.35">
      <c r="A227" s="117">
        <v>226</v>
      </c>
      <c r="B227" s="118" t="s">
        <v>452</v>
      </c>
      <c r="C227" s="118" t="s">
        <v>150</v>
      </c>
      <c r="D227" s="118" t="s">
        <v>2857</v>
      </c>
      <c r="E227" s="118" t="s">
        <v>163</v>
      </c>
      <c r="F227" s="119"/>
      <c r="G227" s="118"/>
      <c r="H227" s="120"/>
      <c r="I227" s="121"/>
      <c r="J227" s="110" t="s">
        <v>1922</v>
      </c>
      <c r="K227" s="110" t="s">
        <v>1403</v>
      </c>
      <c r="L227" s="110" t="s">
        <v>3781</v>
      </c>
      <c r="M227" s="111" t="s">
        <v>1923</v>
      </c>
      <c r="N227" s="111" t="s">
        <v>1924</v>
      </c>
      <c r="O227" s="111" t="s">
        <v>1925</v>
      </c>
      <c r="P227" s="112" t="s">
        <v>3275</v>
      </c>
      <c r="Q227" s="112" t="s">
        <v>3448</v>
      </c>
      <c r="R227" s="112" t="s">
        <v>3649</v>
      </c>
      <c r="S227" s="144">
        <v>1949.21</v>
      </c>
      <c r="T227" s="111">
        <v>145.03</v>
      </c>
      <c r="U227" s="144">
        <v>1804.18</v>
      </c>
    </row>
    <row r="228" spans="1:21" ht="15" thickBot="1" x14ac:dyDescent="0.35">
      <c r="A228" s="117">
        <v>227</v>
      </c>
      <c r="B228" s="118" t="s">
        <v>453</v>
      </c>
      <c r="C228" s="118" t="s">
        <v>210</v>
      </c>
      <c r="D228" s="118" t="s">
        <v>2858</v>
      </c>
      <c r="E228" s="118" t="s">
        <v>163</v>
      </c>
      <c r="F228" s="119"/>
      <c r="G228" s="118"/>
      <c r="H228" s="120"/>
      <c r="I228" s="121"/>
      <c r="J228" s="110" t="s">
        <v>1926</v>
      </c>
      <c r="K228" s="110" t="s">
        <v>1403</v>
      </c>
      <c r="L228" s="110" t="s">
        <v>3781</v>
      </c>
      <c r="M228" s="111" t="s">
        <v>1927</v>
      </c>
      <c r="N228" s="111" t="s">
        <v>1928</v>
      </c>
      <c r="O228" s="111" t="s">
        <v>1929</v>
      </c>
      <c r="P228" s="112">
        <v>0</v>
      </c>
      <c r="Q228" s="112">
        <v>0</v>
      </c>
      <c r="R228" s="112">
        <v>0</v>
      </c>
      <c r="S228" s="144">
        <v>1800</v>
      </c>
      <c r="T228" s="111">
        <v>975.3</v>
      </c>
      <c r="U228" s="111">
        <v>824.7</v>
      </c>
    </row>
    <row r="229" spans="1:21" ht="15" thickBot="1" x14ac:dyDescent="0.35">
      <c r="A229" s="117">
        <v>228</v>
      </c>
      <c r="B229" s="118" t="s">
        <v>454</v>
      </c>
      <c r="C229" s="118" t="s">
        <v>233</v>
      </c>
      <c r="D229" s="118" t="s">
        <v>2859</v>
      </c>
      <c r="E229" s="118" t="s">
        <v>234</v>
      </c>
      <c r="F229" s="119"/>
      <c r="G229" s="118"/>
      <c r="H229" s="120"/>
      <c r="I229" s="121"/>
      <c r="J229" s="110" t="s">
        <v>1930</v>
      </c>
      <c r="K229" s="110" t="s">
        <v>1538</v>
      </c>
      <c r="L229" s="110" t="s">
        <v>3781</v>
      </c>
      <c r="M229" s="111" t="s">
        <v>1539</v>
      </c>
      <c r="N229" s="111" t="s">
        <v>1540</v>
      </c>
      <c r="O229" s="111" t="s">
        <v>1541</v>
      </c>
      <c r="P229" s="112" t="s">
        <v>1539</v>
      </c>
      <c r="Q229" s="112" t="s">
        <v>1540</v>
      </c>
      <c r="R229" s="112" t="s">
        <v>1541</v>
      </c>
      <c r="S229" s="144">
        <v>2800</v>
      </c>
      <c r="T229" s="111">
        <v>227.68</v>
      </c>
      <c r="U229" s="144">
        <v>2572.3200000000002</v>
      </c>
    </row>
    <row r="230" spans="1:21" ht="15" thickBot="1" x14ac:dyDescent="0.35">
      <c r="A230" s="117">
        <v>229</v>
      </c>
      <c r="B230" s="118" t="s">
        <v>455</v>
      </c>
      <c r="C230" s="118" t="s">
        <v>158</v>
      </c>
      <c r="D230" s="118" t="s">
        <v>2860</v>
      </c>
      <c r="E230" s="118" t="s">
        <v>191</v>
      </c>
      <c r="F230" s="119"/>
      <c r="G230" s="118"/>
      <c r="H230" s="120"/>
      <c r="I230" s="121"/>
      <c r="J230" s="110" t="s">
        <v>1931</v>
      </c>
      <c r="K230" s="110" t="s">
        <v>1932</v>
      </c>
      <c r="L230" s="110" t="s">
        <v>3781</v>
      </c>
      <c r="M230" s="111" t="s">
        <v>1933</v>
      </c>
      <c r="N230" s="111" t="s">
        <v>1934</v>
      </c>
      <c r="O230" s="111" t="s">
        <v>1935</v>
      </c>
      <c r="P230" s="112" t="s">
        <v>3215</v>
      </c>
      <c r="Q230" s="112" t="s">
        <v>2424</v>
      </c>
      <c r="R230" s="112" t="s">
        <v>3570</v>
      </c>
      <c r="S230" s="144">
        <v>3433.34</v>
      </c>
      <c r="T230" s="111">
        <v>300.58999999999997</v>
      </c>
      <c r="U230" s="144">
        <v>3132.75</v>
      </c>
    </row>
    <row r="231" spans="1:21" ht="15" thickBot="1" x14ac:dyDescent="0.35">
      <c r="A231" s="117">
        <v>230</v>
      </c>
      <c r="B231" s="118" t="s">
        <v>456</v>
      </c>
      <c r="C231" s="118" t="s">
        <v>214</v>
      </c>
      <c r="D231" s="118" t="s">
        <v>2861</v>
      </c>
      <c r="E231" s="118" t="s">
        <v>161</v>
      </c>
      <c r="F231" s="119"/>
      <c r="G231" s="118"/>
      <c r="H231" s="120"/>
      <c r="I231" s="121"/>
      <c r="J231" s="110" t="s">
        <v>1936</v>
      </c>
      <c r="K231" s="110" t="s">
        <v>1403</v>
      </c>
      <c r="L231" s="110" t="s">
        <v>3781</v>
      </c>
      <c r="M231" s="111" t="s">
        <v>1937</v>
      </c>
      <c r="N231" s="111" t="s">
        <v>1938</v>
      </c>
      <c r="O231" s="111" t="s">
        <v>1939</v>
      </c>
      <c r="P231" s="112" t="s">
        <v>3226</v>
      </c>
      <c r="Q231" s="112" t="s">
        <v>3382</v>
      </c>
      <c r="R231" s="112" t="s">
        <v>3580</v>
      </c>
      <c r="S231" s="144">
        <v>5204.3999999999996</v>
      </c>
      <c r="T231" s="111">
        <v>530.11</v>
      </c>
      <c r="U231" s="144">
        <v>4674.29</v>
      </c>
    </row>
    <row r="232" spans="1:21" ht="15" thickBot="1" x14ac:dyDescent="0.35">
      <c r="A232" s="117">
        <v>231</v>
      </c>
      <c r="B232" s="118" t="s">
        <v>457</v>
      </c>
      <c r="C232" s="118" t="s">
        <v>150</v>
      </c>
      <c r="D232" s="118" t="s">
        <v>2862</v>
      </c>
      <c r="E232" s="118" t="s">
        <v>161</v>
      </c>
      <c r="F232" s="119"/>
      <c r="G232" s="118"/>
      <c r="H232" s="120"/>
      <c r="I232" s="121"/>
      <c r="J232" s="110" t="s">
        <v>1940</v>
      </c>
      <c r="K232" s="110" t="s">
        <v>1532</v>
      </c>
      <c r="L232" s="110" t="s">
        <v>3781</v>
      </c>
      <c r="M232" s="111" t="s">
        <v>1941</v>
      </c>
      <c r="N232" s="111" t="s">
        <v>1942</v>
      </c>
      <c r="O232" s="111" t="s">
        <v>1943</v>
      </c>
      <c r="P232" s="112" t="s">
        <v>3248</v>
      </c>
      <c r="Q232" s="112" t="s">
        <v>3407</v>
      </c>
      <c r="R232" s="112" t="s">
        <v>3607</v>
      </c>
      <c r="S232" s="144">
        <v>1909.03</v>
      </c>
      <c r="T232" s="111">
        <v>147.49</v>
      </c>
      <c r="U232" s="144">
        <v>1761.54</v>
      </c>
    </row>
    <row r="233" spans="1:21" ht="15" thickBot="1" x14ac:dyDescent="0.35">
      <c r="A233" s="117">
        <v>232</v>
      </c>
      <c r="B233" s="118" t="s">
        <v>458</v>
      </c>
      <c r="C233" s="118" t="s">
        <v>158</v>
      </c>
      <c r="D233" s="118" t="s">
        <v>2863</v>
      </c>
      <c r="E233" s="118" t="s">
        <v>161</v>
      </c>
      <c r="F233" s="119"/>
      <c r="G233" s="118"/>
      <c r="H233" s="120"/>
      <c r="I233" s="121"/>
      <c r="J233" s="110" t="s">
        <v>1944</v>
      </c>
      <c r="K233" s="110" t="s">
        <v>1403</v>
      </c>
      <c r="L233" s="110" t="s">
        <v>3781</v>
      </c>
      <c r="M233" s="111" t="s">
        <v>1945</v>
      </c>
      <c r="N233" s="111" t="s">
        <v>1946</v>
      </c>
      <c r="O233" s="111" t="s">
        <v>1947</v>
      </c>
      <c r="P233" s="112" t="s">
        <v>3276</v>
      </c>
      <c r="Q233" s="112" t="s">
        <v>3449</v>
      </c>
      <c r="R233" s="112" t="s">
        <v>3650</v>
      </c>
      <c r="S233" s="144">
        <v>3090.01</v>
      </c>
      <c r="T233" s="111">
        <v>259.39</v>
      </c>
      <c r="U233" s="144">
        <v>2830.62</v>
      </c>
    </row>
    <row r="234" spans="1:21" ht="15" thickBot="1" x14ac:dyDescent="0.35">
      <c r="A234" s="117">
        <v>233</v>
      </c>
      <c r="B234" s="118" t="s">
        <v>459</v>
      </c>
      <c r="C234" s="118" t="s">
        <v>150</v>
      </c>
      <c r="D234" s="118" t="s">
        <v>2864</v>
      </c>
      <c r="E234" s="118" t="s">
        <v>177</v>
      </c>
      <c r="F234" s="119"/>
      <c r="G234" s="118"/>
      <c r="H234" s="120"/>
      <c r="I234" s="121"/>
      <c r="J234" s="110" t="s">
        <v>1948</v>
      </c>
      <c r="K234" s="110" t="s">
        <v>1403</v>
      </c>
      <c r="L234" s="110" t="s">
        <v>3781</v>
      </c>
      <c r="M234" s="111" t="s">
        <v>1399</v>
      </c>
      <c r="N234" s="111" t="s">
        <v>1400</v>
      </c>
      <c r="O234" s="111" t="s">
        <v>1401</v>
      </c>
      <c r="P234" s="112" t="s">
        <v>3277</v>
      </c>
      <c r="Q234" s="112" t="s">
        <v>3450</v>
      </c>
      <c r="R234" s="112" t="s">
        <v>3651</v>
      </c>
      <c r="S234" s="144">
        <v>1682.61</v>
      </c>
      <c r="T234" s="111">
        <v>127.11</v>
      </c>
      <c r="U234" s="144">
        <v>1555.5</v>
      </c>
    </row>
    <row r="235" spans="1:21" ht="15" thickBot="1" x14ac:dyDescent="0.35">
      <c r="A235" s="117">
        <v>234</v>
      </c>
      <c r="B235" s="118" t="s">
        <v>460</v>
      </c>
      <c r="C235" s="118" t="s">
        <v>195</v>
      </c>
      <c r="D235" s="118" t="s">
        <v>2865</v>
      </c>
      <c r="E235" s="118" t="s">
        <v>159</v>
      </c>
      <c r="F235" s="119"/>
      <c r="G235" s="118"/>
      <c r="H235" s="120"/>
      <c r="I235" s="121"/>
      <c r="J235" s="110" t="s">
        <v>1949</v>
      </c>
      <c r="K235" s="110" t="s">
        <v>1403</v>
      </c>
      <c r="L235" s="110" t="s">
        <v>3781</v>
      </c>
      <c r="M235" s="111" t="s">
        <v>1466</v>
      </c>
      <c r="N235" s="111" t="s">
        <v>1950</v>
      </c>
      <c r="O235" s="111" t="s">
        <v>1951</v>
      </c>
      <c r="P235" s="112" t="s">
        <v>1466</v>
      </c>
      <c r="Q235" s="112" t="s">
        <v>1950</v>
      </c>
      <c r="R235" s="112" t="s">
        <v>1951</v>
      </c>
      <c r="S235" s="144">
        <v>5787.43</v>
      </c>
      <c r="T235" s="111">
        <v>918.27</v>
      </c>
      <c r="U235" s="144">
        <v>4869.16</v>
      </c>
    </row>
    <row r="236" spans="1:21" ht="15" thickBot="1" x14ac:dyDescent="0.35">
      <c r="A236" s="117">
        <v>235</v>
      </c>
      <c r="B236" s="118" t="s">
        <v>461</v>
      </c>
      <c r="C236" s="118" t="s">
        <v>158</v>
      </c>
      <c r="D236" s="118" t="s">
        <v>2866</v>
      </c>
      <c r="E236" s="118" t="s">
        <v>462</v>
      </c>
      <c r="F236" s="119"/>
      <c r="G236" s="118"/>
      <c r="H236" s="120"/>
      <c r="I236" s="121"/>
      <c r="J236" s="110" t="s">
        <v>1952</v>
      </c>
      <c r="K236" s="110" t="s">
        <v>1403</v>
      </c>
      <c r="L236" s="110" t="s">
        <v>3781</v>
      </c>
      <c r="M236" s="111" t="s">
        <v>1425</v>
      </c>
      <c r="N236" s="111" t="s">
        <v>1426</v>
      </c>
      <c r="O236" s="111" t="s">
        <v>1427</v>
      </c>
      <c r="P236" s="112" t="s">
        <v>3215</v>
      </c>
      <c r="Q236" s="112" t="s">
        <v>2424</v>
      </c>
      <c r="R236" s="112" t="s">
        <v>3570</v>
      </c>
      <c r="S236" s="144">
        <v>3433.34</v>
      </c>
      <c r="T236" s="111">
        <v>300.58999999999997</v>
      </c>
      <c r="U236" s="144">
        <v>3132.75</v>
      </c>
    </row>
    <row r="237" spans="1:21" ht="15" thickBot="1" x14ac:dyDescent="0.35">
      <c r="A237" s="117">
        <v>236</v>
      </c>
      <c r="B237" s="118" t="s">
        <v>463</v>
      </c>
      <c r="C237" s="118" t="s">
        <v>150</v>
      </c>
      <c r="D237" s="118" t="s">
        <v>2867</v>
      </c>
      <c r="E237" s="118" t="s">
        <v>322</v>
      </c>
      <c r="F237" s="119"/>
      <c r="G237" s="118"/>
      <c r="H237" s="120"/>
      <c r="I237" s="121"/>
      <c r="J237" s="110" t="s">
        <v>1953</v>
      </c>
      <c r="K237" s="110" t="s">
        <v>1403</v>
      </c>
      <c r="L237" s="110" t="s">
        <v>3781</v>
      </c>
      <c r="M237" s="111" t="s">
        <v>1399</v>
      </c>
      <c r="N237" s="111" t="s">
        <v>1400</v>
      </c>
      <c r="O237" s="111" t="s">
        <v>1401</v>
      </c>
      <c r="P237" s="112" t="s">
        <v>1570</v>
      </c>
      <c r="Q237" s="112" t="s">
        <v>1534</v>
      </c>
      <c r="R237" s="112" t="s">
        <v>1571</v>
      </c>
      <c r="S237" s="144">
        <v>1681.94</v>
      </c>
      <c r="T237" s="111">
        <v>127.05</v>
      </c>
      <c r="U237" s="144">
        <v>1554.89</v>
      </c>
    </row>
    <row r="238" spans="1:21" ht="15" thickBot="1" x14ac:dyDescent="0.35">
      <c r="A238" s="117">
        <v>237</v>
      </c>
      <c r="B238" s="118" t="s">
        <v>464</v>
      </c>
      <c r="C238" s="118" t="s">
        <v>158</v>
      </c>
      <c r="D238" s="118" t="s">
        <v>2868</v>
      </c>
      <c r="E238" s="118" t="s">
        <v>180</v>
      </c>
      <c r="F238" s="119"/>
      <c r="G238" s="118"/>
      <c r="H238" s="120"/>
      <c r="I238" s="121"/>
      <c r="J238" s="110" t="s">
        <v>1954</v>
      </c>
      <c r="K238" s="110" t="s">
        <v>1403</v>
      </c>
      <c r="L238" s="110" t="s">
        <v>3781</v>
      </c>
      <c r="M238" s="111" t="s">
        <v>1955</v>
      </c>
      <c r="N238" s="111" t="s">
        <v>1956</v>
      </c>
      <c r="O238" s="111" t="s">
        <v>1957</v>
      </c>
      <c r="P238" s="112" t="s">
        <v>3238</v>
      </c>
      <c r="Q238" s="112" t="s">
        <v>3397</v>
      </c>
      <c r="R238" s="112" t="s">
        <v>3596</v>
      </c>
      <c r="S238" s="144">
        <v>4787.93</v>
      </c>
      <c r="T238" s="111">
        <v>471.81</v>
      </c>
      <c r="U238" s="144">
        <v>4316.12</v>
      </c>
    </row>
    <row r="239" spans="1:21" ht="15" thickBot="1" x14ac:dyDescent="0.35">
      <c r="A239" s="117">
        <v>238</v>
      </c>
      <c r="B239" s="118" t="s">
        <v>465</v>
      </c>
      <c r="C239" s="118" t="s">
        <v>253</v>
      </c>
      <c r="D239" s="118" t="s">
        <v>2869</v>
      </c>
      <c r="E239" s="118" t="s">
        <v>317</v>
      </c>
      <c r="F239" s="119"/>
      <c r="G239" s="118"/>
      <c r="H239" s="120"/>
      <c r="I239" s="121"/>
      <c r="J239" s="110" t="s">
        <v>1958</v>
      </c>
      <c r="K239" s="110" t="s">
        <v>1403</v>
      </c>
      <c r="L239" s="110" t="s">
        <v>3781</v>
      </c>
      <c r="M239" s="111" t="s">
        <v>1570</v>
      </c>
      <c r="N239" s="111" t="s">
        <v>1534</v>
      </c>
      <c r="O239" s="111" t="s">
        <v>1571</v>
      </c>
      <c r="P239" s="112" t="s">
        <v>1570</v>
      </c>
      <c r="Q239" s="112" t="s">
        <v>1534</v>
      </c>
      <c r="R239" s="112" t="s">
        <v>1571</v>
      </c>
      <c r="S239" s="144">
        <v>1621</v>
      </c>
      <c r="T239" s="111">
        <v>121.57</v>
      </c>
      <c r="U239" s="144">
        <v>1499.43</v>
      </c>
    </row>
    <row r="240" spans="1:21" ht="15" thickBot="1" x14ac:dyDescent="0.35">
      <c r="A240" s="117">
        <v>239</v>
      </c>
      <c r="B240" s="118" t="s">
        <v>466</v>
      </c>
      <c r="C240" s="118" t="s">
        <v>158</v>
      </c>
      <c r="D240" s="118" t="s">
        <v>2870</v>
      </c>
      <c r="E240" s="118" t="s">
        <v>163</v>
      </c>
      <c r="F240" s="119"/>
      <c r="G240" s="118"/>
      <c r="H240" s="120"/>
      <c r="I240" s="121"/>
      <c r="J240" s="110" t="s">
        <v>1959</v>
      </c>
      <c r="K240" s="110" t="s">
        <v>1403</v>
      </c>
      <c r="L240" s="110" t="s">
        <v>3781</v>
      </c>
      <c r="M240" s="111" t="s">
        <v>1960</v>
      </c>
      <c r="N240" s="111" t="s">
        <v>1961</v>
      </c>
      <c r="O240" s="111" t="s">
        <v>1962</v>
      </c>
      <c r="P240" s="112" t="s">
        <v>3276</v>
      </c>
      <c r="Q240" s="112" t="s">
        <v>3451</v>
      </c>
      <c r="R240" s="112" t="s">
        <v>3652</v>
      </c>
      <c r="S240" s="144">
        <v>3090.01</v>
      </c>
      <c r="T240" s="144">
        <v>1434.71</v>
      </c>
      <c r="U240" s="144">
        <v>1655.3</v>
      </c>
    </row>
    <row r="241" spans="1:21" ht="15" thickBot="1" x14ac:dyDescent="0.35">
      <c r="A241" s="117">
        <v>240</v>
      </c>
      <c r="B241" s="118" t="s">
        <v>467</v>
      </c>
      <c r="C241" s="118" t="s">
        <v>150</v>
      </c>
      <c r="D241" s="118" t="s">
        <v>2871</v>
      </c>
      <c r="E241" s="118" t="s">
        <v>390</v>
      </c>
      <c r="F241" s="119"/>
      <c r="G241" s="118"/>
      <c r="H241" s="120"/>
      <c r="I241" s="121"/>
      <c r="J241" s="110" t="s">
        <v>1963</v>
      </c>
      <c r="K241" s="110" t="s">
        <v>1403</v>
      </c>
      <c r="L241" s="110" t="s">
        <v>3781</v>
      </c>
      <c r="M241" s="111" t="s">
        <v>1964</v>
      </c>
      <c r="N241" s="111" t="s">
        <v>1400</v>
      </c>
      <c r="O241" s="111" t="s">
        <v>1965</v>
      </c>
      <c r="P241" s="112" t="s">
        <v>3212</v>
      </c>
      <c r="Q241" s="112" t="s">
        <v>1534</v>
      </c>
      <c r="R241" s="112" t="s">
        <v>3561</v>
      </c>
      <c r="S241" s="144">
        <v>1884.56</v>
      </c>
      <c r="T241" s="111">
        <v>127.05</v>
      </c>
      <c r="U241" s="144">
        <v>1757.51</v>
      </c>
    </row>
    <row r="242" spans="1:21" ht="15" thickBot="1" x14ac:dyDescent="0.35">
      <c r="A242" s="117">
        <v>241</v>
      </c>
      <c r="B242" s="118" t="s">
        <v>468</v>
      </c>
      <c r="C242" s="118" t="s">
        <v>158</v>
      </c>
      <c r="D242" s="118" t="s">
        <v>2872</v>
      </c>
      <c r="E242" s="118" t="s">
        <v>163</v>
      </c>
      <c r="F242" s="119"/>
      <c r="G242" s="118"/>
      <c r="H242" s="120"/>
      <c r="I242" s="121"/>
      <c r="J242" s="110" t="s">
        <v>1966</v>
      </c>
      <c r="K242" s="110" t="s">
        <v>1403</v>
      </c>
      <c r="L242" s="110" t="s">
        <v>3781</v>
      </c>
      <c r="M242" s="111" t="s">
        <v>1967</v>
      </c>
      <c r="N242" s="111" t="s">
        <v>1968</v>
      </c>
      <c r="O242" s="111" t="s">
        <v>1969</v>
      </c>
      <c r="P242" s="112" t="s">
        <v>3278</v>
      </c>
      <c r="Q242" s="112" t="s">
        <v>3452</v>
      </c>
      <c r="R242" s="112" t="s">
        <v>3653</v>
      </c>
      <c r="S242" s="144">
        <v>3533.76</v>
      </c>
      <c r="T242" s="144">
        <v>2050.35</v>
      </c>
      <c r="U242" s="144">
        <v>1483.41</v>
      </c>
    </row>
    <row r="243" spans="1:21" ht="15" thickBot="1" x14ac:dyDescent="0.35">
      <c r="A243" s="117">
        <v>242</v>
      </c>
      <c r="B243" s="118" t="s">
        <v>469</v>
      </c>
      <c r="C243" s="118" t="s">
        <v>216</v>
      </c>
      <c r="D243" s="118" t="s">
        <v>2873</v>
      </c>
      <c r="E243" s="118" t="s">
        <v>443</v>
      </c>
      <c r="F243" s="119"/>
      <c r="G243" s="118"/>
      <c r="H243" s="120"/>
      <c r="I243" s="121"/>
      <c r="J243" s="110" t="s">
        <v>1970</v>
      </c>
      <c r="K243" s="110" t="s">
        <v>1403</v>
      </c>
      <c r="L243" s="110" t="s">
        <v>3781</v>
      </c>
      <c r="M243" s="111" t="s">
        <v>1836</v>
      </c>
      <c r="N243" s="111" t="s">
        <v>1837</v>
      </c>
      <c r="O243" s="111" t="s">
        <v>1838</v>
      </c>
      <c r="P243" s="112" t="s">
        <v>1836</v>
      </c>
      <c r="Q243" s="112" t="s">
        <v>1837</v>
      </c>
      <c r="R243" s="112" t="s">
        <v>1838</v>
      </c>
      <c r="S243" s="144">
        <v>3720</v>
      </c>
      <c r="T243" s="111">
        <v>334.98</v>
      </c>
      <c r="U243" s="144">
        <v>3385.02</v>
      </c>
    </row>
    <row r="244" spans="1:21" ht="15" thickBot="1" x14ac:dyDescent="0.35">
      <c r="A244" s="117">
        <v>243</v>
      </c>
      <c r="B244" s="118" t="s">
        <v>470</v>
      </c>
      <c r="C244" s="118" t="s">
        <v>150</v>
      </c>
      <c r="D244" s="118" t="s">
        <v>2874</v>
      </c>
      <c r="E244" s="118" t="s">
        <v>355</v>
      </c>
      <c r="F244" s="119"/>
      <c r="G244" s="118"/>
      <c r="H244" s="120"/>
      <c r="I244" s="121"/>
      <c r="J244" s="110" t="s">
        <v>1971</v>
      </c>
      <c r="K244" s="110" t="s">
        <v>1403</v>
      </c>
      <c r="L244" s="110" t="s">
        <v>3781</v>
      </c>
      <c r="M244" s="111" t="s">
        <v>1399</v>
      </c>
      <c r="N244" s="111" t="s">
        <v>1400</v>
      </c>
      <c r="O244" s="111" t="s">
        <v>1401</v>
      </c>
      <c r="P244" s="112" t="s">
        <v>1570</v>
      </c>
      <c r="Q244" s="112" t="s">
        <v>1534</v>
      </c>
      <c r="R244" s="112" t="s">
        <v>1571</v>
      </c>
      <c r="S244" s="144">
        <v>1768.44</v>
      </c>
      <c r="T244" s="111">
        <v>134.83000000000001</v>
      </c>
      <c r="U244" s="144">
        <v>1633.61</v>
      </c>
    </row>
    <row r="245" spans="1:21" ht="15" thickBot="1" x14ac:dyDescent="0.35">
      <c r="A245" s="117">
        <v>244</v>
      </c>
      <c r="B245" s="118" t="s">
        <v>471</v>
      </c>
      <c r="C245" s="118" t="s">
        <v>158</v>
      </c>
      <c r="D245" s="118" t="s">
        <v>2875</v>
      </c>
      <c r="E245" s="118" t="s">
        <v>296</v>
      </c>
      <c r="F245" s="119"/>
      <c r="G245" s="118"/>
      <c r="H245" s="120"/>
      <c r="I245" s="121"/>
      <c r="J245" s="110" t="s">
        <v>1972</v>
      </c>
      <c r="K245" s="110" t="s">
        <v>1403</v>
      </c>
      <c r="L245" s="110" t="s">
        <v>3781</v>
      </c>
      <c r="M245" s="111" t="s">
        <v>1425</v>
      </c>
      <c r="N245" s="111" t="s">
        <v>1426</v>
      </c>
      <c r="O245" s="111" t="s">
        <v>1427</v>
      </c>
      <c r="P245" s="112" t="s">
        <v>3215</v>
      </c>
      <c r="Q245" s="112" t="s">
        <v>2424</v>
      </c>
      <c r="R245" s="112" t="s">
        <v>3570</v>
      </c>
      <c r="S245" s="144">
        <v>3433.34</v>
      </c>
      <c r="T245" s="111">
        <v>300.58999999999997</v>
      </c>
      <c r="U245" s="144">
        <v>3132.75</v>
      </c>
    </row>
    <row r="246" spans="1:21" ht="15" thickBot="1" x14ac:dyDescent="0.35">
      <c r="A246" s="117">
        <v>245</v>
      </c>
      <c r="B246" s="118" t="s">
        <v>472</v>
      </c>
      <c r="C246" s="118" t="s">
        <v>150</v>
      </c>
      <c r="D246" s="118" t="s">
        <v>2876</v>
      </c>
      <c r="E246" s="118" t="s">
        <v>223</v>
      </c>
      <c r="F246" s="119"/>
      <c r="G246" s="118"/>
      <c r="H246" s="120"/>
      <c r="I246" s="121"/>
      <c r="J246" s="110" t="s">
        <v>1973</v>
      </c>
      <c r="K246" s="110" t="s">
        <v>1403</v>
      </c>
      <c r="L246" s="110" t="s">
        <v>3781</v>
      </c>
      <c r="M246" s="111" t="s">
        <v>1974</v>
      </c>
      <c r="N246" s="111" t="s">
        <v>1975</v>
      </c>
      <c r="O246" s="111" t="s">
        <v>1976</v>
      </c>
      <c r="P246" s="112" t="s">
        <v>3279</v>
      </c>
      <c r="Q246" s="112" t="s">
        <v>3453</v>
      </c>
      <c r="R246" s="112" t="s">
        <v>3654</v>
      </c>
      <c r="S246" s="144">
        <v>2063.08</v>
      </c>
      <c r="T246" s="111">
        <v>161.35</v>
      </c>
      <c r="U246" s="144">
        <v>1901.73</v>
      </c>
    </row>
    <row r="247" spans="1:21" ht="15" thickBot="1" x14ac:dyDescent="0.35">
      <c r="A247" s="117">
        <v>246</v>
      </c>
      <c r="B247" s="118" t="s">
        <v>473</v>
      </c>
      <c r="C247" s="118" t="s">
        <v>239</v>
      </c>
      <c r="D247" s="118" t="s">
        <v>2877</v>
      </c>
      <c r="E247" s="118" t="s">
        <v>173</v>
      </c>
      <c r="F247" s="119"/>
      <c r="G247" s="118"/>
      <c r="H247" s="120"/>
      <c r="I247" s="121"/>
      <c r="J247" s="110" t="s">
        <v>1977</v>
      </c>
      <c r="K247" s="110" t="s">
        <v>1403</v>
      </c>
      <c r="L247" s="110" t="s">
        <v>3781</v>
      </c>
      <c r="M247" s="111" t="s">
        <v>1978</v>
      </c>
      <c r="N247" s="111" t="s">
        <v>1979</v>
      </c>
      <c r="O247" s="111" t="s">
        <v>1980</v>
      </c>
      <c r="P247" s="112" t="s">
        <v>3280</v>
      </c>
      <c r="Q247" s="112" t="s">
        <v>3454</v>
      </c>
      <c r="R247" s="112" t="s">
        <v>3655</v>
      </c>
      <c r="S247" s="144">
        <v>8276.5300000000007</v>
      </c>
      <c r="T247" s="144">
        <v>3079.22</v>
      </c>
      <c r="U247" s="144">
        <v>5197.3100000000004</v>
      </c>
    </row>
    <row r="248" spans="1:21" ht="15" thickBot="1" x14ac:dyDescent="0.35">
      <c r="A248" s="117">
        <v>247</v>
      </c>
      <c r="B248" s="118" t="s">
        <v>474</v>
      </c>
      <c r="C248" s="118" t="s">
        <v>248</v>
      </c>
      <c r="D248" s="118" t="s">
        <v>2878</v>
      </c>
      <c r="E248" s="118" t="s">
        <v>341</v>
      </c>
      <c r="F248" s="119"/>
      <c r="G248" s="118"/>
      <c r="H248" s="120"/>
      <c r="I248" s="121"/>
      <c r="J248" s="110" t="s">
        <v>1981</v>
      </c>
      <c r="K248" s="110" t="s">
        <v>1403</v>
      </c>
      <c r="L248" s="110" t="s">
        <v>3781</v>
      </c>
      <c r="M248" s="111" t="s">
        <v>1982</v>
      </c>
      <c r="N248" s="111" t="s">
        <v>1983</v>
      </c>
      <c r="O248" s="111" t="s">
        <v>1984</v>
      </c>
      <c r="P248" s="112" t="s">
        <v>1982</v>
      </c>
      <c r="Q248" s="112" t="s">
        <v>1983</v>
      </c>
      <c r="R248" s="112" t="s">
        <v>1984</v>
      </c>
      <c r="S248" s="144">
        <v>6490.5</v>
      </c>
      <c r="T248" s="144">
        <v>1224.45</v>
      </c>
      <c r="U248" s="144">
        <v>5266.05</v>
      </c>
    </row>
    <row r="249" spans="1:21" ht="15" thickBot="1" x14ac:dyDescent="0.35">
      <c r="A249" s="117">
        <v>248</v>
      </c>
      <c r="B249" s="118" t="s">
        <v>475</v>
      </c>
      <c r="C249" s="118" t="s">
        <v>150</v>
      </c>
      <c r="D249" s="118" t="s">
        <v>2879</v>
      </c>
      <c r="E249" s="118" t="s">
        <v>161</v>
      </c>
      <c r="F249" s="119"/>
      <c r="G249" s="118"/>
      <c r="H249" s="120"/>
      <c r="I249" s="121"/>
      <c r="J249" s="110" t="s">
        <v>1985</v>
      </c>
      <c r="K249" s="110" t="s">
        <v>1403</v>
      </c>
      <c r="L249" s="110" t="s">
        <v>3781</v>
      </c>
      <c r="M249" s="111" t="s">
        <v>1441</v>
      </c>
      <c r="N249" s="111" t="s">
        <v>1675</v>
      </c>
      <c r="O249" s="111" t="s">
        <v>1986</v>
      </c>
      <c r="P249" s="112" t="s">
        <v>1776</v>
      </c>
      <c r="Q249" s="112" t="s">
        <v>3455</v>
      </c>
      <c r="R249" s="112" t="s">
        <v>3656</v>
      </c>
      <c r="S249" s="144">
        <v>1819.66</v>
      </c>
      <c r="T249" s="111">
        <v>212.63</v>
      </c>
      <c r="U249" s="144">
        <v>1607.03</v>
      </c>
    </row>
    <row r="250" spans="1:21" ht="15" thickBot="1" x14ac:dyDescent="0.35">
      <c r="A250" s="117">
        <v>249</v>
      </c>
      <c r="B250" s="118" t="s">
        <v>476</v>
      </c>
      <c r="C250" s="118" t="s">
        <v>158</v>
      </c>
      <c r="D250" s="118" t="s">
        <v>2880</v>
      </c>
      <c r="E250" s="118" t="s">
        <v>185</v>
      </c>
      <c r="F250" s="119"/>
      <c r="G250" s="118"/>
      <c r="H250" s="120"/>
      <c r="I250" s="121"/>
      <c r="J250" s="110" t="s">
        <v>1987</v>
      </c>
      <c r="K250" s="110" t="s">
        <v>1988</v>
      </c>
      <c r="L250" s="110" t="s">
        <v>3781</v>
      </c>
      <c r="M250" s="111" t="s">
        <v>1425</v>
      </c>
      <c r="N250" s="111" t="s">
        <v>1426</v>
      </c>
      <c r="O250" s="111" t="s">
        <v>1427</v>
      </c>
      <c r="P250" s="112" t="s">
        <v>3215</v>
      </c>
      <c r="Q250" s="112" t="s">
        <v>2424</v>
      </c>
      <c r="R250" s="112" t="s">
        <v>3570</v>
      </c>
      <c r="S250" s="144">
        <v>3433.34</v>
      </c>
      <c r="T250" s="111">
        <v>300.58999999999997</v>
      </c>
      <c r="U250" s="144">
        <v>3132.75</v>
      </c>
    </row>
    <row r="251" spans="1:21" ht="15" thickBot="1" x14ac:dyDescent="0.35">
      <c r="A251" s="117">
        <v>250</v>
      </c>
      <c r="B251" s="118" t="s">
        <v>477</v>
      </c>
      <c r="C251" s="118" t="s">
        <v>158</v>
      </c>
      <c r="D251" s="118" t="s">
        <v>2881</v>
      </c>
      <c r="E251" s="118" t="s">
        <v>151</v>
      </c>
      <c r="F251" s="119"/>
      <c r="G251" s="118"/>
      <c r="H251" s="120"/>
      <c r="I251" s="121"/>
      <c r="J251" s="110" t="s">
        <v>1989</v>
      </c>
      <c r="K251" s="110" t="s">
        <v>1680</v>
      </c>
      <c r="L251" s="110" t="s">
        <v>3781</v>
      </c>
      <c r="M251" s="111" t="s">
        <v>1425</v>
      </c>
      <c r="N251" s="111" t="s">
        <v>1426</v>
      </c>
      <c r="O251" s="111" t="s">
        <v>1427</v>
      </c>
      <c r="P251" s="112" t="s">
        <v>3215</v>
      </c>
      <c r="Q251" s="112" t="s">
        <v>2424</v>
      </c>
      <c r="R251" s="112" t="s">
        <v>3570</v>
      </c>
      <c r="S251" s="144">
        <v>3433.34</v>
      </c>
      <c r="T251" s="111">
        <v>300.58999999999997</v>
      </c>
      <c r="U251" s="144">
        <v>3132.75</v>
      </c>
    </row>
    <row r="252" spans="1:21" ht="15" thickBot="1" x14ac:dyDescent="0.35">
      <c r="A252" s="117">
        <v>251</v>
      </c>
      <c r="B252" s="118" t="s">
        <v>478</v>
      </c>
      <c r="C252" s="118" t="s">
        <v>150</v>
      </c>
      <c r="D252" s="118" t="s">
        <v>2882</v>
      </c>
      <c r="E252" s="118" t="s">
        <v>159</v>
      </c>
      <c r="F252" s="119"/>
      <c r="G252" s="118"/>
      <c r="H252" s="120"/>
      <c r="I252" s="121"/>
      <c r="J252" s="110" t="s">
        <v>1990</v>
      </c>
      <c r="K252" s="110" t="s">
        <v>1403</v>
      </c>
      <c r="L252" s="110" t="s">
        <v>3781</v>
      </c>
      <c r="M252" s="111" t="s">
        <v>1437</v>
      </c>
      <c r="N252" s="111" t="s">
        <v>1438</v>
      </c>
      <c r="O252" s="111" t="s">
        <v>1439</v>
      </c>
      <c r="P252" s="112" t="s">
        <v>3281</v>
      </c>
      <c r="Q252" s="112" t="s">
        <v>3456</v>
      </c>
      <c r="R252" s="112" t="s">
        <v>3657</v>
      </c>
      <c r="S252" s="144">
        <v>1992.81</v>
      </c>
      <c r="T252" s="111">
        <v>148.94999999999999</v>
      </c>
      <c r="U252" s="144">
        <v>1843.86</v>
      </c>
    </row>
    <row r="253" spans="1:21" ht="15" thickBot="1" x14ac:dyDescent="0.35">
      <c r="A253" s="117">
        <v>252</v>
      </c>
      <c r="B253" s="118" t="s">
        <v>479</v>
      </c>
      <c r="C253" s="118" t="s">
        <v>253</v>
      </c>
      <c r="D253" s="118" t="s">
        <v>2883</v>
      </c>
      <c r="E253" s="118" t="s">
        <v>270</v>
      </c>
      <c r="F253" s="119"/>
      <c r="G253" s="118"/>
      <c r="H253" s="120"/>
      <c r="I253" s="121"/>
      <c r="J253" s="110" t="s">
        <v>1991</v>
      </c>
      <c r="K253" s="110" t="s">
        <v>1403</v>
      </c>
      <c r="L253" s="110" t="s">
        <v>3781</v>
      </c>
      <c r="M253" s="111" t="s">
        <v>1910</v>
      </c>
      <c r="N253" s="111" t="s">
        <v>1911</v>
      </c>
      <c r="O253" s="111" t="s">
        <v>1912</v>
      </c>
      <c r="P253" s="112" t="s">
        <v>1910</v>
      </c>
      <c r="Q253" s="112" t="s">
        <v>1911</v>
      </c>
      <c r="R253" s="112" t="s">
        <v>1912</v>
      </c>
      <c r="S253" s="144">
        <v>2107.3000000000002</v>
      </c>
      <c r="T253" s="111">
        <v>165.33</v>
      </c>
      <c r="U253" s="144">
        <v>1941.97</v>
      </c>
    </row>
    <row r="254" spans="1:21" ht="15" thickBot="1" x14ac:dyDescent="0.35">
      <c r="A254" s="117">
        <v>253</v>
      </c>
      <c r="B254" s="118" t="s">
        <v>480</v>
      </c>
      <c r="C254" s="118" t="s">
        <v>150</v>
      </c>
      <c r="D254" s="118" t="s">
        <v>2884</v>
      </c>
      <c r="E254" s="118" t="s">
        <v>341</v>
      </c>
      <c r="F254" s="119"/>
      <c r="G254" s="118"/>
      <c r="H254" s="120"/>
      <c r="I254" s="121"/>
      <c r="J254" s="110" t="s">
        <v>1992</v>
      </c>
      <c r="K254" s="110" t="s">
        <v>1403</v>
      </c>
      <c r="L254" s="110" t="s">
        <v>3781</v>
      </c>
      <c r="M254" s="111" t="s">
        <v>1993</v>
      </c>
      <c r="N254" s="111" t="s">
        <v>1994</v>
      </c>
      <c r="O254" s="111" t="s">
        <v>1995</v>
      </c>
      <c r="P254" s="112" t="s">
        <v>1910</v>
      </c>
      <c r="Q254" s="112" t="s">
        <v>1911</v>
      </c>
      <c r="R254" s="112" t="s">
        <v>1912</v>
      </c>
      <c r="S254" s="144">
        <v>2186.52</v>
      </c>
      <c r="T254" s="111">
        <v>172.46</v>
      </c>
      <c r="U254" s="144">
        <v>2014.06</v>
      </c>
    </row>
    <row r="255" spans="1:21" ht="15" thickBot="1" x14ac:dyDescent="0.35">
      <c r="A255" s="117">
        <v>254</v>
      </c>
      <c r="B255" s="118" t="s">
        <v>481</v>
      </c>
      <c r="C255" s="118" t="s">
        <v>158</v>
      </c>
      <c r="D255" s="118" t="s">
        <v>2885</v>
      </c>
      <c r="E255" s="118" t="s">
        <v>159</v>
      </c>
      <c r="F255" s="119"/>
      <c r="G255" s="118"/>
      <c r="H255" s="120"/>
      <c r="I255" s="121"/>
      <c r="J255" s="110" t="s">
        <v>1996</v>
      </c>
      <c r="K255" s="110" t="s">
        <v>1403</v>
      </c>
      <c r="L255" s="110" t="s">
        <v>3781</v>
      </c>
      <c r="M255" s="111" t="s">
        <v>1997</v>
      </c>
      <c r="N255" s="111" t="s">
        <v>1998</v>
      </c>
      <c r="O255" s="111" t="s">
        <v>1999</v>
      </c>
      <c r="P255" s="112" t="s">
        <v>3282</v>
      </c>
      <c r="Q255" s="112" t="s">
        <v>3457</v>
      </c>
      <c r="R255" s="112" t="s">
        <v>3658</v>
      </c>
      <c r="S255" s="144">
        <v>3150.63</v>
      </c>
      <c r="T255" s="111">
        <v>266.66000000000003</v>
      </c>
      <c r="U255" s="144">
        <v>2883.97</v>
      </c>
    </row>
    <row r="256" spans="1:21" ht="15" thickBot="1" x14ac:dyDescent="0.35">
      <c r="A256" s="117">
        <v>255</v>
      </c>
      <c r="B256" s="118" t="s">
        <v>482</v>
      </c>
      <c r="C256" s="118" t="s">
        <v>150</v>
      </c>
      <c r="D256" s="118" t="s">
        <v>2886</v>
      </c>
      <c r="E256" s="118" t="s">
        <v>366</v>
      </c>
      <c r="F256" s="119"/>
      <c r="G256" s="118"/>
      <c r="H256" s="120"/>
      <c r="I256" s="121"/>
      <c r="J256" s="110" t="s">
        <v>2000</v>
      </c>
      <c r="K256" s="110" t="s">
        <v>1680</v>
      </c>
      <c r="L256" s="110" t="s">
        <v>3781</v>
      </c>
      <c r="M256" s="111" t="s">
        <v>2001</v>
      </c>
      <c r="N256" s="111" t="s">
        <v>2002</v>
      </c>
      <c r="O256" s="111" t="s">
        <v>2003</v>
      </c>
      <c r="P256" s="112" t="s">
        <v>1910</v>
      </c>
      <c r="Q256" s="112" t="s">
        <v>1911</v>
      </c>
      <c r="R256" s="112" t="s">
        <v>1912</v>
      </c>
      <c r="S256" s="144">
        <v>2558.84</v>
      </c>
      <c r="T256" s="111">
        <v>205.97</v>
      </c>
      <c r="U256" s="144">
        <v>2352.87</v>
      </c>
    </row>
    <row r="257" spans="1:21" ht="15" thickBot="1" x14ac:dyDescent="0.35">
      <c r="A257" s="117">
        <v>256</v>
      </c>
      <c r="B257" s="118" t="s">
        <v>483</v>
      </c>
      <c r="C257" s="118" t="s">
        <v>179</v>
      </c>
      <c r="D257" s="118" t="s">
        <v>2887</v>
      </c>
      <c r="E257" s="118" t="s">
        <v>193</v>
      </c>
      <c r="F257" s="119"/>
      <c r="G257" s="118"/>
      <c r="H257" s="120"/>
      <c r="I257" s="121"/>
      <c r="J257" s="110" t="s">
        <v>2004</v>
      </c>
      <c r="K257" s="110" t="s">
        <v>1403</v>
      </c>
      <c r="L257" s="110" t="s">
        <v>3781</v>
      </c>
      <c r="M257" s="111" t="s">
        <v>1509</v>
      </c>
      <c r="N257" s="111" t="s">
        <v>1510</v>
      </c>
      <c r="O257" s="111" t="s">
        <v>1511</v>
      </c>
      <c r="P257" s="112" t="s">
        <v>1509</v>
      </c>
      <c r="Q257" s="112" t="s">
        <v>1510</v>
      </c>
      <c r="R257" s="112" t="s">
        <v>1511</v>
      </c>
      <c r="S257" s="144">
        <v>4280</v>
      </c>
      <c r="T257" s="144">
        <v>1663.42</v>
      </c>
      <c r="U257" s="144">
        <v>2616.58</v>
      </c>
    </row>
    <row r="258" spans="1:21" ht="15" thickBot="1" x14ac:dyDescent="0.35">
      <c r="A258" s="117">
        <v>257</v>
      </c>
      <c r="B258" s="118" t="s">
        <v>484</v>
      </c>
      <c r="C258" s="118" t="s">
        <v>214</v>
      </c>
      <c r="D258" s="118" t="s">
        <v>2888</v>
      </c>
      <c r="E258" s="118" t="s">
        <v>163</v>
      </c>
      <c r="F258" s="119"/>
      <c r="G258" s="118"/>
      <c r="H258" s="120"/>
      <c r="I258" s="121"/>
      <c r="J258" s="110" t="s">
        <v>2005</v>
      </c>
      <c r="K258" s="110" t="s">
        <v>1403</v>
      </c>
      <c r="L258" s="110" t="s">
        <v>3781</v>
      </c>
      <c r="M258" s="111" t="s">
        <v>1418</v>
      </c>
      <c r="N258" s="111" t="s">
        <v>2006</v>
      </c>
      <c r="O258" s="111" t="s">
        <v>2007</v>
      </c>
      <c r="P258" s="112" t="s">
        <v>3226</v>
      </c>
      <c r="Q258" s="112" t="s">
        <v>3458</v>
      </c>
      <c r="R258" s="112" t="s">
        <v>3659</v>
      </c>
      <c r="S258" s="144">
        <v>5225.95</v>
      </c>
      <c r="T258" s="144">
        <v>2030.45</v>
      </c>
      <c r="U258" s="144">
        <v>3195.5</v>
      </c>
    </row>
    <row r="259" spans="1:21" ht="15" thickBot="1" x14ac:dyDescent="0.35">
      <c r="A259" s="117">
        <v>258</v>
      </c>
      <c r="B259" s="118" t="s">
        <v>485</v>
      </c>
      <c r="C259" s="118" t="s">
        <v>253</v>
      </c>
      <c r="D259" s="118" t="s">
        <v>2889</v>
      </c>
      <c r="E259" s="118" t="s">
        <v>317</v>
      </c>
      <c r="F259" s="119"/>
      <c r="G259" s="118"/>
      <c r="H259" s="120"/>
      <c r="I259" s="121"/>
      <c r="J259" s="110" t="s">
        <v>2008</v>
      </c>
      <c r="K259" s="110" t="s">
        <v>1403</v>
      </c>
      <c r="L259" s="110" t="s">
        <v>3781</v>
      </c>
      <c r="M259" s="111" t="s">
        <v>2009</v>
      </c>
      <c r="N259" s="111" t="s">
        <v>2010</v>
      </c>
      <c r="O259" s="111" t="s">
        <v>2011</v>
      </c>
      <c r="P259" s="112" t="s">
        <v>1570</v>
      </c>
      <c r="Q259" s="112" t="s">
        <v>1534</v>
      </c>
      <c r="R259" s="112" t="s">
        <v>1571</v>
      </c>
      <c r="S259" s="144">
        <v>1621</v>
      </c>
      <c r="T259" s="111">
        <v>121.57</v>
      </c>
      <c r="U259" s="144">
        <v>1499.43</v>
      </c>
    </row>
    <row r="260" spans="1:21" ht="15" thickBot="1" x14ac:dyDescent="0.35">
      <c r="A260" s="117">
        <v>259</v>
      </c>
      <c r="B260" s="118" t="s">
        <v>486</v>
      </c>
      <c r="C260" s="118" t="s">
        <v>179</v>
      </c>
      <c r="D260" s="118" t="s">
        <v>2890</v>
      </c>
      <c r="E260" s="118" t="s">
        <v>390</v>
      </c>
      <c r="F260" s="119"/>
      <c r="G260" s="118"/>
      <c r="H260" s="120"/>
      <c r="I260" s="121"/>
      <c r="J260" s="110" t="s">
        <v>2012</v>
      </c>
      <c r="K260" s="110" t="s">
        <v>1403</v>
      </c>
      <c r="L260" s="110" t="s">
        <v>3781</v>
      </c>
      <c r="M260" s="111" t="s">
        <v>1509</v>
      </c>
      <c r="N260" s="111" t="s">
        <v>1510</v>
      </c>
      <c r="O260" s="111" t="s">
        <v>1511</v>
      </c>
      <c r="P260" s="112" t="s">
        <v>1509</v>
      </c>
      <c r="Q260" s="112" t="s">
        <v>1510</v>
      </c>
      <c r="R260" s="112" t="s">
        <v>1511</v>
      </c>
      <c r="S260" s="144">
        <v>4280</v>
      </c>
      <c r="T260" s="111">
        <v>402.18</v>
      </c>
      <c r="U260" s="144">
        <v>3877.82</v>
      </c>
    </row>
    <row r="261" spans="1:21" ht="15" thickBot="1" x14ac:dyDescent="0.35">
      <c r="A261" s="117">
        <v>260</v>
      </c>
      <c r="B261" s="118" t="s">
        <v>487</v>
      </c>
      <c r="C261" s="118" t="s">
        <v>179</v>
      </c>
      <c r="D261" s="118" t="s">
        <v>2891</v>
      </c>
      <c r="E261" s="118" t="s">
        <v>330</v>
      </c>
      <c r="F261" s="119"/>
      <c r="G261" s="118"/>
      <c r="H261" s="120"/>
      <c r="I261" s="121"/>
      <c r="J261" s="110" t="s">
        <v>2013</v>
      </c>
      <c r="K261" s="110" t="s">
        <v>1403</v>
      </c>
      <c r="L261" s="110" t="s">
        <v>3781</v>
      </c>
      <c r="M261" s="111" t="s">
        <v>1509</v>
      </c>
      <c r="N261" s="111" t="s">
        <v>1510</v>
      </c>
      <c r="O261" s="111" t="s">
        <v>1511</v>
      </c>
      <c r="P261" s="112" t="s">
        <v>1509</v>
      </c>
      <c r="Q261" s="112" t="s">
        <v>1510</v>
      </c>
      <c r="R261" s="112" t="s">
        <v>1511</v>
      </c>
      <c r="S261" s="144">
        <v>4280</v>
      </c>
      <c r="T261" s="111">
        <v>402.18</v>
      </c>
      <c r="U261" s="144">
        <v>3877.82</v>
      </c>
    </row>
    <row r="262" spans="1:21" ht="15" thickBot="1" x14ac:dyDescent="0.35">
      <c r="A262" s="117">
        <v>261</v>
      </c>
      <c r="B262" s="118" t="s">
        <v>488</v>
      </c>
      <c r="C262" s="118" t="s">
        <v>423</v>
      </c>
      <c r="D262" s="118" t="s">
        <v>2892</v>
      </c>
      <c r="E262" s="118" t="s">
        <v>161</v>
      </c>
      <c r="F262" s="119"/>
      <c r="G262" s="118"/>
      <c r="H262" s="120"/>
      <c r="I262" s="121"/>
      <c r="J262" s="110" t="s">
        <v>2014</v>
      </c>
      <c r="K262" s="110" t="s">
        <v>1403</v>
      </c>
      <c r="L262" s="110" t="s">
        <v>3781</v>
      </c>
      <c r="M262" s="111" t="s">
        <v>2015</v>
      </c>
      <c r="N262" s="111" t="s">
        <v>2016</v>
      </c>
      <c r="O262" s="111" t="s">
        <v>2017</v>
      </c>
      <c r="P262" s="112" t="s">
        <v>3283</v>
      </c>
      <c r="Q262" s="112" t="s">
        <v>3459</v>
      </c>
      <c r="R262" s="112" t="s">
        <v>3660</v>
      </c>
      <c r="S262" s="144">
        <v>7396.85</v>
      </c>
      <c r="T262" s="144">
        <v>1628</v>
      </c>
      <c r="U262" s="144">
        <v>5768.85</v>
      </c>
    </row>
    <row r="263" spans="1:21" ht="15" thickBot="1" x14ac:dyDescent="0.35">
      <c r="A263" s="117">
        <v>262</v>
      </c>
      <c r="B263" s="118" t="s">
        <v>489</v>
      </c>
      <c r="C263" s="118" t="s">
        <v>150</v>
      </c>
      <c r="D263" s="118" t="s">
        <v>2893</v>
      </c>
      <c r="E263" s="118" t="s">
        <v>490</v>
      </c>
      <c r="F263" s="119"/>
      <c r="G263" s="118"/>
      <c r="H263" s="120"/>
      <c r="I263" s="121"/>
      <c r="J263" s="110" t="s">
        <v>2018</v>
      </c>
      <c r="K263" s="110" t="s">
        <v>1403</v>
      </c>
      <c r="L263" s="110" t="s">
        <v>3781</v>
      </c>
      <c r="M263" s="111" t="s">
        <v>1399</v>
      </c>
      <c r="N263" s="111" t="s">
        <v>1400</v>
      </c>
      <c r="O263" s="111" t="s">
        <v>1401</v>
      </c>
      <c r="P263" s="112" t="s">
        <v>1570</v>
      </c>
      <c r="Q263" s="112" t="s">
        <v>1534</v>
      </c>
      <c r="R263" s="112" t="s">
        <v>1571</v>
      </c>
      <c r="S263" s="144">
        <v>1681.94</v>
      </c>
      <c r="T263" s="111">
        <v>127.05</v>
      </c>
      <c r="U263" s="144">
        <v>1554.89</v>
      </c>
    </row>
    <row r="264" spans="1:21" ht="15" thickBot="1" x14ac:dyDescent="0.35">
      <c r="A264" s="117">
        <v>263</v>
      </c>
      <c r="B264" s="118" t="s">
        <v>491</v>
      </c>
      <c r="C264" s="118" t="s">
        <v>158</v>
      </c>
      <c r="D264" s="118" t="s">
        <v>2894</v>
      </c>
      <c r="E264" s="118" t="s">
        <v>159</v>
      </c>
      <c r="F264" s="119"/>
      <c r="G264" s="118"/>
      <c r="H264" s="120"/>
      <c r="I264" s="121"/>
      <c r="J264" s="110" t="s">
        <v>2019</v>
      </c>
      <c r="K264" s="110" t="s">
        <v>1403</v>
      </c>
      <c r="L264" s="110" t="s">
        <v>3781</v>
      </c>
      <c r="M264" s="111" t="s">
        <v>1621</v>
      </c>
      <c r="N264" s="111" t="s">
        <v>1850</v>
      </c>
      <c r="O264" s="111" t="s">
        <v>1851</v>
      </c>
      <c r="P264" s="112" t="s">
        <v>3284</v>
      </c>
      <c r="Q264" s="112" t="s">
        <v>3460</v>
      </c>
      <c r="R264" s="112" t="s">
        <v>3661</v>
      </c>
      <c r="S264" s="144">
        <v>3770.44</v>
      </c>
      <c r="T264" s="111">
        <v>341.04</v>
      </c>
      <c r="U264" s="144">
        <v>3429.4</v>
      </c>
    </row>
    <row r="265" spans="1:21" ht="15" thickBot="1" x14ac:dyDescent="0.35">
      <c r="A265" s="117">
        <v>264</v>
      </c>
      <c r="B265" s="118" t="s">
        <v>492</v>
      </c>
      <c r="C265" s="118" t="s">
        <v>158</v>
      </c>
      <c r="D265" s="118" t="s">
        <v>2895</v>
      </c>
      <c r="E265" s="118" t="s">
        <v>366</v>
      </c>
      <c r="F265" s="119"/>
      <c r="G265" s="118"/>
      <c r="H265" s="120"/>
      <c r="I265" s="121"/>
      <c r="J265" s="110" t="s">
        <v>2020</v>
      </c>
      <c r="K265" s="110" t="s">
        <v>2021</v>
      </c>
      <c r="L265" s="110" t="s">
        <v>3781</v>
      </c>
      <c r="M265" s="111" t="s">
        <v>2022</v>
      </c>
      <c r="N265" s="111" t="s">
        <v>2023</v>
      </c>
      <c r="O265" s="111" t="s">
        <v>2024</v>
      </c>
      <c r="P265" s="112" t="s">
        <v>3285</v>
      </c>
      <c r="Q265" s="112" t="s">
        <v>3461</v>
      </c>
      <c r="R265" s="112" t="s">
        <v>3662</v>
      </c>
      <c r="S265" s="144">
        <v>4789.1899999999996</v>
      </c>
      <c r="T265" s="111">
        <v>471.98</v>
      </c>
      <c r="U265" s="144">
        <v>4317.21</v>
      </c>
    </row>
    <row r="266" spans="1:21" ht="15" thickBot="1" x14ac:dyDescent="0.35">
      <c r="A266" s="117">
        <v>265</v>
      </c>
      <c r="B266" s="118" t="s">
        <v>493</v>
      </c>
      <c r="C266" s="118" t="s">
        <v>150</v>
      </c>
      <c r="D266" s="118" t="s">
        <v>2896</v>
      </c>
      <c r="E266" s="118" t="s">
        <v>494</v>
      </c>
      <c r="F266" s="119"/>
      <c r="G266" s="118"/>
      <c r="H266" s="120"/>
      <c r="I266" s="121"/>
      <c r="J266" s="110" t="s">
        <v>2025</v>
      </c>
      <c r="K266" s="110" t="s">
        <v>1403</v>
      </c>
      <c r="L266" s="110" t="s">
        <v>3781</v>
      </c>
      <c r="M266" s="111" t="s">
        <v>1399</v>
      </c>
      <c r="N266" s="111" t="s">
        <v>1400</v>
      </c>
      <c r="O266" s="111" t="s">
        <v>1401</v>
      </c>
      <c r="P266" s="112" t="s">
        <v>1570</v>
      </c>
      <c r="Q266" s="112" t="s">
        <v>1534</v>
      </c>
      <c r="R266" s="112" t="s">
        <v>1571</v>
      </c>
      <c r="S266" s="144">
        <v>1681.94</v>
      </c>
      <c r="T266" s="111">
        <v>127.05</v>
      </c>
      <c r="U266" s="144">
        <v>1554.89</v>
      </c>
    </row>
    <row r="267" spans="1:21" ht="15" thickBot="1" x14ac:dyDescent="0.35">
      <c r="A267" s="117">
        <v>266</v>
      </c>
      <c r="B267" s="118" t="s">
        <v>495</v>
      </c>
      <c r="C267" s="118" t="s">
        <v>150</v>
      </c>
      <c r="D267" s="118" t="s">
        <v>2897</v>
      </c>
      <c r="E267" s="118" t="s">
        <v>161</v>
      </c>
      <c r="F267" s="119"/>
      <c r="G267" s="118"/>
      <c r="H267" s="120"/>
      <c r="I267" s="121"/>
      <c r="J267" s="110" t="s">
        <v>2026</v>
      </c>
      <c r="K267" s="110" t="s">
        <v>1652</v>
      </c>
      <c r="L267" s="110" t="s">
        <v>3781</v>
      </c>
      <c r="M267" s="111" t="s">
        <v>2027</v>
      </c>
      <c r="N267" s="111" t="s">
        <v>2028</v>
      </c>
      <c r="O267" s="111" t="s">
        <v>2029</v>
      </c>
      <c r="P267" s="112" t="s">
        <v>3286</v>
      </c>
      <c r="Q267" s="112" t="s">
        <v>3407</v>
      </c>
      <c r="R267" s="112" t="s">
        <v>3663</v>
      </c>
      <c r="S267" s="144">
        <v>1975.61</v>
      </c>
      <c r="T267" s="111">
        <v>147.4</v>
      </c>
      <c r="U267" s="144">
        <v>1828.21</v>
      </c>
    </row>
    <row r="268" spans="1:21" ht="15" thickBot="1" x14ac:dyDescent="0.35">
      <c r="A268" s="117">
        <v>267</v>
      </c>
      <c r="B268" s="118" t="s">
        <v>496</v>
      </c>
      <c r="C268" s="118" t="s">
        <v>150</v>
      </c>
      <c r="D268" s="118" t="s">
        <v>2898</v>
      </c>
      <c r="E268" s="118" t="s">
        <v>257</v>
      </c>
      <c r="F268" s="119"/>
      <c r="G268" s="118"/>
      <c r="H268" s="120"/>
      <c r="I268" s="121"/>
      <c r="J268" s="110" t="s">
        <v>2030</v>
      </c>
      <c r="K268" s="110" t="s">
        <v>1403</v>
      </c>
      <c r="L268" s="110" t="s">
        <v>3781</v>
      </c>
      <c r="M268" s="111" t="s">
        <v>1422</v>
      </c>
      <c r="N268" s="111" t="s">
        <v>1400</v>
      </c>
      <c r="O268" s="111" t="s">
        <v>1423</v>
      </c>
      <c r="P268" s="112" t="s">
        <v>1671</v>
      </c>
      <c r="Q268" s="112" t="s">
        <v>1534</v>
      </c>
      <c r="R268" s="112" t="s">
        <v>1672</v>
      </c>
      <c r="S268" s="144">
        <v>1749.48</v>
      </c>
      <c r="T268" s="111">
        <v>127.05</v>
      </c>
      <c r="U268" s="144">
        <v>1622.43</v>
      </c>
    </row>
    <row r="269" spans="1:21" ht="15" thickBot="1" x14ac:dyDescent="0.35">
      <c r="A269" s="117">
        <v>268</v>
      </c>
      <c r="B269" s="118" t="s">
        <v>497</v>
      </c>
      <c r="C269" s="118" t="s">
        <v>158</v>
      </c>
      <c r="D269" s="118" t="s">
        <v>2899</v>
      </c>
      <c r="E269" s="118" t="s">
        <v>173</v>
      </c>
      <c r="F269" s="119"/>
      <c r="G269" s="118"/>
      <c r="H269" s="120"/>
      <c r="I269" s="121"/>
      <c r="J269" s="110" t="s">
        <v>2031</v>
      </c>
      <c r="K269" s="110" t="s">
        <v>1403</v>
      </c>
      <c r="L269" s="110" t="s">
        <v>3781</v>
      </c>
      <c r="M269" s="111" t="s">
        <v>2032</v>
      </c>
      <c r="N269" s="111" t="s">
        <v>2033</v>
      </c>
      <c r="O269" s="111" t="s">
        <v>2034</v>
      </c>
      <c r="P269" s="112" t="s">
        <v>3287</v>
      </c>
      <c r="Q269" s="112" t="s">
        <v>3462</v>
      </c>
      <c r="R269" s="112" t="s">
        <v>3664</v>
      </c>
      <c r="S269" s="144">
        <v>3514.25</v>
      </c>
      <c r="T269" s="111">
        <v>310.29000000000002</v>
      </c>
      <c r="U269" s="144">
        <v>3203.96</v>
      </c>
    </row>
    <row r="270" spans="1:21" ht="15" thickBot="1" x14ac:dyDescent="0.35">
      <c r="A270" s="117">
        <v>269</v>
      </c>
      <c r="B270" s="118" t="s">
        <v>498</v>
      </c>
      <c r="C270" s="118" t="s">
        <v>179</v>
      </c>
      <c r="D270" s="118" t="s">
        <v>2900</v>
      </c>
      <c r="E270" s="118" t="s">
        <v>317</v>
      </c>
      <c r="F270" s="119"/>
      <c r="G270" s="118"/>
      <c r="H270" s="120"/>
      <c r="I270" s="121"/>
      <c r="J270" s="110" t="s">
        <v>2035</v>
      </c>
      <c r="K270" s="110" t="s">
        <v>1403</v>
      </c>
      <c r="L270" s="110" t="s">
        <v>3781</v>
      </c>
      <c r="M270" s="111" t="s">
        <v>1694</v>
      </c>
      <c r="N270" s="111" t="s">
        <v>2036</v>
      </c>
      <c r="O270" s="111" t="s">
        <v>2037</v>
      </c>
      <c r="P270" s="112" t="s">
        <v>1694</v>
      </c>
      <c r="Q270" s="112" t="s">
        <v>2036</v>
      </c>
      <c r="R270" s="112" t="s">
        <v>2037</v>
      </c>
      <c r="S270" s="144">
        <v>5136</v>
      </c>
      <c r="T270" s="111">
        <v>546.08000000000004</v>
      </c>
      <c r="U270" s="144">
        <v>4589.92</v>
      </c>
    </row>
    <row r="271" spans="1:21" ht="15" thickBot="1" x14ac:dyDescent="0.35">
      <c r="A271" s="117">
        <v>270</v>
      </c>
      <c r="B271" s="118" t="s">
        <v>499</v>
      </c>
      <c r="C271" s="118" t="s">
        <v>158</v>
      </c>
      <c r="D271" s="118" t="s">
        <v>2901</v>
      </c>
      <c r="E271" s="118" t="s">
        <v>343</v>
      </c>
      <c r="F271" s="119"/>
      <c r="G271" s="118"/>
      <c r="H271" s="120"/>
      <c r="I271" s="121"/>
      <c r="J271" s="110" t="s">
        <v>2038</v>
      </c>
      <c r="K271" s="110" t="s">
        <v>1403</v>
      </c>
      <c r="L271" s="110" t="s">
        <v>3781</v>
      </c>
      <c r="M271" s="111" t="s">
        <v>1425</v>
      </c>
      <c r="N271" s="111" t="s">
        <v>1426</v>
      </c>
      <c r="O271" s="111" t="s">
        <v>1427</v>
      </c>
      <c r="P271" s="112" t="s">
        <v>3215</v>
      </c>
      <c r="Q271" s="112" t="s">
        <v>2424</v>
      </c>
      <c r="R271" s="112" t="s">
        <v>3570</v>
      </c>
      <c r="S271" s="144">
        <v>3433.34</v>
      </c>
      <c r="T271" s="111">
        <v>300.58999999999997</v>
      </c>
      <c r="U271" s="144">
        <v>3132.75</v>
      </c>
    </row>
    <row r="272" spans="1:21" ht="15" thickBot="1" x14ac:dyDescent="0.35">
      <c r="A272" s="117">
        <v>271</v>
      </c>
      <c r="B272" s="118" t="s">
        <v>500</v>
      </c>
      <c r="C272" s="118" t="s">
        <v>248</v>
      </c>
      <c r="D272" s="118" t="s">
        <v>2902</v>
      </c>
      <c r="E272" s="118" t="s">
        <v>234</v>
      </c>
      <c r="F272" s="119"/>
      <c r="G272" s="118"/>
      <c r="H272" s="120"/>
      <c r="I272" s="121"/>
      <c r="J272" s="110" t="s">
        <v>2039</v>
      </c>
      <c r="K272" s="110" t="s">
        <v>1403</v>
      </c>
      <c r="L272" s="110" t="s">
        <v>3781</v>
      </c>
      <c r="M272" s="111" t="s">
        <v>1559</v>
      </c>
      <c r="N272" s="111" t="s">
        <v>1560</v>
      </c>
      <c r="O272" s="111" t="s">
        <v>1561</v>
      </c>
      <c r="P272" s="112" t="s">
        <v>1559</v>
      </c>
      <c r="Q272" s="112" t="s">
        <v>1560</v>
      </c>
      <c r="R272" s="112" t="s">
        <v>1561</v>
      </c>
      <c r="S272" s="144">
        <v>4327</v>
      </c>
      <c r="T272" s="111">
        <v>407.82</v>
      </c>
      <c r="U272" s="144">
        <v>3919.18</v>
      </c>
    </row>
    <row r="273" spans="1:21" ht="15" thickBot="1" x14ac:dyDescent="0.35">
      <c r="A273" s="117">
        <v>272</v>
      </c>
      <c r="B273" s="118" t="s">
        <v>501</v>
      </c>
      <c r="C273" s="118" t="s">
        <v>150</v>
      </c>
      <c r="D273" s="118" t="s">
        <v>2903</v>
      </c>
      <c r="E273" s="118" t="s">
        <v>182</v>
      </c>
      <c r="F273" s="119"/>
      <c r="G273" s="118"/>
      <c r="H273" s="120"/>
      <c r="I273" s="121"/>
      <c r="J273" s="110" t="s">
        <v>2040</v>
      </c>
      <c r="K273" s="110" t="s">
        <v>1874</v>
      </c>
      <c r="L273" s="110" t="s">
        <v>3781</v>
      </c>
      <c r="M273" s="111" t="s">
        <v>1399</v>
      </c>
      <c r="N273" s="111" t="s">
        <v>2041</v>
      </c>
      <c r="O273" s="111" t="s">
        <v>2042</v>
      </c>
      <c r="P273" s="112" t="s">
        <v>1570</v>
      </c>
      <c r="Q273" s="112" t="s">
        <v>3463</v>
      </c>
      <c r="R273" s="112" t="s">
        <v>3665</v>
      </c>
      <c r="S273" s="144">
        <v>1681.94</v>
      </c>
      <c r="T273" s="111">
        <v>618.5</v>
      </c>
      <c r="U273" s="144">
        <v>1063.44</v>
      </c>
    </row>
    <row r="274" spans="1:21" ht="15" thickBot="1" x14ac:dyDescent="0.35">
      <c r="A274" s="117">
        <v>273</v>
      </c>
      <c r="B274" s="118" t="s">
        <v>502</v>
      </c>
      <c r="C274" s="118" t="s">
        <v>150</v>
      </c>
      <c r="D274" s="118" t="s">
        <v>2904</v>
      </c>
      <c r="E274" s="118" t="s">
        <v>161</v>
      </c>
      <c r="F274" s="119"/>
      <c r="G274" s="118"/>
      <c r="H274" s="120"/>
      <c r="I274" s="121"/>
      <c r="J274" s="110" t="s">
        <v>2043</v>
      </c>
      <c r="K274" s="110" t="s">
        <v>1403</v>
      </c>
      <c r="L274" s="110" t="s">
        <v>3781</v>
      </c>
      <c r="M274" s="111" t="s">
        <v>1399</v>
      </c>
      <c r="N274" s="111" t="s">
        <v>2041</v>
      </c>
      <c r="O274" s="111" t="s">
        <v>2042</v>
      </c>
      <c r="P274" s="112" t="s">
        <v>1570</v>
      </c>
      <c r="Q274" s="112" t="s">
        <v>3463</v>
      </c>
      <c r="R274" s="112" t="s">
        <v>3665</v>
      </c>
      <c r="S274" s="144">
        <v>1841.84</v>
      </c>
      <c r="T274" s="111">
        <v>632.89</v>
      </c>
      <c r="U274" s="144">
        <v>1208.95</v>
      </c>
    </row>
    <row r="275" spans="1:21" ht="15" thickBot="1" x14ac:dyDescent="0.35">
      <c r="A275" s="117">
        <v>274</v>
      </c>
      <c r="B275" s="118" t="s">
        <v>503</v>
      </c>
      <c r="C275" s="118" t="s">
        <v>150</v>
      </c>
      <c r="D275" s="118" t="s">
        <v>2905</v>
      </c>
      <c r="E275" s="118" t="s">
        <v>504</v>
      </c>
      <c r="F275" s="119"/>
      <c r="G275" s="118"/>
      <c r="H275" s="120"/>
      <c r="I275" s="121"/>
      <c r="J275" s="110" t="s">
        <v>2044</v>
      </c>
      <c r="K275" s="110" t="s">
        <v>1574</v>
      </c>
      <c r="L275" s="110" t="s">
        <v>3781</v>
      </c>
      <c r="M275" s="111" t="s">
        <v>1422</v>
      </c>
      <c r="N275" s="111" t="s">
        <v>1400</v>
      </c>
      <c r="O275" s="111" t="s">
        <v>1423</v>
      </c>
      <c r="P275" s="112" t="s">
        <v>1671</v>
      </c>
      <c r="Q275" s="112" t="s">
        <v>1534</v>
      </c>
      <c r="R275" s="112" t="s">
        <v>1672</v>
      </c>
      <c r="S275" s="144">
        <v>1879</v>
      </c>
      <c r="T275" s="111">
        <v>138.71</v>
      </c>
      <c r="U275" s="144">
        <v>1740.29</v>
      </c>
    </row>
    <row r="276" spans="1:21" ht="15" thickBot="1" x14ac:dyDescent="0.35">
      <c r="A276" s="117">
        <v>275</v>
      </c>
      <c r="B276" s="118" t="s">
        <v>505</v>
      </c>
      <c r="C276" s="118" t="s">
        <v>179</v>
      </c>
      <c r="D276" s="118" t="s">
        <v>2906</v>
      </c>
      <c r="E276" s="118" t="s">
        <v>317</v>
      </c>
      <c r="F276" s="119"/>
      <c r="G276" s="118"/>
      <c r="H276" s="120"/>
      <c r="I276" s="121"/>
      <c r="J276" s="110" t="s">
        <v>2045</v>
      </c>
      <c r="K276" s="110" t="s">
        <v>1403</v>
      </c>
      <c r="L276" s="110" t="s">
        <v>3781</v>
      </c>
      <c r="M276" s="111" t="s">
        <v>1694</v>
      </c>
      <c r="N276" s="111" t="s">
        <v>1695</v>
      </c>
      <c r="O276" s="111" t="s">
        <v>1696</v>
      </c>
      <c r="P276" s="112" t="s">
        <v>1694</v>
      </c>
      <c r="Q276" s="112" t="s">
        <v>1695</v>
      </c>
      <c r="R276" s="112" t="s">
        <v>1696</v>
      </c>
      <c r="S276" s="144">
        <v>5175.17</v>
      </c>
      <c r="T276" s="111">
        <v>588.75</v>
      </c>
      <c r="U276" s="144">
        <v>4586.42</v>
      </c>
    </row>
    <row r="277" spans="1:21" ht="15" thickBot="1" x14ac:dyDescent="0.35">
      <c r="A277" s="117">
        <v>276</v>
      </c>
      <c r="B277" s="118" t="s">
        <v>506</v>
      </c>
      <c r="C277" s="118" t="s">
        <v>179</v>
      </c>
      <c r="D277" s="118" t="s">
        <v>2907</v>
      </c>
      <c r="E277" s="118" t="s">
        <v>315</v>
      </c>
      <c r="F277" s="119"/>
      <c r="G277" s="118"/>
      <c r="H277" s="120"/>
      <c r="I277" s="121"/>
      <c r="J277" s="110" t="s">
        <v>2046</v>
      </c>
      <c r="K277" s="110" t="s">
        <v>1403</v>
      </c>
      <c r="L277" s="110" t="s">
        <v>3781</v>
      </c>
      <c r="M277" s="111" t="s">
        <v>1509</v>
      </c>
      <c r="N277" s="111" t="s">
        <v>1510</v>
      </c>
      <c r="O277" s="111" t="s">
        <v>1511</v>
      </c>
      <c r="P277" s="112" t="s">
        <v>1509</v>
      </c>
      <c r="Q277" s="112" t="s">
        <v>1510</v>
      </c>
      <c r="R277" s="112" t="s">
        <v>1511</v>
      </c>
      <c r="S277" s="144">
        <v>4615.1499999999996</v>
      </c>
      <c r="T277" s="111">
        <v>447.62</v>
      </c>
      <c r="U277" s="144">
        <v>4167.53</v>
      </c>
    </row>
    <row r="278" spans="1:21" ht="15" thickBot="1" x14ac:dyDescent="0.35">
      <c r="A278" s="117">
        <v>277</v>
      </c>
      <c r="B278" s="118" t="s">
        <v>507</v>
      </c>
      <c r="C278" s="118" t="s">
        <v>233</v>
      </c>
      <c r="D278" s="118" t="s">
        <v>2908</v>
      </c>
      <c r="E278" s="118" t="s">
        <v>234</v>
      </c>
      <c r="F278" s="119"/>
      <c r="G278" s="118"/>
      <c r="H278" s="120"/>
      <c r="I278" s="121"/>
      <c r="J278" s="110" t="s">
        <v>2047</v>
      </c>
      <c r="K278" s="110" t="s">
        <v>1403</v>
      </c>
      <c r="L278" s="110" t="s">
        <v>3781</v>
      </c>
      <c r="M278" s="111" t="s">
        <v>1539</v>
      </c>
      <c r="N278" s="111" t="s">
        <v>1540</v>
      </c>
      <c r="O278" s="111" t="s">
        <v>1541</v>
      </c>
      <c r="P278" s="112" t="s">
        <v>1539</v>
      </c>
      <c r="Q278" s="112" t="s">
        <v>1540</v>
      </c>
      <c r="R278" s="112" t="s">
        <v>1541</v>
      </c>
      <c r="S278" s="144">
        <v>3227.4</v>
      </c>
      <c r="T278" s="111">
        <v>275.87</v>
      </c>
      <c r="U278" s="144">
        <v>2951.53</v>
      </c>
    </row>
    <row r="279" spans="1:21" ht="15" thickBot="1" x14ac:dyDescent="0.35">
      <c r="A279" s="117">
        <v>278</v>
      </c>
      <c r="B279" s="122" t="s">
        <v>508</v>
      </c>
      <c r="C279" s="118" t="s">
        <v>150</v>
      </c>
      <c r="D279" s="118"/>
      <c r="E279" s="118" t="s">
        <v>159</v>
      </c>
      <c r="F279" s="119"/>
      <c r="G279" s="118"/>
      <c r="H279" s="120"/>
      <c r="I279" s="121"/>
      <c r="J279" s="123" t="s">
        <v>3772</v>
      </c>
      <c r="K279" s="110" t="s">
        <v>3767</v>
      </c>
      <c r="L279" s="110" t="s">
        <v>3781</v>
      </c>
      <c r="M279" s="111"/>
      <c r="N279" s="111"/>
      <c r="O279" s="111"/>
      <c r="P279" s="112" t="s">
        <v>3288</v>
      </c>
      <c r="Q279" s="112" t="s">
        <v>3464</v>
      </c>
      <c r="R279" s="112" t="s">
        <v>3666</v>
      </c>
      <c r="S279" s="144">
        <v>1681.94</v>
      </c>
      <c r="T279" s="111">
        <v>127.05</v>
      </c>
      <c r="U279" s="144">
        <v>1554.89</v>
      </c>
    </row>
    <row r="280" spans="1:21" ht="15" thickBot="1" x14ac:dyDescent="0.35">
      <c r="A280" s="117">
        <v>279</v>
      </c>
      <c r="B280" s="118" t="s">
        <v>509</v>
      </c>
      <c r="C280" s="118" t="s">
        <v>150</v>
      </c>
      <c r="D280" s="118" t="s">
        <v>2909</v>
      </c>
      <c r="E280" s="118" t="s">
        <v>177</v>
      </c>
      <c r="F280" s="119"/>
      <c r="G280" s="118"/>
      <c r="H280" s="120"/>
      <c r="I280" s="121"/>
      <c r="J280" s="110" t="s">
        <v>2048</v>
      </c>
      <c r="K280" s="110" t="s">
        <v>1563</v>
      </c>
      <c r="L280" s="110" t="s">
        <v>3781</v>
      </c>
      <c r="M280" s="111" t="s">
        <v>2049</v>
      </c>
      <c r="N280" s="111" t="s">
        <v>1400</v>
      </c>
      <c r="O280" s="111" t="s">
        <v>2050</v>
      </c>
      <c r="P280" s="112" t="s">
        <v>1776</v>
      </c>
      <c r="Q280" s="112" t="s">
        <v>1534</v>
      </c>
      <c r="R280" s="112" t="s">
        <v>1777</v>
      </c>
      <c r="S280" s="144">
        <v>2073.86</v>
      </c>
      <c r="T280" s="111">
        <v>150.16999999999999</v>
      </c>
      <c r="U280" s="144">
        <v>1923.69</v>
      </c>
    </row>
    <row r="281" spans="1:21" ht="15" thickBot="1" x14ac:dyDescent="0.35">
      <c r="A281" s="117">
        <v>280</v>
      </c>
      <c r="B281" s="118" t="s">
        <v>510</v>
      </c>
      <c r="C281" s="118" t="s">
        <v>253</v>
      </c>
      <c r="D281" s="118" t="s">
        <v>2910</v>
      </c>
      <c r="E281" s="118" t="s">
        <v>390</v>
      </c>
      <c r="F281" s="119"/>
      <c r="G281" s="118"/>
      <c r="H281" s="120"/>
      <c r="I281" s="121"/>
      <c r="J281" s="110" t="s">
        <v>2051</v>
      </c>
      <c r="K281" s="110" t="s">
        <v>1403</v>
      </c>
      <c r="L281" s="110" t="s">
        <v>3781</v>
      </c>
      <c r="M281" s="111" t="s">
        <v>1671</v>
      </c>
      <c r="N281" s="111" t="s">
        <v>1534</v>
      </c>
      <c r="O281" s="111" t="s">
        <v>1672</v>
      </c>
      <c r="P281" s="112" t="s">
        <v>1671</v>
      </c>
      <c r="Q281" s="112" t="s">
        <v>1534</v>
      </c>
      <c r="R281" s="112" t="s">
        <v>1672</v>
      </c>
      <c r="S281" s="144">
        <v>1985.37</v>
      </c>
      <c r="T281" s="111">
        <v>154.36000000000001</v>
      </c>
      <c r="U281" s="144">
        <v>1831.01</v>
      </c>
    </row>
    <row r="282" spans="1:21" ht="15" thickBot="1" x14ac:dyDescent="0.35">
      <c r="A282" s="117">
        <v>281</v>
      </c>
      <c r="B282" s="118" t="s">
        <v>511</v>
      </c>
      <c r="C282" s="118" t="s">
        <v>233</v>
      </c>
      <c r="D282" s="118" t="s">
        <v>2911</v>
      </c>
      <c r="E282" s="118" t="s">
        <v>449</v>
      </c>
      <c r="F282" s="119"/>
      <c r="G282" s="118"/>
      <c r="H282" s="120"/>
      <c r="I282" s="121"/>
      <c r="J282" s="110" t="s">
        <v>2052</v>
      </c>
      <c r="K282" s="110" t="s">
        <v>1403</v>
      </c>
      <c r="L282" s="110" t="s">
        <v>3781</v>
      </c>
      <c r="M282" s="111" t="s">
        <v>1539</v>
      </c>
      <c r="N282" s="111" t="s">
        <v>1540</v>
      </c>
      <c r="O282" s="111" t="s">
        <v>1541</v>
      </c>
      <c r="P282" s="112" t="s">
        <v>1539</v>
      </c>
      <c r="Q282" s="112" t="s">
        <v>1540</v>
      </c>
      <c r="R282" s="112" t="s">
        <v>1541</v>
      </c>
      <c r="S282" s="144">
        <v>2800</v>
      </c>
      <c r="T282" s="111">
        <v>227.68</v>
      </c>
      <c r="U282" s="144">
        <v>2572.3200000000002</v>
      </c>
    </row>
    <row r="283" spans="1:21" ht="15" thickBot="1" x14ac:dyDescent="0.35">
      <c r="A283" s="117">
        <v>282</v>
      </c>
      <c r="B283" s="118" t="s">
        <v>512</v>
      </c>
      <c r="C283" s="118" t="s">
        <v>158</v>
      </c>
      <c r="D283" s="118" t="s">
        <v>2912</v>
      </c>
      <c r="E283" s="118" t="s">
        <v>161</v>
      </c>
      <c r="F283" s="119"/>
      <c r="G283" s="118"/>
      <c r="H283" s="120"/>
      <c r="I283" s="121"/>
      <c r="J283" s="110" t="s">
        <v>2053</v>
      </c>
      <c r="K283" s="110" t="s">
        <v>1403</v>
      </c>
      <c r="L283" s="110" t="s">
        <v>3781</v>
      </c>
      <c r="M283" s="111" t="s">
        <v>1621</v>
      </c>
      <c r="N283" s="111" t="s">
        <v>1850</v>
      </c>
      <c r="O283" s="111" t="s">
        <v>1851</v>
      </c>
      <c r="P283" s="112" t="s">
        <v>3289</v>
      </c>
      <c r="Q283" s="112" t="s">
        <v>3465</v>
      </c>
      <c r="R283" s="112" t="s">
        <v>3667</v>
      </c>
      <c r="S283" s="144">
        <v>4061.21</v>
      </c>
      <c r="T283" s="111">
        <v>375.93</v>
      </c>
      <c r="U283" s="144">
        <v>3685.28</v>
      </c>
    </row>
    <row r="284" spans="1:21" ht="15" thickBot="1" x14ac:dyDescent="0.35">
      <c r="A284" s="117">
        <v>283</v>
      </c>
      <c r="B284" s="118" t="s">
        <v>513</v>
      </c>
      <c r="C284" s="118" t="s">
        <v>216</v>
      </c>
      <c r="D284" s="118" t="s">
        <v>2913</v>
      </c>
      <c r="E284" s="118" t="s">
        <v>240</v>
      </c>
      <c r="F284" s="119"/>
      <c r="G284" s="118"/>
      <c r="H284" s="120"/>
      <c r="I284" s="121"/>
      <c r="J284" s="110" t="s">
        <v>2054</v>
      </c>
      <c r="K284" s="110" t="s">
        <v>1403</v>
      </c>
      <c r="L284" s="110" t="s">
        <v>3781</v>
      </c>
      <c r="M284" s="111" t="s">
        <v>1836</v>
      </c>
      <c r="N284" s="111" t="s">
        <v>1837</v>
      </c>
      <c r="O284" s="111" t="s">
        <v>1838</v>
      </c>
      <c r="P284" s="112" t="s">
        <v>1836</v>
      </c>
      <c r="Q284" s="112" t="s">
        <v>1837</v>
      </c>
      <c r="R284" s="112" t="s">
        <v>1838</v>
      </c>
      <c r="S284" s="144">
        <v>3720</v>
      </c>
      <c r="T284" s="111">
        <v>334.98</v>
      </c>
      <c r="U284" s="144">
        <v>3385.02</v>
      </c>
    </row>
    <row r="285" spans="1:21" ht="15" thickBot="1" x14ac:dyDescent="0.35">
      <c r="A285" s="117">
        <v>284</v>
      </c>
      <c r="B285" s="118" t="s">
        <v>514</v>
      </c>
      <c r="C285" s="118" t="s">
        <v>248</v>
      </c>
      <c r="D285" s="118" t="s">
        <v>2914</v>
      </c>
      <c r="E285" s="118" t="s">
        <v>159</v>
      </c>
      <c r="F285" s="119"/>
      <c r="G285" s="118"/>
      <c r="H285" s="120"/>
      <c r="I285" s="121"/>
      <c r="J285" s="110" t="s">
        <v>2055</v>
      </c>
      <c r="K285" s="110" t="s">
        <v>1403</v>
      </c>
      <c r="L285" s="110" t="s">
        <v>3781</v>
      </c>
      <c r="M285" s="111" t="s">
        <v>1559</v>
      </c>
      <c r="N285" s="111" t="s">
        <v>1560</v>
      </c>
      <c r="O285" s="111" t="s">
        <v>1561</v>
      </c>
      <c r="P285" s="112" t="s">
        <v>1559</v>
      </c>
      <c r="Q285" s="112" t="s">
        <v>1560</v>
      </c>
      <c r="R285" s="112" t="s">
        <v>1561</v>
      </c>
      <c r="S285" s="144">
        <v>4327</v>
      </c>
      <c r="T285" s="111">
        <v>435.96</v>
      </c>
      <c r="U285" s="144">
        <v>3891.04</v>
      </c>
    </row>
    <row r="286" spans="1:21" ht="15" thickBot="1" x14ac:dyDescent="0.35">
      <c r="A286" s="117">
        <v>285</v>
      </c>
      <c r="B286" s="118" t="s">
        <v>515</v>
      </c>
      <c r="C286" s="118" t="s">
        <v>150</v>
      </c>
      <c r="D286" s="118" t="s">
        <v>2915</v>
      </c>
      <c r="E286" s="118" t="s">
        <v>163</v>
      </c>
      <c r="F286" s="119"/>
      <c r="G286" s="118"/>
      <c r="H286" s="120"/>
      <c r="I286" s="121"/>
      <c r="J286" s="110" t="s">
        <v>2056</v>
      </c>
      <c r="K286" s="110" t="s">
        <v>1403</v>
      </c>
      <c r="L286" s="110" t="s">
        <v>3781</v>
      </c>
      <c r="M286" s="111" t="s">
        <v>1513</v>
      </c>
      <c r="N286" s="111" t="s">
        <v>2057</v>
      </c>
      <c r="O286" s="111" t="s">
        <v>2058</v>
      </c>
      <c r="P286" s="112" t="s">
        <v>3248</v>
      </c>
      <c r="Q286" s="112" t="s">
        <v>3466</v>
      </c>
      <c r="R286" s="112" t="s">
        <v>3668</v>
      </c>
      <c r="S286" s="144">
        <v>1889.55</v>
      </c>
      <c r="T286" s="111">
        <v>283.36</v>
      </c>
      <c r="U286" s="144">
        <v>1606.19</v>
      </c>
    </row>
    <row r="287" spans="1:21" ht="15" thickBot="1" x14ac:dyDescent="0.35">
      <c r="A287" s="117">
        <v>286</v>
      </c>
      <c r="B287" s="118" t="s">
        <v>516</v>
      </c>
      <c r="C287" s="118" t="s">
        <v>150</v>
      </c>
      <c r="D287" s="118" t="s">
        <v>2916</v>
      </c>
      <c r="E287" s="118" t="s">
        <v>161</v>
      </c>
      <c r="F287" s="119"/>
      <c r="G287" s="118"/>
      <c r="H287" s="120"/>
      <c r="I287" s="121"/>
      <c r="J287" s="110" t="s">
        <v>2059</v>
      </c>
      <c r="K287" s="110" t="s">
        <v>1532</v>
      </c>
      <c r="L287" s="110" t="s">
        <v>3781</v>
      </c>
      <c r="M287" s="111" t="s">
        <v>1533</v>
      </c>
      <c r="N287" s="111" t="s">
        <v>1534</v>
      </c>
      <c r="O287" s="111" t="s">
        <v>1401</v>
      </c>
      <c r="P287" s="112" t="s">
        <v>1570</v>
      </c>
      <c r="Q287" s="112" t="s">
        <v>1534</v>
      </c>
      <c r="R287" s="112" t="s">
        <v>1571</v>
      </c>
      <c r="S287" s="144">
        <v>1720.88</v>
      </c>
      <c r="T287" s="111">
        <v>130.55000000000001</v>
      </c>
      <c r="U287" s="144">
        <v>1590.33</v>
      </c>
    </row>
    <row r="288" spans="1:21" ht="15" thickBot="1" x14ac:dyDescent="0.35">
      <c r="A288" s="117">
        <v>287</v>
      </c>
      <c r="B288" s="118" t="s">
        <v>517</v>
      </c>
      <c r="C288" s="118" t="s">
        <v>253</v>
      </c>
      <c r="D288" s="118" t="s">
        <v>2917</v>
      </c>
      <c r="E288" s="118" t="s">
        <v>518</v>
      </c>
      <c r="F288" s="119"/>
      <c r="G288" s="118"/>
      <c r="H288" s="120"/>
      <c r="I288" s="121"/>
      <c r="J288" s="110" t="s">
        <v>2060</v>
      </c>
      <c r="K288" s="110" t="s">
        <v>1403</v>
      </c>
      <c r="L288" s="110" t="s">
        <v>3781</v>
      </c>
      <c r="M288" s="111" t="s">
        <v>1671</v>
      </c>
      <c r="N288" s="111" t="s">
        <v>2061</v>
      </c>
      <c r="O288" s="111" t="s">
        <v>2062</v>
      </c>
      <c r="P288" s="112" t="s">
        <v>1671</v>
      </c>
      <c r="Q288" s="112" t="s">
        <v>3467</v>
      </c>
      <c r="R288" s="112" t="s">
        <v>3669</v>
      </c>
      <c r="S288" s="144">
        <v>1798.63</v>
      </c>
      <c r="T288" s="111">
        <v>565.20000000000005</v>
      </c>
      <c r="U288" s="144">
        <v>1233.43</v>
      </c>
    </row>
    <row r="289" spans="1:21" ht="15" thickBot="1" x14ac:dyDescent="0.35">
      <c r="A289" s="117">
        <v>288</v>
      </c>
      <c r="B289" s="122" t="s">
        <v>519</v>
      </c>
      <c r="C289" s="118" t="s">
        <v>150</v>
      </c>
      <c r="D289" s="118"/>
      <c r="E289" s="118" t="s">
        <v>520</v>
      </c>
      <c r="F289" s="119"/>
      <c r="G289" s="118"/>
      <c r="H289" s="120"/>
      <c r="I289" s="121"/>
      <c r="J289" s="123" t="s">
        <v>3773</v>
      </c>
      <c r="K289" s="110" t="s">
        <v>3767</v>
      </c>
      <c r="L289" s="110" t="s">
        <v>3781</v>
      </c>
      <c r="M289" s="111"/>
      <c r="N289" s="111"/>
      <c r="O289" s="111"/>
      <c r="P289" s="112" t="s">
        <v>3290</v>
      </c>
      <c r="Q289" s="112" t="s">
        <v>3464</v>
      </c>
      <c r="R289" s="112" t="s">
        <v>3670</v>
      </c>
      <c r="S289" s="144">
        <v>1749.48</v>
      </c>
      <c r="T289" s="111">
        <v>127.05</v>
      </c>
      <c r="U289" s="144">
        <v>1622.43</v>
      </c>
    </row>
    <row r="290" spans="1:21" ht="15" thickBot="1" x14ac:dyDescent="0.35">
      <c r="A290" s="117">
        <v>289</v>
      </c>
      <c r="B290" s="118" t="s">
        <v>521</v>
      </c>
      <c r="C290" s="118" t="s">
        <v>107</v>
      </c>
      <c r="D290" s="118" t="s">
        <v>2918</v>
      </c>
      <c r="E290" s="118" t="s">
        <v>278</v>
      </c>
      <c r="F290" s="119"/>
      <c r="G290" s="118"/>
      <c r="H290" s="120"/>
      <c r="I290" s="121"/>
      <c r="J290" s="110" t="s">
        <v>2063</v>
      </c>
      <c r="K290" s="110" t="s">
        <v>1403</v>
      </c>
      <c r="L290" s="110" t="s">
        <v>3781</v>
      </c>
      <c r="M290" s="111" t="s">
        <v>1632</v>
      </c>
      <c r="N290" s="111" t="s">
        <v>1714</v>
      </c>
      <c r="O290" s="111" t="s">
        <v>1715</v>
      </c>
      <c r="P290" s="112" t="s">
        <v>1632</v>
      </c>
      <c r="Q290" s="112" t="s">
        <v>1714</v>
      </c>
      <c r="R290" s="112" t="s">
        <v>1715</v>
      </c>
      <c r="S290" s="144">
        <v>3902.47</v>
      </c>
      <c r="T290" s="111">
        <v>356.88</v>
      </c>
      <c r="U290" s="144">
        <v>3545.59</v>
      </c>
    </row>
    <row r="291" spans="1:21" ht="15" thickBot="1" x14ac:dyDescent="0.35">
      <c r="A291" s="117">
        <v>290</v>
      </c>
      <c r="B291" s="118" t="s">
        <v>522</v>
      </c>
      <c r="C291" s="118" t="s">
        <v>150</v>
      </c>
      <c r="D291" s="118" t="s">
        <v>2919</v>
      </c>
      <c r="E291" s="118" t="s">
        <v>223</v>
      </c>
      <c r="F291" s="119"/>
      <c r="G291" s="118"/>
      <c r="H291" s="120"/>
      <c r="I291" s="121"/>
      <c r="J291" s="110" t="s">
        <v>2064</v>
      </c>
      <c r="K291" s="110" t="s">
        <v>1403</v>
      </c>
      <c r="L291" s="110" t="s">
        <v>3781</v>
      </c>
      <c r="M291" s="111" t="s">
        <v>2065</v>
      </c>
      <c r="N291" s="111" t="s">
        <v>2066</v>
      </c>
      <c r="O291" s="111" t="s">
        <v>2067</v>
      </c>
      <c r="P291" s="112" t="s">
        <v>3248</v>
      </c>
      <c r="Q291" s="112" t="s">
        <v>3407</v>
      </c>
      <c r="R291" s="112" t="s">
        <v>3607</v>
      </c>
      <c r="S291" s="144">
        <v>2221.4299999999998</v>
      </c>
      <c r="T291" s="111">
        <v>175.6</v>
      </c>
      <c r="U291" s="144">
        <v>2045.83</v>
      </c>
    </row>
    <row r="292" spans="1:21" ht="15" thickBot="1" x14ac:dyDescent="0.35">
      <c r="A292" s="117">
        <v>291</v>
      </c>
      <c r="B292" s="118" t="s">
        <v>523</v>
      </c>
      <c r="C292" s="118" t="s">
        <v>150</v>
      </c>
      <c r="D292" s="118" t="s">
        <v>2920</v>
      </c>
      <c r="E292" s="118" t="s">
        <v>168</v>
      </c>
      <c r="F292" s="119"/>
      <c r="G292" s="118"/>
      <c r="H292" s="120"/>
      <c r="I292" s="121"/>
      <c r="J292" s="110" t="s">
        <v>2068</v>
      </c>
      <c r="K292" s="110" t="s">
        <v>1403</v>
      </c>
      <c r="L292" s="110" t="s">
        <v>3781</v>
      </c>
      <c r="M292" s="111" t="s">
        <v>2069</v>
      </c>
      <c r="N292" s="111" t="s">
        <v>2070</v>
      </c>
      <c r="O292" s="111" t="s">
        <v>2071</v>
      </c>
      <c r="P292" s="112" t="s">
        <v>3228</v>
      </c>
      <c r="Q292" s="112" t="s">
        <v>3411</v>
      </c>
      <c r="R292" s="112" t="s">
        <v>3611</v>
      </c>
      <c r="S292" s="144">
        <v>2161.8000000000002</v>
      </c>
      <c r="T292" s="111">
        <v>170.24</v>
      </c>
      <c r="U292" s="144">
        <v>1991.56</v>
      </c>
    </row>
    <row r="293" spans="1:21" ht="15" thickBot="1" x14ac:dyDescent="0.35">
      <c r="A293" s="117">
        <v>292</v>
      </c>
      <c r="B293" s="118" t="s">
        <v>524</v>
      </c>
      <c r="C293" s="118" t="s">
        <v>150</v>
      </c>
      <c r="D293" s="118" t="s">
        <v>2921</v>
      </c>
      <c r="E293" s="118" t="s">
        <v>159</v>
      </c>
      <c r="F293" s="119"/>
      <c r="G293" s="118"/>
      <c r="H293" s="120"/>
      <c r="I293" s="121"/>
      <c r="J293" s="110" t="s">
        <v>2072</v>
      </c>
      <c r="K293" s="110" t="s">
        <v>1403</v>
      </c>
      <c r="L293" s="110" t="s">
        <v>3781</v>
      </c>
      <c r="M293" s="111" t="s">
        <v>1437</v>
      </c>
      <c r="N293" s="111" t="s">
        <v>1438</v>
      </c>
      <c r="O293" s="111" t="s">
        <v>1439</v>
      </c>
      <c r="P293" s="112" t="s">
        <v>3291</v>
      </c>
      <c r="Q293" s="112" t="s">
        <v>3411</v>
      </c>
      <c r="R293" s="112" t="s">
        <v>3671</v>
      </c>
      <c r="S293" s="144">
        <v>1992.81</v>
      </c>
      <c r="T293" s="111">
        <v>612.09</v>
      </c>
      <c r="U293" s="144">
        <v>1380.72</v>
      </c>
    </row>
    <row r="294" spans="1:21" ht="15" thickBot="1" x14ac:dyDescent="0.35">
      <c r="A294" s="117">
        <v>293</v>
      </c>
      <c r="B294" s="118" t="s">
        <v>525</v>
      </c>
      <c r="C294" s="118" t="s">
        <v>179</v>
      </c>
      <c r="D294" s="118" t="s">
        <v>2922</v>
      </c>
      <c r="E294" s="118" t="s">
        <v>317</v>
      </c>
      <c r="F294" s="119"/>
      <c r="G294" s="118"/>
      <c r="H294" s="120"/>
      <c r="I294" s="121"/>
      <c r="J294" s="110" t="s">
        <v>2073</v>
      </c>
      <c r="K294" s="110" t="s">
        <v>1403</v>
      </c>
      <c r="L294" s="110" t="s">
        <v>3781</v>
      </c>
      <c r="M294" s="111" t="s">
        <v>2074</v>
      </c>
      <c r="N294" s="111" t="s">
        <v>2075</v>
      </c>
      <c r="O294" s="111" t="s">
        <v>2076</v>
      </c>
      <c r="P294" s="112" t="s">
        <v>1694</v>
      </c>
      <c r="Q294" s="112" t="s">
        <v>2036</v>
      </c>
      <c r="R294" s="112" t="s">
        <v>2037</v>
      </c>
      <c r="S294" s="144">
        <v>5136</v>
      </c>
      <c r="T294" s="111">
        <v>546.08000000000004</v>
      </c>
      <c r="U294" s="144">
        <v>4589.92</v>
      </c>
    </row>
    <row r="295" spans="1:21" ht="15" thickBot="1" x14ac:dyDescent="0.35">
      <c r="A295" s="117">
        <v>294</v>
      </c>
      <c r="B295" s="118" t="s">
        <v>526</v>
      </c>
      <c r="C295" s="118" t="s">
        <v>214</v>
      </c>
      <c r="D295" s="118" t="s">
        <v>2923</v>
      </c>
      <c r="E295" s="118" t="s">
        <v>161</v>
      </c>
      <c r="F295" s="119"/>
      <c r="G295" s="118"/>
      <c r="H295" s="120"/>
      <c r="I295" s="121"/>
      <c r="J295" s="110" t="s">
        <v>2077</v>
      </c>
      <c r="K295" s="110" t="s">
        <v>1403</v>
      </c>
      <c r="L295" s="110" t="s">
        <v>3781</v>
      </c>
      <c r="M295" s="111" t="s">
        <v>1418</v>
      </c>
      <c r="N295" s="111" t="s">
        <v>1419</v>
      </c>
      <c r="O295" s="111" t="s">
        <v>1420</v>
      </c>
      <c r="P295" s="112" t="s">
        <v>3214</v>
      </c>
      <c r="Q295" s="112" t="s">
        <v>3366</v>
      </c>
      <c r="R295" s="112" t="s">
        <v>3563</v>
      </c>
      <c r="S295" s="144">
        <v>5700.71</v>
      </c>
      <c r="T295" s="111">
        <v>871.99</v>
      </c>
      <c r="U295" s="144">
        <v>4828.72</v>
      </c>
    </row>
    <row r="296" spans="1:21" ht="15" thickBot="1" x14ac:dyDescent="0.35">
      <c r="A296" s="117">
        <v>295</v>
      </c>
      <c r="B296" s="118" t="s">
        <v>527</v>
      </c>
      <c r="C296" s="118" t="s">
        <v>150</v>
      </c>
      <c r="D296" s="118" t="s">
        <v>2924</v>
      </c>
      <c r="E296" s="118" t="s">
        <v>278</v>
      </c>
      <c r="F296" s="119"/>
      <c r="G296" s="118"/>
      <c r="H296" s="120"/>
      <c r="I296" s="121"/>
      <c r="J296" s="110" t="s">
        <v>2078</v>
      </c>
      <c r="K296" s="110" t="s">
        <v>1403</v>
      </c>
      <c r="L296" s="110" t="s">
        <v>3781</v>
      </c>
      <c r="M296" s="111" t="s">
        <v>1422</v>
      </c>
      <c r="N296" s="111" t="s">
        <v>1400</v>
      </c>
      <c r="O296" s="111" t="s">
        <v>1423</v>
      </c>
      <c r="P296" s="112" t="s">
        <v>1671</v>
      </c>
      <c r="Q296" s="112" t="s">
        <v>1534</v>
      </c>
      <c r="R296" s="112" t="s">
        <v>1672</v>
      </c>
      <c r="S296" s="144">
        <v>1909.03</v>
      </c>
      <c r="T296" s="111">
        <v>141.41</v>
      </c>
      <c r="U296" s="144">
        <v>1767.62</v>
      </c>
    </row>
    <row r="297" spans="1:21" ht="15" thickBot="1" x14ac:dyDescent="0.35">
      <c r="A297" s="117">
        <v>296</v>
      </c>
      <c r="B297" s="118" t="s">
        <v>528</v>
      </c>
      <c r="C297" s="118" t="s">
        <v>216</v>
      </c>
      <c r="D297" s="118" t="s">
        <v>2925</v>
      </c>
      <c r="E297" s="118" t="s">
        <v>270</v>
      </c>
      <c r="F297" s="119"/>
      <c r="G297" s="118"/>
      <c r="H297" s="120"/>
      <c r="I297" s="121"/>
      <c r="J297" s="110" t="s">
        <v>2079</v>
      </c>
      <c r="K297" s="110" t="s">
        <v>1403</v>
      </c>
      <c r="L297" s="110" t="s">
        <v>3781</v>
      </c>
      <c r="M297" s="111" t="s">
        <v>1836</v>
      </c>
      <c r="N297" s="111" t="s">
        <v>1837</v>
      </c>
      <c r="O297" s="111" t="s">
        <v>1838</v>
      </c>
      <c r="P297" s="112" t="s">
        <v>3292</v>
      </c>
      <c r="Q297" s="112" t="s">
        <v>3468</v>
      </c>
      <c r="R297" s="112" t="s">
        <v>3672</v>
      </c>
      <c r="S297" s="144">
        <v>4985.7700000000004</v>
      </c>
      <c r="T297" s="111">
        <v>499.51</v>
      </c>
      <c r="U297" s="144">
        <v>4486.26</v>
      </c>
    </row>
    <row r="298" spans="1:21" ht="15" thickBot="1" x14ac:dyDescent="0.35">
      <c r="A298" s="117">
        <v>297</v>
      </c>
      <c r="B298" s="118" t="s">
        <v>529</v>
      </c>
      <c r="C298" s="118" t="s">
        <v>260</v>
      </c>
      <c r="D298" s="118" t="s">
        <v>2926</v>
      </c>
      <c r="E298" s="118" t="s">
        <v>234</v>
      </c>
      <c r="F298" s="119"/>
      <c r="G298" s="118"/>
      <c r="H298" s="120"/>
      <c r="I298" s="121"/>
      <c r="J298" s="110" t="s">
        <v>2080</v>
      </c>
      <c r="K298" s="110" t="s">
        <v>1403</v>
      </c>
      <c r="L298" s="110" t="s">
        <v>3831</v>
      </c>
      <c r="M298" s="111" t="s">
        <v>1927</v>
      </c>
      <c r="N298" s="111" t="s">
        <v>1600</v>
      </c>
      <c r="O298" s="111" t="s">
        <v>2081</v>
      </c>
      <c r="P298" s="112" t="s">
        <v>1927</v>
      </c>
      <c r="Q298" s="112" t="s">
        <v>1600</v>
      </c>
      <c r="R298" s="112" t="s">
        <v>2081</v>
      </c>
      <c r="S298" s="144">
        <v>4854.99</v>
      </c>
      <c r="T298" s="144">
        <v>4854.99</v>
      </c>
      <c r="U298" s="111">
        <v>0</v>
      </c>
    </row>
    <row r="299" spans="1:21" ht="15" thickBot="1" x14ac:dyDescent="0.35">
      <c r="A299" s="117">
        <v>298</v>
      </c>
      <c r="B299" s="118" t="s">
        <v>530</v>
      </c>
      <c r="C299" s="118" t="s">
        <v>150</v>
      </c>
      <c r="D299" s="118" t="s">
        <v>2927</v>
      </c>
      <c r="E299" s="118" t="s">
        <v>161</v>
      </c>
      <c r="F299" s="119"/>
      <c r="G299" s="118"/>
      <c r="H299" s="120"/>
      <c r="I299" s="121"/>
      <c r="J299" s="110" t="s">
        <v>2082</v>
      </c>
      <c r="K299" s="110" t="s">
        <v>1403</v>
      </c>
      <c r="L299" s="110" t="s">
        <v>3781</v>
      </c>
      <c r="M299" s="111" t="s">
        <v>1399</v>
      </c>
      <c r="N299" s="111" t="s">
        <v>1400</v>
      </c>
      <c r="O299" s="111" t="s">
        <v>1401</v>
      </c>
      <c r="P299" s="112" t="s">
        <v>1570</v>
      </c>
      <c r="Q299" s="112" t="s">
        <v>1534</v>
      </c>
      <c r="R299" s="112" t="s">
        <v>1571</v>
      </c>
      <c r="S299" s="144">
        <v>1681.94</v>
      </c>
      <c r="T299" s="111">
        <v>127.05</v>
      </c>
      <c r="U299" s="144">
        <v>1554.89</v>
      </c>
    </row>
    <row r="300" spans="1:21" ht="15" thickBot="1" x14ac:dyDescent="0.35">
      <c r="A300" s="117">
        <v>299</v>
      </c>
      <c r="B300" s="118" t="s">
        <v>531</v>
      </c>
      <c r="C300" s="118" t="s">
        <v>233</v>
      </c>
      <c r="D300" s="118" t="s">
        <v>2928</v>
      </c>
      <c r="E300" s="118" t="s">
        <v>385</v>
      </c>
      <c r="F300" s="119"/>
      <c r="G300" s="118"/>
      <c r="H300" s="120"/>
      <c r="I300" s="121"/>
      <c r="J300" s="110" t="s">
        <v>2083</v>
      </c>
      <c r="K300" s="110" t="s">
        <v>1403</v>
      </c>
      <c r="L300" s="110" t="s">
        <v>3781</v>
      </c>
      <c r="M300" s="111" t="s">
        <v>1539</v>
      </c>
      <c r="N300" s="111" t="s">
        <v>1540</v>
      </c>
      <c r="O300" s="111" t="s">
        <v>1541</v>
      </c>
      <c r="P300" s="112" t="s">
        <v>1539</v>
      </c>
      <c r="Q300" s="112" t="s">
        <v>1540</v>
      </c>
      <c r="R300" s="112" t="s">
        <v>1541</v>
      </c>
      <c r="S300" s="144">
        <v>2800</v>
      </c>
      <c r="T300" s="111">
        <v>227.68</v>
      </c>
      <c r="U300" s="144">
        <v>2572.3200000000002</v>
      </c>
    </row>
    <row r="301" spans="1:21" ht="15" thickBot="1" x14ac:dyDescent="0.35">
      <c r="A301" s="117">
        <v>300</v>
      </c>
      <c r="B301" s="118" t="s">
        <v>532</v>
      </c>
      <c r="C301" s="118" t="s">
        <v>253</v>
      </c>
      <c r="D301" s="118" t="s">
        <v>2929</v>
      </c>
      <c r="E301" s="118" t="s">
        <v>200</v>
      </c>
      <c r="F301" s="119"/>
      <c r="G301" s="118"/>
      <c r="H301" s="120"/>
      <c r="I301" s="121"/>
      <c r="J301" s="110" t="s">
        <v>2084</v>
      </c>
      <c r="K301" s="110" t="s">
        <v>1403</v>
      </c>
      <c r="L301" s="110" t="s">
        <v>3781</v>
      </c>
      <c r="M301" s="111" t="s">
        <v>1570</v>
      </c>
      <c r="N301" s="111" t="s">
        <v>2085</v>
      </c>
      <c r="O301" s="111" t="s">
        <v>2086</v>
      </c>
      <c r="P301" s="112" t="s">
        <v>1570</v>
      </c>
      <c r="Q301" s="112" t="s">
        <v>1534</v>
      </c>
      <c r="R301" s="112" t="s">
        <v>1571</v>
      </c>
      <c r="S301" s="144">
        <v>1718.84</v>
      </c>
      <c r="T301" s="111">
        <v>130.37</v>
      </c>
      <c r="U301" s="144">
        <v>1588.47</v>
      </c>
    </row>
    <row r="302" spans="1:21" ht="15" thickBot="1" x14ac:dyDescent="0.35">
      <c r="A302" s="117">
        <v>301</v>
      </c>
      <c r="B302" s="118" t="s">
        <v>533</v>
      </c>
      <c r="C302" s="118" t="s">
        <v>534</v>
      </c>
      <c r="D302" s="118" t="s">
        <v>2930</v>
      </c>
      <c r="E302" s="118" t="s">
        <v>191</v>
      </c>
      <c r="F302" s="119"/>
      <c r="G302" s="118"/>
      <c r="H302" s="120"/>
      <c r="I302" s="121"/>
      <c r="J302" s="110" t="s">
        <v>2087</v>
      </c>
      <c r="K302" s="110" t="s">
        <v>1403</v>
      </c>
      <c r="L302" s="110" t="s">
        <v>3781</v>
      </c>
      <c r="M302" s="111" t="s">
        <v>1694</v>
      </c>
      <c r="N302" s="111" t="s">
        <v>1695</v>
      </c>
      <c r="O302" s="111" t="s">
        <v>1696</v>
      </c>
      <c r="P302" s="112" t="s">
        <v>1694</v>
      </c>
      <c r="Q302" s="112" t="s">
        <v>1695</v>
      </c>
      <c r="R302" s="112" t="s">
        <v>1696</v>
      </c>
      <c r="S302" s="144">
        <v>6187.78</v>
      </c>
      <c r="T302" s="144">
        <v>1122.31</v>
      </c>
      <c r="U302" s="144">
        <v>5065.47</v>
      </c>
    </row>
    <row r="303" spans="1:21" ht="15" thickBot="1" x14ac:dyDescent="0.35">
      <c r="A303" s="117">
        <v>302</v>
      </c>
      <c r="B303" s="118" t="s">
        <v>535</v>
      </c>
      <c r="C303" s="118" t="s">
        <v>150</v>
      </c>
      <c r="D303" s="118" t="s">
        <v>2931</v>
      </c>
      <c r="E303" s="118" t="s">
        <v>163</v>
      </c>
      <c r="F303" s="119"/>
      <c r="G303" s="118"/>
      <c r="H303" s="120"/>
      <c r="I303" s="121"/>
      <c r="J303" s="110" t="s">
        <v>2088</v>
      </c>
      <c r="K303" s="110" t="s">
        <v>1403</v>
      </c>
      <c r="L303" s="110" t="s">
        <v>3781</v>
      </c>
      <c r="M303" s="111" t="s">
        <v>2089</v>
      </c>
      <c r="N303" s="111" t="s">
        <v>2090</v>
      </c>
      <c r="O303" s="111" t="s">
        <v>2091</v>
      </c>
      <c r="P303" s="112" t="s">
        <v>3293</v>
      </c>
      <c r="Q303" s="112" t="s">
        <v>3469</v>
      </c>
      <c r="R303" s="112" t="s">
        <v>3673</v>
      </c>
      <c r="S303" s="144">
        <v>2127.3200000000002</v>
      </c>
      <c r="T303" s="111">
        <v>167.13</v>
      </c>
      <c r="U303" s="144">
        <v>1960.19</v>
      </c>
    </row>
    <row r="304" spans="1:21" ht="15" thickBot="1" x14ac:dyDescent="0.35">
      <c r="A304" s="117">
        <v>303</v>
      </c>
      <c r="B304" s="118" t="s">
        <v>536</v>
      </c>
      <c r="C304" s="118" t="s">
        <v>158</v>
      </c>
      <c r="D304" s="118" t="s">
        <v>2932</v>
      </c>
      <c r="E304" s="118" t="s">
        <v>177</v>
      </c>
      <c r="F304" s="119"/>
      <c r="G304" s="118"/>
      <c r="H304" s="120"/>
      <c r="I304" s="121"/>
      <c r="J304" s="110" t="s">
        <v>2092</v>
      </c>
      <c r="K304" s="110" t="s">
        <v>1403</v>
      </c>
      <c r="L304" s="110" t="s">
        <v>3781</v>
      </c>
      <c r="M304" s="111" t="s">
        <v>1425</v>
      </c>
      <c r="N304" s="111" t="s">
        <v>1426</v>
      </c>
      <c r="O304" s="111" t="s">
        <v>1427</v>
      </c>
      <c r="P304" s="112" t="s">
        <v>3215</v>
      </c>
      <c r="Q304" s="112" t="s">
        <v>2424</v>
      </c>
      <c r="R304" s="112" t="s">
        <v>3570</v>
      </c>
      <c r="S304" s="144">
        <v>3829.88</v>
      </c>
      <c r="T304" s="111">
        <v>348.17</v>
      </c>
      <c r="U304" s="144">
        <v>3481.71</v>
      </c>
    </row>
    <row r="305" spans="1:21" ht="15" thickBot="1" x14ac:dyDescent="0.35">
      <c r="A305" s="117">
        <v>304</v>
      </c>
      <c r="B305" s="118" t="s">
        <v>537</v>
      </c>
      <c r="C305" s="118" t="s">
        <v>538</v>
      </c>
      <c r="D305" s="118" t="s">
        <v>2933</v>
      </c>
      <c r="E305" s="118" t="s">
        <v>272</v>
      </c>
      <c r="F305" s="119"/>
      <c r="G305" s="118"/>
      <c r="H305" s="120"/>
      <c r="I305" s="121"/>
      <c r="J305" s="110" t="s">
        <v>2093</v>
      </c>
      <c r="K305" s="110" t="s">
        <v>1403</v>
      </c>
      <c r="L305" s="110" t="s">
        <v>3781</v>
      </c>
      <c r="M305" s="111" t="s">
        <v>1545</v>
      </c>
      <c r="N305" s="111" t="s">
        <v>1546</v>
      </c>
      <c r="O305" s="111" t="s">
        <v>1547</v>
      </c>
      <c r="P305" s="112" t="s">
        <v>1545</v>
      </c>
      <c r="Q305" s="112" t="s">
        <v>1546</v>
      </c>
      <c r="R305" s="112" t="s">
        <v>1547</v>
      </c>
      <c r="S305" s="144">
        <v>6605.58</v>
      </c>
      <c r="T305" s="144">
        <v>1335.24</v>
      </c>
      <c r="U305" s="144">
        <v>5270.34</v>
      </c>
    </row>
    <row r="306" spans="1:21" ht="15" thickBot="1" x14ac:dyDescent="0.35">
      <c r="A306" s="117">
        <v>305</v>
      </c>
      <c r="B306" s="118" t="s">
        <v>539</v>
      </c>
      <c r="C306" s="118" t="s">
        <v>150</v>
      </c>
      <c r="D306" s="118" t="s">
        <v>2934</v>
      </c>
      <c r="E306" s="118" t="s">
        <v>161</v>
      </c>
      <c r="F306" s="119"/>
      <c r="G306" s="118"/>
      <c r="H306" s="120"/>
      <c r="I306" s="121"/>
      <c r="J306" s="110" t="s">
        <v>2094</v>
      </c>
      <c r="K306" s="110" t="s">
        <v>1403</v>
      </c>
      <c r="L306" s="110" t="s">
        <v>3781</v>
      </c>
      <c r="M306" s="111" t="s">
        <v>1666</v>
      </c>
      <c r="N306" s="111" t="s">
        <v>1667</v>
      </c>
      <c r="O306" s="111" t="s">
        <v>1668</v>
      </c>
      <c r="P306" s="112" t="s">
        <v>3248</v>
      </c>
      <c r="Q306" s="112" t="s">
        <v>3407</v>
      </c>
      <c r="R306" s="112" t="s">
        <v>3607</v>
      </c>
      <c r="S306" s="144">
        <v>1940.07</v>
      </c>
      <c r="T306" s="111">
        <v>150.28</v>
      </c>
      <c r="U306" s="144">
        <v>1789.79</v>
      </c>
    </row>
    <row r="307" spans="1:21" ht="15" thickBot="1" x14ac:dyDescent="0.35">
      <c r="A307" s="117">
        <v>306</v>
      </c>
      <c r="B307" s="118" t="s">
        <v>540</v>
      </c>
      <c r="C307" s="118" t="s">
        <v>179</v>
      </c>
      <c r="D307" s="118" t="s">
        <v>2935</v>
      </c>
      <c r="E307" s="118" t="s">
        <v>317</v>
      </c>
      <c r="F307" s="119"/>
      <c r="G307" s="118"/>
      <c r="H307" s="120"/>
      <c r="I307" s="121"/>
      <c r="J307" s="110" t="s">
        <v>2095</v>
      </c>
      <c r="K307" s="110" t="s">
        <v>1403</v>
      </c>
      <c r="L307" s="110" t="s">
        <v>3781</v>
      </c>
      <c r="M307" s="111" t="s">
        <v>1694</v>
      </c>
      <c r="N307" s="111" t="s">
        <v>1695</v>
      </c>
      <c r="O307" s="111" t="s">
        <v>1696</v>
      </c>
      <c r="P307" s="112" t="s">
        <v>1694</v>
      </c>
      <c r="Q307" s="112" t="s">
        <v>1695</v>
      </c>
      <c r="R307" s="112" t="s">
        <v>1696</v>
      </c>
      <c r="S307" s="144">
        <v>5740.7</v>
      </c>
      <c r="T307" s="111">
        <v>893.91</v>
      </c>
      <c r="U307" s="144">
        <v>4846.79</v>
      </c>
    </row>
    <row r="308" spans="1:21" ht="15" thickBot="1" x14ac:dyDescent="0.35">
      <c r="A308" s="117">
        <v>307</v>
      </c>
      <c r="B308" s="118" t="s">
        <v>541</v>
      </c>
      <c r="C308" s="118" t="s">
        <v>179</v>
      </c>
      <c r="D308" s="118" t="s">
        <v>2936</v>
      </c>
      <c r="E308" s="118" t="s">
        <v>305</v>
      </c>
      <c r="F308" s="119"/>
      <c r="G308" s="118"/>
      <c r="H308" s="120"/>
      <c r="I308" s="121"/>
      <c r="J308" s="110" t="s">
        <v>2096</v>
      </c>
      <c r="K308" s="110" t="s">
        <v>1403</v>
      </c>
      <c r="L308" s="110" t="s">
        <v>3781</v>
      </c>
      <c r="M308" s="111" t="s">
        <v>1509</v>
      </c>
      <c r="N308" s="111" t="s">
        <v>1510</v>
      </c>
      <c r="O308" s="111" t="s">
        <v>1511</v>
      </c>
      <c r="P308" s="112" t="s">
        <v>3294</v>
      </c>
      <c r="Q308" s="112" t="s">
        <v>3470</v>
      </c>
      <c r="R308" s="112" t="s">
        <v>3674</v>
      </c>
      <c r="S308" s="144">
        <v>4846.01</v>
      </c>
      <c r="T308" s="111">
        <v>479.94</v>
      </c>
      <c r="U308" s="144">
        <v>4366.07</v>
      </c>
    </row>
    <row r="309" spans="1:21" ht="15" thickBot="1" x14ac:dyDescent="0.35">
      <c r="A309" s="117">
        <v>308</v>
      </c>
      <c r="B309" s="118" t="s">
        <v>542</v>
      </c>
      <c r="C309" s="118" t="s">
        <v>253</v>
      </c>
      <c r="D309" s="118" t="s">
        <v>2937</v>
      </c>
      <c r="E309" s="118" t="s">
        <v>322</v>
      </c>
      <c r="F309" s="119"/>
      <c r="G309" s="118"/>
      <c r="H309" s="120"/>
      <c r="I309" s="121"/>
      <c r="J309" s="110" t="s">
        <v>2097</v>
      </c>
      <c r="K309" s="110" t="s">
        <v>1403</v>
      </c>
      <c r="L309" s="110" t="s">
        <v>3781</v>
      </c>
      <c r="M309" s="111" t="s">
        <v>1570</v>
      </c>
      <c r="N309" s="111" t="s">
        <v>1534</v>
      </c>
      <c r="O309" s="111" t="s">
        <v>1571</v>
      </c>
      <c r="P309" s="112" t="s">
        <v>1570</v>
      </c>
      <c r="Q309" s="112" t="s">
        <v>1534</v>
      </c>
      <c r="R309" s="112" t="s">
        <v>1571</v>
      </c>
      <c r="S309" s="144">
        <v>1896.88</v>
      </c>
      <c r="T309" s="111">
        <v>146.38999999999999</v>
      </c>
      <c r="U309" s="144">
        <v>1750.49</v>
      </c>
    </row>
    <row r="310" spans="1:21" ht="15" thickBot="1" x14ac:dyDescent="0.35">
      <c r="A310" s="117">
        <v>309</v>
      </c>
      <c r="B310" s="118" t="s">
        <v>543</v>
      </c>
      <c r="C310" s="118" t="s">
        <v>158</v>
      </c>
      <c r="D310" s="118" t="s">
        <v>2938</v>
      </c>
      <c r="E310" s="118" t="s">
        <v>159</v>
      </c>
      <c r="F310" s="119"/>
      <c r="G310" s="118"/>
      <c r="H310" s="120"/>
      <c r="I310" s="121"/>
      <c r="J310" s="110" t="s">
        <v>2098</v>
      </c>
      <c r="K310" s="110" t="s">
        <v>1398</v>
      </c>
      <c r="L310" s="110" t="s">
        <v>3781</v>
      </c>
      <c r="M310" s="111" t="s">
        <v>1456</v>
      </c>
      <c r="N310" s="111" t="s">
        <v>1457</v>
      </c>
      <c r="O310" s="111" t="s">
        <v>1458</v>
      </c>
      <c r="P310" s="112" t="s">
        <v>3219</v>
      </c>
      <c r="Q310" s="112" t="s">
        <v>3374</v>
      </c>
      <c r="R310" s="112" t="s">
        <v>3572</v>
      </c>
      <c r="S310" s="144">
        <v>3296.83</v>
      </c>
      <c r="T310" s="111">
        <v>284.2</v>
      </c>
      <c r="U310" s="144">
        <v>3012.63</v>
      </c>
    </row>
    <row r="311" spans="1:21" ht="15" thickBot="1" x14ac:dyDescent="0.35">
      <c r="A311" s="117">
        <v>310</v>
      </c>
      <c r="B311" s="118" t="s">
        <v>544</v>
      </c>
      <c r="C311" s="118" t="s">
        <v>179</v>
      </c>
      <c r="D311" s="118" t="s">
        <v>2939</v>
      </c>
      <c r="E311" s="118" t="s">
        <v>185</v>
      </c>
      <c r="F311" s="119"/>
      <c r="G311" s="118"/>
      <c r="H311" s="120"/>
      <c r="I311" s="121"/>
      <c r="J311" s="110" t="s">
        <v>2099</v>
      </c>
      <c r="K311" s="110" t="s">
        <v>1403</v>
      </c>
      <c r="L311" s="110" t="s">
        <v>3781</v>
      </c>
      <c r="M311" s="111" t="s">
        <v>1509</v>
      </c>
      <c r="N311" s="111" t="s">
        <v>2100</v>
      </c>
      <c r="O311" s="111" t="s">
        <v>2101</v>
      </c>
      <c r="P311" s="112" t="s">
        <v>1509</v>
      </c>
      <c r="Q311" s="112" t="s">
        <v>2100</v>
      </c>
      <c r="R311" s="112" t="s">
        <v>2101</v>
      </c>
      <c r="S311" s="144">
        <v>5659.61</v>
      </c>
      <c r="T311" s="144">
        <v>2133.4499999999998</v>
      </c>
      <c r="U311" s="144">
        <v>3526.16</v>
      </c>
    </row>
    <row r="312" spans="1:21" ht="15" thickBot="1" x14ac:dyDescent="0.35">
      <c r="A312" s="117">
        <v>311</v>
      </c>
      <c r="B312" s="118" t="s">
        <v>545</v>
      </c>
      <c r="C312" s="118" t="s">
        <v>248</v>
      </c>
      <c r="D312" s="118" t="s">
        <v>2940</v>
      </c>
      <c r="E312" s="118" t="s">
        <v>546</v>
      </c>
      <c r="F312" s="119"/>
      <c r="G312" s="118"/>
      <c r="H312" s="120"/>
      <c r="I312" s="121"/>
      <c r="J312" s="110" t="s">
        <v>2102</v>
      </c>
      <c r="K312" s="110" t="s">
        <v>1403</v>
      </c>
      <c r="L312" s="110" t="s">
        <v>3781</v>
      </c>
      <c r="M312" s="111" t="s">
        <v>1559</v>
      </c>
      <c r="N312" s="111" t="s">
        <v>1560</v>
      </c>
      <c r="O312" s="111" t="s">
        <v>1561</v>
      </c>
      <c r="P312" s="112" t="s">
        <v>1559</v>
      </c>
      <c r="Q312" s="112" t="s">
        <v>1560</v>
      </c>
      <c r="R312" s="112" t="s">
        <v>1561</v>
      </c>
      <c r="S312" s="144">
        <v>4327</v>
      </c>
      <c r="T312" s="111">
        <v>407.82</v>
      </c>
      <c r="U312" s="144">
        <v>3919.18</v>
      </c>
    </row>
    <row r="313" spans="1:21" ht="15" thickBot="1" x14ac:dyDescent="0.35">
      <c r="A313" s="117">
        <v>312</v>
      </c>
      <c r="B313" s="118" t="s">
        <v>547</v>
      </c>
      <c r="C313" s="118" t="s">
        <v>158</v>
      </c>
      <c r="D313" s="118" t="s">
        <v>2941</v>
      </c>
      <c r="E313" s="118" t="s">
        <v>254</v>
      </c>
      <c r="F313" s="119"/>
      <c r="G313" s="118"/>
      <c r="H313" s="120"/>
      <c r="I313" s="121"/>
      <c r="J313" s="110" t="s">
        <v>2103</v>
      </c>
      <c r="K313" s="110" t="s">
        <v>1403</v>
      </c>
      <c r="L313" s="110" t="s">
        <v>3781</v>
      </c>
      <c r="M313" s="111" t="s">
        <v>1425</v>
      </c>
      <c r="N313" s="111" t="s">
        <v>1426</v>
      </c>
      <c r="O313" s="111" t="s">
        <v>1427</v>
      </c>
      <c r="P313" s="112" t="s">
        <v>3215</v>
      </c>
      <c r="Q313" s="112" t="s">
        <v>2424</v>
      </c>
      <c r="R313" s="112" t="s">
        <v>3570</v>
      </c>
      <c r="S313" s="144">
        <v>3433.34</v>
      </c>
      <c r="T313" s="111">
        <v>300.58999999999997</v>
      </c>
      <c r="U313" s="144">
        <v>3132.75</v>
      </c>
    </row>
    <row r="314" spans="1:21" ht="15" thickBot="1" x14ac:dyDescent="0.35">
      <c r="A314" s="117">
        <v>313</v>
      </c>
      <c r="B314" s="118" t="s">
        <v>548</v>
      </c>
      <c r="C314" s="118" t="s">
        <v>153</v>
      </c>
      <c r="D314" s="118" t="s">
        <v>2942</v>
      </c>
      <c r="E314" s="118" t="s">
        <v>173</v>
      </c>
      <c r="F314" s="119"/>
      <c r="G314" s="118"/>
      <c r="H314" s="120"/>
      <c r="I314" s="121"/>
      <c r="J314" s="110" t="s">
        <v>2104</v>
      </c>
      <c r="K314" s="110" t="s">
        <v>1403</v>
      </c>
      <c r="L314" s="110" t="s">
        <v>3781</v>
      </c>
      <c r="M314" s="111" t="s">
        <v>2105</v>
      </c>
      <c r="N314" s="111" t="s">
        <v>2106</v>
      </c>
      <c r="O314" s="111" t="s">
        <v>2107</v>
      </c>
      <c r="P314" s="112" t="s">
        <v>1792</v>
      </c>
      <c r="Q314" s="112" t="s">
        <v>1793</v>
      </c>
      <c r="R314" s="112" t="s">
        <v>1794</v>
      </c>
      <c r="S314" s="144">
        <v>4739.96</v>
      </c>
      <c r="T314" s="111">
        <v>465.09</v>
      </c>
      <c r="U314" s="144">
        <v>4274.87</v>
      </c>
    </row>
    <row r="315" spans="1:21" ht="15" thickBot="1" x14ac:dyDescent="0.35">
      <c r="A315" s="117">
        <v>314</v>
      </c>
      <c r="B315" s="118" t="s">
        <v>549</v>
      </c>
      <c r="C315" s="118" t="s">
        <v>150</v>
      </c>
      <c r="D315" s="118" t="s">
        <v>2943</v>
      </c>
      <c r="E315" s="118" t="s">
        <v>173</v>
      </c>
      <c r="F315" s="119"/>
      <c r="G315" s="118"/>
      <c r="H315" s="120"/>
      <c r="I315" s="121"/>
      <c r="J315" s="110" t="s">
        <v>2108</v>
      </c>
      <c r="K315" s="110" t="s">
        <v>1403</v>
      </c>
      <c r="L315" s="110" t="s">
        <v>3781</v>
      </c>
      <c r="M315" s="111" t="s">
        <v>1437</v>
      </c>
      <c r="N315" s="111" t="s">
        <v>1438</v>
      </c>
      <c r="O315" s="111" t="s">
        <v>1439</v>
      </c>
      <c r="P315" s="112" t="s">
        <v>3295</v>
      </c>
      <c r="Q315" s="112" t="s">
        <v>3471</v>
      </c>
      <c r="R315" s="112" t="s">
        <v>3675</v>
      </c>
      <c r="S315" s="144">
        <v>1949.27</v>
      </c>
      <c r="T315" s="111">
        <v>145.03</v>
      </c>
      <c r="U315" s="144">
        <v>1804.24</v>
      </c>
    </row>
    <row r="316" spans="1:21" ht="15" thickBot="1" x14ac:dyDescent="0.35">
      <c r="A316" s="117">
        <v>315</v>
      </c>
      <c r="B316" s="118" t="s">
        <v>550</v>
      </c>
      <c r="C316" s="118" t="s">
        <v>253</v>
      </c>
      <c r="D316" s="118" t="s">
        <v>2944</v>
      </c>
      <c r="E316" s="118" t="s">
        <v>284</v>
      </c>
      <c r="F316" s="119"/>
      <c r="G316" s="118"/>
      <c r="H316" s="120"/>
      <c r="I316" s="121"/>
      <c r="J316" s="110" t="s">
        <v>2109</v>
      </c>
      <c r="K316" s="110" t="s">
        <v>1403</v>
      </c>
      <c r="L316" s="110" t="s">
        <v>3781</v>
      </c>
      <c r="M316" s="111" t="s">
        <v>1570</v>
      </c>
      <c r="N316" s="111" t="s">
        <v>1534</v>
      </c>
      <c r="O316" s="111" t="s">
        <v>1571</v>
      </c>
      <c r="P316" s="112" t="s">
        <v>1570</v>
      </c>
      <c r="Q316" s="112" t="s">
        <v>1534</v>
      </c>
      <c r="R316" s="112" t="s">
        <v>1571</v>
      </c>
      <c r="S316" s="144">
        <v>1767.62</v>
      </c>
      <c r="T316" s="111">
        <v>134.76</v>
      </c>
      <c r="U316" s="144">
        <v>1632.86</v>
      </c>
    </row>
    <row r="317" spans="1:21" ht="15" thickBot="1" x14ac:dyDescent="0.35">
      <c r="A317" s="117">
        <v>316</v>
      </c>
      <c r="B317" s="118" t="s">
        <v>551</v>
      </c>
      <c r="C317" s="118" t="s">
        <v>179</v>
      </c>
      <c r="D317" s="118" t="s">
        <v>2945</v>
      </c>
      <c r="E317" s="118" t="s">
        <v>296</v>
      </c>
      <c r="F317" s="119"/>
      <c r="G317" s="118"/>
      <c r="H317" s="120"/>
      <c r="I317" s="121"/>
      <c r="J317" s="110" t="s">
        <v>2110</v>
      </c>
      <c r="K317" s="110" t="s">
        <v>1403</v>
      </c>
      <c r="L317" s="110" t="s">
        <v>3781</v>
      </c>
      <c r="M317" s="111" t="s">
        <v>1509</v>
      </c>
      <c r="N317" s="111" t="s">
        <v>1510</v>
      </c>
      <c r="O317" s="111" t="s">
        <v>1511</v>
      </c>
      <c r="P317" s="112" t="s">
        <v>1509</v>
      </c>
      <c r="Q317" s="112" t="s">
        <v>1510</v>
      </c>
      <c r="R317" s="112" t="s">
        <v>1511</v>
      </c>
      <c r="S317" s="144">
        <v>4631.8599999999997</v>
      </c>
      <c r="T317" s="111">
        <v>449.96</v>
      </c>
      <c r="U317" s="144">
        <v>4181.8999999999996</v>
      </c>
    </row>
    <row r="318" spans="1:21" ht="15" thickBot="1" x14ac:dyDescent="0.35">
      <c r="A318" s="117">
        <v>317</v>
      </c>
      <c r="B318" s="118" t="s">
        <v>552</v>
      </c>
      <c r="C318" s="118" t="s">
        <v>248</v>
      </c>
      <c r="D318" s="118" t="s">
        <v>2946</v>
      </c>
      <c r="E318" s="118" t="s">
        <v>449</v>
      </c>
      <c r="F318" s="119"/>
      <c r="G318" s="118"/>
      <c r="H318" s="120"/>
      <c r="I318" s="121"/>
      <c r="J318" s="110" t="s">
        <v>2111</v>
      </c>
      <c r="K318" s="110" t="s">
        <v>2112</v>
      </c>
      <c r="L318" s="110" t="s">
        <v>3781</v>
      </c>
      <c r="M318" s="111" t="s">
        <v>1559</v>
      </c>
      <c r="N318" s="111" t="s">
        <v>1560</v>
      </c>
      <c r="O318" s="111" t="s">
        <v>1561</v>
      </c>
      <c r="P318" s="112" t="s">
        <v>1559</v>
      </c>
      <c r="Q318" s="112" t="s">
        <v>1560</v>
      </c>
      <c r="R318" s="112" t="s">
        <v>1561</v>
      </c>
      <c r="S318" s="144">
        <v>4344.3</v>
      </c>
      <c r="T318" s="111">
        <v>409.9</v>
      </c>
      <c r="U318" s="144">
        <v>3934.4</v>
      </c>
    </row>
    <row r="319" spans="1:21" ht="15" thickBot="1" x14ac:dyDescent="0.35">
      <c r="A319" s="117">
        <v>318</v>
      </c>
      <c r="B319" s="118" t="s">
        <v>553</v>
      </c>
      <c r="C319" s="118" t="s">
        <v>248</v>
      </c>
      <c r="D319" s="118" t="s">
        <v>2947</v>
      </c>
      <c r="E319" s="118" t="s">
        <v>185</v>
      </c>
      <c r="F319" s="119"/>
      <c r="G319" s="118"/>
      <c r="H319" s="120"/>
      <c r="I319" s="121"/>
      <c r="J319" s="110" t="s">
        <v>2113</v>
      </c>
      <c r="K319" s="110" t="s">
        <v>1403</v>
      </c>
      <c r="L319" s="110" t="s">
        <v>3781</v>
      </c>
      <c r="M319" s="111" t="s">
        <v>1559</v>
      </c>
      <c r="N319" s="111" t="s">
        <v>1560</v>
      </c>
      <c r="O319" s="111" t="s">
        <v>1561</v>
      </c>
      <c r="P319" s="112" t="s">
        <v>1559</v>
      </c>
      <c r="Q319" s="112" t="s">
        <v>1560</v>
      </c>
      <c r="R319" s="112" t="s">
        <v>1561</v>
      </c>
      <c r="S319" s="144">
        <v>4327</v>
      </c>
      <c r="T319" s="111">
        <v>523.77</v>
      </c>
      <c r="U319" s="144">
        <v>3803.23</v>
      </c>
    </row>
    <row r="320" spans="1:21" ht="15" thickBot="1" x14ac:dyDescent="0.35">
      <c r="A320" s="117">
        <v>319</v>
      </c>
      <c r="B320" s="118" t="s">
        <v>554</v>
      </c>
      <c r="C320" s="118" t="s">
        <v>179</v>
      </c>
      <c r="D320" s="118" t="s">
        <v>2948</v>
      </c>
      <c r="E320" s="118" t="s">
        <v>276</v>
      </c>
      <c r="F320" s="119"/>
      <c r="G320" s="118"/>
      <c r="H320" s="120"/>
      <c r="I320" s="121"/>
      <c r="J320" s="110" t="s">
        <v>2114</v>
      </c>
      <c r="K320" s="110" t="s">
        <v>1403</v>
      </c>
      <c r="L320" s="110" t="s">
        <v>3781</v>
      </c>
      <c r="M320" s="111" t="s">
        <v>1509</v>
      </c>
      <c r="N320" s="111" t="s">
        <v>1510</v>
      </c>
      <c r="O320" s="111" t="s">
        <v>1511</v>
      </c>
      <c r="P320" s="112" t="s">
        <v>1509</v>
      </c>
      <c r="Q320" s="112" t="s">
        <v>1510</v>
      </c>
      <c r="R320" s="112" t="s">
        <v>1511</v>
      </c>
      <c r="S320" s="144">
        <v>4311.05</v>
      </c>
      <c r="T320" s="111">
        <v>405.91</v>
      </c>
      <c r="U320" s="144">
        <v>3905.14</v>
      </c>
    </row>
    <row r="321" spans="1:21" ht="15" thickBot="1" x14ac:dyDescent="0.35">
      <c r="A321" s="117">
        <v>320</v>
      </c>
      <c r="B321" s="118" t="s">
        <v>555</v>
      </c>
      <c r="C321" s="118" t="s">
        <v>179</v>
      </c>
      <c r="D321" s="118" t="s">
        <v>2949</v>
      </c>
      <c r="E321" s="118" t="s">
        <v>490</v>
      </c>
      <c r="F321" s="119"/>
      <c r="G321" s="118"/>
      <c r="H321" s="120"/>
      <c r="I321" s="121"/>
      <c r="J321" s="110" t="s">
        <v>2115</v>
      </c>
      <c r="K321" s="110" t="s">
        <v>1403</v>
      </c>
      <c r="L321" s="110" t="s">
        <v>3781</v>
      </c>
      <c r="M321" s="111" t="s">
        <v>1509</v>
      </c>
      <c r="N321" s="111" t="s">
        <v>1510</v>
      </c>
      <c r="O321" s="111" t="s">
        <v>1511</v>
      </c>
      <c r="P321" s="112" t="s">
        <v>1509</v>
      </c>
      <c r="Q321" s="112" t="s">
        <v>3472</v>
      </c>
      <c r="R321" s="112" t="s">
        <v>3676</v>
      </c>
      <c r="S321" s="144">
        <v>4280</v>
      </c>
      <c r="T321" s="111">
        <v>645.16999999999996</v>
      </c>
      <c r="U321" s="144">
        <v>3634.83</v>
      </c>
    </row>
    <row r="322" spans="1:21" ht="15" thickBot="1" x14ac:dyDescent="0.35">
      <c r="A322" s="117">
        <v>321</v>
      </c>
      <c r="B322" s="118" t="s">
        <v>556</v>
      </c>
      <c r="C322" s="118" t="s">
        <v>233</v>
      </c>
      <c r="D322" s="118" t="s">
        <v>2950</v>
      </c>
      <c r="E322" s="118" t="s">
        <v>347</v>
      </c>
      <c r="F322" s="119"/>
      <c r="G322" s="118"/>
      <c r="H322" s="120"/>
      <c r="I322" s="121"/>
      <c r="J322" s="110" t="s">
        <v>2116</v>
      </c>
      <c r="K322" s="110" t="s">
        <v>1403</v>
      </c>
      <c r="L322" s="110" t="s">
        <v>3781</v>
      </c>
      <c r="M322" s="111" t="s">
        <v>1539</v>
      </c>
      <c r="N322" s="111" t="s">
        <v>1540</v>
      </c>
      <c r="O322" s="111" t="s">
        <v>1541</v>
      </c>
      <c r="P322" s="112" t="s">
        <v>1539</v>
      </c>
      <c r="Q322" s="112" t="s">
        <v>1540</v>
      </c>
      <c r="R322" s="112" t="s">
        <v>1541</v>
      </c>
      <c r="S322" s="144">
        <v>2800</v>
      </c>
      <c r="T322" s="111">
        <v>227.68</v>
      </c>
      <c r="U322" s="144">
        <v>2572.3200000000002</v>
      </c>
    </row>
    <row r="323" spans="1:21" ht="15" thickBot="1" x14ac:dyDescent="0.35">
      <c r="A323" s="117">
        <v>322</v>
      </c>
      <c r="B323" s="118" t="s">
        <v>557</v>
      </c>
      <c r="C323" s="118" t="s">
        <v>107</v>
      </c>
      <c r="D323" s="118" t="s">
        <v>2951</v>
      </c>
      <c r="E323" s="118" t="s">
        <v>170</v>
      </c>
      <c r="F323" s="119"/>
      <c r="G323" s="118"/>
      <c r="H323" s="120"/>
      <c r="I323" s="121"/>
      <c r="J323" s="110" t="s">
        <v>2117</v>
      </c>
      <c r="K323" s="110" t="s">
        <v>2118</v>
      </c>
      <c r="L323" s="110" t="s">
        <v>3781</v>
      </c>
      <c r="M323" s="111" t="s">
        <v>2119</v>
      </c>
      <c r="N323" s="111" t="s">
        <v>2120</v>
      </c>
      <c r="O323" s="111" t="s">
        <v>2121</v>
      </c>
      <c r="P323" s="112" t="s">
        <v>1632</v>
      </c>
      <c r="Q323" s="112" t="s">
        <v>1714</v>
      </c>
      <c r="R323" s="112" t="s">
        <v>1715</v>
      </c>
      <c r="S323" s="144">
        <v>3000</v>
      </c>
      <c r="T323" s="111">
        <v>248.58</v>
      </c>
      <c r="U323" s="144">
        <v>2751.42</v>
      </c>
    </row>
    <row r="324" spans="1:21" ht="15" thickBot="1" x14ac:dyDescent="0.35">
      <c r="A324" s="117">
        <v>323</v>
      </c>
      <c r="B324" s="118" t="s">
        <v>558</v>
      </c>
      <c r="C324" s="118" t="s">
        <v>150</v>
      </c>
      <c r="D324" s="118" t="s">
        <v>2952</v>
      </c>
      <c r="E324" s="118" t="s">
        <v>159</v>
      </c>
      <c r="F324" s="119"/>
      <c r="G324" s="118"/>
      <c r="H324" s="120"/>
      <c r="I324" s="121"/>
      <c r="J324" s="110" t="s">
        <v>2122</v>
      </c>
      <c r="K324" s="110" t="s">
        <v>1403</v>
      </c>
      <c r="L324" s="110" t="s">
        <v>3781</v>
      </c>
      <c r="M324" s="111" t="s">
        <v>1399</v>
      </c>
      <c r="N324" s="111" t="s">
        <v>1400</v>
      </c>
      <c r="O324" s="111" t="s">
        <v>1401</v>
      </c>
      <c r="P324" s="112" t="s">
        <v>3296</v>
      </c>
      <c r="Q324" s="112" t="s">
        <v>3473</v>
      </c>
      <c r="R324" s="112" t="s">
        <v>3677</v>
      </c>
      <c r="S324" s="144">
        <v>1855.18</v>
      </c>
      <c r="T324" s="111">
        <v>142.63999999999999</v>
      </c>
      <c r="U324" s="144">
        <v>1712.54</v>
      </c>
    </row>
    <row r="325" spans="1:21" ht="15" thickBot="1" x14ac:dyDescent="0.35">
      <c r="A325" s="117">
        <v>324</v>
      </c>
      <c r="B325" s="118" t="s">
        <v>559</v>
      </c>
      <c r="C325" s="118" t="s">
        <v>158</v>
      </c>
      <c r="D325" s="118" t="s">
        <v>2953</v>
      </c>
      <c r="E325" s="118" t="s">
        <v>168</v>
      </c>
      <c r="F325" s="119"/>
      <c r="G325" s="118"/>
      <c r="H325" s="120"/>
      <c r="I325" s="121"/>
      <c r="J325" s="110" t="s">
        <v>2123</v>
      </c>
      <c r="K325" s="110" t="s">
        <v>1403</v>
      </c>
      <c r="L325" s="110" t="s">
        <v>3781</v>
      </c>
      <c r="M325" s="111" t="s">
        <v>1621</v>
      </c>
      <c r="N325" s="111" t="s">
        <v>1850</v>
      </c>
      <c r="O325" s="111" t="s">
        <v>1851</v>
      </c>
      <c r="P325" s="112" t="s">
        <v>3297</v>
      </c>
      <c r="Q325" s="112" t="s">
        <v>3474</v>
      </c>
      <c r="R325" s="112" t="s">
        <v>3678</v>
      </c>
      <c r="S325" s="144">
        <v>4172.22</v>
      </c>
      <c r="T325" s="111">
        <v>389.25</v>
      </c>
      <c r="U325" s="144">
        <v>3782.97</v>
      </c>
    </row>
    <row r="326" spans="1:21" ht="15" thickBot="1" x14ac:dyDescent="0.35">
      <c r="A326" s="117">
        <v>325</v>
      </c>
      <c r="B326" s="118" t="s">
        <v>560</v>
      </c>
      <c r="C326" s="118" t="s">
        <v>158</v>
      </c>
      <c r="D326" s="118" t="s">
        <v>2954</v>
      </c>
      <c r="E326" s="118" t="s">
        <v>305</v>
      </c>
      <c r="F326" s="119"/>
      <c r="G326" s="118"/>
      <c r="H326" s="120"/>
      <c r="I326" s="121"/>
      <c r="J326" s="110" t="s">
        <v>2124</v>
      </c>
      <c r="K326" s="110" t="s">
        <v>1403</v>
      </c>
      <c r="L326" s="110" t="s">
        <v>3781</v>
      </c>
      <c r="M326" s="111" t="s">
        <v>1425</v>
      </c>
      <c r="N326" s="111" t="s">
        <v>1475</v>
      </c>
      <c r="O326" s="111" t="s">
        <v>1476</v>
      </c>
      <c r="P326" s="112" t="s">
        <v>3215</v>
      </c>
      <c r="Q326" s="112" t="s">
        <v>2424</v>
      </c>
      <c r="R326" s="112" t="s">
        <v>3570</v>
      </c>
      <c r="S326" s="144">
        <v>3433.34</v>
      </c>
      <c r="T326" s="111">
        <v>300.58999999999997</v>
      </c>
      <c r="U326" s="144">
        <v>3132.75</v>
      </c>
    </row>
    <row r="327" spans="1:21" ht="15" thickBot="1" x14ac:dyDescent="0.35">
      <c r="A327" s="117">
        <v>326</v>
      </c>
      <c r="B327" s="118" t="s">
        <v>561</v>
      </c>
      <c r="C327" s="118" t="s">
        <v>248</v>
      </c>
      <c r="D327" s="118" t="s">
        <v>2955</v>
      </c>
      <c r="E327" s="118" t="s">
        <v>170</v>
      </c>
      <c r="F327" s="119"/>
      <c r="G327" s="118"/>
      <c r="H327" s="120"/>
      <c r="I327" s="121"/>
      <c r="J327" s="110" t="s">
        <v>2125</v>
      </c>
      <c r="K327" s="110" t="s">
        <v>1403</v>
      </c>
      <c r="L327" s="110" t="s">
        <v>3781</v>
      </c>
      <c r="M327" s="111" t="s">
        <v>1466</v>
      </c>
      <c r="N327" s="111" t="s">
        <v>1950</v>
      </c>
      <c r="O327" s="111" t="s">
        <v>1951</v>
      </c>
      <c r="P327" s="112" t="s">
        <v>1466</v>
      </c>
      <c r="Q327" s="112" t="s">
        <v>1950</v>
      </c>
      <c r="R327" s="112" t="s">
        <v>1951</v>
      </c>
      <c r="S327" s="144">
        <v>5192.3999999999996</v>
      </c>
      <c r="T327" s="111">
        <v>597.33000000000004</v>
      </c>
      <c r="U327" s="144">
        <v>4595.07</v>
      </c>
    </row>
    <row r="328" spans="1:21" ht="15" thickBot="1" x14ac:dyDescent="0.35">
      <c r="A328" s="117">
        <v>327</v>
      </c>
      <c r="B328" s="118" t="s">
        <v>562</v>
      </c>
      <c r="C328" s="118" t="s">
        <v>214</v>
      </c>
      <c r="D328" s="118" t="s">
        <v>2956</v>
      </c>
      <c r="E328" s="118" t="s">
        <v>161</v>
      </c>
      <c r="F328" s="119"/>
      <c r="G328" s="118"/>
      <c r="H328" s="120"/>
      <c r="I328" s="121"/>
      <c r="J328" s="110" t="s">
        <v>2126</v>
      </c>
      <c r="K328" s="110" t="s">
        <v>1403</v>
      </c>
      <c r="L328" s="110" t="s">
        <v>3781</v>
      </c>
      <c r="M328" s="111" t="s">
        <v>2127</v>
      </c>
      <c r="N328" s="111" t="s">
        <v>2128</v>
      </c>
      <c r="O328" s="111" t="s">
        <v>2129</v>
      </c>
      <c r="P328" s="112" t="s">
        <v>3298</v>
      </c>
      <c r="Q328" s="112" t="s">
        <v>3475</v>
      </c>
      <c r="R328" s="112" t="s">
        <v>3679</v>
      </c>
      <c r="S328" s="144">
        <v>5299.13</v>
      </c>
      <c r="T328" s="111">
        <v>651.86</v>
      </c>
      <c r="U328" s="144">
        <v>4647.2700000000004</v>
      </c>
    </row>
    <row r="329" spans="1:21" ht="15" thickBot="1" x14ac:dyDescent="0.35">
      <c r="A329" s="117">
        <v>328</v>
      </c>
      <c r="B329" s="118" t="s">
        <v>563</v>
      </c>
      <c r="C329" s="118" t="s">
        <v>150</v>
      </c>
      <c r="D329" s="118" t="s">
        <v>2957</v>
      </c>
      <c r="E329" s="118" t="s">
        <v>237</v>
      </c>
      <c r="F329" s="119"/>
      <c r="G329" s="118"/>
      <c r="H329" s="120"/>
      <c r="I329" s="121"/>
      <c r="J329" s="110" t="s">
        <v>2130</v>
      </c>
      <c r="K329" s="110" t="s">
        <v>1403</v>
      </c>
      <c r="L329" s="110" t="s">
        <v>3781</v>
      </c>
      <c r="M329" s="111" t="s">
        <v>1441</v>
      </c>
      <c r="N329" s="111" t="s">
        <v>2131</v>
      </c>
      <c r="O329" s="111" t="s">
        <v>2132</v>
      </c>
      <c r="P329" s="112" t="s">
        <v>1776</v>
      </c>
      <c r="Q329" s="112" t="s">
        <v>3476</v>
      </c>
      <c r="R329" s="112" t="s">
        <v>3680</v>
      </c>
      <c r="S329" s="144">
        <v>1982.51</v>
      </c>
      <c r="T329" s="111">
        <v>464.95</v>
      </c>
      <c r="U329" s="144">
        <v>1517.56</v>
      </c>
    </row>
    <row r="330" spans="1:21" ht="15" thickBot="1" x14ac:dyDescent="0.35">
      <c r="A330" s="117">
        <v>329</v>
      </c>
      <c r="B330" s="118" t="s">
        <v>564</v>
      </c>
      <c r="C330" s="118" t="s">
        <v>233</v>
      </c>
      <c r="D330" s="118" t="s">
        <v>2958</v>
      </c>
      <c r="E330" s="118" t="s">
        <v>234</v>
      </c>
      <c r="F330" s="119"/>
      <c r="G330" s="118"/>
      <c r="H330" s="120"/>
      <c r="I330" s="121"/>
      <c r="J330" s="110" t="s">
        <v>2133</v>
      </c>
      <c r="K330" s="110" t="s">
        <v>1403</v>
      </c>
      <c r="L330" s="110" t="s">
        <v>3781</v>
      </c>
      <c r="M330" s="111" t="s">
        <v>1539</v>
      </c>
      <c r="N330" s="111" t="s">
        <v>1540</v>
      </c>
      <c r="O330" s="111" t="s">
        <v>1541</v>
      </c>
      <c r="P330" s="112" t="s">
        <v>1539</v>
      </c>
      <c r="Q330" s="112" t="s">
        <v>1540</v>
      </c>
      <c r="R330" s="112" t="s">
        <v>1541</v>
      </c>
      <c r="S330" s="144">
        <v>2800</v>
      </c>
      <c r="T330" s="111">
        <v>227.68</v>
      </c>
      <c r="U330" s="144">
        <v>2572.3200000000002</v>
      </c>
    </row>
    <row r="331" spans="1:21" ht="15" thickBot="1" x14ac:dyDescent="0.35">
      <c r="A331" s="117">
        <v>330</v>
      </c>
      <c r="B331" s="118" t="s">
        <v>565</v>
      </c>
      <c r="C331" s="118" t="s">
        <v>216</v>
      </c>
      <c r="D331" s="118" t="s">
        <v>2959</v>
      </c>
      <c r="E331" s="118" t="s">
        <v>267</v>
      </c>
      <c r="F331" s="119"/>
      <c r="G331" s="118"/>
      <c r="H331" s="120"/>
      <c r="I331" s="121"/>
      <c r="J331" s="110" t="s">
        <v>2134</v>
      </c>
      <c r="K331" s="110" t="s">
        <v>1403</v>
      </c>
      <c r="L331" s="110" t="s">
        <v>3781</v>
      </c>
      <c r="M331" s="111" t="s">
        <v>1836</v>
      </c>
      <c r="N331" s="111" t="s">
        <v>1837</v>
      </c>
      <c r="O331" s="111" t="s">
        <v>1838</v>
      </c>
      <c r="P331" s="112" t="s">
        <v>1836</v>
      </c>
      <c r="Q331" s="112" t="s">
        <v>1837</v>
      </c>
      <c r="R331" s="112" t="s">
        <v>1838</v>
      </c>
      <c r="S331" s="144">
        <v>3720</v>
      </c>
      <c r="T331" s="111">
        <v>565.61</v>
      </c>
      <c r="U331" s="144">
        <v>3154.39</v>
      </c>
    </row>
    <row r="332" spans="1:21" ht="15" thickBot="1" x14ac:dyDescent="0.35">
      <c r="A332" s="117">
        <v>331</v>
      </c>
      <c r="B332" s="118" t="s">
        <v>566</v>
      </c>
      <c r="C332" s="118" t="s">
        <v>150</v>
      </c>
      <c r="D332" s="118" t="s">
        <v>2960</v>
      </c>
      <c r="E332" s="118" t="s">
        <v>161</v>
      </c>
      <c r="F332" s="119"/>
      <c r="G332" s="118"/>
      <c r="H332" s="120"/>
      <c r="I332" s="121"/>
      <c r="J332" s="110" t="s">
        <v>2135</v>
      </c>
      <c r="K332" s="110" t="s">
        <v>1403</v>
      </c>
      <c r="L332" s="110" t="s">
        <v>3781</v>
      </c>
      <c r="M332" s="111" t="s">
        <v>2136</v>
      </c>
      <c r="N332" s="111" t="s">
        <v>1528</v>
      </c>
      <c r="O332" s="111" t="s">
        <v>2137</v>
      </c>
      <c r="P332" s="112" t="s">
        <v>3299</v>
      </c>
      <c r="Q332" s="112" t="s">
        <v>3427</v>
      </c>
      <c r="R332" s="112" t="s">
        <v>3681</v>
      </c>
      <c r="S332" s="144">
        <v>1765.7</v>
      </c>
      <c r="T332" s="111">
        <v>128.51</v>
      </c>
      <c r="U332" s="144">
        <v>1637.19</v>
      </c>
    </row>
    <row r="333" spans="1:21" ht="15" thickBot="1" x14ac:dyDescent="0.35">
      <c r="A333" s="117">
        <v>332</v>
      </c>
      <c r="B333" s="118" t="s">
        <v>567</v>
      </c>
      <c r="C333" s="118" t="s">
        <v>260</v>
      </c>
      <c r="D333" s="118" t="s">
        <v>2961</v>
      </c>
      <c r="E333" s="118" t="s">
        <v>159</v>
      </c>
      <c r="F333" s="119"/>
      <c r="G333" s="118"/>
      <c r="H333" s="120"/>
      <c r="I333" s="121"/>
      <c r="J333" s="110" t="s">
        <v>2138</v>
      </c>
      <c r="K333" s="110" t="s">
        <v>1403</v>
      </c>
      <c r="L333" s="110" t="s">
        <v>3781</v>
      </c>
      <c r="M333" s="111" t="s">
        <v>1599</v>
      </c>
      <c r="N333" s="111" t="s">
        <v>1600</v>
      </c>
      <c r="O333" s="111" t="s">
        <v>1601</v>
      </c>
      <c r="P333" s="112" t="s">
        <v>1599</v>
      </c>
      <c r="Q333" s="112" t="s">
        <v>1600</v>
      </c>
      <c r="R333" s="112" t="s">
        <v>1601</v>
      </c>
      <c r="S333" s="144">
        <v>1800</v>
      </c>
      <c r="T333" s="111">
        <v>188.32</v>
      </c>
      <c r="U333" s="144">
        <v>1611.68</v>
      </c>
    </row>
    <row r="334" spans="1:21" ht="15" thickBot="1" x14ac:dyDescent="0.35">
      <c r="A334" s="117">
        <v>333</v>
      </c>
      <c r="B334" s="118" t="s">
        <v>568</v>
      </c>
      <c r="C334" s="118" t="s">
        <v>260</v>
      </c>
      <c r="D334" s="118" t="s">
        <v>2962</v>
      </c>
      <c r="E334" s="118" t="s">
        <v>161</v>
      </c>
      <c r="F334" s="119"/>
      <c r="G334" s="118"/>
      <c r="H334" s="120"/>
      <c r="I334" s="121"/>
      <c r="J334" s="110" t="s">
        <v>2139</v>
      </c>
      <c r="K334" s="110" t="s">
        <v>1403</v>
      </c>
      <c r="L334" s="110" t="s">
        <v>3781</v>
      </c>
      <c r="M334" s="111" t="s">
        <v>2140</v>
      </c>
      <c r="N334" s="111" t="s">
        <v>2141</v>
      </c>
      <c r="O334" s="111" t="s">
        <v>2142</v>
      </c>
      <c r="P334" s="112" t="s">
        <v>3300</v>
      </c>
      <c r="Q334" s="112" t="s">
        <v>3477</v>
      </c>
      <c r="R334" s="112" t="s">
        <v>3682</v>
      </c>
      <c r="S334" s="144">
        <v>2546.48</v>
      </c>
      <c r="T334" s="111">
        <v>204.86</v>
      </c>
      <c r="U334" s="144">
        <v>2341.62</v>
      </c>
    </row>
    <row r="335" spans="1:21" ht="15" thickBot="1" x14ac:dyDescent="0.35">
      <c r="A335" s="117">
        <v>334</v>
      </c>
      <c r="B335" s="118" t="s">
        <v>569</v>
      </c>
      <c r="C335" s="118" t="s">
        <v>158</v>
      </c>
      <c r="D335" s="118" t="s">
        <v>2963</v>
      </c>
      <c r="E335" s="118" t="s">
        <v>163</v>
      </c>
      <c r="F335" s="119"/>
      <c r="G335" s="118"/>
      <c r="H335" s="120"/>
      <c r="I335" s="121"/>
      <c r="J335" s="110" t="s">
        <v>2143</v>
      </c>
      <c r="K335" s="110" t="s">
        <v>1403</v>
      </c>
      <c r="L335" s="110" t="s">
        <v>3781</v>
      </c>
      <c r="M335" s="111" t="s">
        <v>2144</v>
      </c>
      <c r="N335" s="111" t="s">
        <v>2145</v>
      </c>
      <c r="O335" s="111" t="s">
        <v>2146</v>
      </c>
      <c r="P335" s="112" t="s">
        <v>3301</v>
      </c>
      <c r="Q335" s="112" t="s">
        <v>3478</v>
      </c>
      <c r="R335" s="112" t="s">
        <v>3683</v>
      </c>
      <c r="S335" s="144">
        <v>3872.93</v>
      </c>
      <c r="T335" s="111">
        <v>353.34</v>
      </c>
      <c r="U335" s="144">
        <v>3519.59</v>
      </c>
    </row>
    <row r="336" spans="1:21" ht="15" thickBot="1" x14ac:dyDescent="0.35">
      <c r="A336" s="117">
        <v>335</v>
      </c>
      <c r="B336" s="118" t="s">
        <v>570</v>
      </c>
      <c r="C336" s="118" t="s">
        <v>384</v>
      </c>
      <c r="D336" s="118" t="s">
        <v>2964</v>
      </c>
      <c r="E336" s="118" t="s">
        <v>234</v>
      </c>
      <c r="F336" s="119"/>
      <c r="G336" s="118"/>
      <c r="H336" s="120"/>
      <c r="I336" s="121"/>
      <c r="J336" s="110" t="s">
        <v>2147</v>
      </c>
      <c r="K336" s="110" t="s">
        <v>1403</v>
      </c>
      <c r="L336" s="110" t="s">
        <v>3781</v>
      </c>
      <c r="M336" s="111" t="s">
        <v>2148</v>
      </c>
      <c r="N336" s="111" t="s">
        <v>2149</v>
      </c>
      <c r="O336" s="111" t="s">
        <v>2150</v>
      </c>
      <c r="P336" s="112" t="s">
        <v>2148</v>
      </c>
      <c r="Q336" s="112" t="s">
        <v>2149</v>
      </c>
      <c r="R336" s="112" t="s">
        <v>2150</v>
      </c>
      <c r="S336" s="144">
        <v>4766.66</v>
      </c>
      <c r="T336" s="111">
        <v>468.83</v>
      </c>
      <c r="U336" s="144">
        <v>4297.83</v>
      </c>
    </row>
    <row r="337" spans="1:21" ht="15" thickBot="1" x14ac:dyDescent="0.35">
      <c r="A337" s="117">
        <v>336</v>
      </c>
      <c r="B337" s="118" t="s">
        <v>571</v>
      </c>
      <c r="C337" s="118" t="s">
        <v>150</v>
      </c>
      <c r="D337" s="118" t="s">
        <v>2965</v>
      </c>
      <c r="E337" s="118" t="s">
        <v>276</v>
      </c>
      <c r="F337" s="119"/>
      <c r="G337" s="118"/>
      <c r="H337" s="120"/>
      <c r="I337" s="121"/>
      <c r="J337" s="110" t="s">
        <v>2151</v>
      </c>
      <c r="K337" s="110" t="s">
        <v>1403</v>
      </c>
      <c r="L337" s="110" t="s">
        <v>3781</v>
      </c>
      <c r="M337" s="111" t="s">
        <v>1422</v>
      </c>
      <c r="N337" s="111" t="s">
        <v>1400</v>
      </c>
      <c r="O337" s="111" t="s">
        <v>1423</v>
      </c>
      <c r="P337" s="112" t="s">
        <v>1671</v>
      </c>
      <c r="Q337" s="112" t="s">
        <v>1534</v>
      </c>
      <c r="R337" s="112" t="s">
        <v>1672</v>
      </c>
      <c r="S337" s="144">
        <v>1951.89</v>
      </c>
      <c r="T337" s="111">
        <v>145.27000000000001</v>
      </c>
      <c r="U337" s="144">
        <v>1806.62</v>
      </c>
    </row>
    <row r="338" spans="1:21" ht="15" thickBot="1" x14ac:dyDescent="0.35">
      <c r="A338" s="117">
        <v>337</v>
      </c>
      <c r="B338" s="118" t="s">
        <v>572</v>
      </c>
      <c r="C338" s="118" t="s">
        <v>248</v>
      </c>
      <c r="D338" s="118" t="s">
        <v>2966</v>
      </c>
      <c r="E338" s="118" t="s">
        <v>322</v>
      </c>
      <c r="F338" s="119"/>
      <c r="G338" s="118"/>
      <c r="H338" s="120"/>
      <c r="I338" s="121"/>
      <c r="J338" s="110" t="s">
        <v>2152</v>
      </c>
      <c r="K338" s="110" t="s">
        <v>1403</v>
      </c>
      <c r="L338" s="110" t="s">
        <v>3781</v>
      </c>
      <c r="M338" s="111" t="s">
        <v>1559</v>
      </c>
      <c r="N338" s="111" t="s">
        <v>1560</v>
      </c>
      <c r="O338" s="111" t="s">
        <v>1561</v>
      </c>
      <c r="P338" s="112" t="s">
        <v>1559</v>
      </c>
      <c r="Q338" s="112" t="s">
        <v>1560</v>
      </c>
      <c r="R338" s="112" t="s">
        <v>1561</v>
      </c>
      <c r="S338" s="144">
        <v>4327</v>
      </c>
      <c r="T338" s="111">
        <v>407.82</v>
      </c>
      <c r="U338" s="144">
        <v>3919.18</v>
      </c>
    </row>
    <row r="339" spans="1:21" ht="15" thickBot="1" x14ac:dyDescent="0.35">
      <c r="A339" s="117">
        <v>338</v>
      </c>
      <c r="B339" s="118" t="s">
        <v>573</v>
      </c>
      <c r="C339" s="118" t="s">
        <v>150</v>
      </c>
      <c r="D339" s="118" t="s">
        <v>2967</v>
      </c>
      <c r="E339" s="118" t="s">
        <v>315</v>
      </c>
      <c r="F339" s="119"/>
      <c r="G339" s="118"/>
      <c r="H339" s="120"/>
      <c r="I339" s="121"/>
      <c r="J339" s="110" t="s">
        <v>2153</v>
      </c>
      <c r="K339" s="110" t="s">
        <v>1403</v>
      </c>
      <c r="L339" s="110" t="s">
        <v>3781</v>
      </c>
      <c r="M339" s="111" t="s">
        <v>1399</v>
      </c>
      <c r="N339" s="111" t="s">
        <v>1400</v>
      </c>
      <c r="O339" s="111" t="s">
        <v>1401</v>
      </c>
      <c r="P339" s="112" t="s">
        <v>1570</v>
      </c>
      <c r="Q339" s="112" t="s">
        <v>1534</v>
      </c>
      <c r="R339" s="112" t="s">
        <v>1571</v>
      </c>
      <c r="S339" s="144">
        <v>1745.13</v>
      </c>
      <c r="T339" s="111">
        <v>132.74</v>
      </c>
      <c r="U339" s="144">
        <v>1612.39</v>
      </c>
    </row>
    <row r="340" spans="1:21" ht="15" thickBot="1" x14ac:dyDescent="0.35">
      <c r="A340" s="117">
        <v>339</v>
      </c>
      <c r="B340" s="118" t="s">
        <v>574</v>
      </c>
      <c r="C340" s="118" t="s">
        <v>150</v>
      </c>
      <c r="D340" s="118" t="s">
        <v>2968</v>
      </c>
      <c r="E340" s="118" t="s">
        <v>161</v>
      </c>
      <c r="F340" s="119"/>
      <c r="G340" s="118"/>
      <c r="H340" s="120"/>
      <c r="I340" s="121"/>
      <c r="J340" s="110" t="s">
        <v>2154</v>
      </c>
      <c r="K340" s="110" t="s">
        <v>1403</v>
      </c>
      <c r="L340" s="110" t="s">
        <v>3831</v>
      </c>
      <c r="M340" s="111" t="s">
        <v>1527</v>
      </c>
      <c r="N340" s="111" t="s">
        <v>1528</v>
      </c>
      <c r="O340" s="111" t="s">
        <v>1529</v>
      </c>
      <c r="P340" s="112" t="s">
        <v>3302</v>
      </c>
      <c r="Q340" s="112" t="s">
        <v>3479</v>
      </c>
      <c r="R340" s="112" t="s">
        <v>3684</v>
      </c>
      <c r="S340" s="144">
        <v>5896.8</v>
      </c>
      <c r="T340" s="144">
        <v>5896.8</v>
      </c>
      <c r="U340" s="111">
        <v>0</v>
      </c>
    </row>
    <row r="341" spans="1:21" ht="15" thickBot="1" x14ac:dyDescent="0.35">
      <c r="A341" s="117">
        <v>340</v>
      </c>
      <c r="B341" s="118" t="s">
        <v>575</v>
      </c>
      <c r="C341" s="118" t="s">
        <v>158</v>
      </c>
      <c r="D341" s="118" t="s">
        <v>2969</v>
      </c>
      <c r="E341" s="118" t="s">
        <v>234</v>
      </c>
      <c r="F341" s="119"/>
      <c r="G341" s="118"/>
      <c r="H341" s="120"/>
      <c r="I341" s="121"/>
      <c r="J341" s="110" t="s">
        <v>2155</v>
      </c>
      <c r="K341" s="110" t="s">
        <v>1403</v>
      </c>
      <c r="L341" s="110" t="s">
        <v>3781</v>
      </c>
      <c r="M341" s="111" t="s">
        <v>1456</v>
      </c>
      <c r="N341" s="111" t="s">
        <v>2156</v>
      </c>
      <c r="O341" s="111" t="s">
        <v>2157</v>
      </c>
      <c r="P341" s="112" t="s">
        <v>3303</v>
      </c>
      <c r="Q341" s="112" t="s">
        <v>3480</v>
      </c>
      <c r="R341" s="112" t="s">
        <v>3685</v>
      </c>
      <c r="S341" s="144">
        <v>3776.67</v>
      </c>
      <c r="T341" s="111">
        <v>341.78</v>
      </c>
      <c r="U341" s="144">
        <v>3434.89</v>
      </c>
    </row>
    <row r="342" spans="1:21" ht="15" thickBot="1" x14ac:dyDescent="0.35">
      <c r="A342" s="117">
        <v>341</v>
      </c>
      <c r="B342" s="118" t="s">
        <v>576</v>
      </c>
      <c r="C342" s="118" t="s">
        <v>184</v>
      </c>
      <c r="D342" s="118" t="s">
        <v>2970</v>
      </c>
      <c r="E342" s="118" t="s">
        <v>337</v>
      </c>
      <c r="F342" s="119"/>
      <c r="G342" s="118"/>
      <c r="H342" s="120"/>
      <c r="I342" s="121"/>
      <c r="J342" s="110" t="s">
        <v>2158</v>
      </c>
      <c r="K342" s="110" t="s">
        <v>1403</v>
      </c>
      <c r="L342" s="110" t="s">
        <v>3781</v>
      </c>
      <c r="M342" s="111" t="s">
        <v>1451</v>
      </c>
      <c r="N342" s="111" t="s">
        <v>1452</v>
      </c>
      <c r="O342" s="111" t="s">
        <v>1453</v>
      </c>
      <c r="P342" s="112" t="s">
        <v>1451</v>
      </c>
      <c r="Q342" s="112" t="s">
        <v>1452</v>
      </c>
      <c r="R342" s="112" t="s">
        <v>1453</v>
      </c>
      <c r="S342" s="144">
        <v>4178.87</v>
      </c>
      <c r="T342" s="111">
        <v>390.05</v>
      </c>
      <c r="U342" s="144">
        <v>3788.82</v>
      </c>
    </row>
    <row r="343" spans="1:21" ht="15" thickBot="1" x14ac:dyDescent="0.35">
      <c r="A343" s="117">
        <v>342</v>
      </c>
      <c r="B343" s="118" t="s">
        <v>577</v>
      </c>
      <c r="C343" s="118" t="s">
        <v>214</v>
      </c>
      <c r="D343" s="118" t="s">
        <v>2971</v>
      </c>
      <c r="E343" s="118" t="s">
        <v>163</v>
      </c>
      <c r="F343" s="119"/>
      <c r="G343" s="118"/>
      <c r="H343" s="120"/>
      <c r="I343" s="121"/>
      <c r="J343" s="110" t="s">
        <v>2159</v>
      </c>
      <c r="K343" s="110" t="s">
        <v>1403</v>
      </c>
      <c r="L343" s="110" t="s">
        <v>3781</v>
      </c>
      <c r="M343" s="111" t="s">
        <v>2160</v>
      </c>
      <c r="N343" s="111" t="s">
        <v>2161</v>
      </c>
      <c r="O343" s="111" t="s">
        <v>2162</v>
      </c>
      <c r="P343" s="112" t="s">
        <v>3214</v>
      </c>
      <c r="Q343" s="112" t="s">
        <v>3366</v>
      </c>
      <c r="R343" s="112" t="s">
        <v>3563</v>
      </c>
      <c r="S343" s="144">
        <v>5946.26</v>
      </c>
      <c r="T343" s="111">
        <v>999.21</v>
      </c>
      <c r="U343" s="144">
        <v>4947.05</v>
      </c>
    </row>
    <row r="344" spans="1:21" ht="15" thickBot="1" x14ac:dyDescent="0.35">
      <c r="A344" s="117">
        <v>343</v>
      </c>
      <c r="B344" s="118" t="s">
        <v>578</v>
      </c>
      <c r="C344" s="118" t="s">
        <v>150</v>
      </c>
      <c r="D344" s="118" t="s">
        <v>2972</v>
      </c>
      <c r="E344" s="118" t="s">
        <v>163</v>
      </c>
      <c r="F344" s="119"/>
      <c r="G344" s="118"/>
      <c r="H344" s="120"/>
      <c r="I344" s="121"/>
      <c r="J344" s="110" t="s">
        <v>2163</v>
      </c>
      <c r="K344" s="110" t="s">
        <v>1403</v>
      </c>
      <c r="L344" s="110" t="s">
        <v>3781</v>
      </c>
      <c r="M344" s="111" t="s">
        <v>1433</v>
      </c>
      <c r="N344" s="111" t="s">
        <v>1434</v>
      </c>
      <c r="O344" s="111" t="s">
        <v>1435</v>
      </c>
      <c r="P344" s="112" t="s">
        <v>1570</v>
      </c>
      <c r="Q344" s="112" t="s">
        <v>1534</v>
      </c>
      <c r="R344" s="112" t="s">
        <v>1571</v>
      </c>
      <c r="S344" s="144">
        <v>1792.88</v>
      </c>
      <c r="T344" s="111">
        <v>137.03</v>
      </c>
      <c r="U344" s="144">
        <v>1655.85</v>
      </c>
    </row>
    <row r="345" spans="1:21" ht="15" thickBot="1" x14ac:dyDescent="0.35">
      <c r="A345" s="117">
        <v>344</v>
      </c>
      <c r="B345" s="118" t="s">
        <v>579</v>
      </c>
      <c r="C345" s="118" t="s">
        <v>207</v>
      </c>
      <c r="D345" s="118" t="s">
        <v>2973</v>
      </c>
      <c r="E345" s="118" t="s">
        <v>208</v>
      </c>
      <c r="F345" s="119"/>
      <c r="G345" s="118"/>
      <c r="H345" s="120"/>
      <c r="I345" s="121"/>
      <c r="J345" s="110" t="s">
        <v>2164</v>
      </c>
      <c r="K345" s="110" t="s">
        <v>1403</v>
      </c>
      <c r="L345" s="110" t="s">
        <v>3781</v>
      </c>
      <c r="M345" s="111" t="s">
        <v>2165</v>
      </c>
      <c r="N345" s="111" t="s">
        <v>2166</v>
      </c>
      <c r="O345" s="111" t="s">
        <v>2167</v>
      </c>
      <c r="P345" s="112" t="s">
        <v>3304</v>
      </c>
      <c r="Q345" s="112" t="s">
        <v>3481</v>
      </c>
      <c r="R345" s="112" t="s">
        <v>3686</v>
      </c>
      <c r="S345" s="144">
        <v>4468.1899999999996</v>
      </c>
      <c r="T345" s="111">
        <v>427.04</v>
      </c>
      <c r="U345" s="144">
        <v>4041.15</v>
      </c>
    </row>
    <row r="346" spans="1:21" ht="15" thickBot="1" x14ac:dyDescent="0.35">
      <c r="A346" s="117">
        <v>345</v>
      </c>
      <c r="B346" s="118" t="s">
        <v>580</v>
      </c>
      <c r="C346" s="118" t="s">
        <v>581</v>
      </c>
      <c r="D346" s="118" t="s">
        <v>2974</v>
      </c>
      <c r="E346" s="118" t="s">
        <v>278</v>
      </c>
      <c r="F346" s="119"/>
      <c r="G346" s="118"/>
      <c r="H346" s="120"/>
      <c r="I346" s="121"/>
      <c r="J346" s="110" t="s">
        <v>2168</v>
      </c>
      <c r="K346" s="110" t="s">
        <v>1403</v>
      </c>
      <c r="L346" s="110" t="s">
        <v>3781</v>
      </c>
      <c r="M346" s="111" t="s">
        <v>2169</v>
      </c>
      <c r="N346" s="111" t="s">
        <v>2170</v>
      </c>
      <c r="O346" s="111" t="s">
        <v>2171</v>
      </c>
      <c r="P346" s="112" t="s">
        <v>2169</v>
      </c>
      <c r="Q346" s="112" t="s">
        <v>2170</v>
      </c>
      <c r="R346" s="112" t="s">
        <v>2171</v>
      </c>
      <c r="S346" s="144">
        <v>6465.11</v>
      </c>
      <c r="T346" s="144">
        <v>1889.74</v>
      </c>
      <c r="U346" s="144">
        <v>4575.37</v>
      </c>
    </row>
    <row r="347" spans="1:21" ht="15" thickBot="1" x14ac:dyDescent="0.35">
      <c r="A347" s="117">
        <v>346</v>
      </c>
      <c r="B347" s="118" t="s">
        <v>582</v>
      </c>
      <c r="C347" s="118" t="s">
        <v>179</v>
      </c>
      <c r="D347" s="118" t="s">
        <v>2975</v>
      </c>
      <c r="E347" s="118" t="s">
        <v>317</v>
      </c>
      <c r="F347" s="119"/>
      <c r="G347" s="118"/>
      <c r="H347" s="120"/>
      <c r="I347" s="121"/>
      <c r="J347" s="110" t="s">
        <v>2172</v>
      </c>
      <c r="K347" s="110" t="s">
        <v>1403</v>
      </c>
      <c r="L347" s="110" t="s">
        <v>3781</v>
      </c>
      <c r="M347" s="111" t="s">
        <v>2173</v>
      </c>
      <c r="N347" s="111" t="s">
        <v>2174</v>
      </c>
      <c r="O347" s="111" t="s">
        <v>2175</v>
      </c>
      <c r="P347" s="112" t="s">
        <v>3305</v>
      </c>
      <c r="Q347" s="112" t="s">
        <v>3482</v>
      </c>
      <c r="R347" s="112" t="s">
        <v>3687</v>
      </c>
      <c r="S347" s="144">
        <v>5406.53</v>
      </c>
      <c r="T347" s="111">
        <v>819.59</v>
      </c>
      <c r="U347" s="144">
        <v>4586.9399999999996</v>
      </c>
    </row>
    <row r="348" spans="1:21" ht="15" thickBot="1" x14ac:dyDescent="0.35">
      <c r="A348" s="117">
        <v>347</v>
      </c>
      <c r="B348" s="118" t="s">
        <v>583</v>
      </c>
      <c r="C348" s="118" t="s">
        <v>179</v>
      </c>
      <c r="D348" s="118" t="s">
        <v>2976</v>
      </c>
      <c r="E348" s="118" t="s">
        <v>305</v>
      </c>
      <c r="F348" s="119"/>
      <c r="G348" s="118"/>
      <c r="H348" s="120"/>
      <c r="I348" s="121"/>
      <c r="J348" s="110" t="s">
        <v>2176</v>
      </c>
      <c r="K348" s="110" t="s">
        <v>1403</v>
      </c>
      <c r="L348" s="110" t="s">
        <v>3781</v>
      </c>
      <c r="M348" s="111" t="s">
        <v>1509</v>
      </c>
      <c r="N348" s="111" t="s">
        <v>1510</v>
      </c>
      <c r="O348" s="111" t="s">
        <v>1511</v>
      </c>
      <c r="P348" s="112" t="s">
        <v>1509</v>
      </c>
      <c r="Q348" s="112" t="s">
        <v>1510</v>
      </c>
      <c r="R348" s="112" t="s">
        <v>1511</v>
      </c>
      <c r="S348" s="144">
        <v>4459.12</v>
      </c>
      <c r="T348" s="111">
        <v>425.77</v>
      </c>
      <c r="U348" s="144">
        <v>4033.35</v>
      </c>
    </row>
    <row r="349" spans="1:21" ht="15" thickBot="1" x14ac:dyDescent="0.35">
      <c r="A349" s="117">
        <v>348</v>
      </c>
      <c r="B349" s="118" t="s">
        <v>584</v>
      </c>
      <c r="C349" s="118" t="s">
        <v>248</v>
      </c>
      <c r="D349" s="118" t="s">
        <v>2977</v>
      </c>
      <c r="E349" s="118" t="s">
        <v>385</v>
      </c>
      <c r="F349" s="119"/>
      <c r="G349" s="118"/>
      <c r="H349" s="120"/>
      <c r="I349" s="121"/>
      <c r="J349" s="110" t="s">
        <v>2177</v>
      </c>
      <c r="K349" s="110" t="s">
        <v>1403</v>
      </c>
      <c r="L349" s="110" t="s">
        <v>3781</v>
      </c>
      <c r="M349" s="111" t="s">
        <v>1559</v>
      </c>
      <c r="N349" s="111" t="s">
        <v>1560</v>
      </c>
      <c r="O349" s="111" t="s">
        <v>1561</v>
      </c>
      <c r="P349" s="112" t="s">
        <v>1559</v>
      </c>
      <c r="Q349" s="112" t="s">
        <v>1560</v>
      </c>
      <c r="R349" s="112" t="s">
        <v>1561</v>
      </c>
      <c r="S349" s="144">
        <v>4850.9399999999996</v>
      </c>
      <c r="T349" s="111">
        <v>480.63</v>
      </c>
      <c r="U349" s="144">
        <v>4370.3100000000004</v>
      </c>
    </row>
    <row r="350" spans="1:21" ht="15" thickBot="1" x14ac:dyDescent="0.35">
      <c r="A350" s="117">
        <v>349</v>
      </c>
      <c r="B350" s="118" t="s">
        <v>585</v>
      </c>
      <c r="C350" s="118" t="s">
        <v>179</v>
      </c>
      <c r="D350" s="118" t="s">
        <v>2978</v>
      </c>
      <c r="E350" s="118" t="s">
        <v>237</v>
      </c>
      <c r="F350" s="119"/>
      <c r="G350" s="118"/>
      <c r="H350" s="120"/>
      <c r="I350" s="121"/>
      <c r="J350" s="110" t="s">
        <v>2178</v>
      </c>
      <c r="K350" s="110" t="s">
        <v>1403</v>
      </c>
      <c r="L350" s="110" t="s">
        <v>3781</v>
      </c>
      <c r="M350" s="111" t="s">
        <v>1509</v>
      </c>
      <c r="N350" s="111" t="s">
        <v>1510</v>
      </c>
      <c r="O350" s="111" t="s">
        <v>1511</v>
      </c>
      <c r="P350" s="112" t="s">
        <v>1509</v>
      </c>
      <c r="Q350" s="112" t="s">
        <v>1510</v>
      </c>
      <c r="R350" s="112" t="s">
        <v>1511</v>
      </c>
      <c r="S350" s="144">
        <v>4951.1000000000004</v>
      </c>
      <c r="T350" s="111">
        <v>494.65</v>
      </c>
      <c r="U350" s="144">
        <v>4456.45</v>
      </c>
    </row>
    <row r="351" spans="1:21" ht="15" thickBot="1" x14ac:dyDescent="0.35">
      <c r="A351" s="117">
        <v>350</v>
      </c>
      <c r="B351" s="118" t="s">
        <v>586</v>
      </c>
      <c r="C351" s="118" t="s">
        <v>158</v>
      </c>
      <c r="D351" s="118" t="s">
        <v>2979</v>
      </c>
      <c r="E351" s="118" t="s">
        <v>163</v>
      </c>
      <c r="F351" s="119"/>
      <c r="G351" s="118"/>
      <c r="H351" s="120"/>
      <c r="I351" s="121"/>
      <c r="J351" s="110" t="s">
        <v>2179</v>
      </c>
      <c r="K351" s="110" t="s">
        <v>1403</v>
      </c>
      <c r="L351" s="110" t="s">
        <v>3781</v>
      </c>
      <c r="M351" s="111" t="s">
        <v>2180</v>
      </c>
      <c r="N351" s="111" t="s">
        <v>2181</v>
      </c>
      <c r="O351" s="111" t="s">
        <v>2182</v>
      </c>
      <c r="P351" s="112" t="s">
        <v>3306</v>
      </c>
      <c r="Q351" s="112" t="s">
        <v>3483</v>
      </c>
      <c r="R351" s="112" t="s">
        <v>3688</v>
      </c>
      <c r="S351" s="144">
        <v>4284.51</v>
      </c>
      <c r="T351" s="111">
        <v>870.22</v>
      </c>
      <c r="U351" s="144">
        <v>3414.29</v>
      </c>
    </row>
    <row r="352" spans="1:21" ht="15" thickBot="1" x14ac:dyDescent="0.35">
      <c r="A352" s="117">
        <v>351</v>
      </c>
      <c r="B352" s="118" t="s">
        <v>587</v>
      </c>
      <c r="C352" s="118" t="s">
        <v>150</v>
      </c>
      <c r="D352" s="118" t="s">
        <v>2980</v>
      </c>
      <c r="E352" s="118" t="s">
        <v>159</v>
      </c>
      <c r="F352" s="119"/>
      <c r="G352" s="118"/>
      <c r="H352" s="120"/>
      <c r="I352" s="121"/>
      <c r="J352" s="110" t="s">
        <v>2183</v>
      </c>
      <c r="K352" s="110" t="s">
        <v>1398</v>
      </c>
      <c r="L352" s="110" t="s">
        <v>3781</v>
      </c>
      <c r="M352" s="111" t="s">
        <v>1422</v>
      </c>
      <c r="N352" s="111" t="s">
        <v>1400</v>
      </c>
      <c r="O352" s="111" t="s">
        <v>1423</v>
      </c>
      <c r="P352" s="112" t="s">
        <v>1671</v>
      </c>
      <c r="Q352" s="112" t="s">
        <v>1534</v>
      </c>
      <c r="R352" s="112" t="s">
        <v>1672</v>
      </c>
      <c r="S352" s="144">
        <v>1890.15</v>
      </c>
      <c r="T352" s="111">
        <v>139.71</v>
      </c>
      <c r="U352" s="144">
        <v>1750.44</v>
      </c>
    </row>
    <row r="353" spans="1:21" ht="15" thickBot="1" x14ac:dyDescent="0.35">
      <c r="A353" s="117">
        <v>352</v>
      </c>
      <c r="B353" s="118" t="s">
        <v>588</v>
      </c>
      <c r="C353" s="118" t="s">
        <v>179</v>
      </c>
      <c r="D353" s="118" t="s">
        <v>2981</v>
      </c>
      <c r="E353" s="118" t="s">
        <v>291</v>
      </c>
      <c r="F353" s="119"/>
      <c r="G353" s="118"/>
      <c r="H353" s="120"/>
      <c r="I353" s="121"/>
      <c r="J353" s="110" t="s">
        <v>2184</v>
      </c>
      <c r="K353" s="110" t="s">
        <v>1403</v>
      </c>
      <c r="L353" s="110" t="s">
        <v>3781</v>
      </c>
      <c r="M353" s="111" t="s">
        <v>1509</v>
      </c>
      <c r="N353" s="111" t="s">
        <v>1510</v>
      </c>
      <c r="O353" s="111" t="s">
        <v>1511</v>
      </c>
      <c r="P353" s="112" t="s">
        <v>1509</v>
      </c>
      <c r="Q353" s="112" t="s">
        <v>1510</v>
      </c>
      <c r="R353" s="112" t="s">
        <v>1511</v>
      </c>
      <c r="S353" s="144">
        <v>5168.42</v>
      </c>
      <c r="T353" s="111">
        <v>585.39</v>
      </c>
      <c r="U353" s="144">
        <v>4583.03</v>
      </c>
    </row>
    <row r="354" spans="1:21" ht="15" thickBot="1" x14ac:dyDescent="0.35">
      <c r="A354" s="117">
        <v>353</v>
      </c>
      <c r="B354" s="118" t="s">
        <v>589</v>
      </c>
      <c r="C354" s="118" t="s">
        <v>158</v>
      </c>
      <c r="D354" s="118" t="s">
        <v>2982</v>
      </c>
      <c r="E354" s="118" t="s">
        <v>170</v>
      </c>
      <c r="F354" s="119"/>
      <c r="G354" s="118"/>
      <c r="H354" s="120"/>
      <c r="I354" s="121"/>
      <c r="J354" s="110" t="s">
        <v>2185</v>
      </c>
      <c r="K354" s="110" t="s">
        <v>1398</v>
      </c>
      <c r="L354" s="110" t="s">
        <v>3781</v>
      </c>
      <c r="M354" s="111">
        <v>0</v>
      </c>
      <c r="N354" s="111">
        <v>0</v>
      </c>
      <c r="O354" s="111">
        <v>0</v>
      </c>
      <c r="P354" s="112" t="s">
        <v>3215</v>
      </c>
      <c r="Q354" s="112" t="s">
        <v>3484</v>
      </c>
      <c r="R354" s="112" t="s">
        <v>3689</v>
      </c>
      <c r="S354" s="144">
        <v>3433.34</v>
      </c>
      <c r="T354" s="111">
        <v>300.58999999999997</v>
      </c>
      <c r="U354" s="144">
        <v>3132.75</v>
      </c>
    </row>
    <row r="355" spans="1:21" ht="15" thickBot="1" x14ac:dyDescent="0.35">
      <c r="A355" s="117">
        <v>354</v>
      </c>
      <c r="B355" s="118" t="s">
        <v>590</v>
      </c>
      <c r="C355" s="118" t="s">
        <v>150</v>
      </c>
      <c r="D355" s="118" t="s">
        <v>2983</v>
      </c>
      <c r="E355" s="118" t="s">
        <v>161</v>
      </c>
      <c r="F355" s="119"/>
      <c r="G355" s="118"/>
      <c r="H355" s="120"/>
      <c r="I355" s="121"/>
      <c r="J355" s="110" t="s">
        <v>2186</v>
      </c>
      <c r="K355" s="110" t="s">
        <v>1403</v>
      </c>
      <c r="L355" s="110" t="s">
        <v>3781</v>
      </c>
      <c r="M355" s="111" t="s">
        <v>1437</v>
      </c>
      <c r="N355" s="111" t="s">
        <v>1438</v>
      </c>
      <c r="O355" s="111" t="s">
        <v>1439</v>
      </c>
      <c r="P355" s="112" t="s">
        <v>3286</v>
      </c>
      <c r="Q355" s="112" t="s">
        <v>3407</v>
      </c>
      <c r="R355" s="112" t="s">
        <v>3663</v>
      </c>
      <c r="S355" s="144">
        <v>2120</v>
      </c>
      <c r="T355" s="111">
        <v>166.48</v>
      </c>
      <c r="U355" s="144">
        <v>1953.52</v>
      </c>
    </row>
    <row r="356" spans="1:21" ht="15" thickBot="1" x14ac:dyDescent="0.35">
      <c r="A356" s="117">
        <v>355</v>
      </c>
      <c r="B356" s="118" t="s">
        <v>591</v>
      </c>
      <c r="C356" s="118" t="s">
        <v>158</v>
      </c>
      <c r="D356" s="118" t="s">
        <v>2984</v>
      </c>
      <c r="E356" s="118" t="s">
        <v>504</v>
      </c>
      <c r="F356" s="119"/>
      <c r="G356" s="118"/>
      <c r="H356" s="120"/>
      <c r="I356" s="121"/>
      <c r="J356" s="110" t="s">
        <v>2187</v>
      </c>
      <c r="K356" s="110" t="s">
        <v>1403</v>
      </c>
      <c r="L356" s="110" t="s">
        <v>3781</v>
      </c>
      <c r="M356" s="111" t="s">
        <v>2188</v>
      </c>
      <c r="N356" s="111" t="s">
        <v>2189</v>
      </c>
      <c r="O356" s="111" t="s">
        <v>2190</v>
      </c>
      <c r="P356" s="112" t="s">
        <v>3215</v>
      </c>
      <c r="Q356" s="112" t="s">
        <v>2424</v>
      </c>
      <c r="R356" s="112" t="s">
        <v>3570</v>
      </c>
      <c r="S356" s="144">
        <v>3433.34</v>
      </c>
      <c r="T356" s="111">
        <v>300.58999999999997</v>
      </c>
      <c r="U356" s="144">
        <v>3132.75</v>
      </c>
    </row>
    <row r="357" spans="1:21" ht="15" thickBot="1" x14ac:dyDescent="0.35">
      <c r="A357" s="117">
        <v>356</v>
      </c>
      <c r="B357" s="118" t="s">
        <v>592</v>
      </c>
      <c r="C357" s="118" t="s">
        <v>153</v>
      </c>
      <c r="D357" s="118" t="s">
        <v>2985</v>
      </c>
      <c r="E357" s="118" t="s">
        <v>159</v>
      </c>
      <c r="F357" s="119"/>
      <c r="G357" s="118"/>
      <c r="H357" s="120"/>
      <c r="I357" s="121"/>
      <c r="J357" s="110" t="s">
        <v>2191</v>
      </c>
      <c r="K357" s="110" t="s">
        <v>1403</v>
      </c>
      <c r="L357" s="110" t="s">
        <v>3781</v>
      </c>
      <c r="M357" s="111" t="s">
        <v>1461</v>
      </c>
      <c r="N357" s="111" t="s">
        <v>2192</v>
      </c>
      <c r="O357" s="111" t="s">
        <v>2193</v>
      </c>
      <c r="P357" s="112" t="s">
        <v>3307</v>
      </c>
      <c r="Q357" s="112" t="s">
        <v>3485</v>
      </c>
      <c r="R357" s="112" t="s">
        <v>3690</v>
      </c>
      <c r="S357" s="144">
        <v>6022.53</v>
      </c>
      <c r="T357" s="144">
        <v>2079.88</v>
      </c>
      <c r="U357" s="144">
        <v>3942.65</v>
      </c>
    </row>
    <row r="358" spans="1:21" ht="15" thickBot="1" x14ac:dyDescent="0.35">
      <c r="A358" s="117">
        <v>357</v>
      </c>
      <c r="B358" s="118" t="s">
        <v>593</v>
      </c>
      <c r="C358" s="118" t="s">
        <v>594</v>
      </c>
      <c r="D358" s="118" t="s">
        <v>2986</v>
      </c>
      <c r="E358" s="118" t="s">
        <v>177</v>
      </c>
      <c r="F358" s="119"/>
      <c r="G358" s="118"/>
      <c r="H358" s="120"/>
      <c r="I358" s="121"/>
      <c r="J358" s="110" t="s">
        <v>2194</v>
      </c>
      <c r="K358" s="110" t="s">
        <v>1403</v>
      </c>
      <c r="L358" s="110" t="s">
        <v>3781</v>
      </c>
      <c r="M358" s="111" t="s">
        <v>1915</v>
      </c>
      <c r="N358" s="111" t="s">
        <v>2195</v>
      </c>
      <c r="O358" s="111" t="s">
        <v>2196</v>
      </c>
      <c r="P358" s="112" t="s">
        <v>1915</v>
      </c>
      <c r="Q358" s="112" t="s">
        <v>3486</v>
      </c>
      <c r="R358" s="112" t="s">
        <v>3691</v>
      </c>
      <c r="S358" s="144">
        <v>5010.2700000000004</v>
      </c>
      <c r="T358" s="144">
        <v>1783.99</v>
      </c>
      <c r="U358" s="144">
        <v>3226.28</v>
      </c>
    </row>
    <row r="359" spans="1:21" ht="15" thickBot="1" x14ac:dyDescent="0.35">
      <c r="A359" s="117">
        <v>358</v>
      </c>
      <c r="B359" s="118" t="s">
        <v>595</v>
      </c>
      <c r="C359" s="118" t="s">
        <v>153</v>
      </c>
      <c r="D359" s="118" t="s">
        <v>2987</v>
      </c>
      <c r="E359" s="118" t="s">
        <v>191</v>
      </c>
      <c r="F359" s="119"/>
      <c r="G359" s="118"/>
      <c r="H359" s="120"/>
      <c r="I359" s="121"/>
      <c r="J359" s="110" t="s">
        <v>2197</v>
      </c>
      <c r="K359" s="110" t="s">
        <v>1403</v>
      </c>
      <c r="L359" s="110" t="s">
        <v>3781</v>
      </c>
      <c r="M359" s="111" t="s">
        <v>2198</v>
      </c>
      <c r="N359" s="111" t="s">
        <v>1462</v>
      </c>
      <c r="O359" s="111" t="s">
        <v>2150</v>
      </c>
      <c r="P359" s="112" t="s">
        <v>2198</v>
      </c>
      <c r="Q359" s="112" t="s">
        <v>2149</v>
      </c>
      <c r="R359" s="112" t="s">
        <v>1463</v>
      </c>
      <c r="S359" s="144">
        <v>6198.51</v>
      </c>
      <c r="T359" s="144">
        <v>1075.6400000000001</v>
      </c>
      <c r="U359" s="144">
        <v>5122.87</v>
      </c>
    </row>
    <row r="360" spans="1:21" ht="15" thickBot="1" x14ac:dyDescent="0.35">
      <c r="A360" s="117">
        <v>359</v>
      </c>
      <c r="B360" s="118" t="s">
        <v>596</v>
      </c>
      <c r="C360" s="118" t="s">
        <v>597</v>
      </c>
      <c r="D360" s="118" t="s">
        <v>2988</v>
      </c>
      <c r="E360" s="118" t="s">
        <v>163</v>
      </c>
      <c r="F360" s="119"/>
      <c r="G360" s="118"/>
      <c r="H360" s="120"/>
      <c r="I360" s="121"/>
      <c r="J360" s="110" t="s">
        <v>2199</v>
      </c>
      <c r="K360" s="110" t="s">
        <v>1403</v>
      </c>
      <c r="L360" s="110" t="s">
        <v>3781</v>
      </c>
      <c r="M360" s="111" t="s">
        <v>1570</v>
      </c>
      <c r="N360" s="111" t="s">
        <v>1534</v>
      </c>
      <c r="O360" s="111" t="s">
        <v>1571</v>
      </c>
      <c r="P360" s="112" t="s">
        <v>1570</v>
      </c>
      <c r="Q360" s="112" t="s">
        <v>1534</v>
      </c>
      <c r="R360" s="112" t="s">
        <v>1571</v>
      </c>
      <c r="S360" s="144">
        <v>1621</v>
      </c>
      <c r="T360" s="111">
        <v>121.57</v>
      </c>
      <c r="U360" s="144">
        <v>1499.43</v>
      </c>
    </row>
    <row r="361" spans="1:21" ht="15" thickBot="1" x14ac:dyDescent="0.35">
      <c r="A361" s="117">
        <v>360</v>
      </c>
      <c r="B361" s="118" t="s">
        <v>598</v>
      </c>
      <c r="C361" s="118" t="s">
        <v>158</v>
      </c>
      <c r="D361" s="118" t="s">
        <v>2989</v>
      </c>
      <c r="E361" s="118" t="s">
        <v>159</v>
      </c>
      <c r="F361" s="119"/>
      <c r="G361" s="118"/>
      <c r="H361" s="120"/>
      <c r="I361" s="121"/>
      <c r="J361" s="110" t="s">
        <v>2200</v>
      </c>
      <c r="K361" s="110" t="s">
        <v>1403</v>
      </c>
      <c r="L361" s="110" t="s">
        <v>3781</v>
      </c>
      <c r="M361" s="111" t="s">
        <v>1456</v>
      </c>
      <c r="N361" s="111" t="s">
        <v>1457</v>
      </c>
      <c r="O361" s="111" t="s">
        <v>1458</v>
      </c>
      <c r="P361" s="112" t="s">
        <v>3219</v>
      </c>
      <c r="Q361" s="112" t="s">
        <v>3374</v>
      </c>
      <c r="R361" s="112" t="s">
        <v>3572</v>
      </c>
      <c r="S361" s="144">
        <v>3090.01</v>
      </c>
      <c r="T361" s="111">
        <v>259.39</v>
      </c>
      <c r="U361" s="144">
        <v>2830.62</v>
      </c>
    </row>
    <row r="362" spans="1:21" ht="15" thickBot="1" x14ac:dyDescent="0.35">
      <c r="A362" s="117">
        <v>361</v>
      </c>
      <c r="B362" s="118" t="s">
        <v>599</v>
      </c>
      <c r="C362" s="118" t="s">
        <v>150</v>
      </c>
      <c r="D362" s="118" t="s">
        <v>2990</v>
      </c>
      <c r="E362" s="118" t="s">
        <v>223</v>
      </c>
      <c r="F362" s="119"/>
      <c r="G362" s="118"/>
      <c r="H362" s="120"/>
      <c r="I362" s="121"/>
      <c r="J362" s="110" t="s">
        <v>2201</v>
      </c>
      <c r="K362" s="110" t="s">
        <v>1403</v>
      </c>
      <c r="L362" s="110" t="s">
        <v>3781</v>
      </c>
      <c r="M362" s="111" t="s">
        <v>2202</v>
      </c>
      <c r="N362" s="111" t="s">
        <v>2203</v>
      </c>
      <c r="O362" s="111" t="s">
        <v>2204</v>
      </c>
      <c r="P362" s="112" t="s">
        <v>3308</v>
      </c>
      <c r="Q362" s="112" t="s">
        <v>3487</v>
      </c>
      <c r="R362" s="112" t="s">
        <v>3692</v>
      </c>
      <c r="S362" s="144">
        <v>2020.79</v>
      </c>
      <c r="T362" s="111">
        <v>151.47</v>
      </c>
      <c r="U362" s="144">
        <v>1869.32</v>
      </c>
    </row>
    <row r="363" spans="1:21" ht="15" thickBot="1" x14ac:dyDescent="0.35">
      <c r="A363" s="117">
        <v>362</v>
      </c>
      <c r="B363" s="118" t="s">
        <v>600</v>
      </c>
      <c r="C363" s="118" t="s">
        <v>150</v>
      </c>
      <c r="D363" s="118" t="s">
        <v>2991</v>
      </c>
      <c r="E363" s="118" t="s">
        <v>163</v>
      </c>
      <c r="F363" s="119"/>
      <c r="G363" s="118"/>
      <c r="H363" s="120"/>
      <c r="I363" s="121"/>
      <c r="J363" s="110" t="s">
        <v>2205</v>
      </c>
      <c r="K363" s="110" t="s">
        <v>1403</v>
      </c>
      <c r="L363" s="110" t="s">
        <v>3781</v>
      </c>
      <c r="M363" s="111" t="s">
        <v>2206</v>
      </c>
      <c r="N363" s="111" t="s">
        <v>2207</v>
      </c>
      <c r="O363" s="111" t="s">
        <v>2208</v>
      </c>
      <c r="P363" s="112" t="s">
        <v>3309</v>
      </c>
      <c r="Q363" s="112" t="s">
        <v>3488</v>
      </c>
      <c r="R363" s="112" t="s">
        <v>3693</v>
      </c>
      <c r="S363" s="144">
        <v>2032.41</v>
      </c>
      <c r="T363" s="111">
        <v>146.43</v>
      </c>
      <c r="U363" s="144">
        <v>1885.98</v>
      </c>
    </row>
    <row r="364" spans="1:21" ht="15" thickBot="1" x14ac:dyDescent="0.35">
      <c r="A364" s="117">
        <v>363</v>
      </c>
      <c r="B364" s="122" t="s">
        <v>601</v>
      </c>
      <c r="C364" s="118" t="s">
        <v>179</v>
      </c>
      <c r="D364" s="118"/>
      <c r="E364" s="118" t="s">
        <v>284</v>
      </c>
      <c r="F364" s="119"/>
      <c r="G364" s="118"/>
      <c r="H364" s="120"/>
      <c r="I364" s="121"/>
      <c r="J364" s="123" t="s">
        <v>3774</v>
      </c>
      <c r="K364" s="110" t="s">
        <v>3767</v>
      </c>
      <c r="L364" s="110" t="s">
        <v>3781</v>
      </c>
      <c r="M364" s="111"/>
      <c r="N364" s="111"/>
      <c r="O364" s="111"/>
      <c r="P364" s="112" t="s">
        <v>3310</v>
      </c>
      <c r="Q364" s="112" t="s">
        <v>3489</v>
      </c>
      <c r="R364" s="112" t="s">
        <v>3694</v>
      </c>
      <c r="S364" s="144">
        <v>4280</v>
      </c>
      <c r="T364" s="111">
        <v>402.18</v>
      </c>
      <c r="U364" s="144">
        <v>3877.82</v>
      </c>
    </row>
    <row r="365" spans="1:21" ht="15" thickBot="1" x14ac:dyDescent="0.35">
      <c r="A365" s="117">
        <v>364</v>
      </c>
      <c r="B365" s="118" t="s">
        <v>602</v>
      </c>
      <c r="C365" s="118" t="s">
        <v>253</v>
      </c>
      <c r="D365" s="118" t="s">
        <v>2992</v>
      </c>
      <c r="E365" s="118" t="s">
        <v>490</v>
      </c>
      <c r="F365" s="119"/>
      <c r="G365" s="118"/>
      <c r="H365" s="120"/>
      <c r="I365" s="121"/>
      <c r="J365" s="110" t="s">
        <v>2209</v>
      </c>
      <c r="K365" s="110" t="s">
        <v>1403</v>
      </c>
      <c r="L365" s="110" t="s">
        <v>3781</v>
      </c>
      <c r="M365" s="111">
        <v>0</v>
      </c>
      <c r="N365" s="111">
        <v>0</v>
      </c>
      <c r="O365" s="111">
        <v>0</v>
      </c>
      <c r="P365" s="112">
        <v>0</v>
      </c>
      <c r="Q365" s="112">
        <v>0</v>
      </c>
      <c r="R365" s="112">
        <v>0</v>
      </c>
      <c r="S365" s="144">
        <v>1621</v>
      </c>
      <c r="T365" s="144">
        <v>1621</v>
      </c>
      <c r="U365" s="111">
        <v>0</v>
      </c>
    </row>
    <row r="366" spans="1:21" ht="15" thickBot="1" x14ac:dyDescent="0.35">
      <c r="A366" s="117">
        <v>365</v>
      </c>
      <c r="B366" s="118" t="s">
        <v>603</v>
      </c>
      <c r="C366" s="118" t="s">
        <v>158</v>
      </c>
      <c r="D366" s="118" t="s">
        <v>2993</v>
      </c>
      <c r="E366" s="118" t="s">
        <v>159</v>
      </c>
      <c r="F366" s="119"/>
      <c r="G366" s="118"/>
      <c r="H366" s="120"/>
      <c r="I366" s="121"/>
      <c r="J366" s="110" t="s">
        <v>2210</v>
      </c>
      <c r="K366" s="110" t="s">
        <v>1403</v>
      </c>
      <c r="L366" s="110" t="s">
        <v>3781</v>
      </c>
      <c r="M366" s="111" t="s">
        <v>2211</v>
      </c>
      <c r="N366" s="111" t="s">
        <v>2212</v>
      </c>
      <c r="O366" s="111" t="s">
        <v>2213</v>
      </c>
      <c r="P366" s="112" t="s">
        <v>3273</v>
      </c>
      <c r="Q366" s="112" t="s">
        <v>3490</v>
      </c>
      <c r="R366" s="112" t="s">
        <v>3695</v>
      </c>
      <c r="S366" s="144">
        <v>3239.02</v>
      </c>
      <c r="T366" s="111">
        <v>277.27</v>
      </c>
      <c r="U366" s="144">
        <v>2961.75</v>
      </c>
    </row>
    <row r="367" spans="1:21" ht="15" thickBot="1" x14ac:dyDescent="0.35">
      <c r="A367" s="117">
        <v>366</v>
      </c>
      <c r="B367" s="118" t="s">
        <v>604</v>
      </c>
      <c r="C367" s="118" t="s">
        <v>179</v>
      </c>
      <c r="D367" s="118" t="s">
        <v>2994</v>
      </c>
      <c r="E367" s="118" t="s">
        <v>605</v>
      </c>
      <c r="F367" s="119"/>
      <c r="G367" s="118"/>
      <c r="H367" s="120"/>
      <c r="I367" s="121"/>
      <c r="J367" s="110" t="s">
        <v>2214</v>
      </c>
      <c r="K367" s="110" t="s">
        <v>1403</v>
      </c>
      <c r="L367" s="110" t="s">
        <v>3781</v>
      </c>
      <c r="M367" s="111" t="s">
        <v>1509</v>
      </c>
      <c r="N367" s="111" t="s">
        <v>1510</v>
      </c>
      <c r="O367" s="111" t="s">
        <v>1511</v>
      </c>
      <c r="P367" s="112" t="s">
        <v>1509</v>
      </c>
      <c r="Q367" s="112" t="s">
        <v>1510</v>
      </c>
      <c r="R367" s="112" t="s">
        <v>1511</v>
      </c>
      <c r="S367" s="144">
        <v>4280</v>
      </c>
      <c r="T367" s="111">
        <v>402.18</v>
      </c>
      <c r="U367" s="144">
        <v>3877.82</v>
      </c>
    </row>
    <row r="368" spans="1:21" ht="15" thickBot="1" x14ac:dyDescent="0.35">
      <c r="A368" s="117">
        <v>367</v>
      </c>
      <c r="B368" s="118" t="s">
        <v>606</v>
      </c>
      <c r="C368" s="118" t="s">
        <v>423</v>
      </c>
      <c r="D368" s="118" t="s">
        <v>2995</v>
      </c>
      <c r="E368" s="118" t="s">
        <v>163</v>
      </c>
      <c r="F368" s="119"/>
      <c r="G368" s="118"/>
      <c r="H368" s="120"/>
      <c r="I368" s="121"/>
      <c r="J368" s="110" t="s">
        <v>2215</v>
      </c>
      <c r="K368" s="110" t="s">
        <v>1403</v>
      </c>
      <c r="L368" s="110" t="s">
        <v>3781</v>
      </c>
      <c r="M368" s="111" t="s">
        <v>2015</v>
      </c>
      <c r="N368" s="111" t="s">
        <v>2216</v>
      </c>
      <c r="O368" s="111" t="s">
        <v>2217</v>
      </c>
      <c r="P368" s="112" t="s">
        <v>3283</v>
      </c>
      <c r="Q368" s="112" t="s">
        <v>3491</v>
      </c>
      <c r="R368" s="112" t="s">
        <v>3696</v>
      </c>
      <c r="S368" s="144">
        <v>8089.76</v>
      </c>
      <c r="T368" s="144">
        <v>1941.01</v>
      </c>
      <c r="U368" s="144">
        <v>6148.75</v>
      </c>
    </row>
    <row r="369" spans="1:21" ht="15" thickBot="1" x14ac:dyDescent="0.35">
      <c r="A369" s="117">
        <v>368</v>
      </c>
      <c r="B369" s="118" t="s">
        <v>607</v>
      </c>
      <c r="C369" s="118" t="s">
        <v>150</v>
      </c>
      <c r="D369" s="118" t="s">
        <v>2996</v>
      </c>
      <c r="E369" s="118" t="s">
        <v>163</v>
      </c>
      <c r="F369" s="119"/>
      <c r="G369" s="118"/>
      <c r="H369" s="120"/>
      <c r="I369" s="121"/>
      <c r="J369" s="110" t="s">
        <v>2218</v>
      </c>
      <c r="K369" s="110" t="s">
        <v>1403</v>
      </c>
      <c r="L369" s="110" t="s">
        <v>3781</v>
      </c>
      <c r="M369" s="111" t="s">
        <v>1399</v>
      </c>
      <c r="N369" s="111" t="s">
        <v>1400</v>
      </c>
      <c r="O369" s="111" t="s">
        <v>1401</v>
      </c>
      <c r="P369" s="112" t="s">
        <v>1570</v>
      </c>
      <c r="Q369" s="112" t="s">
        <v>1534</v>
      </c>
      <c r="R369" s="112" t="s">
        <v>1571</v>
      </c>
      <c r="S369" s="144">
        <v>1681.94</v>
      </c>
      <c r="T369" s="111">
        <v>127.05</v>
      </c>
      <c r="U369" s="144">
        <v>1554.89</v>
      </c>
    </row>
    <row r="370" spans="1:21" ht="15" thickBot="1" x14ac:dyDescent="0.35">
      <c r="A370" s="117">
        <v>369</v>
      </c>
      <c r="B370" s="118" t="s">
        <v>608</v>
      </c>
      <c r="C370" s="118" t="s">
        <v>150</v>
      </c>
      <c r="D370" s="118" t="s">
        <v>2997</v>
      </c>
      <c r="E370" s="118" t="s">
        <v>200</v>
      </c>
      <c r="F370" s="119"/>
      <c r="G370" s="118"/>
      <c r="H370" s="120"/>
      <c r="I370" s="121"/>
      <c r="J370" s="110" t="s">
        <v>2219</v>
      </c>
      <c r="K370" s="110" t="s">
        <v>1403</v>
      </c>
      <c r="L370" s="110" t="s">
        <v>3781</v>
      </c>
      <c r="M370" s="111" t="s">
        <v>1399</v>
      </c>
      <c r="N370" s="111" t="s">
        <v>1400</v>
      </c>
      <c r="O370" s="111" t="s">
        <v>1401</v>
      </c>
      <c r="P370" s="112" t="s">
        <v>1570</v>
      </c>
      <c r="Q370" s="112" t="s">
        <v>1534</v>
      </c>
      <c r="R370" s="112" t="s">
        <v>1571</v>
      </c>
      <c r="S370" s="144">
        <v>1681.94</v>
      </c>
      <c r="T370" s="111">
        <v>127.05</v>
      </c>
      <c r="U370" s="144">
        <v>1554.89</v>
      </c>
    </row>
    <row r="371" spans="1:21" ht="15" thickBot="1" x14ac:dyDescent="0.35">
      <c r="A371" s="117">
        <v>370</v>
      </c>
      <c r="B371" s="118" t="s">
        <v>609</v>
      </c>
      <c r="C371" s="118" t="s">
        <v>150</v>
      </c>
      <c r="D371" s="118" t="s">
        <v>2998</v>
      </c>
      <c r="E371" s="118" t="s">
        <v>278</v>
      </c>
      <c r="F371" s="119"/>
      <c r="G371" s="118"/>
      <c r="H371" s="120"/>
      <c r="I371" s="121"/>
      <c r="J371" s="110" t="s">
        <v>2220</v>
      </c>
      <c r="K371" s="110" t="s">
        <v>1403</v>
      </c>
      <c r="L371" s="110" t="s">
        <v>3781</v>
      </c>
      <c r="M371" s="111" t="s">
        <v>2221</v>
      </c>
      <c r="N371" s="111" t="s">
        <v>2222</v>
      </c>
      <c r="O371" s="111" t="s">
        <v>2223</v>
      </c>
      <c r="P371" s="112" t="s">
        <v>3311</v>
      </c>
      <c r="Q371" s="112" t="s">
        <v>3492</v>
      </c>
      <c r="R371" s="112" t="s">
        <v>3697</v>
      </c>
      <c r="S371" s="144">
        <v>1980.44</v>
      </c>
      <c r="T371" s="111">
        <v>153.91</v>
      </c>
      <c r="U371" s="144">
        <v>1826.53</v>
      </c>
    </row>
    <row r="372" spans="1:21" ht="15" thickBot="1" x14ac:dyDescent="0.35">
      <c r="A372" s="117">
        <v>371</v>
      </c>
      <c r="B372" s="118" t="s">
        <v>610</v>
      </c>
      <c r="C372" s="118" t="s">
        <v>158</v>
      </c>
      <c r="D372" s="118" t="s">
        <v>2999</v>
      </c>
      <c r="E372" s="118" t="s">
        <v>163</v>
      </c>
      <c r="F372" s="119"/>
      <c r="G372" s="118"/>
      <c r="H372" s="120"/>
      <c r="I372" s="121"/>
      <c r="J372" s="110" t="s">
        <v>2224</v>
      </c>
      <c r="K372" s="110" t="s">
        <v>1403</v>
      </c>
      <c r="L372" s="110" t="s">
        <v>3781</v>
      </c>
      <c r="M372" s="111" t="s">
        <v>2225</v>
      </c>
      <c r="N372" s="111" t="s">
        <v>2226</v>
      </c>
      <c r="O372" s="111" t="s">
        <v>2227</v>
      </c>
      <c r="P372" s="112" t="s">
        <v>3312</v>
      </c>
      <c r="Q372" s="112" t="s">
        <v>3493</v>
      </c>
      <c r="R372" s="112" t="s">
        <v>3698</v>
      </c>
      <c r="S372" s="144">
        <v>3090.01</v>
      </c>
      <c r="T372" s="111">
        <v>259.39</v>
      </c>
      <c r="U372" s="144">
        <v>2830.62</v>
      </c>
    </row>
    <row r="373" spans="1:21" ht="15" thickBot="1" x14ac:dyDescent="0.35">
      <c r="A373" s="117">
        <v>372</v>
      </c>
      <c r="B373" s="118" t="s">
        <v>610</v>
      </c>
      <c r="C373" s="118" t="s">
        <v>253</v>
      </c>
      <c r="D373" s="118" t="s">
        <v>2999</v>
      </c>
      <c r="E373" s="118" t="s">
        <v>317</v>
      </c>
      <c r="F373" s="119"/>
      <c r="G373" s="118"/>
      <c r="H373" s="120"/>
      <c r="I373" s="121"/>
      <c r="J373" s="110" t="s">
        <v>2224</v>
      </c>
      <c r="K373" s="110" t="s">
        <v>1403</v>
      </c>
      <c r="L373" s="110" t="s">
        <v>3781</v>
      </c>
      <c r="M373" s="111" t="s">
        <v>2225</v>
      </c>
      <c r="N373" s="111" t="s">
        <v>2226</v>
      </c>
      <c r="O373" s="111" t="s">
        <v>2227</v>
      </c>
      <c r="P373" s="112" t="s">
        <v>3312</v>
      </c>
      <c r="Q373" s="112" t="s">
        <v>3493</v>
      </c>
      <c r="R373" s="112" t="s">
        <v>3698</v>
      </c>
      <c r="S373" s="144">
        <v>3090.01</v>
      </c>
      <c r="T373" s="111">
        <v>259.39</v>
      </c>
      <c r="U373" s="144">
        <v>2830.62</v>
      </c>
    </row>
    <row r="374" spans="1:21" ht="15" thickBot="1" x14ac:dyDescent="0.35">
      <c r="A374" s="117">
        <v>373</v>
      </c>
      <c r="B374" s="118" t="s">
        <v>611</v>
      </c>
      <c r="C374" s="118" t="s">
        <v>166</v>
      </c>
      <c r="D374" s="118" t="s">
        <v>3000</v>
      </c>
      <c r="E374" s="118" t="s">
        <v>163</v>
      </c>
      <c r="F374" s="119"/>
      <c r="G374" s="118"/>
      <c r="H374" s="120"/>
      <c r="I374" s="121"/>
      <c r="J374" s="110" t="s">
        <v>2228</v>
      </c>
      <c r="K374" s="110" t="s">
        <v>1398</v>
      </c>
      <c r="L374" s="110" t="s">
        <v>3781</v>
      </c>
      <c r="M374" s="111" t="s">
        <v>1418</v>
      </c>
      <c r="N374" s="111" t="s">
        <v>1419</v>
      </c>
      <c r="O374" s="111" t="s">
        <v>1420</v>
      </c>
      <c r="P374" s="112" t="s">
        <v>3214</v>
      </c>
      <c r="Q374" s="112" t="s">
        <v>3366</v>
      </c>
      <c r="R374" s="112" t="s">
        <v>3563</v>
      </c>
      <c r="S374" s="144">
        <v>5283.77</v>
      </c>
      <c r="T374" s="111">
        <v>643.45000000000005</v>
      </c>
      <c r="U374" s="144">
        <v>4640.32</v>
      </c>
    </row>
    <row r="375" spans="1:21" ht="15" thickBot="1" x14ac:dyDescent="0.35">
      <c r="A375" s="117">
        <v>374</v>
      </c>
      <c r="B375" s="118" t="s">
        <v>612</v>
      </c>
      <c r="C375" s="118" t="s">
        <v>150</v>
      </c>
      <c r="D375" s="118" t="s">
        <v>3001</v>
      </c>
      <c r="E375" s="118" t="s">
        <v>163</v>
      </c>
      <c r="F375" s="119"/>
      <c r="G375" s="118"/>
      <c r="H375" s="120"/>
      <c r="I375" s="121"/>
      <c r="J375" s="110" t="s">
        <v>2229</v>
      </c>
      <c r="K375" s="110" t="s">
        <v>1532</v>
      </c>
      <c r="L375" s="110" t="s">
        <v>3781</v>
      </c>
      <c r="M375" s="111" t="s">
        <v>2230</v>
      </c>
      <c r="N375" s="111" t="s">
        <v>2231</v>
      </c>
      <c r="O375" s="111" t="s">
        <v>2232</v>
      </c>
      <c r="P375" s="112" t="s">
        <v>3313</v>
      </c>
      <c r="Q375" s="112" t="s">
        <v>3494</v>
      </c>
      <c r="R375" s="112" t="s">
        <v>3699</v>
      </c>
      <c r="S375" s="144">
        <v>1932.58</v>
      </c>
      <c r="T375" s="111">
        <v>149.61000000000001</v>
      </c>
      <c r="U375" s="144">
        <v>1782.97</v>
      </c>
    </row>
    <row r="376" spans="1:21" ht="15" thickBot="1" x14ac:dyDescent="0.35">
      <c r="A376" s="117">
        <v>375</v>
      </c>
      <c r="B376" s="118" t="s">
        <v>613</v>
      </c>
      <c r="C376" s="118" t="s">
        <v>150</v>
      </c>
      <c r="D376" s="118" t="s">
        <v>3002</v>
      </c>
      <c r="E376" s="118" t="s">
        <v>296</v>
      </c>
      <c r="F376" s="119"/>
      <c r="G376" s="118"/>
      <c r="H376" s="120"/>
      <c r="I376" s="121"/>
      <c r="J376" s="110" t="s">
        <v>2233</v>
      </c>
      <c r="K376" s="110" t="s">
        <v>1403</v>
      </c>
      <c r="L376" s="110" t="s">
        <v>3781</v>
      </c>
      <c r="M376" s="111" t="s">
        <v>1399</v>
      </c>
      <c r="N376" s="111" t="s">
        <v>1400</v>
      </c>
      <c r="O376" s="111" t="s">
        <v>1401</v>
      </c>
      <c r="P376" s="112" t="s">
        <v>1570</v>
      </c>
      <c r="Q376" s="112" t="s">
        <v>1534</v>
      </c>
      <c r="R376" s="112" t="s">
        <v>1571</v>
      </c>
      <c r="S376" s="144">
        <v>1681.94</v>
      </c>
      <c r="T376" s="111">
        <v>127.05</v>
      </c>
      <c r="U376" s="144">
        <v>1554.89</v>
      </c>
    </row>
    <row r="377" spans="1:21" ht="15" thickBot="1" x14ac:dyDescent="0.35">
      <c r="A377" s="117">
        <v>376</v>
      </c>
      <c r="B377" s="118" t="s">
        <v>614</v>
      </c>
      <c r="C377" s="118" t="s">
        <v>216</v>
      </c>
      <c r="D377" s="118" t="s">
        <v>3003</v>
      </c>
      <c r="E377" s="118" t="s">
        <v>173</v>
      </c>
      <c r="F377" s="119"/>
      <c r="G377" s="118"/>
      <c r="H377" s="120"/>
      <c r="I377" s="121"/>
      <c r="J377" s="110" t="s">
        <v>2234</v>
      </c>
      <c r="K377" s="110" t="s">
        <v>1835</v>
      </c>
      <c r="L377" s="110" t="s">
        <v>3781</v>
      </c>
      <c r="M377" s="111" t="s">
        <v>1836</v>
      </c>
      <c r="N377" s="111" t="s">
        <v>1837</v>
      </c>
      <c r="O377" s="111" t="s">
        <v>1838</v>
      </c>
      <c r="P377" s="112" t="s">
        <v>1836</v>
      </c>
      <c r="Q377" s="112" t="s">
        <v>1837</v>
      </c>
      <c r="R377" s="112" t="s">
        <v>1838</v>
      </c>
      <c r="S377" s="144">
        <v>3720</v>
      </c>
      <c r="T377" s="111">
        <v>334.98</v>
      </c>
      <c r="U377" s="144">
        <v>3385.02</v>
      </c>
    </row>
    <row r="378" spans="1:21" ht="15" thickBot="1" x14ac:dyDescent="0.35">
      <c r="A378" s="117">
        <v>377</v>
      </c>
      <c r="B378" s="118" t="s">
        <v>615</v>
      </c>
      <c r="C378" s="118" t="s">
        <v>216</v>
      </c>
      <c r="D378" s="118" t="s">
        <v>3004</v>
      </c>
      <c r="E378" s="118" t="s">
        <v>443</v>
      </c>
      <c r="F378" s="119"/>
      <c r="G378" s="118"/>
      <c r="H378" s="120"/>
      <c r="I378" s="121"/>
      <c r="J378" s="110" t="s">
        <v>2235</v>
      </c>
      <c r="K378" s="110" t="s">
        <v>2236</v>
      </c>
      <c r="L378" s="110" t="s">
        <v>3781</v>
      </c>
      <c r="M378" s="111" t="s">
        <v>1836</v>
      </c>
      <c r="N378" s="111" t="s">
        <v>1837</v>
      </c>
      <c r="O378" s="111" t="s">
        <v>1838</v>
      </c>
      <c r="P378" s="112" t="s">
        <v>1836</v>
      </c>
      <c r="Q378" s="112" t="s">
        <v>1837</v>
      </c>
      <c r="R378" s="112" t="s">
        <v>1838</v>
      </c>
      <c r="S378" s="144">
        <v>3720</v>
      </c>
      <c r="T378" s="111">
        <v>334.98</v>
      </c>
      <c r="U378" s="144">
        <v>3385.02</v>
      </c>
    </row>
    <row r="379" spans="1:21" ht="15" thickBot="1" x14ac:dyDescent="0.35">
      <c r="A379" s="117">
        <v>378</v>
      </c>
      <c r="B379" s="118" t="s">
        <v>616</v>
      </c>
      <c r="C379" s="118" t="s">
        <v>150</v>
      </c>
      <c r="D379" s="118" t="s">
        <v>3005</v>
      </c>
      <c r="E379" s="118" t="s">
        <v>161</v>
      </c>
      <c r="F379" s="119"/>
      <c r="G379" s="118"/>
      <c r="H379" s="120"/>
      <c r="I379" s="121"/>
      <c r="J379" s="110" t="s">
        <v>2237</v>
      </c>
      <c r="K379" s="110" t="s">
        <v>1403</v>
      </c>
      <c r="L379" s="110" t="s">
        <v>3781</v>
      </c>
      <c r="M379" s="111" t="s">
        <v>1441</v>
      </c>
      <c r="N379" s="111" t="s">
        <v>1400</v>
      </c>
      <c r="O379" s="111" t="s">
        <v>1442</v>
      </c>
      <c r="P379" s="112" t="s">
        <v>3314</v>
      </c>
      <c r="Q379" s="112" t="s">
        <v>3495</v>
      </c>
      <c r="R379" s="112" t="s">
        <v>3700</v>
      </c>
      <c r="S379" s="144">
        <v>2060.35</v>
      </c>
      <c r="T379" s="111">
        <v>148.94999999999999</v>
      </c>
      <c r="U379" s="144">
        <v>1911.4</v>
      </c>
    </row>
    <row r="380" spans="1:21" ht="15" thickBot="1" x14ac:dyDescent="0.35">
      <c r="A380" s="117">
        <v>379</v>
      </c>
      <c r="B380" s="118" t="s">
        <v>617</v>
      </c>
      <c r="C380" s="118" t="s">
        <v>150</v>
      </c>
      <c r="D380" s="118" t="s">
        <v>3006</v>
      </c>
      <c r="E380" s="118" t="s">
        <v>193</v>
      </c>
      <c r="F380" s="119"/>
      <c r="G380" s="118"/>
      <c r="H380" s="120"/>
      <c r="I380" s="121"/>
      <c r="J380" s="110" t="s">
        <v>2238</v>
      </c>
      <c r="K380" s="110" t="s">
        <v>1403</v>
      </c>
      <c r="L380" s="110" t="s">
        <v>3781</v>
      </c>
      <c r="M380" s="111" t="s">
        <v>1399</v>
      </c>
      <c r="N380" s="111" t="s">
        <v>1400</v>
      </c>
      <c r="O380" s="111" t="s">
        <v>1401</v>
      </c>
      <c r="P380" s="112" t="s">
        <v>1570</v>
      </c>
      <c r="Q380" s="112" t="s">
        <v>1534</v>
      </c>
      <c r="R380" s="112" t="s">
        <v>1571</v>
      </c>
      <c r="S380" s="144">
        <v>1681.94</v>
      </c>
      <c r="T380" s="111">
        <v>127.05</v>
      </c>
      <c r="U380" s="144">
        <v>1554.89</v>
      </c>
    </row>
    <row r="381" spans="1:21" ht="15" thickBot="1" x14ac:dyDescent="0.35">
      <c r="A381" s="117">
        <v>380</v>
      </c>
      <c r="B381" s="118" t="s">
        <v>618</v>
      </c>
      <c r="C381" s="118" t="s">
        <v>150</v>
      </c>
      <c r="D381" s="118" t="s">
        <v>3007</v>
      </c>
      <c r="E381" s="118" t="s">
        <v>330</v>
      </c>
      <c r="F381" s="119"/>
      <c r="G381" s="118"/>
      <c r="H381" s="120"/>
      <c r="I381" s="121"/>
      <c r="J381" s="110" t="s">
        <v>2239</v>
      </c>
      <c r="K381" s="110" t="s">
        <v>1403</v>
      </c>
      <c r="L381" s="110" t="s">
        <v>3781</v>
      </c>
      <c r="M381" s="111" t="s">
        <v>1399</v>
      </c>
      <c r="N381" s="111" t="s">
        <v>1400</v>
      </c>
      <c r="O381" s="111" t="s">
        <v>1401</v>
      </c>
      <c r="P381" s="112" t="s">
        <v>1570</v>
      </c>
      <c r="Q381" s="112" t="s">
        <v>1534</v>
      </c>
      <c r="R381" s="112" t="s">
        <v>1571</v>
      </c>
      <c r="S381" s="144">
        <v>1681.94</v>
      </c>
      <c r="T381" s="111">
        <v>127.05</v>
      </c>
      <c r="U381" s="144">
        <v>1554.89</v>
      </c>
    </row>
    <row r="382" spans="1:21" ht="15" thickBot="1" x14ac:dyDescent="0.35">
      <c r="A382" s="117">
        <v>381</v>
      </c>
      <c r="B382" s="118" t="s">
        <v>619</v>
      </c>
      <c r="C382" s="118" t="s">
        <v>204</v>
      </c>
      <c r="D382" s="118" t="s">
        <v>3008</v>
      </c>
      <c r="E382" s="118" t="s">
        <v>296</v>
      </c>
      <c r="F382" s="119"/>
      <c r="G382" s="118"/>
      <c r="H382" s="120"/>
      <c r="I382" s="121"/>
      <c r="J382" s="110" t="s">
        <v>2240</v>
      </c>
      <c r="K382" s="110" t="s">
        <v>1403</v>
      </c>
      <c r="L382" s="110" t="s">
        <v>3781</v>
      </c>
      <c r="M382" s="111" t="s">
        <v>2241</v>
      </c>
      <c r="N382" s="111" t="s">
        <v>2242</v>
      </c>
      <c r="O382" s="111" t="s">
        <v>2243</v>
      </c>
      <c r="P382" s="112" t="s">
        <v>1570</v>
      </c>
      <c r="Q382" s="112" t="s">
        <v>1534</v>
      </c>
      <c r="R382" s="112" t="s">
        <v>1571</v>
      </c>
      <c r="S382" s="144">
        <v>1757.02</v>
      </c>
      <c r="T382" s="111">
        <v>133.81</v>
      </c>
      <c r="U382" s="144">
        <v>1623.21</v>
      </c>
    </row>
    <row r="383" spans="1:21" ht="15" thickBot="1" x14ac:dyDescent="0.35">
      <c r="A383" s="117">
        <v>382</v>
      </c>
      <c r="B383" s="118" t="s">
        <v>620</v>
      </c>
      <c r="C383" s="118" t="s">
        <v>179</v>
      </c>
      <c r="D383" s="118" t="s">
        <v>3009</v>
      </c>
      <c r="E383" s="118" t="s">
        <v>462</v>
      </c>
      <c r="F383" s="119"/>
      <c r="G383" s="118"/>
      <c r="H383" s="120"/>
      <c r="I383" s="121"/>
      <c r="J383" s="110" t="s">
        <v>2244</v>
      </c>
      <c r="K383" s="110" t="s">
        <v>1398</v>
      </c>
      <c r="L383" s="110" t="s">
        <v>3781</v>
      </c>
      <c r="M383" s="111" t="s">
        <v>1509</v>
      </c>
      <c r="N383" s="111" t="s">
        <v>1510</v>
      </c>
      <c r="O383" s="111" t="s">
        <v>1511</v>
      </c>
      <c r="P383" s="112" t="s">
        <v>1509</v>
      </c>
      <c r="Q383" s="112" t="s">
        <v>1510</v>
      </c>
      <c r="R383" s="112" t="s">
        <v>1511</v>
      </c>
      <c r="S383" s="144">
        <v>4280</v>
      </c>
      <c r="T383" s="111">
        <v>402.18</v>
      </c>
      <c r="U383" s="144">
        <v>3877.82</v>
      </c>
    </row>
    <row r="384" spans="1:21" ht="15" thickBot="1" x14ac:dyDescent="0.35">
      <c r="A384" s="117">
        <v>383</v>
      </c>
      <c r="B384" s="118" t="s">
        <v>621</v>
      </c>
      <c r="C384" s="118" t="s">
        <v>204</v>
      </c>
      <c r="D384" s="118" t="s">
        <v>3010</v>
      </c>
      <c r="E384" s="118" t="s">
        <v>159</v>
      </c>
      <c r="F384" s="119"/>
      <c r="G384" s="118"/>
      <c r="H384" s="120"/>
      <c r="I384" s="121"/>
      <c r="J384" s="110" t="s">
        <v>2245</v>
      </c>
      <c r="K384" s="110" t="s">
        <v>1403</v>
      </c>
      <c r="L384" s="110" t="s">
        <v>3781</v>
      </c>
      <c r="M384" s="111" t="s">
        <v>2246</v>
      </c>
      <c r="N384" s="111" t="s">
        <v>2247</v>
      </c>
      <c r="O384" s="111" t="s">
        <v>2248</v>
      </c>
      <c r="P384" s="112" t="s">
        <v>3221</v>
      </c>
      <c r="Q384" s="112" t="s">
        <v>3388</v>
      </c>
      <c r="R384" s="112" t="s">
        <v>3586</v>
      </c>
      <c r="S384" s="144">
        <v>1714.38</v>
      </c>
      <c r="T384" s="111">
        <v>129.97</v>
      </c>
      <c r="U384" s="144">
        <v>1584.41</v>
      </c>
    </row>
    <row r="385" spans="1:21" ht="15" thickBot="1" x14ac:dyDescent="0.35">
      <c r="A385" s="117">
        <v>384</v>
      </c>
      <c r="B385" s="118" t="s">
        <v>622</v>
      </c>
      <c r="C385" s="118" t="s">
        <v>623</v>
      </c>
      <c r="D385" s="118" t="s">
        <v>3011</v>
      </c>
      <c r="E385" s="118" t="s">
        <v>173</v>
      </c>
      <c r="F385" s="119"/>
      <c r="G385" s="118"/>
      <c r="H385" s="120"/>
      <c r="I385" s="121"/>
      <c r="J385" s="110" t="s">
        <v>2249</v>
      </c>
      <c r="K385" s="110" t="s">
        <v>1403</v>
      </c>
      <c r="L385" s="110" t="s">
        <v>3781</v>
      </c>
      <c r="M385" s="111" t="s">
        <v>1915</v>
      </c>
      <c r="N385" s="111" t="s">
        <v>1916</v>
      </c>
      <c r="O385" s="111" t="s">
        <v>1917</v>
      </c>
      <c r="P385" s="112" t="s">
        <v>1915</v>
      </c>
      <c r="Q385" s="112" t="s">
        <v>1916</v>
      </c>
      <c r="R385" s="112" t="s">
        <v>1917</v>
      </c>
      <c r="S385" s="144">
        <v>4034.28</v>
      </c>
      <c r="T385" s="111">
        <v>372.7</v>
      </c>
      <c r="U385" s="144">
        <v>3661.58</v>
      </c>
    </row>
    <row r="386" spans="1:21" ht="15" thickBot="1" x14ac:dyDescent="0.35">
      <c r="A386" s="117">
        <v>385</v>
      </c>
      <c r="B386" s="118" t="s">
        <v>624</v>
      </c>
      <c r="C386" s="118" t="s">
        <v>150</v>
      </c>
      <c r="D386" s="118" t="s">
        <v>3012</v>
      </c>
      <c r="E386" s="118" t="s">
        <v>462</v>
      </c>
      <c r="F386" s="119"/>
      <c r="G386" s="118"/>
      <c r="H386" s="120"/>
      <c r="I386" s="121"/>
      <c r="J386" s="110" t="s">
        <v>2250</v>
      </c>
      <c r="K386" s="110" t="s">
        <v>1403</v>
      </c>
      <c r="L386" s="110" t="s">
        <v>3781</v>
      </c>
      <c r="M386" s="111" t="s">
        <v>1399</v>
      </c>
      <c r="N386" s="111" t="s">
        <v>1400</v>
      </c>
      <c r="O386" s="111" t="s">
        <v>1401</v>
      </c>
      <c r="P386" s="112" t="s">
        <v>1570</v>
      </c>
      <c r="Q386" s="112" t="s">
        <v>1534</v>
      </c>
      <c r="R386" s="112" t="s">
        <v>1571</v>
      </c>
      <c r="S386" s="144">
        <v>1681.94</v>
      </c>
      <c r="T386" s="111">
        <v>127.05</v>
      </c>
      <c r="U386" s="144">
        <v>1554.89</v>
      </c>
    </row>
    <row r="387" spans="1:21" ht="15" thickBot="1" x14ac:dyDescent="0.35">
      <c r="A387" s="117">
        <v>386</v>
      </c>
      <c r="B387" s="118" t="s">
        <v>625</v>
      </c>
      <c r="C387" s="118" t="s">
        <v>233</v>
      </c>
      <c r="D387" s="118" t="s">
        <v>3013</v>
      </c>
      <c r="E387" s="118" t="s">
        <v>234</v>
      </c>
      <c r="F387" s="119"/>
      <c r="G387" s="118"/>
      <c r="H387" s="120"/>
      <c r="I387" s="121"/>
      <c r="J387" s="110" t="s">
        <v>2251</v>
      </c>
      <c r="K387" s="110" t="s">
        <v>2236</v>
      </c>
      <c r="L387" s="110" t="s">
        <v>3781</v>
      </c>
      <c r="M387" s="111" t="s">
        <v>1539</v>
      </c>
      <c r="N387" s="111" t="s">
        <v>1540</v>
      </c>
      <c r="O387" s="111" t="s">
        <v>1541</v>
      </c>
      <c r="P387" s="112" t="s">
        <v>1539</v>
      </c>
      <c r="Q387" s="112" t="s">
        <v>1540</v>
      </c>
      <c r="R387" s="112" t="s">
        <v>1541</v>
      </c>
      <c r="S387" s="144">
        <v>2800</v>
      </c>
      <c r="T387" s="111">
        <v>227.68</v>
      </c>
      <c r="U387" s="144">
        <v>2572.3200000000002</v>
      </c>
    </row>
    <row r="388" spans="1:21" ht="15" thickBot="1" x14ac:dyDescent="0.35">
      <c r="A388" s="117">
        <v>387</v>
      </c>
      <c r="B388" s="118" t="s">
        <v>626</v>
      </c>
      <c r="C388" s="118" t="s">
        <v>150</v>
      </c>
      <c r="D388" s="118" t="s">
        <v>3014</v>
      </c>
      <c r="E388" s="118" t="s">
        <v>330</v>
      </c>
      <c r="F388" s="119"/>
      <c r="G388" s="118"/>
      <c r="H388" s="120"/>
      <c r="I388" s="121"/>
      <c r="J388" s="110" t="s">
        <v>2252</v>
      </c>
      <c r="K388" s="110" t="s">
        <v>1532</v>
      </c>
      <c r="L388" s="110" t="s">
        <v>3781</v>
      </c>
      <c r="M388" s="111" t="s">
        <v>2253</v>
      </c>
      <c r="N388" s="111" t="s">
        <v>1534</v>
      </c>
      <c r="O388" s="111" t="s">
        <v>2254</v>
      </c>
      <c r="P388" s="112" t="s">
        <v>1570</v>
      </c>
      <c r="Q388" s="112" t="s">
        <v>1534</v>
      </c>
      <c r="R388" s="112" t="s">
        <v>1571</v>
      </c>
      <c r="S388" s="144">
        <v>1681.94</v>
      </c>
      <c r="T388" s="111">
        <v>127.05</v>
      </c>
      <c r="U388" s="144">
        <v>1554.89</v>
      </c>
    </row>
    <row r="389" spans="1:21" ht="15" thickBot="1" x14ac:dyDescent="0.35">
      <c r="A389" s="117">
        <v>388</v>
      </c>
      <c r="B389" s="118" t="s">
        <v>627</v>
      </c>
      <c r="C389" s="118" t="s">
        <v>150</v>
      </c>
      <c r="D389" s="118" t="s">
        <v>3015</v>
      </c>
      <c r="E389" s="118" t="s">
        <v>159</v>
      </c>
      <c r="F389" s="119"/>
      <c r="G389" s="118"/>
      <c r="H389" s="120"/>
      <c r="I389" s="121"/>
      <c r="J389" s="110" t="s">
        <v>2255</v>
      </c>
      <c r="K389" s="110" t="s">
        <v>1403</v>
      </c>
      <c r="L389" s="110" t="s">
        <v>3781</v>
      </c>
      <c r="M389" s="111" t="s">
        <v>2256</v>
      </c>
      <c r="N389" s="111" t="s">
        <v>2257</v>
      </c>
      <c r="O389" s="111" t="s">
        <v>2258</v>
      </c>
      <c r="P389" s="112" t="s">
        <v>3315</v>
      </c>
      <c r="Q389" s="112" t="s">
        <v>3496</v>
      </c>
      <c r="R389" s="112" t="s">
        <v>3701</v>
      </c>
      <c r="S389" s="144">
        <v>2042.35</v>
      </c>
      <c r="T389" s="111">
        <v>147.33000000000001</v>
      </c>
      <c r="U389" s="144">
        <v>1895.02</v>
      </c>
    </row>
    <row r="390" spans="1:21" ht="15" thickBot="1" x14ac:dyDescent="0.35">
      <c r="A390" s="117">
        <v>389</v>
      </c>
      <c r="B390" s="118" t="s">
        <v>628</v>
      </c>
      <c r="C390" s="118" t="s">
        <v>158</v>
      </c>
      <c r="D390" s="118" t="s">
        <v>3016</v>
      </c>
      <c r="E390" s="118" t="s">
        <v>629</v>
      </c>
      <c r="F390" s="119"/>
      <c r="G390" s="118"/>
      <c r="H390" s="120"/>
      <c r="I390" s="121"/>
      <c r="J390" s="110" t="s">
        <v>2259</v>
      </c>
      <c r="K390" s="110" t="s">
        <v>1403</v>
      </c>
      <c r="L390" s="110" t="s">
        <v>3781</v>
      </c>
      <c r="M390" s="111" t="s">
        <v>1425</v>
      </c>
      <c r="N390" s="111" t="s">
        <v>1426</v>
      </c>
      <c r="O390" s="111" t="s">
        <v>1427</v>
      </c>
      <c r="P390" s="112" t="s">
        <v>3215</v>
      </c>
      <c r="Q390" s="112" t="s">
        <v>2424</v>
      </c>
      <c r="R390" s="112" t="s">
        <v>3570</v>
      </c>
      <c r="S390" s="144">
        <v>3650.79</v>
      </c>
      <c r="T390" s="111">
        <v>326.68</v>
      </c>
      <c r="U390" s="144">
        <v>3324.11</v>
      </c>
    </row>
    <row r="391" spans="1:21" ht="15" thickBot="1" x14ac:dyDescent="0.35">
      <c r="A391" s="117">
        <v>390</v>
      </c>
      <c r="B391" s="118" t="s">
        <v>630</v>
      </c>
      <c r="C391" s="118" t="s">
        <v>150</v>
      </c>
      <c r="D391" s="118" t="s">
        <v>3017</v>
      </c>
      <c r="E391" s="118" t="s">
        <v>177</v>
      </c>
      <c r="F391" s="119"/>
      <c r="G391" s="118"/>
      <c r="H391" s="120"/>
      <c r="I391" s="121"/>
      <c r="J391" s="110" t="s">
        <v>2260</v>
      </c>
      <c r="K391" s="110" t="s">
        <v>1403</v>
      </c>
      <c r="L391" s="110" t="s">
        <v>3781</v>
      </c>
      <c r="M391" s="111" t="s">
        <v>1399</v>
      </c>
      <c r="N391" s="111" t="s">
        <v>1400</v>
      </c>
      <c r="O391" s="111" t="s">
        <v>1401</v>
      </c>
      <c r="P391" s="112" t="s">
        <v>1570</v>
      </c>
      <c r="Q391" s="112" t="s">
        <v>1534</v>
      </c>
      <c r="R391" s="112" t="s">
        <v>1571</v>
      </c>
      <c r="S391" s="144">
        <v>1681.94</v>
      </c>
      <c r="T391" s="111">
        <v>127.05</v>
      </c>
      <c r="U391" s="144">
        <v>1554.89</v>
      </c>
    </row>
    <row r="392" spans="1:21" ht="15" thickBot="1" x14ac:dyDescent="0.35">
      <c r="A392" s="117">
        <v>391</v>
      </c>
      <c r="B392" s="118" t="s">
        <v>631</v>
      </c>
      <c r="C392" s="118" t="s">
        <v>158</v>
      </c>
      <c r="D392" s="118" t="s">
        <v>3018</v>
      </c>
      <c r="E392" s="118" t="s">
        <v>161</v>
      </c>
      <c r="F392" s="119"/>
      <c r="G392" s="118"/>
      <c r="H392" s="120"/>
      <c r="I392" s="121"/>
      <c r="J392" s="110" t="s">
        <v>2261</v>
      </c>
      <c r="K392" s="110" t="s">
        <v>1403</v>
      </c>
      <c r="L392" s="110" t="s">
        <v>3781</v>
      </c>
      <c r="M392" s="111" t="s">
        <v>1456</v>
      </c>
      <c r="N392" s="111" t="s">
        <v>2262</v>
      </c>
      <c r="O392" s="111" t="s">
        <v>2263</v>
      </c>
      <c r="P392" s="112" t="s">
        <v>3219</v>
      </c>
      <c r="Q392" s="112" t="s">
        <v>3374</v>
      </c>
      <c r="R392" s="112" t="s">
        <v>3572</v>
      </c>
      <c r="S392" s="144">
        <v>3090.01</v>
      </c>
      <c r="T392" s="111">
        <v>259.39</v>
      </c>
      <c r="U392" s="144">
        <v>2830.62</v>
      </c>
    </row>
    <row r="393" spans="1:21" ht="15" thickBot="1" x14ac:dyDescent="0.35">
      <c r="A393" s="117">
        <v>392</v>
      </c>
      <c r="B393" s="118" t="s">
        <v>632</v>
      </c>
      <c r="C393" s="118" t="s">
        <v>179</v>
      </c>
      <c r="D393" s="118" t="s">
        <v>3019</v>
      </c>
      <c r="E393" s="118" t="s">
        <v>317</v>
      </c>
      <c r="F393" s="119"/>
      <c r="G393" s="118"/>
      <c r="H393" s="120"/>
      <c r="I393" s="121"/>
      <c r="J393" s="110" t="s">
        <v>2264</v>
      </c>
      <c r="K393" s="110" t="s">
        <v>1403</v>
      </c>
      <c r="L393" s="110" t="s">
        <v>3781</v>
      </c>
      <c r="M393" s="111" t="s">
        <v>1694</v>
      </c>
      <c r="N393" s="111" t="s">
        <v>2036</v>
      </c>
      <c r="O393" s="111" t="s">
        <v>2037</v>
      </c>
      <c r="P393" s="112" t="s">
        <v>1694</v>
      </c>
      <c r="Q393" s="112" t="s">
        <v>2036</v>
      </c>
      <c r="R393" s="112" t="s">
        <v>2037</v>
      </c>
      <c r="S393" s="144">
        <v>5250.81</v>
      </c>
      <c r="T393" s="111">
        <v>774.07</v>
      </c>
      <c r="U393" s="144">
        <v>4476.74</v>
      </c>
    </row>
    <row r="394" spans="1:21" ht="15" thickBot="1" x14ac:dyDescent="0.35">
      <c r="A394" s="117">
        <v>393</v>
      </c>
      <c r="B394" s="118" t="s">
        <v>633</v>
      </c>
      <c r="C394" s="118" t="s">
        <v>150</v>
      </c>
      <c r="D394" s="118" t="s">
        <v>3020</v>
      </c>
      <c r="E394" s="118" t="s">
        <v>161</v>
      </c>
      <c r="F394" s="119"/>
      <c r="G394" s="118"/>
      <c r="H394" s="120"/>
      <c r="I394" s="121"/>
      <c r="J394" s="110" t="s">
        <v>2265</v>
      </c>
      <c r="K394" s="110" t="s">
        <v>1398</v>
      </c>
      <c r="L394" s="110" t="s">
        <v>3781</v>
      </c>
      <c r="M394" s="111" t="s">
        <v>2266</v>
      </c>
      <c r="N394" s="111" t="s">
        <v>2267</v>
      </c>
      <c r="O394" s="111" t="s">
        <v>2268</v>
      </c>
      <c r="P394" s="112" t="s">
        <v>3316</v>
      </c>
      <c r="Q394" s="112" t="s">
        <v>3497</v>
      </c>
      <c r="R394" s="112" t="s">
        <v>3702</v>
      </c>
      <c r="S394" s="144">
        <v>1911.7</v>
      </c>
      <c r="T394" s="111">
        <v>389.24</v>
      </c>
      <c r="U394" s="144">
        <v>1522.46</v>
      </c>
    </row>
    <row r="395" spans="1:21" ht="15" thickBot="1" x14ac:dyDescent="0.35">
      <c r="A395" s="117">
        <v>394</v>
      </c>
      <c r="B395" s="118" t="s">
        <v>634</v>
      </c>
      <c r="C395" s="118" t="s">
        <v>233</v>
      </c>
      <c r="D395" s="118" t="s">
        <v>3021</v>
      </c>
      <c r="E395" s="118" t="s">
        <v>385</v>
      </c>
      <c r="F395" s="119"/>
      <c r="G395" s="118"/>
      <c r="H395" s="120"/>
      <c r="I395" s="121"/>
      <c r="J395" s="110" t="s">
        <v>2269</v>
      </c>
      <c r="K395" s="110" t="s">
        <v>1403</v>
      </c>
      <c r="L395" s="110" t="s">
        <v>3781</v>
      </c>
      <c r="M395" s="111" t="s">
        <v>1539</v>
      </c>
      <c r="N395" s="111" t="s">
        <v>1540</v>
      </c>
      <c r="O395" s="111" t="s">
        <v>1541</v>
      </c>
      <c r="P395" s="112" t="s">
        <v>1539</v>
      </c>
      <c r="Q395" s="112" t="s">
        <v>1540</v>
      </c>
      <c r="R395" s="112" t="s">
        <v>1541</v>
      </c>
      <c r="S395" s="144">
        <v>2884.72</v>
      </c>
      <c r="T395" s="111">
        <v>235.3</v>
      </c>
      <c r="U395" s="144">
        <v>2649.42</v>
      </c>
    </row>
    <row r="396" spans="1:21" ht="15" thickBot="1" x14ac:dyDescent="0.35">
      <c r="A396" s="117">
        <v>395</v>
      </c>
      <c r="B396" s="118" t="s">
        <v>635</v>
      </c>
      <c r="C396" s="118" t="s">
        <v>150</v>
      </c>
      <c r="D396" s="118" t="s">
        <v>3022</v>
      </c>
      <c r="E396" s="118" t="s">
        <v>173</v>
      </c>
      <c r="F396" s="119"/>
      <c r="G396" s="118"/>
      <c r="H396" s="120"/>
      <c r="I396" s="121"/>
      <c r="J396" s="110" t="s">
        <v>2270</v>
      </c>
      <c r="K396" s="110" t="s">
        <v>1403</v>
      </c>
      <c r="L396" s="110" t="s">
        <v>3781</v>
      </c>
      <c r="M396" s="111" t="s">
        <v>1527</v>
      </c>
      <c r="N396" s="111" t="s">
        <v>1528</v>
      </c>
      <c r="O396" s="111" t="s">
        <v>1529</v>
      </c>
      <c r="P396" s="112" t="s">
        <v>1570</v>
      </c>
      <c r="Q396" s="112" t="s">
        <v>1534</v>
      </c>
      <c r="R396" s="112" t="s">
        <v>1571</v>
      </c>
      <c r="S396" s="144">
        <v>1681.94</v>
      </c>
      <c r="T396" s="111">
        <v>127.05</v>
      </c>
      <c r="U396" s="144">
        <v>1554.89</v>
      </c>
    </row>
    <row r="397" spans="1:21" ht="15" thickBot="1" x14ac:dyDescent="0.35">
      <c r="A397" s="117">
        <v>396</v>
      </c>
      <c r="B397" s="118" t="s">
        <v>636</v>
      </c>
      <c r="C397" s="118" t="s">
        <v>158</v>
      </c>
      <c r="D397" s="118" t="s">
        <v>3023</v>
      </c>
      <c r="E397" s="118" t="s">
        <v>163</v>
      </c>
      <c r="F397" s="119"/>
      <c r="G397" s="118"/>
      <c r="H397" s="120"/>
      <c r="I397" s="121"/>
      <c r="J397" s="110" t="s">
        <v>2271</v>
      </c>
      <c r="K397" s="110" t="s">
        <v>1403</v>
      </c>
      <c r="L397" s="110" t="s">
        <v>3781</v>
      </c>
      <c r="M397" s="111" t="s">
        <v>1456</v>
      </c>
      <c r="N397" s="111" t="s">
        <v>1457</v>
      </c>
      <c r="O397" s="111" t="s">
        <v>1458</v>
      </c>
      <c r="P397" s="112" t="s">
        <v>3219</v>
      </c>
      <c r="Q397" s="112" t="s">
        <v>3374</v>
      </c>
      <c r="R397" s="112" t="s">
        <v>3572</v>
      </c>
      <c r="S397" s="144">
        <v>3090.01</v>
      </c>
      <c r="T397" s="111">
        <v>259.39</v>
      </c>
      <c r="U397" s="144">
        <v>2830.62</v>
      </c>
    </row>
    <row r="398" spans="1:21" ht="15" thickBot="1" x14ac:dyDescent="0.35">
      <c r="A398" s="117">
        <v>397</v>
      </c>
      <c r="B398" s="118" t="s">
        <v>637</v>
      </c>
      <c r="C398" s="118" t="s">
        <v>150</v>
      </c>
      <c r="D398" s="118" t="s">
        <v>3024</v>
      </c>
      <c r="E398" s="118" t="s">
        <v>223</v>
      </c>
      <c r="F398" s="119"/>
      <c r="G398" s="118"/>
      <c r="H398" s="120"/>
      <c r="I398" s="121"/>
      <c r="J398" s="110" t="s">
        <v>2272</v>
      </c>
      <c r="K398" s="110" t="s">
        <v>1403</v>
      </c>
      <c r="L398" s="110" t="s">
        <v>3781</v>
      </c>
      <c r="M398" s="111" t="s">
        <v>1801</v>
      </c>
      <c r="N398" s="111" t="s">
        <v>1802</v>
      </c>
      <c r="O398" s="111" t="s">
        <v>1803</v>
      </c>
      <c r="P398" s="112" t="s">
        <v>3248</v>
      </c>
      <c r="Q398" s="112" t="s">
        <v>3407</v>
      </c>
      <c r="R398" s="112" t="s">
        <v>3607</v>
      </c>
      <c r="S398" s="144">
        <v>2257.3200000000002</v>
      </c>
      <c r="T398" s="111">
        <v>178.83</v>
      </c>
      <c r="U398" s="144">
        <v>2078.4899999999998</v>
      </c>
    </row>
    <row r="399" spans="1:21" ht="15" thickBot="1" x14ac:dyDescent="0.35">
      <c r="A399" s="117">
        <v>398</v>
      </c>
      <c r="B399" s="118" t="s">
        <v>638</v>
      </c>
      <c r="C399" s="118" t="s">
        <v>150</v>
      </c>
      <c r="D399" s="118" t="s">
        <v>3025</v>
      </c>
      <c r="E399" s="118" t="s">
        <v>161</v>
      </c>
      <c r="F399" s="119"/>
      <c r="G399" s="118"/>
      <c r="H399" s="120"/>
      <c r="I399" s="121"/>
      <c r="J399" s="110" t="s">
        <v>2273</v>
      </c>
      <c r="K399" s="110" t="s">
        <v>1403</v>
      </c>
      <c r="L399" s="110" t="s">
        <v>3781</v>
      </c>
      <c r="M399" s="111" t="s">
        <v>1527</v>
      </c>
      <c r="N399" s="111" t="s">
        <v>1528</v>
      </c>
      <c r="O399" s="111" t="s">
        <v>1529</v>
      </c>
      <c r="P399" s="112" t="s">
        <v>3217</v>
      </c>
      <c r="Q399" s="112" t="s">
        <v>3370</v>
      </c>
      <c r="R399" s="112" t="s">
        <v>3567</v>
      </c>
      <c r="S399" s="144">
        <v>1714.38</v>
      </c>
      <c r="T399" s="111">
        <v>633.46</v>
      </c>
      <c r="U399" s="144">
        <v>1080.92</v>
      </c>
    </row>
    <row r="400" spans="1:21" ht="15" thickBot="1" x14ac:dyDescent="0.35">
      <c r="A400" s="117">
        <v>399</v>
      </c>
      <c r="B400" s="118" t="s">
        <v>639</v>
      </c>
      <c r="C400" s="118" t="s">
        <v>150</v>
      </c>
      <c r="D400" s="118" t="s">
        <v>3026</v>
      </c>
      <c r="E400" s="118" t="s">
        <v>315</v>
      </c>
      <c r="F400" s="119"/>
      <c r="G400" s="118"/>
      <c r="H400" s="120"/>
      <c r="I400" s="121"/>
      <c r="J400" s="110" t="s">
        <v>2274</v>
      </c>
      <c r="K400" s="110" t="s">
        <v>1403</v>
      </c>
      <c r="L400" s="110" t="s">
        <v>3781</v>
      </c>
      <c r="M400" s="111" t="s">
        <v>1399</v>
      </c>
      <c r="N400" s="111" t="s">
        <v>1400</v>
      </c>
      <c r="O400" s="111" t="s">
        <v>1401</v>
      </c>
      <c r="P400" s="112" t="s">
        <v>1570</v>
      </c>
      <c r="Q400" s="112" t="s">
        <v>1534</v>
      </c>
      <c r="R400" s="112" t="s">
        <v>1571</v>
      </c>
      <c r="S400" s="144">
        <v>1749.48</v>
      </c>
      <c r="T400" s="111">
        <v>518.59</v>
      </c>
      <c r="U400" s="144">
        <v>1230.8900000000001</v>
      </c>
    </row>
    <row r="401" spans="1:21" ht="15" thickBot="1" x14ac:dyDescent="0.35">
      <c r="A401" s="117">
        <v>400</v>
      </c>
      <c r="B401" s="118" t="s">
        <v>640</v>
      </c>
      <c r="C401" s="118" t="s">
        <v>158</v>
      </c>
      <c r="D401" s="118" t="s">
        <v>3027</v>
      </c>
      <c r="E401" s="118" t="s">
        <v>337</v>
      </c>
      <c r="F401" s="119"/>
      <c r="G401" s="118"/>
      <c r="H401" s="120"/>
      <c r="I401" s="121"/>
      <c r="J401" s="110" t="s">
        <v>2275</v>
      </c>
      <c r="K401" s="110" t="s">
        <v>1403</v>
      </c>
      <c r="L401" s="110" t="s">
        <v>3781</v>
      </c>
      <c r="M401" s="111" t="s">
        <v>1425</v>
      </c>
      <c r="N401" s="111" t="s">
        <v>1426</v>
      </c>
      <c r="O401" s="111" t="s">
        <v>1427</v>
      </c>
      <c r="P401" s="112" t="s">
        <v>3215</v>
      </c>
      <c r="Q401" s="112" t="s">
        <v>2424</v>
      </c>
      <c r="R401" s="112" t="s">
        <v>3570</v>
      </c>
      <c r="S401" s="144">
        <v>3433.34</v>
      </c>
      <c r="T401" s="111">
        <v>300.58999999999997</v>
      </c>
      <c r="U401" s="144">
        <v>3132.75</v>
      </c>
    </row>
    <row r="402" spans="1:21" ht="15" thickBot="1" x14ac:dyDescent="0.35">
      <c r="A402" s="117">
        <v>401</v>
      </c>
      <c r="B402" s="118" t="s">
        <v>641</v>
      </c>
      <c r="C402" s="118" t="s">
        <v>150</v>
      </c>
      <c r="D402" s="118" t="s">
        <v>3028</v>
      </c>
      <c r="E402" s="118" t="s">
        <v>366</v>
      </c>
      <c r="F402" s="119"/>
      <c r="G402" s="118"/>
      <c r="H402" s="120"/>
      <c r="I402" s="121"/>
      <c r="J402" s="110" t="s">
        <v>2276</v>
      </c>
      <c r="K402" s="110" t="s">
        <v>1403</v>
      </c>
      <c r="L402" s="110" t="s">
        <v>3781</v>
      </c>
      <c r="M402" s="111" t="s">
        <v>1993</v>
      </c>
      <c r="N402" s="111" t="s">
        <v>1994</v>
      </c>
      <c r="O402" s="111" t="s">
        <v>1995</v>
      </c>
      <c r="P402" s="112" t="s">
        <v>1910</v>
      </c>
      <c r="Q402" s="112" t="s">
        <v>1911</v>
      </c>
      <c r="R402" s="112" t="s">
        <v>1912</v>
      </c>
      <c r="S402" s="144">
        <v>2187.87</v>
      </c>
      <c r="T402" s="111">
        <v>172.58</v>
      </c>
      <c r="U402" s="144">
        <v>2015.29</v>
      </c>
    </row>
    <row r="403" spans="1:21" ht="15" thickBot="1" x14ac:dyDescent="0.35">
      <c r="A403" s="117">
        <v>402</v>
      </c>
      <c r="B403" s="118" t="s">
        <v>642</v>
      </c>
      <c r="C403" s="118" t="s">
        <v>150</v>
      </c>
      <c r="D403" s="118" t="s">
        <v>3029</v>
      </c>
      <c r="E403" s="118" t="s">
        <v>643</v>
      </c>
      <c r="F403" s="119"/>
      <c r="G403" s="118"/>
      <c r="H403" s="120"/>
      <c r="I403" s="121"/>
      <c r="J403" s="110" t="s">
        <v>2277</v>
      </c>
      <c r="K403" s="110" t="s">
        <v>1403</v>
      </c>
      <c r="L403" s="110" t="s">
        <v>3781</v>
      </c>
      <c r="M403" s="111" t="s">
        <v>1399</v>
      </c>
      <c r="N403" s="111" t="s">
        <v>1400</v>
      </c>
      <c r="O403" s="111" t="s">
        <v>1401</v>
      </c>
      <c r="P403" s="112" t="s">
        <v>1570</v>
      </c>
      <c r="Q403" s="112" t="s">
        <v>1534</v>
      </c>
      <c r="R403" s="112" t="s">
        <v>1571</v>
      </c>
      <c r="S403" s="144">
        <v>1783.93</v>
      </c>
      <c r="T403" s="111">
        <v>136.22999999999999</v>
      </c>
      <c r="U403" s="144">
        <v>1647.7</v>
      </c>
    </row>
    <row r="404" spans="1:21" ht="15" thickBot="1" x14ac:dyDescent="0.35">
      <c r="A404" s="117">
        <v>403</v>
      </c>
      <c r="B404" s="118" t="s">
        <v>644</v>
      </c>
      <c r="C404" s="118" t="s">
        <v>253</v>
      </c>
      <c r="D404" s="118" t="s">
        <v>3030</v>
      </c>
      <c r="E404" s="118" t="s">
        <v>330</v>
      </c>
      <c r="F404" s="119"/>
      <c r="G404" s="118"/>
      <c r="H404" s="120"/>
      <c r="I404" s="121"/>
      <c r="J404" s="110" t="s">
        <v>2278</v>
      </c>
      <c r="K404" s="110" t="s">
        <v>2279</v>
      </c>
      <c r="L404" s="110" t="s">
        <v>3781</v>
      </c>
      <c r="M404" s="111" t="s">
        <v>1570</v>
      </c>
      <c r="N404" s="111" t="s">
        <v>2280</v>
      </c>
      <c r="O404" s="111" t="s">
        <v>2281</v>
      </c>
      <c r="P404" s="112" t="s">
        <v>1570</v>
      </c>
      <c r="Q404" s="112" t="s">
        <v>3498</v>
      </c>
      <c r="R404" s="112" t="s">
        <v>3703</v>
      </c>
      <c r="S404" s="144">
        <v>1621</v>
      </c>
      <c r="T404" s="111">
        <v>286.20999999999998</v>
      </c>
      <c r="U404" s="144">
        <v>1334.79</v>
      </c>
    </row>
    <row r="405" spans="1:21" ht="15" thickBot="1" x14ac:dyDescent="0.35">
      <c r="A405" s="117">
        <v>404</v>
      </c>
      <c r="B405" s="118" t="s">
        <v>645</v>
      </c>
      <c r="C405" s="118" t="s">
        <v>158</v>
      </c>
      <c r="D405" s="118" t="s">
        <v>3031</v>
      </c>
      <c r="E405" s="118" t="s">
        <v>237</v>
      </c>
      <c r="F405" s="119"/>
      <c r="G405" s="118"/>
      <c r="H405" s="120"/>
      <c r="I405" s="121"/>
      <c r="J405" s="110" t="s">
        <v>2282</v>
      </c>
      <c r="K405" s="110" t="s">
        <v>1403</v>
      </c>
      <c r="L405" s="110" t="s">
        <v>3781</v>
      </c>
      <c r="M405" s="111" t="s">
        <v>1425</v>
      </c>
      <c r="N405" s="111" t="s">
        <v>1426</v>
      </c>
      <c r="O405" s="111" t="s">
        <v>1427</v>
      </c>
      <c r="P405" s="112" t="s">
        <v>3215</v>
      </c>
      <c r="Q405" s="112" t="s">
        <v>2424</v>
      </c>
      <c r="R405" s="112" t="s">
        <v>3570</v>
      </c>
      <c r="S405" s="144">
        <v>3433.34</v>
      </c>
      <c r="T405" s="111">
        <v>300.58999999999997</v>
      </c>
      <c r="U405" s="144">
        <v>3132.75</v>
      </c>
    </row>
    <row r="406" spans="1:21" ht="15" thickBot="1" x14ac:dyDescent="0.35">
      <c r="A406" s="117">
        <v>405</v>
      </c>
      <c r="B406" s="118" t="s">
        <v>646</v>
      </c>
      <c r="C406" s="118" t="s">
        <v>158</v>
      </c>
      <c r="D406" s="118" t="s">
        <v>3032</v>
      </c>
      <c r="E406" s="118" t="s">
        <v>163</v>
      </c>
      <c r="F406" s="119"/>
      <c r="G406" s="118"/>
      <c r="H406" s="120"/>
      <c r="I406" s="121"/>
      <c r="J406" s="110" t="s">
        <v>2283</v>
      </c>
      <c r="K406" s="110" t="s">
        <v>1403</v>
      </c>
      <c r="L406" s="110" t="s">
        <v>3781</v>
      </c>
      <c r="M406" s="111" t="s">
        <v>2284</v>
      </c>
      <c r="N406" s="111" t="s">
        <v>2285</v>
      </c>
      <c r="O406" s="111" t="s">
        <v>2286</v>
      </c>
      <c r="P406" s="112" t="s">
        <v>3317</v>
      </c>
      <c r="Q406" s="112" t="s">
        <v>3499</v>
      </c>
      <c r="R406" s="112" t="s">
        <v>3704</v>
      </c>
      <c r="S406" s="144">
        <v>3504.42</v>
      </c>
      <c r="T406" s="111">
        <v>309.11</v>
      </c>
      <c r="U406" s="144">
        <v>3195.31</v>
      </c>
    </row>
    <row r="407" spans="1:21" ht="15" thickBot="1" x14ac:dyDescent="0.35">
      <c r="A407" s="117">
        <v>406</v>
      </c>
      <c r="B407" s="118" t="s">
        <v>647</v>
      </c>
      <c r="C407" s="118" t="s">
        <v>158</v>
      </c>
      <c r="D407" s="118" t="s">
        <v>3033</v>
      </c>
      <c r="E407" s="118" t="s">
        <v>163</v>
      </c>
      <c r="F407" s="119"/>
      <c r="G407" s="118"/>
      <c r="H407" s="120"/>
      <c r="I407" s="121"/>
      <c r="J407" s="110" t="s">
        <v>2287</v>
      </c>
      <c r="K407" s="110" t="s">
        <v>1403</v>
      </c>
      <c r="L407" s="110" t="s">
        <v>3781</v>
      </c>
      <c r="M407" s="111" t="s">
        <v>1456</v>
      </c>
      <c r="N407" s="111" t="s">
        <v>1457</v>
      </c>
      <c r="O407" s="111" t="s">
        <v>1458</v>
      </c>
      <c r="P407" s="112" t="s">
        <v>3318</v>
      </c>
      <c r="Q407" s="112" t="s">
        <v>3500</v>
      </c>
      <c r="R407" s="112" t="s">
        <v>3705</v>
      </c>
      <c r="S407" s="144">
        <v>3090.01</v>
      </c>
      <c r="T407" s="111">
        <v>259.39</v>
      </c>
      <c r="U407" s="144">
        <v>2830.62</v>
      </c>
    </row>
    <row r="408" spans="1:21" ht="15" thickBot="1" x14ac:dyDescent="0.35">
      <c r="A408" s="117">
        <v>407</v>
      </c>
      <c r="B408" s="118" t="s">
        <v>648</v>
      </c>
      <c r="C408" s="118" t="s">
        <v>150</v>
      </c>
      <c r="D408" s="118" t="s">
        <v>3034</v>
      </c>
      <c r="E408" s="118" t="s">
        <v>278</v>
      </c>
      <c r="F408" s="119"/>
      <c r="G408" s="118"/>
      <c r="H408" s="120"/>
      <c r="I408" s="121"/>
      <c r="J408" s="110" t="s">
        <v>2288</v>
      </c>
      <c r="K408" s="110" t="s">
        <v>1403</v>
      </c>
      <c r="L408" s="110" t="s">
        <v>3781</v>
      </c>
      <c r="M408" s="111" t="s">
        <v>2289</v>
      </c>
      <c r="N408" s="111" t="s">
        <v>2290</v>
      </c>
      <c r="O408" s="111" t="s">
        <v>2291</v>
      </c>
      <c r="P408" s="112" t="s">
        <v>3319</v>
      </c>
      <c r="Q408" s="112" t="s">
        <v>3501</v>
      </c>
      <c r="R408" s="112" t="s">
        <v>3706</v>
      </c>
      <c r="S408" s="144">
        <v>2586.5500000000002</v>
      </c>
      <c r="T408" s="111">
        <v>319.08999999999997</v>
      </c>
      <c r="U408" s="144">
        <v>2267.46</v>
      </c>
    </row>
    <row r="409" spans="1:21" ht="15" thickBot="1" x14ac:dyDescent="0.35">
      <c r="A409" s="117">
        <v>408</v>
      </c>
      <c r="B409" s="118" t="s">
        <v>649</v>
      </c>
      <c r="C409" s="118" t="s">
        <v>107</v>
      </c>
      <c r="D409" s="118" t="s">
        <v>3035</v>
      </c>
      <c r="E409" s="118" t="s">
        <v>159</v>
      </c>
      <c r="F409" s="119"/>
      <c r="G409" s="118"/>
      <c r="H409" s="120"/>
      <c r="I409" s="121"/>
      <c r="J409" s="110" t="s">
        <v>2292</v>
      </c>
      <c r="K409" s="110" t="s">
        <v>1403</v>
      </c>
      <c r="L409" s="110" t="s">
        <v>3781</v>
      </c>
      <c r="M409" s="111" t="s">
        <v>1632</v>
      </c>
      <c r="N409" s="111" t="s">
        <v>1714</v>
      </c>
      <c r="O409" s="111" t="s">
        <v>1715</v>
      </c>
      <c r="P409" s="112" t="s">
        <v>1632</v>
      </c>
      <c r="Q409" s="112" t="s">
        <v>1714</v>
      </c>
      <c r="R409" s="112" t="s">
        <v>1715</v>
      </c>
      <c r="S409" s="144">
        <v>3000</v>
      </c>
      <c r="T409" s="111">
        <v>248.58</v>
      </c>
      <c r="U409" s="144">
        <v>2751.42</v>
      </c>
    </row>
    <row r="410" spans="1:21" ht="15" thickBot="1" x14ac:dyDescent="0.35">
      <c r="A410" s="117">
        <v>409</v>
      </c>
      <c r="B410" s="118" t="s">
        <v>650</v>
      </c>
      <c r="C410" s="118" t="s">
        <v>107</v>
      </c>
      <c r="D410" s="118" t="s">
        <v>3036</v>
      </c>
      <c r="E410" s="118" t="s">
        <v>240</v>
      </c>
      <c r="F410" s="119"/>
      <c r="G410" s="118"/>
      <c r="H410" s="120"/>
      <c r="I410" s="121"/>
      <c r="J410" s="110" t="s">
        <v>2293</v>
      </c>
      <c r="K410" s="110" t="s">
        <v>1403</v>
      </c>
      <c r="L410" s="110" t="s">
        <v>3781</v>
      </c>
      <c r="M410" s="111" t="s">
        <v>1632</v>
      </c>
      <c r="N410" s="111" t="s">
        <v>1714</v>
      </c>
      <c r="O410" s="111" t="s">
        <v>1715</v>
      </c>
      <c r="P410" s="112" t="s">
        <v>1632</v>
      </c>
      <c r="Q410" s="112" t="s">
        <v>1714</v>
      </c>
      <c r="R410" s="112" t="s">
        <v>1715</v>
      </c>
      <c r="S410" s="144">
        <v>3000</v>
      </c>
      <c r="T410" s="111">
        <v>248.58</v>
      </c>
      <c r="U410" s="144">
        <v>2751.42</v>
      </c>
    </row>
    <row r="411" spans="1:21" ht="15" thickBot="1" x14ac:dyDescent="0.35">
      <c r="A411" s="117">
        <v>410</v>
      </c>
      <c r="B411" s="118" t="s">
        <v>651</v>
      </c>
      <c r="C411" s="118" t="s">
        <v>150</v>
      </c>
      <c r="D411" s="118" t="s">
        <v>3037</v>
      </c>
      <c r="E411" s="118" t="s">
        <v>163</v>
      </c>
      <c r="F411" s="119"/>
      <c r="G411" s="118"/>
      <c r="H411" s="120"/>
      <c r="I411" s="121"/>
      <c r="J411" s="110" t="s">
        <v>2294</v>
      </c>
      <c r="K411" s="110" t="s">
        <v>1403</v>
      </c>
      <c r="L411" s="110" t="s">
        <v>3781</v>
      </c>
      <c r="M411" s="111" t="s">
        <v>2295</v>
      </c>
      <c r="N411" s="111" t="s">
        <v>2296</v>
      </c>
      <c r="O411" s="111" t="s">
        <v>2297</v>
      </c>
      <c r="P411" s="112" t="s">
        <v>3320</v>
      </c>
      <c r="Q411" s="112" t="s">
        <v>3502</v>
      </c>
      <c r="R411" s="112" t="s">
        <v>3707</v>
      </c>
      <c r="S411" s="144">
        <v>4108.84</v>
      </c>
      <c r="T411" s="111">
        <v>381.65</v>
      </c>
      <c r="U411" s="144">
        <v>3727.19</v>
      </c>
    </row>
    <row r="412" spans="1:21" ht="15" thickBot="1" x14ac:dyDescent="0.35">
      <c r="A412" s="117">
        <v>411</v>
      </c>
      <c r="B412" s="118" t="s">
        <v>652</v>
      </c>
      <c r="C412" s="118" t="s">
        <v>179</v>
      </c>
      <c r="D412" s="118" t="s">
        <v>3038</v>
      </c>
      <c r="E412" s="118" t="s">
        <v>257</v>
      </c>
      <c r="F412" s="119"/>
      <c r="G412" s="118"/>
      <c r="H412" s="120"/>
      <c r="I412" s="121"/>
      <c r="J412" s="110" t="s">
        <v>2298</v>
      </c>
      <c r="K412" s="110" t="s">
        <v>1403</v>
      </c>
      <c r="L412" s="110" t="s">
        <v>3781</v>
      </c>
      <c r="M412" s="111" t="s">
        <v>1509</v>
      </c>
      <c r="N412" s="111" t="s">
        <v>2299</v>
      </c>
      <c r="O412" s="111" t="s">
        <v>2300</v>
      </c>
      <c r="P412" s="112" t="s">
        <v>1509</v>
      </c>
      <c r="Q412" s="112" t="s">
        <v>2299</v>
      </c>
      <c r="R412" s="112" t="s">
        <v>2300</v>
      </c>
      <c r="S412" s="144">
        <v>4280</v>
      </c>
      <c r="T412" s="144">
        <v>1442.23</v>
      </c>
      <c r="U412" s="144">
        <v>2837.77</v>
      </c>
    </row>
    <row r="413" spans="1:21" ht="15" thickBot="1" x14ac:dyDescent="0.35">
      <c r="A413" s="117">
        <v>412</v>
      </c>
      <c r="B413" s="118" t="s">
        <v>653</v>
      </c>
      <c r="C413" s="118" t="s">
        <v>184</v>
      </c>
      <c r="D413" s="118" t="s">
        <v>3039</v>
      </c>
      <c r="E413" s="118" t="s">
        <v>163</v>
      </c>
      <c r="F413" s="119"/>
      <c r="G413" s="118"/>
      <c r="H413" s="120"/>
      <c r="I413" s="121"/>
      <c r="J413" s="110" t="s">
        <v>2301</v>
      </c>
      <c r="K413" s="110" t="s">
        <v>1403</v>
      </c>
      <c r="L413" s="110" t="s">
        <v>3781</v>
      </c>
      <c r="M413" s="111" t="s">
        <v>1451</v>
      </c>
      <c r="N413" s="111" t="s">
        <v>1452</v>
      </c>
      <c r="O413" s="111" t="s">
        <v>1453</v>
      </c>
      <c r="P413" s="112" t="s">
        <v>1451</v>
      </c>
      <c r="Q413" s="112" t="s">
        <v>1452</v>
      </c>
      <c r="R413" s="112" t="s">
        <v>1453</v>
      </c>
      <c r="S413" s="144">
        <v>3818.4</v>
      </c>
      <c r="T413" s="111">
        <v>346.79</v>
      </c>
      <c r="U413" s="144">
        <v>3471.61</v>
      </c>
    </row>
    <row r="414" spans="1:21" ht="15" thickBot="1" x14ac:dyDescent="0.35">
      <c r="A414" s="117">
        <v>413</v>
      </c>
      <c r="B414" s="118" t="s">
        <v>654</v>
      </c>
      <c r="C414" s="118" t="s">
        <v>150</v>
      </c>
      <c r="D414" s="118" t="s">
        <v>3040</v>
      </c>
      <c r="E414" s="118" t="s">
        <v>254</v>
      </c>
      <c r="F414" s="119"/>
      <c r="G414" s="118"/>
      <c r="H414" s="120"/>
      <c r="I414" s="121"/>
      <c r="J414" s="110" t="s">
        <v>2302</v>
      </c>
      <c r="K414" s="110" t="s">
        <v>1403</v>
      </c>
      <c r="L414" s="110" t="s">
        <v>3781</v>
      </c>
      <c r="M414" s="111" t="s">
        <v>1399</v>
      </c>
      <c r="N414" s="111" t="s">
        <v>1400</v>
      </c>
      <c r="O414" s="111" t="s">
        <v>1401</v>
      </c>
      <c r="P414" s="112" t="s">
        <v>1570</v>
      </c>
      <c r="Q414" s="112" t="s">
        <v>1534</v>
      </c>
      <c r="R414" s="112" t="s">
        <v>1571</v>
      </c>
      <c r="S414" s="144">
        <v>1681.94</v>
      </c>
      <c r="T414" s="111">
        <v>176.43</v>
      </c>
      <c r="U414" s="144">
        <v>1505.51</v>
      </c>
    </row>
    <row r="415" spans="1:21" ht="15" thickBot="1" x14ac:dyDescent="0.35">
      <c r="A415" s="117">
        <v>414</v>
      </c>
      <c r="B415" s="118" t="s">
        <v>655</v>
      </c>
      <c r="C415" s="118" t="s">
        <v>150</v>
      </c>
      <c r="D415" s="118" t="s">
        <v>3041</v>
      </c>
      <c r="E415" s="118" t="s">
        <v>163</v>
      </c>
      <c r="F415" s="119"/>
      <c r="G415" s="118"/>
      <c r="H415" s="120"/>
      <c r="I415" s="121"/>
      <c r="J415" s="110" t="s">
        <v>2303</v>
      </c>
      <c r="K415" s="110" t="s">
        <v>1652</v>
      </c>
      <c r="L415" s="110" t="s">
        <v>3781</v>
      </c>
      <c r="M415" s="111" t="s">
        <v>2304</v>
      </c>
      <c r="N415" s="111" t="s">
        <v>2305</v>
      </c>
      <c r="O415" s="111" t="s">
        <v>1604</v>
      </c>
      <c r="P415" s="112" t="s">
        <v>3321</v>
      </c>
      <c r="Q415" s="112" t="s">
        <v>3503</v>
      </c>
      <c r="R415" s="112" t="s">
        <v>3708</v>
      </c>
      <c r="S415" s="144">
        <v>2037.19</v>
      </c>
      <c r="T415" s="111">
        <v>146.86000000000001</v>
      </c>
      <c r="U415" s="144">
        <v>1890.33</v>
      </c>
    </row>
    <row r="416" spans="1:21" ht="15" thickBot="1" x14ac:dyDescent="0.35">
      <c r="A416" s="117">
        <v>415</v>
      </c>
      <c r="B416" s="118" t="s">
        <v>656</v>
      </c>
      <c r="C416" s="118" t="s">
        <v>150</v>
      </c>
      <c r="D416" s="118" t="s">
        <v>3042</v>
      </c>
      <c r="E416" s="118" t="s">
        <v>504</v>
      </c>
      <c r="F416" s="119"/>
      <c r="G416" s="118"/>
      <c r="H416" s="120"/>
      <c r="I416" s="121"/>
      <c r="J416" s="110" t="s">
        <v>2306</v>
      </c>
      <c r="K416" s="110" t="s">
        <v>1403</v>
      </c>
      <c r="L416" s="110" t="s">
        <v>3781</v>
      </c>
      <c r="M416" s="111" t="s">
        <v>1399</v>
      </c>
      <c r="N416" s="111" t="s">
        <v>1400</v>
      </c>
      <c r="O416" s="111" t="s">
        <v>1401</v>
      </c>
      <c r="P416" s="112" t="s">
        <v>1570</v>
      </c>
      <c r="Q416" s="112" t="s">
        <v>1534</v>
      </c>
      <c r="R416" s="112" t="s">
        <v>1571</v>
      </c>
      <c r="S416" s="144">
        <v>1682.57</v>
      </c>
      <c r="T416" s="111">
        <v>127.11</v>
      </c>
      <c r="U416" s="144">
        <v>1555.46</v>
      </c>
    </row>
    <row r="417" spans="1:21" ht="15" thickBot="1" x14ac:dyDescent="0.35">
      <c r="A417" s="117">
        <v>416</v>
      </c>
      <c r="B417" s="118" t="s">
        <v>657</v>
      </c>
      <c r="C417" s="118" t="s">
        <v>150</v>
      </c>
      <c r="D417" s="118" t="s">
        <v>3043</v>
      </c>
      <c r="E417" s="118" t="s">
        <v>185</v>
      </c>
      <c r="F417" s="119"/>
      <c r="G417" s="118"/>
      <c r="H417" s="120"/>
      <c r="I417" s="121"/>
      <c r="J417" s="110" t="s">
        <v>2307</v>
      </c>
      <c r="K417" s="110" t="s">
        <v>1403</v>
      </c>
      <c r="L417" s="110" t="s">
        <v>3781</v>
      </c>
      <c r="M417" s="111" t="s">
        <v>1422</v>
      </c>
      <c r="N417" s="111" t="s">
        <v>1400</v>
      </c>
      <c r="O417" s="111" t="s">
        <v>1423</v>
      </c>
      <c r="P417" s="112" t="s">
        <v>1671</v>
      </c>
      <c r="Q417" s="112" t="s">
        <v>1534</v>
      </c>
      <c r="R417" s="112" t="s">
        <v>1672</v>
      </c>
      <c r="S417" s="144">
        <v>1749.48</v>
      </c>
      <c r="T417" s="111">
        <v>127.05</v>
      </c>
      <c r="U417" s="144">
        <v>1622.43</v>
      </c>
    </row>
    <row r="418" spans="1:21" ht="15" thickBot="1" x14ac:dyDescent="0.35">
      <c r="A418" s="117">
        <v>417</v>
      </c>
      <c r="B418" s="118" t="s">
        <v>658</v>
      </c>
      <c r="C418" s="118" t="s">
        <v>248</v>
      </c>
      <c r="D418" s="118" t="s">
        <v>3044</v>
      </c>
      <c r="E418" s="118" t="s">
        <v>240</v>
      </c>
      <c r="F418" s="119"/>
      <c r="G418" s="118"/>
      <c r="H418" s="120"/>
      <c r="I418" s="121"/>
      <c r="J418" s="110" t="s">
        <v>2308</v>
      </c>
      <c r="K418" s="110" t="s">
        <v>1403</v>
      </c>
      <c r="L418" s="110" t="s">
        <v>3781</v>
      </c>
      <c r="M418" s="111" t="s">
        <v>1779</v>
      </c>
      <c r="N418" s="111" t="s">
        <v>1780</v>
      </c>
      <c r="O418" s="111" t="s">
        <v>1781</v>
      </c>
      <c r="P418" s="112" t="s">
        <v>1779</v>
      </c>
      <c r="Q418" s="112" t="s">
        <v>1780</v>
      </c>
      <c r="R418" s="112" t="s">
        <v>1781</v>
      </c>
      <c r="S418" s="144">
        <v>4759.7</v>
      </c>
      <c r="T418" s="111">
        <v>467.86</v>
      </c>
      <c r="U418" s="144">
        <v>4291.84</v>
      </c>
    </row>
    <row r="419" spans="1:21" ht="15" thickBot="1" x14ac:dyDescent="0.35">
      <c r="A419" s="117">
        <v>418</v>
      </c>
      <c r="B419" s="118" t="s">
        <v>659</v>
      </c>
      <c r="C419" s="118" t="s">
        <v>253</v>
      </c>
      <c r="D419" s="118" t="s">
        <v>3045</v>
      </c>
      <c r="E419" s="118" t="s">
        <v>156</v>
      </c>
      <c r="F419" s="119"/>
      <c r="G419" s="118"/>
      <c r="H419" s="120"/>
      <c r="I419" s="121"/>
      <c r="J419" s="110" t="s">
        <v>2309</v>
      </c>
      <c r="K419" s="110" t="s">
        <v>1403</v>
      </c>
      <c r="L419" s="110" t="s">
        <v>3781</v>
      </c>
      <c r="M419" s="111" t="s">
        <v>1671</v>
      </c>
      <c r="N419" s="111" t="s">
        <v>1534</v>
      </c>
      <c r="O419" s="111" t="s">
        <v>1672</v>
      </c>
      <c r="P419" s="112" t="s">
        <v>1671</v>
      </c>
      <c r="Q419" s="112" t="s">
        <v>1534</v>
      </c>
      <c r="R419" s="112" t="s">
        <v>1672</v>
      </c>
      <c r="S419" s="144">
        <v>1688.54</v>
      </c>
      <c r="T419" s="111">
        <v>121.57</v>
      </c>
      <c r="U419" s="144">
        <v>1566.97</v>
      </c>
    </row>
    <row r="420" spans="1:21" ht="15" thickBot="1" x14ac:dyDescent="0.35">
      <c r="A420" s="117">
        <v>419</v>
      </c>
      <c r="B420" s="118" t="s">
        <v>660</v>
      </c>
      <c r="C420" s="118" t="s">
        <v>210</v>
      </c>
      <c r="D420" s="118" t="s">
        <v>3046</v>
      </c>
      <c r="E420" s="118" t="s">
        <v>161</v>
      </c>
      <c r="F420" s="119"/>
      <c r="G420" s="118"/>
      <c r="H420" s="120"/>
      <c r="I420" s="121"/>
      <c r="J420" s="110" t="s">
        <v>2310</v>
      </c>
      <c r="K420" s="110" t="s">
        <v>1403</v>
      </c>
      <c r="L420" s="110" t="s">
        <v>3781</v>
      </c>
      <c r="M420" s="111" t="s">
        <v>2311</v>
      </c>
      <c r="N420" s="111" t="s">
        <v>2312</v>
      </c>
      <c r="O420" s="111" t="s">
        <v>2313</v>
      </c>
      <c r="P420" s="112" t="s">
        <v>3322</v>
      </c>
      <c r="Q420" s="112" t="s">
        <v>3504</v>
      </c>
      <c r="R420" s="112" t="s">
        <v>3709</v>
      </c>
      <c r="S420" s="144">
        <v>1979.82</v>
      </c>
      <c r="T420" s="111">
        <v>726.99</v>
      </c>
      <c r="U420" s="144">
        <v>1252.83</v>
      </c>
    </row>
    <row r="421" spans="1:21" ht="15" thickBot="1" x14ac:dyDescent="0.35">
      <c r="A421" s="117">
        <v>420</v>
      </c>
      <c r="B421" s="118" t="s">
        <v>661</v>
      </c>
      <c r="C421" s="118" t="s">
        <v>179</v>
      </c>
      <c r="D421" s="118" t="s">
        <v>3047</v>
      </c>
      <c r="E421" s="118" t="s">
        <v>276</v>
      </c>
      <c r="F421" s="119"/>
      <c r="G421" s="118"/>
      <c r="H421" s="120"/>
      <c r="I421" s="121"/>
      <c r="J421" s="110" t="s">
        <v>2314</v>
      </c>
      <c r="K421" s="110" t="s">
        <v>1403</v>
      </c>
      <c r="L421" s="110" t="s">
        <v>3781</v>
      </c>
      <c r="M421" s="111" t="s">
        <v>1509</v>
      </c>
      <c r="N421" s="111" t="s">
        <v>1510</v>
      </c>
      <c r="O421" s="111" t="s">
        <v>1511</v>
      </c>
      <c r="P421" s="112" t="s">
        <v>1509</v>
      </c>
      <c r="Q421" s="112" t="s">
        <v>1510</v>
      </c>
      <c r="R421" s="112" t="s">
        <v>1511</v>
      </c>
      <c r="S421" s="144">
        <v>4280</v>
      </c>
      <c r="T421" s="111">
        <v>402.18</v>
      </c>
      <c r="U421" s="144">
        <v>3877.82</v>
      </c>
    </row>
    <row r="422" spans="1:21" ht="15" thickBot="1" x14ac:dyDescent="0.35">
      <c r="A422" s="117">
        <v>421</v>
      </c>
      <c r="B422" s="118" t="s">
        <v>662</v>
      </c>
      <c r="C422" s="118" t="s">
        <v>179</v>
      </c>
      <c r="D422" s="118" t="s">
        <v>3048</v>
      </c>
      <c r="E422" s="118" t="s">
        <v>270</v>
      </c>
      <c r="F422" s="119"/>
      <c r="G422" s="118"/>
      <c r="H422" s="120"/>
      <c r="I422" s="121"/>
      <c r="J422" s="110" t="s">
        <v>2315</v>
      </c>
      <c r="K422" s="110" t="s">
        <v>1403</v>
      </c>
      <c r="L422" s="110" t="s">
        <v>3781</v>
      </c>
      <c r="M422" s="111" t="s">
        <v>1446</v>
      </c>
      <c r="N422" s="111" t="s">
        <v>1447</v>
      </c>
      <c r="O422" s="111" t="s">
        <v>1448</v>
      </c>
      <c r="P422" s="112" t="s">
        <v>1446</v>
      </c>
      <c r="Q422" s="112" t="s">
        <v>1447</v>
      </c>
      <c r="R422" s="112" t="s">
        <v>1448</v>
      </c>
      <c r="S422" s="144">
        <v>6391.92</v>
      </c>
      <c r="T422" s="144">
        <v>1122.07</v>
      </c>
      <c r="U422" s="144">
        <v>5269.85</v>
      </c>
    </row>
    <row r="423" spans="1:21" ht="15" thickBot="1" x14ac:dyDescent="0.35">
      <c r="A423" s="117">
        <v>422</v>
      </c>
      <c r="B423" s="118" t="s">
        <v>663</v>
      </c>
      <c r="C423" s="118" t="s">
        <v>158</v>
      </c>
      <c r="D423" s="118" t="s">
        <v>3049</v>
      </c>
      <c r="E423" s="118" t="s">
        <v>325</v>
      </c>
      <c r="F423" s="119"/>
      <c r="G423" s="118"/>
      <c r="H423" s="120"/>
      <c r="I423" s="121"/>
      <c r="J423" s="110" t="s">
        <v>2316</v>
      </c>
      <c r="K423" s="110" t="s">
        <v>1403</v>
      </c>
      <c r="L423" s="110" t="s">
        <v>3781</v>
      </c>
      <c r="M423" s="111" t="s">
        <v>1425</v>
      </c>
      <c r="N423" s="111" t="s">
        <v>1426</v>
      </c>
      <c r="O423" s="111" t="s">
        <v>1427</v>
      </c>
      <c r="P423" s="112" t="s">
        <v>3215</v>
      </c>
      <c r="Q423" s="112" t="s">
        <v>2424</v>
      </c>
      <c r="R423" s="112" t="s">
        <v>3570</v>
      </c>
      <c r="S423" s="144">
        <v>3433.34</v>
      </c>
      <c r="T423" s="111">
        <v>300.58999999999997</v>
      </c>
      <c r="U423" s="144">
        <v>3132.75</v>
      </c>
    </row>
    <row r="424" spans="1:21" ht="15" thickBot="1" x14ac:dyDescent="0.35">
      <c r="A424" s="117">
        <v>423</v>
      </c>
      <c r="B424" s="118" t="s">
        <v>664</v>
      </c>
      <c r="C424" s="118" t="s">
        <v>158</v>
      </c>
      <c r="D424" s="118" t="s">
        <v>3050</v>
      </c>
      <c r="E424" s="118" t="s">
        <v>163</v>
      </c>
      <c r="F424" s="119"/>
      <c r="G424" s="118"/>
      <c r="H424" s="120"/>
      <c r="I424" s="121"/>
      <c r="J424" s="110" t="s">
        <v>2317</v>
      </c>
      <c r="K424" s="110" t="s">
        <v>1403</v>
      </c>
      <c r="L424" s="110" t="s">
        <v>3781</v>
      </c>
      <c r="M424" s="111" t="s">
        <v>2318</v>
      </c>
      <c r="N424" s="111" t="s">
        <v>2319</v>
      </c>
      <c r="O424" s="111" t="s">
        <v>2320</v>
      </c>
      <c r="P424" s="112" t="s">
        <v>3323</v>
      </c>
      <c r="Q424" s="112" t="s">
        <v>3505</v>
      </c>
      <c r="R424" s="112" t="s">
        <v>3710</v>
      </c>
      <c r="S424" s="144">
        <v>4260.97</v>
      </c>
      <c r="T424" s="111">
        <v>399.9</v>
      </c>
      <c r="U424" s="144">
        <v>3861.07</v>
      </c>
    </row>
    <row r="425" spans="1:21" ht="15" thickBot="1" x14ac:dyDescent="0.35">
      <c r="A425" s="117">
        <v>424</v>
      </c>
      <c r="B425" s="118" t="s">
        <v>665</v>
      </c>
      <c r="C425" s="118" t="s">
        <v>150</v>
      </c>
      <c r="D425" s="118" t="s">
        <v>3051</v>
      </c>
      <c r="E425" s="118" t="s">
        <v>185</v>
      </c>
      <c r="F425" s="119"/>
      <c r="G425" s="118"/>
      <c r="H425" s="120"/>
      <c r="I425" s="121"/>
      <c r="J425" s="110" t="s">
        <v>2321</v>
      </c>
      <c r="K425" s="110" t="s">
        <v>1403</v>
      </c>
      <c r="L425" s="110" t="s">
        <v>3781</v>
      </c>
      <c r="M425" s="111" t="s">
        <v>1399</v>
      </c>
      <c r="N425" s="111" t="s">
        <v>1400</v>
      </c>
      <c r="O425" s="111" t="s">
        <v>1401</v>
      </c>
      <c r="P425" s="112" t="s">
        <v>1570</v>
      </c>
      <c r="Q425" s="112" t="s">
        <v>1534</v>
      </c>
      <c r="R425" s="112" t="s">
        <v>1571</v>
      </c>
      <c r="S425" s="144">
        <v>1681.94</v>
      </c>
      <c r="T425" s="111">
        <v>127.05</v>
      </c>
      <c r="U425" s="144">
        <v>1554.89</v>
      </c>
    </row>
    <row r="426" spans="1:21" ht="15" thickBot="1" x14ac:dyDescent="0.35">
      <c r="A426" s="117">
        <v>425</v>
      </c>
      <c r="B426" s="118" t="s">
        <v>666</v>
      </c>
      <c r="C426" s="118" t="s">
        <v>158</v>
      </c>
      <c r="D426" s="118" t="s">
        <v>3052</v>
      </c>
      <c r="E426" s="118" t="s">
        <v>159</v>
      </c>
      <c r="F426" s="119"/>
      <c r="G426" s="118"/>
      <c r="H426" s="120"/>
      <c r="I426" s="121"/>
      <c r="J426" s="110" t="s">
        <v>2322</v>
      </c>
      <c r="K426" s="110" t="s">
        <v>1403</v>
      </c>
      <c r="L426" s="110" t="s">
        <v>3781</v>
      </c>
      <c r="M426" s="111" t="s">
        <v>1456</v>
      </c>
      <c r="N426" s="111" t="s">
        <v>1457</v>
      </c>
      <c r="O426" s="111" t="s">
        <v>1458</v>
      </c>
      <c r="P426" s="112" t="s">
        <v>3324</v>
      </c>
      <c r="Q426" s="112" t="s">
        <v>3506</v>
      </c>
      <c r="R426" s="112" t="s">
        <v>3711</v>
      </c>
      <c r="S426" s="144">
        <v>3209.21</v>
      </c>
      <c r="T426" s="111">
        <v>273.69</v>
      </c>
      <c r="U426" s="144">
        <v>2935.52</v>
      </c>
    </row>
    <row r="427" spans="1:21" ht="15" thickBot="1" x14ac:dyDescent="0.35">
      <c r="A427" s="117">
        <v>426</v>
      </c>
      <c r="B427" s="118" t="s">
        <v>667</v>
      </c>
      <c r="C427" s="118" t="s">
        <v>150</v>
      </c>
      <c r="D427" s="118" t="s">
        <v>3053</v>
      </c>
      <c r="E427" s="118" t="s">
        <v>159</v>
      </c>
      <c r="F427" s="119"/>
      <c r="G427" s="118"/>
      <c r="H427" s="120"/>
      <c r="I427" s="121"/>
      <c r="J427" s="110" t="s">
        <v>2323</v>
      </c>
      <c r="K427" s="110" t="s">
        <v>1403</v>
      </c>
      <c r="L427" s="110" t="s">
        <v>3781</v>
      </c>
      <c r="M427" s="111" t="s">
        <v>1761</v>
      </c>
      <c r="N427" s="111" t="s">
        <v>1430</v>
      </c>
      <c r="O427" s="111" t="s">
        <v>2324</v>
      </c>
      <c r="P427" s="112" t="s">
        <v>3296</v>
      </c>
      <c r="Q427" s="112" t="s">
        <v>3473</v>
      </c>
      <c r="R427" s="112" t="s">
        <v>3677</v>
      </c>
      <c r="S427" s="144">
        <v>1698.16</v>
      </c>
      <c r="T427" s="111">
        <v>128.51</v>
      </c>
      <c r="U427" s="144">
        <v>1569.65</v>
      </c>
    </row>
    <row r="428" spans="1:21" ht="15" thickBot="1" x14ac:dyDescent="0.35">
      <c r="A428" s="117">
        <v>427</v>
      </c>
      <c r="B428" s="118" t="s">
        <v>668</v>
      </c>
      <c r="C428" s="118" t="s">
        <v>538</v>
      </c>
      <c r="D428" s="118" t="s">
        <v>3054</v>
      </c>
      <c r="E428" s="118" t="s">
        <v>272</v>
      </c>
      <c r="F428" s="119"/>
      <c r="G428" s="118"/>
      <c r="H428" s="120"/>
      <c r="I428" s="121"/>
      <c r="J428" s="110" t="s">
        <v>2325</v>
      </c>
      <c r="K428" s="110" t="s">
        <v>1403</v>
      </c>
      <c r="L428" s="110" t="s">
        <v>3781</v>
      </c>
      <c r="M428" s="111" t="s">
        <v>1545</v>
      </c>
      <c r="N428" s="111" t="s">
        <v>1546</v>
      </c>
      <c r="O428" s="111" t="s">
        <v>1547</v>
      </c>
      <c r="P428" s="112" t="s">
        <v>1545</v>
      </c>
      <c r="Q428" s="112" t="s">
        <v>1546</v>
      </c>
      <c r="R428" s="112" t="s">
        <v>1547</v>
      </c>
      <c r="S428" s="144">
        <v>6117.3</v>
      </c>
      <c r="T428" s="144">
        <v>1086.3900000000001</v>
      </c>
      <c r="U428" s="144">
        <v>5030.91</v>
      </c>
    </row>
    <row r="429" spans="1:21" ht="15" thickBot="1" x14ac:dyDescent="0.35">
      <c r="A429" s="117">
        <v>428</v>
      </c>
      <c r="B429" s="118" t="s">
        <v>669</v>
      </c>
      <c r="C429" s="118" t="s">
        <v>158</v>
      </c>
      <c r="D429" s="118" t="s">
        <v>3055</v>
      </c>
      <c r="E429" s="118" t="s">
        <v>163</v>
      </c>
      <c r="F429" s="119"/>
      <c r="G429" s="118"/>
      <c r="H429" s="120"/>
      <c r="I429" s="121"/>
      <c r="J429" s="110" t="s">
        <v>2326</v>
      </c>
      <c r="K429" s="110" t="s">
        <v>1403</v>
      </c>
      <c r="L429" s="110" t="s">
        <v>3781</v>
      </c>
      <c r="M429" s="111" t="s">
        <v>2327</v>
      </c>
      <c r="N429" s="111" t="s">
        <v>2328</v>
      </c>
      <c r="O429" s="111" t="s">
        <v>2329</v>
      </c>
      <c r="P429" s="112" t="s">
        <v>3325</v>
      </c>
      <c r="Q429" s="112" t="s">
        <v>3507</v>
      </c>
      <c r="R429" s="112" t="s">
        <v>3712</v>
      </c>
      <c r="S429" s="144">
        <v>3508.89</v>
      </c>
      <c r="T429" s="111">
        <v>309.64999999999998</v>
      </c>
      <c r="U429" s="144">
        <v>3199.24</v>
      </c>
    </row>
    <row r="430" spans="1:21" ht="15" thickBot="1" x14ac:dyDescent="0.35">
      <c r="A430" s="117">
        <v>429</v>
      </c>
      <c r="B430" s="118" t="s">
        <v>670</v>
      </c>
      <c r="C430" s="118" t="s">
        <v>158</v>
      </c>
      <c r="D430" s="118" t="s">
        <v>3056</v>
      </c>
      <c r="E430" s="118" t="s">
        <v>308</v>
      </c>
      <c r="F430" s="119"/>
      <c r="G430" s="118"/>
      <c r="H430" s="120"/>
      <c r="I430" s="121"/>
      <c r="J430" s="110" t="s">
        <v>2330</v>
      </c>
      <c r="K430" s="110" t="s">
        <v>1403</v>
      </c>
      <c r="L430" s="110" t="s">
        <v>3781</v>
      </c>
      <c r="M430" s="111" t="s">
        <v>1425</v>
      </c>
      <c r="N430" s="111" t="s">
        <v>1426</v>
      </c>
      <c r="O430" s="111" t="s">
        <v>1427</v>
      </c>
      <c r="P430" s="112" t="s">
        <v>3215</v>
      </c>
      <c r="Q430" s="112" t="s">
        <v>2424</v>
      </c>
      <c r="R430" s="112" t="s">
        <v>3570</v>
      </c>
      <c r="S430" s="144">
        <v>3433.34</v>
      </c>
      <c r="T430" s="111">
        <v>300.58999999999997</v>
      </c>
      <c r="U430" s="144">
        <v>3132.75</v>
      </c>
    </row>
    <row r="431" spans="1:21" ht="15" thickBot="1" x14ac:dyDescent="0.35">
      <c r="A431" s="117">
        <v>430</v>
      </c>
      <c r="B431" s="118" t="s">
        <v>671</v>
      </c>
      <c r="C431" s="118" t="s">
        <v>150</v>
      </c>
      <c r="D431" s="118" t="s">
        <v>3057</v>
      </c>
      <c r="E431" s="118" t="s">
        <v>173</v>
      </c>
      <c r="F431" s="119"/>
      <c r="G431" s="118"/>
      <c r="H431" s="120"/>
      <c r="I431" s="121"/>
      <c r="J431" s="110" t="s">
        <v>2331</v>
      </c>
      <c r="K431" s="110" t="s">
        <v>1403</v>
      </c>
      <c r="L431" s="110" t="s">
        <v>3781</v>
      </c>
      <c r="M431" s="111" t="s">
        <v>1527</v>
      </c>
      <c r="N431" s="111" t="s">
        <v>1528</v>
      </c>
      <c r="O431" s="111" t="s">
        <v>1529</v>
      </c>
      <c r="P431" s="112" t="s">
        <v>1570</v>
      </c>
      <c r="Q431" s="112" t="s">
        <v>1534</v>
      </c>
      <c r="R431" s="112" t="s">
        <v>1571</v>
      </c>
      <c r="S431" s="144">
        <v>1681.94</v>
      </c>
      <c r="T431" s="111">
        <v>127.05</v>
      </c>
      <c r="U431" s="144">
        <v>1554.89</v>
      </c>
    </row>
    <row r="432" spans="1:21" ht="15" thickBot="1" x14ac:dyDescent="0.35">
      <c r="A432" s="117">
        <v>431</v>
      </c>
      <c r="B432" s="118" t="s">
        <v>672</v>
      </c>
      <c r="C432" s="118" t="s">
        <v>107</v>
      </c>
      <c r="D432" s="118" t="s">
        <v>3058</v>
      </c>
      <c r="E432" s="118" t="s">
        <v>161</v>
      </c>
      <c r="F432" s="119"/>
      <c r="G432" s="118"/>
      <c r="H432" s="120"/>
      <c r="I432" s="121"/>
      <c r="J432" s="110" t="s">
        <v>2332</v>
      </c>
      <c r="K432" s="110" t="s">
        <v>1403</v>
      </c>
      <c r="L432" s="110" t="s">
        <v>3781</v>
      </c>
      <c r="M432" s="111" t="s">
        <v>1632</v>
      </c>
      <c r="N432" s="111" t="s">
        <v>1714</v>
      </c>
      <c r="O432" s="111" t="s">
        <v>1715</v>
      </c>
      <c r="P432" s="112" t="s">
        <v>1632</v>
      </c>
      <c r="Q432" s="112" t="s">
        <v>3508</v>
      </c>
      <c r="R432" s="112" t="s">
        <v>3713</v>
      </c>
      <c r="S432" s="144">
        <v>3757.39</v>
      </c>
      <c r="T432" s="111">
        <v>604.28</v>
      </c>
      <c r="U432" s="144">
        <v>3153.11</v>
      </c>
    </row>
    <row r="433" spans="1:21" ht="15" thickBot="1" x14ac:dyDescent="0.35">
      <c r="A433" s="117">
        <v>432</v>
      </c>
      <c r="B433" s="118" t="s">
        <v>673</v>
      </c>
      <c r="C433" s="118" t="s">
        <v>158</v>
      </c>
      <c r="D433" s="118" t="s">
        <v>3059</v>
      </c>
      <c r="E433" s="118" t="s">
        <v>315</v>
      </c>
      <c r="F433" s="119"/>
      <c r="G433" s="118"/>
      <c r="H433" s="120"/>
      <c r="I433" s="121"/>
      <c r="J433" s="110" t="s">
        <v>2333</v>
      </c>
      <c r="K433" s="110" t="s">
        <v>1680</v>
      </c>
      <c r="L433" s="110" t="s">
        <v>3781</v>
      </c>
      <c r="M433" s="111" t="s">
        <v>1643</v>
      </c>
      <c r="N433" s="111" t="s">
        <v>1644</v>
      </c>
      <c r="O433" s="111" t="s">
        <v>1645</v>
      </c>
      <c r="P433" s="112" t="s">
        <v>3215</v>
      </c>
      <c r="Q433" s="112" t="s">
        <v>2424</v>
      </c>
      <c r="R433" s="112" t="s">
        <v>3570</v>
      </c>
      <c r="S433" s="144">
        <v>3873.34</v>
      </c>
      <c r="T433" s="111">
        <v>353.39</v>
      </c>
      <c r="U433" s="144">
        <v>3519.95</v>
      </c>
    </row>
    <row r="434" spans="1:21" ht="15" thickBot="1" x14ac:dyDescent="0.35">
      <c r="A434" s="117">
        <v>433</v>
      </c>
      <c r="B434" s="118" t="s">
        <v>674</v>
      </c>
      <c r="C434" s="118" t="s">
        <v>150</v>
      </c>
      <c r="D434" s="118" t="s">
        <v>3060</v>
      </c>
      <c r="E434" s="118" t="s">
        <v>159</v>
      </c>
      <c r="F434" s="119"/>
      <c r="G434" s="118"/>
      <c r="H434" s="120"/>
      <c r="I434" s="121"/>
      <c r="J434" s="110" t="s">
        <v>2334</v>
      </c>
      <c r="K434" s="110" t="s">
        <v>1398</v>
      </c>
      <c r="L434" s="110" t="s">
        <v>3781</v>
      </c>
      <c r="M434" s="111" t="s">
        <v>1399</v>
      </c>
      <c r="N434" s="111" t="s">
        <v>1400</v>
      </c>
      <c r="O434" s="111" t="s">
        <v>1401</v>
      </c>
      <c r="P434" s="112" t="s">
        <v>1570</v>
      </c>
      <c r="Q434" s="112" t="s">
        <v>1534</v>
      </c>
      <c r="R434" s="112" t="s">
        <v>1571</v>
      </c>
      <c r="S434" s="144">
        <v>1698.16</v>
      </c>
      <c r="T434" s="111">
        <v>128.51</v>
      </c>
      <c r="U434" s="144">
        <v>1569.65</v>
      </c>
    </row>
    <row r="435" spans="1:21" ht="15" thickBot="1" x14ac:dyDescent="0.35">
      <c r="A435" s="117">
        <v>434</v>
      </c>
      <c r="B435" s="118" t="s">
        <v>675</v>
      </c>
      <c r="C435" s="118" t="s">
        <v>158</v>
      </c>
      <c r="D435" s="118" t="s">
        <v>3061</v>
      </c>
      <c r="E435" s="118" t="s">
        <v>330</v>
      </c>
      <c r="F435" s="119"/>
      <c r="G435" s="118"/>
      <c r="H435" s="120"/>
      <c r="I435" s="121"/>
      <c r="J435" s="110" t="s">
        <v>2335</v>
      </c>
      <c r="K435" s="110" t="s">
        <v>1403</v>
      </c>
      <c r="L435" s="110" t="s">
        <v>3781</v>
      </c>
      <c r="M435" s="111" t="s">
        <v>1425</v>
      </c>
      <c r="N435" s="111" t="s">
        <v>1426</v>
      </c>
      <c r="O435" s="111" t="s">
        <v>1427</v>
      </c>
      <c r="P435" s="112" t="s">
        <v>3215</v>
      </c>
      <c r="Q435" s="112" t="s">
        <v>2424</v>
      </c>
      <c r="R435" s="112" t="s">
        <v>3570</v>
      </c>
      <c r="S435" s="144">
        <v>4024.05</v>
      </c>
      <c r="T435" s="111">
        <v>371.47</v>
      </c>
      <c r="U435" s="144">
        <v>3652.58</v>
      </c>
    </row>
    <row r="436" spans="1:21" ht="15" thickBot="1" x14ac:dyDescent="0.35">
      <c r="A436" s="117">
        <v>435</v>
      </c>
      <c r="B436" s="118" t="s">
        <v>676</v>
      </c>
      <c r="C436" s="118" t="s">
        <v>253</v>
      </c>
      <c r="D436" s="118" t="s">
        <v>3062</v>
      </c>
      <c r="E436" s="118" t="s">
        <v>193</v>
      </c>
      <c r="F436" s="119"/>
      <c r="G436" s="118"/>
      <c r="H436" s="120"/>
      <c r="I436" s="121"/>
      <c r="J436" s="110" t="s">
        <v>2336</v>
      </c>
      <c r="K436" s="110" t="s">
        <v>1403</v>
      </c>
      <c r="L436" s="110" t="s">
        <v>3781</v>
      </c>
      <c r="M436" s="111" t="s">
        <v>1570</v>
      </c>
      <c r="N436" s="111" t="s">
        <v>1534</v>
      </c>
      <c r="O436" s="111" t="s">
        <v>1571</v>
      </c>
      <c r="P436" s="112" t="s">
        <v>1570</v>
      </c>
      <c r="Q436" s="112" t="s">
        <v>3509</v>
      </c>
      <c r="R436" s="112" t="s">
        <v>3714</v>
      </c>
      <c r="S436" s="144">
        <v>1621</v>
      </c>
      <c r="T436" s="111">
        <v>541.41</v>
      </c>
      <c r="U436" s="144">
        <v>1079.5899999999999</v>
      </c>
    </row>
    <row r="437" spans="1:21" ht="15" thickBot="1" x14ac:dyDescent="0.35">
      <c r="A437" s="117">
        <v>436</v>
      </c>
      <c r="B437" s="118" t="s">
        <v>677</v>
      </c>
      <c r="C437" s="118" t="s">
        <v>150</v>
      </c>
      <c r="D437" s="118" t="s">
        <v>3063</v>
      </c>
      <c r="E437" s="118" t="s">
        <v>159</v>
      </c>
      <c r="F437" s="119"/>
      <c r="G437" s="118"/>
      <c r="H437" s="120"/>
      <c r="I437" s="121"/>
      <c r="J437" s="110" t="s">
        <v>2337</v>
      </c>
      <c r="K437" s="110" t="s">
        <v>1403</v>
      </c>
      <c r="L437" s="110" t="s">
        <v>3781</v>
      </c>
      <c r="M437" s="111" t="s">
        <v>2338</v>
      </c>
      <c r="N437" s="111" t="s">
        <v>2339</v>
      </c>
      <c r="O437" s="111" t="s">
        <v>2340</v>
      </c>
      <c r="P437" s="112" t="s">
        <v>3326</v>
      </c>
      <c r="Q437" s="112" t="s">
        <v>3510</v>
      </c>
      <c r="R437" s="112" t="s">
        <v>3715</v>
      </c>
      <c r="S437" s="144">
        <v>1781.92</v>
      </c>
      <c r="T437" s="111">
        <v>195.18</v>
      </c>
      <c r="U437" s="144">
        <v>1586.74</v>
      </c>
    </row>
    <row r="438" spans="1:21" ht="15" thickBot="1" x14ac:dyDescent="0.35">
      <c r="A438" s="117">
        <v>437</v>
      </c>
      <c r="B438" s="118" t="s">
        <v>678</v>
      </c>
      <c r="C438" s="118" t="s">
        <v>248</v>
      </c>
      <c r="D438" s="118" t="s">
        <v>3064</v>
      </c>
      <c r="E438" s="118" t="s">
        <v>330</v>
      </c>
      <c r="F438" s="119"/>
      <c r="G438" s="118"/>
      <c r="H438" s="120"/>
      <c r="I438" s="121"/>
      <c r="J438" s="110" t="s">
        <v>2341</v>
      </c>
      <c r="K438" s="110" t="s">
        <v>1403</v>
      </c>
      <c r="L438" s="110" t="s">
        <v>3781</v>
      </c>
      <c r="M438" s="111" t="s">
        <v>1559</v>
      </c>
      <c r="N438" s="111" t="s">
        <v>1560</v>
      </c>
      <c r="O438" s="111" t="s">
        <v>1561</v>
      </c>
      <c r="P438" s="112" t="s">
        <v>1559</v>
      </c>
      <c r="Q438" s="112" t="s">
        <v>1560</v>
      </c>
      <c r="R438" s="112" t="s">
        <v>1561</v>
      </c>
      <c r="S438" s="144">
        <v>4327</v>
      </c>
      <c r="T438" s="111">
        <v>407.82</v>
      </c>
      <c r="U438" s="144">
        <v>3919.18</v>
      </c>
    </row>
    <row r="439" spans="1:21" ht="15" thickBot="1" x14ac:dyDescent="0.35">
      <c r="A439" s="117">
        <v>438</v>
      </c>
      <c r="B439" s="118" t="s">
        <v>679</v>
      </c>
      <c r="C439" s="118" t="s">
        <v>158</v>
      </c>
      <c r="D439" s="118" t="s">
        <v>3065</v>
      </c>
      <c r="E439" s="118" t="s">
        <v>237</v>
      </c>
      <c r="F439" s="119"/>
      <c r="G439" s="118"/>
      <c r="H439" s="120"/>
      <c r="I439" s="121"/>
      <c r="J439" s="110" t="s">
        <v>2342</v>
      </c>
      <c r="K439" s="110" t="s">
        <v>1403</v>
      </c>
      <c r="L439" s="110" t="s">
        <v>3781</v>
      </c>
      <c r="M439" s="111" t="s">
        <v>1425</v>
      </c>
      <c r="N439" s="111" t="s">
        <v>1426</v>
      </c>
      <c r="O439" s="111" t="s">
        <v>1427</v>
      </c>
      <c r="P439" s="112" t="s">
        <v>3215</v>
      </c>
      <c r="Q439" s="112" t="s">
        <v>2424</v>
      </c>
      <c r="R439" s="112" t="s">
        <v>3570</v>
      </c>
      <c r="S439" s="144">
        <v>3479.64</v>
      </c>
      <c r="T439" s="111">
        <v>306.14</v>
      </c>
      <c r="U439" s="144">
        <v>3173.5</v>
      </c>
    </row>
    <row r="440" spans="1:21" ht="15" thickBot="1" x14ac:dyDescent="0.35">
      <c r="A440" s="117">
        <v>439</v>
      </c>
      <c r="B440" s="118" t="s">
        <v>680</v>
      </c>
      <c r="C440" s="118" t="s">
        <v>207</v>
      </c>
      <c r="D440" s="118" t="s">
        <v>3066</v>
      </c>
      <c r="E440" s="118" t="s">
        <v>208</v>
      </c>
      <c r="F440" s="119"/>
      <c r="G440" s="118"/>
      <c r="H440" s="120"/>
      <c r="I440" s="121"/>
      <c r="J440" s="110" t="s">
        <v>2343</v>
      </c>
      <c r="K440" s="110" t="s">
        <v>1403</v>
      </c>
      <c r="L440" s="110" t="s">
        <v>3781</v>
      </c>
      <c r="M440" s="111" t="s">
        <v>2165</v>
      </c>
      <c r="N440" s="111" t="s">
        <v>2344</v>
      </c>
      <c r="O440" s="111" t="s">
        <v>2345</v>
      </c>
      <c r="P440" s="112" t="s">
        <v>3260</v>
      </c>
      <c r="Q440" s="112" t="s">
        <v>3511</v>
      </c>
      <c r="R440" s="112" t="s">
        <v>3716</v>
      </c>
      <c r="S440" s="144">
        <v>3326.88</v>
      </c>
      <c r="T440" s="111">
        <v>823.98</v>
      </c>
      <c r="U440" s="144">
        <v>2502.9</v>
      </c>
    </row>
    <row r="441" spans="1:21" ht="15" thickBot="1" x14ac:dyDescent="0.35">
      <c r="A441" s="117">
        <v>440</v>
      </c>
      <c r="B441" s="118" t="s">
        <v>681</v>
      </c>
      <c r="C441" s="118" t="s">
        <v>158</v>
      </c>
      <c r="D441" s="118" t="s">
        <v>3067</v>
      </c>
      <c r="E441" s="118" t="s">
        <v>159</v>
      </c>
      <c r="F441" s="119"/>
      <c r="G441" s="118"/>
      <c r="H441" s="120"/>
      <c r="I441" s="121"/>
      <c r="J441" s="110" t="s">
        <v>2346</v>
      </c>
      <c r="K441" s="110" t="s">
        <v>1403</v>
      </c>
      <c r="L441" s="110" t="s">
        <v>3781</v>
      </c>
      <c r="M441" s="111" t="s">
        <v>1456</v>
      </c>
      <c r="N441" s="111" t="s">
        <v>1457</v>
      </c>
      <c r="O441" s="111" t="s">
        <v>1458</v>
      </c>
      <c r="P441" s="112" t="s">
        <v>3219</v>
      </c>
      <c r="Q441" s="112" t="s">
        <v>3374</v>
      </c>
      <c r="R441" s="112" t="s">
        <v>3572</v>
      </c>
      <c r="S441" s="144">
        <v>3095.08</v>
      </c>
      <c r="T441" s="111">
        <v>259.99</v>
      </c>
      <c r="U441" s="144">
        <v>2835.09</v>
      </c>
    </row>
    <row r="442" spans="1:21" ht="15" thickBot="1" x14ac:dyDescent="0.35">
      <c r="A442" s="117">
        <v>441</v>
      </c>
      <c r="B442" s="118" t="s">
        <v>682</v>
      </c>
      <c r="C442" s="118" t="s">
        <v>233</v>
      </c>
      <c r="D442" s="118" t="s">
        <v>3068</v>
      </c>
      <c r="E442" s="118" t="s">
        <v>234</v>
      </c>
      <c r="F442" s="119"/>
      <c r="G442" s="118"/>
      <c r="H442" s="120"/>
      <c r="I442" s="121"/>
      <c r="J442" s="110" t="s">
        <v>2347</v>
      </c>
      <c r="K442" s="110" t="s">
        <v>1403</v>
      </c>
      <c r="L442" s="110" t="s">
        <v>3781</v>
      </c>
      <c r="M442" s="111" t="s">
        <v>1539</v>
      </c>
      <c r="N442" s="111" t="s">
        <v>1540</v>
      </c>
      <c r="O442" s="111" t="s">
        <v>1541</v>
      </c>
      <c r="P442" s="112" t="s">
        <v>1539</v>
      </c>
      <c r="Q442" s="112" t="s">
        <v>1540</v>
      </c>
      <c r="R442" s="112" t="s">
        <v>1541</v>
      </c>
      <c r="S442" s="144">
        <v>2800</v>
      </c>
      <c r="T442" s="111">
        <v>227.68</v>
      </c>
      <c r="U442" s="144">
        <v>2572.3200000000002</v>
      </c>
    </row>
    <row r="443" spans="1:21" ht="15" thickBot="1" x14ac:dyDescent="0.35">
      <c r="A443" s="117">
        <v>442</v>
      </c>
      <c r="B443" s="118" t="s">
        <v>683</v>
      </c>
      <c r="C443" s="118" t="s">
        <v>260</v>
      </c>
      <c r="D443" s="118" t="s">
        <v>3069</v>
      </c>
      <c r="E443" s="118" t="s">
        <v>161</v>
      </c>
      <c r="F443" s="119"/>
      <c r="G443" s="118"/>
      <c r="H443" s="120"/>
      <c r="I443" s="121"/>
      <c r="J443" s="110" t="s">
        <v>2348</v>
      </c>
      <c r="K443" s="110" t="s">
        <v>1932</v>
      </c>
      <c r="L443" s="110" t="s">
        <v>3781</v>
      </c>
      <c r="M443" s="111" t="s">
        <v>2349</v>
      </c>
      <c r="N443" s="111" t="s">
        <v>2350</v>
      </c>
      <c r="O443" s="111" t="s">
        <v>2351</v>
      </c>
      <c r="P443" s="112" t="s">
        <v>3327</v>
      </c>
      <c r="Q443" s="112" t="s">
        <v>3512</v>
      </c>
      <c r="R443" s="112" t="s">
        <v>3717</v>
      </c>
      <c r="S443" s="144">
        <v>2134.8000000000002</v>
      </c>
      <c r="T443" s="111">
        <v>167.81</v>
      </c>
      <c r="U443" s="144">
        <v>1966.99</v>
      </c>
    </row>
    <row r="444" spans="1:21" ht="15" thickBot="1" x14ac:dyDescent="0.35">
      <c r="A444" s="117">
        <v>443</v>
      </c>
      <c r="B444" s="118" t="s">
        <v>684</v>
      </c>
      <c r="C444" s="118" t="s">
        <v>253</v>
      </c>
      <c r="D444" s="118" t="s">
        <v>3070</v>
      </c>
      <c r="E444" s="118" t="s">
        <v>296</v>
      </c>
      <c r="F444" s="119"/>
      <c r="G444" s="118"/>
      <c r="H444" s="120"/>
      <c r="I444" s="121"/>
      <c r="J444" s="110" t="s">
        <v>2352</v>
      </c>
      <c r="K444" s="110" t="s">
        <v>1398</v>
      </c>
      <c r="L444" s="110" t="s">
        <v>3781</v>
      </c>
      <c r="M444" s="111">
        <v>0</v>
      </c>
      <c r="N444" s="111">
        <v>0</v>
      </c>
      <c r="O444" s="111">
        <v>0</v>
      </c>
      <c r="P444" s="112" t="s">
        <v>1570</v>
      </c>
      <c r="Q444" s="112" t="s">
        <v>3513</v>
      </c>
      <c r="R444" s="112" t="s">
        <v>3718</v>
      </c>
      <c r="S444" s="144">
        <v>1621</v>
      </c>
      <c r="T444" s="111">
        <v>121.57</v>
      </c>
      <c r="U444" s="144">
        <v>1499.43</v>
      </c>
    </row>
    <row r="445" spans="1:21" ht="15" thickBot="1" x14ac:dyDescent="0.35">
      <c r="A445" s="117">
        <v>444</v>
      </c>
      <c r="B445" s="118" t="s">
        <v>685</v>
      </c>
      <c r="C445" s="118" t="s">
        <v>150</v>
      </c>
      <c r="D445" s="118" t="s">
        <v>3071</v>
      </c>
      <c r="E445" s="118" t="s">
        <v>490</v>
      </c>
      <c r="F445" s="119"/>
      <c r="G445" s="118"/>
      <c r="H445" s="120"/>
      <c r="I445" s="121"/>
      <c r="J445" s="110" t="s">
        <v>2353</v>
      </c>
      <c r="K445" s="110" t="s">
        <v>1403</v>
      </c>
      <c r="L445" s="110" t="s">
        <v>3781</v>
      </c>
      <c r="M445" s="111" t="s">
        <v>1399</v>
      </c>
      <c r="N445" s="111" t="s">
        <v>1400</v>
      </c>
      <c r="O445" s="111" t="s">
        <v>1401</v>
      </c>
      <c r="P445" s="112" t="s">
        <v>1570</v>
      </c>
      <c r="Q445" s="112" t="s">
        <v>1534</v>
      </c>
      <c r="R445" s="112" t="s">
        <v>1571</v>
      </c>
      <c r="S445" s="144">
        <v>1681.94</v>
      </c>
      <c r="T445" s="111">
        <v>127.05</v>
      </c>
      <c r="U445" s="144">
        <v>1554.89</v>
      </c>
    </row>
    <row r="446" spans="1:21" ht="15" thickBot="1" x14ac:dyDescent="0.35">
      <c r="A446" s="117">
        <v>445</v>
      </c>
      <c r="B446" s="118" t="s">
        <v>686</v>
      </c>
      <c r="C446" s="118" t="s">
        <v>158</v>
      </c>
      <c r="D446" s="118" t="s">
        <v>3072</v>
      </c>
      <c r="E446" s="118" t="s">
        <v>262</v>
      </c>
      <c r="F446" s="119"/>
      <c r="G446" s="118"/>
      <c r="H446" s="120"/>
      <c r="I446" s="121"/>
      <c r="J446" s="110" t="s">
        <v>2354</v>
      </c>
      <c r="K446" s="110" t="s">
        <v>1403</v>
      </c>
      <c r="L446" s="110" t="s">
        <v>3781</v>
      </c>
      <c r="M446" s="111" t="s">
        <v>1425</v>
      </c>
      <c r="N446" s="111" t="s">
        <v>1426</v>
      </c>
      <c r="O446" s="111" t="s">
        <v>1427</v>
      </c>
      <c r="P446" s="112" t="s">
        <v>3215</v>
      </c>
      <c r="Q446" s="112" t="s">
        <v>2424</v>
      </c>
      <c r="R446" s="112" t="s">
        <v>3570</v>
      </c>
      <c r="S446" s="144">
        <v>3547.33</v>
      </c>
      <c r="T446" s="111">
        <v>314.26</v>
      </c>
      <c r="U446" s="144">
        <v>3233.07</v>
      </c>
    </row>
    <row r="447" spans="1:21" ht="15" thickBot="1" x14ac:dyDescent="0.35">
      <c r="A447" s="117">
        <v>446</v>
      </c>
      <c r="B447" s="118" t="s">
        <v>687</v>
      </c>
      <c r="C447" s="118" t="s">
        <v>150</v>
      </c>
      <c r="D447" s="118" t="s">
        <v>3073</v>
      </c>
      <c r="E447" s="118" t="s">
        <v>163</v>
      </c>
      <c r="F447" s="119"/>
      <c r="G447" s="118"/>
      <c r="H447" s="120"/>
      <c r="I447" s="121"/>
      <c r="J447" s="110" t="s">
        <v>2355</v>
      </c>
      <c r="K447" s="110" t="s">
        <v>1403</v>
      </c>
      <c r="L447" s="110" t="s">
        <v>3781</v>
      </c>
      <c r="M447" s="111" t="s">
        <v>1801</v>
      </c>
      <c r="N447" s="111" t="s">
        <v>1802</v>
      </c>
      <c r="O447" s="111" t="s">
        <v>1803</v>
      </c>
      <c r="P447" s="112" t="s">
        <v>3248</v>
      </c>
      <c r="Q447" s="112" t="s">
        <v>3407</v>
      </c>
      <c r="R447" s="112" t="s">
        <v>3607</v>
      </c>
      <c r="S447" s="144">
        <v>1923.91</v>
      </c>
      <c r="T447" s="111">
        <v>148.83000000000001</v>
      </c>
      <c r="U447" s="144">
        <v>1775.08</v>
      </c>
    </row>
    <row r="448" spans="1:21" ht="15" thickBot="1" x14ac:dyDescent="0.35">
      <c r="A448" s="117">
        <v>447</v>
      </c>
      <c r="B448" s="118" t="s">
        <v>688</v>
      </c>
      <c r="C448" s="118" t="s">
        <v>150</v>
      </c>
      <c r="D448" s="118" t="s">
        <v>3074</v>
      </c>
      <c r="E448" s="118" t="s">
        <v>161</v>
      </c>
      <c r="F448" s="119"/>
      <c r="G448" s="118"/>
      <c r="H448" s="120"/>
      <c r="I448" s="121"/>
      <c r="J448" s="110" t="s">
        <v>2356</v>
      </c>
      <c r="K448" s="110" t="s">
        <v>1403</v>
      </c>
      <c r="L448" s="110" t="s">
        <v>3781</v>
      </c>
      <c r="M448" s="111" t="s">
        <v>2338</v>
      </c>
      <c r="N448" s="111" t="s">
        <v>1434</v>
      </c>
      <c r="O448" s="111" t="s">
        <v>2357</v>
      </c>
      <c r="P448" s="112" t="s">
        <v>1671</v>
      </c>
      <c r="Q448" s="112" t="s">
        <v>1534</v>
      </c>
      <c r="R448" s="112" t="s">
        <v>1672</v>
      </c>
      <c r="S448" s="144">
        <v>1781.92</v>
      </c>
      <c r="T448" s="111">
        <v>129.97</v>
      </c>
      <c r="U448" s="144">
        <v>1651.95</v>
      </c>
    </row>
    <row r="449" spans="1:21" ht="15" thickBot="1" x14ac:dyDescent="0.35">
      <c r="A449" s="117">
        <v>448</v>
      </c>
      <c r="B449" s="118" t="s">
        <v>689</v>
      </c>
      <c r="C449" s="118" t="s">
        <v>150</v>
      </c>
      <c r="D449" s="118" t="s">
        <v>3075</v>
      </c>
      <c r="E449" s="118" t="s">
        <v>462</v>
      </c>
      <c r="F449" s="119"/>
      <c r="G449" s="118"/>
      <c r="H449" s="120"/>
      <c r="I449" s="121"/>
      <c r="J449" s="110" t="s">
        <v>2358</v>
      </c>
      <c r="K449" s="110" t="s">
        <v>1403</v>
      </c>
      <c r="L449" s="110" t="s">
        <v>3781</v>
      </c>
      <c r="M449" s="111" t="s">
        <v>1399</v>
      </c>
      <c r="N449" s="111" t="s">
        <v>1400</v>
      </c>
      <c r="O449" s="111" t="s">
        <v>1401</v>
      </c>
      <c r="P449" s="112" t="s">
        <v>1570</v>
      </c>
      <c r="Q449" s="112" t="s">
        <v>1534</v>
      </c>
      <c r="R449" s="112" t="s">
        <v>1571</v>
      </c>
      <c r="S449" s="144">
        <v>1681.94</v>
      </c>
      <c r="T449" s="111">
        <v>127.05</v>
      </c>
      <c r="U449" s="144">
        <v>1554.89</v>
      </c>
    </row>
    <row r="450" spans="1:21" ht="15" thickBot="1" x14ac:dyDescent="0.35">
      <c r="A450" s="117">
        <v>449</v>
      </c>
      <c r="B450" s="118" t="s">
        <v>690</v>
      </c>
      <c r="C450" s="118" t="s">
        <v>253</v>
      </c>
      <c r="D450" s="118" t="s">
        <v>3076</v>
      </c>
      <c r="E450" s="118" t="s">
        <v>185</v>
      </c>
      <c r="F450" s="119"/>
      <c r="G450" s="118"/>
      <c r="H450" s="120"/>
      <c r="I450" s="121"/>
      <c r="J450" s="110" t="s">
        <v>2359</v>
      </c>
      <c r="K450" s="110" t="s">
        <v>1403</v>
      </c>
      <c r="L450" s="110" t="s">
        <v>3781</v>
      </c>
      <c r="M450" s="111" t="s">
        <v>1570</v>
      </c>
      <c r="N450" s="111" t="s">
        <v>1534</v>
      </c>
      <c r="O450" s="111" t="s">
        <v>1571</v>
      </c>
      <c r="P450" s="112" t="s">
        <v>1570</v>
      </c>
      <c r="Q450" s="112" t="s">
        <v>1534</v>
      </c>
      <c r="R450" s="112" t="s">
        <v>1571</v>
      </c>
      <c r="S450" s="144">
        <v>1621</v>
      </c>
      <c r="T450" s="111">
        <v>121.57</v>
      </c>
      <c r="U450" s="144">
        <v>1499.43</v>
      </c>
    </row>
    <row r="451" spans="1:21" ht="15" thickBot="1" x14ac:dyDescent="0.35">
      <c r="A451" s="117">
        <v>450</v>
      </c>
      <c r="B451" s="118" t="s">
        <v>691</v>
      </c>
      <c r="C451" s="118" t="s">
        <v>150</v>
      </c>
      <c r="D451" s="118" t="s">
        <v>3077</v>
      </c>
      <c r="E451" s="118" t="s">
        <v>193</v>
      </c>
      <c r="F451" s="119"/>
      <c r="G451" s="118"/>
      <c r="H451" s="120"/>
      <c r="I451" s="121"/>
      <c r="J451" s="110" t="s">
        <v>2360</v>
      </c>
      <c r="K451" s="110" t="s">
        <v>1403</v>
      </c>
      <c r="L451" s="110" t="s">
        <v>3781</v>
      </c>
      <c r="M451" s="111" t="s">
        <v>1399</v>
      </c>
      <c r="N451" s="111" t="s">
        <v>1400</v>
      </c>
      <c r="O451" s="111" t="s">
        <v>1401</v>
      </c>
      <c r="P451" s="112" t="s">
        <v>1570</v>
      </c>
      <c r="Q451" s="112" t="s">
        <v>1534</v>
      </c>
      <c r="R451" s="112" t="s">
        <v>1571</v>
      </c>
      <c r="S451" s="144">
        <v>1806.61</v>
      </c>
      <c r="T451" s="111">
        <v>138.27000000000001</v>
      </c>
      <c r="U451" s="144">
        <v>1668.34</v>
      </c>
    </row>
    <row r="452" spans="1:21" ht="15" thickBot="1" x14ac:dyDescent="0.35">
      <c r="A452" s="117">
        <v>451</v>
      </c>
      <c r="B452" s="118" t="s">
        <v>692</v>
      </c>
      <c r="C452" s="118" t="s">
        <v>158</v>
      </c>
      <c r="D452" s="118" t="s">
        <v>3078</v>
      </c>
      <c r="E452" s="118" t="s">
        <v>341</v>
      </c>
      <c r="F452" s="119"/>
      <c r="G452" s="118"/>
      <c r="H452" s="120"/>
      <c r="I452" s="121"/>
      <c r="J452" s="110" t="s">
        <v>2361</v>
      </c>
      <c r="K452" s="110" t="s">
        <v>1403</v>
      </c>
      <c r="L452" s="110" t="s">
        <v>3781</v>
      </c>
      <c r="M452" s="111" t="s">
        <v>2362</v>
      </c>
      <c r="N452" s="111" t="s">
        <v>2363</v>
      </c>
      <c r="O452" s="111" t="s">
        <v>2364</v>
      </c>
      <c r="P452" s="112" t="s">
        <v>3238</v>
      </c>
      <c r="Q452" s="112" t="s">
        <v>3397</v>
      </c>
      <c r="R452" s="112" t="s">
        <v>3596</v>
      </c>
      <c r="S452" s="144">
        <v>4780.47</v>
      </c>
      <c r="T452" s="111">
        <v>470.76</v>
      </c>
      <c r="U452" s="144">
        <v>4309.71</v>
      </c>
    </row>
    <row r="453" spans="1:21" ht="15" thickBot="1" x14ac:dyDescent="0.35">
      <c r="A453" s="117">
        <v>452</v>
      </c>
      <c r="B453" s="118" t="s">
        <v>693</v>
      </c>
      <c r="C453" s="118" t="s">
        <v>153</v>
      </c>
      <c r="D453" s="118" t="s">
        <v>3079</v>
      </c>
      <c r="E453" s="118" t="s">
        <v>185</v>
      </c>
      <c r="F453" s="119"/>
      <c r="G453" s="118"/>
      <c r="H453" s="120"/>
      <c r="I453" s="121"/>
      <c r="J453" s="110" t="s">
        <v>2365</v>
      </c>
      <c r="K453" s="110" t="s">
        <v>1403</v>
      </c>
      <c r="L453" s="110" t="s">
        <v>3781</v>
      </c>
      <c r="M453" s="111" t="s">
        <v>1404</v>
      </c>
      <c r="N453" s="111" t="s">
        <v>1405</v>
      </c>
      <c r="O453" s="111" t="s">
        <v>1406</v>
      </c>
      <c r="P453" s="112" t="s">
        <v>1792</v>
      </c>
      <c r="Q453" s="112" t="s">
        <v>1793</v>
      </c>
      <c r="R453" s="112" t="s">
        <v>1794</v>
      </c>
      <c r="S453" s="144">
        <v>4369.4399999999996</v>
      </c>
      <c r="T453" s="111">
        <v>413.22</v>
      </c>
      <c r="U453" s="144">
        <v>3956.22</v>
      </c>
    </row>
    <row r="454" spans="1:21" ht="15" thickBot="1" x14ac:dyDescent="0.35">
      <c r="A454" s="117">
        <v>453</v>
      </c>
      <c r="B454" s="118" t="s">
        <v>694</v>
      </c>
      <c r="C454" s="118" t="s">
        <v>184</v>
      </c>
      <c r="D454" s="118" t="s">
        <v>3080</v>
      </c>
      <c r="E454" s="118" t="s">
        <v>163</v>
      </c>
      <c r="F454" s="119"/>
      <c r="G454" s="118"/>
      <c r="H454" s="120"/>
      <c r="I454" s="121"/>
      <c r="J454" s="110" t="s">
        <v>2366</v>
      </c>
      <c r="K454" s="110" t="s">
        <v>1652</v>
      </c>
      <c r="L454" s="110" t="s">
        <v>3781</v>
      </c>
      <c r="M454" s="111" t="s">
        <v>1451</v>
      </c>
      <c r="N454" s="111" t="s">
        <v>1452</v>
      </c>
      <c r="O454" s="111" t="s">
        <v>1453</v>
      </c>
      <c r="P454" s="112" t="s">
        <v>1451</v>
      </c>
      <c r="Q454" s="112" t="s">
        <v>1452</v>
      </c>
      <c r="R454" s="112" t="s">
        <v>1453</v>
      </c>
      <c r="S454" s="144">
        <v>3818.4</v>
      </c>
      <c r="T454" s="111">
        <v>346.79</v>
      </c>
      <c r="U454" s="144">
        <v>3471.61</v>
      </c>
    </row>
    <row r="455" spans="1:21" ht="15" thickBot="1" x14ac:dyDescent="0.35">
      <c r="A455" s="117">
        <v>454</v>
      </c>
      <c r="B455" s="118" t="s">
        <v>695</v>
      </c>
      <c r="C455" s="118" t="s">
        <v>158</v>
      </c>
      <c r="D455" s="118" t="s">
        <v>3081</v>
      </c>
      <c r="E455" s="118" t="s">
        <v>330</v>
      </c>
      <c r="F455" s="119"/>
      <c r="G455" s="118"/>
      <c r="H455" s="120"/>
      <c r="I455" s="121"/>
      <c r="J455" s="110" t="s">
        <v>2367</v>
      </c>
      <c r="K455" s="110" t="s">
        <v>1403</v>
      </c>
      <c r="L455" s="110" t="s">
        <v>3781</v>
      </c>
      <c r="M455" s="111" t="s">
        <v>1425</v>
      </c>
      <c r="N455" s="111" t="s">
        <v>1426</v>
      </c>
      <c r="O455" s="111" t="s">
        <v>1427</v>
      </c>
      <c r="P455" s="112" t="s">
        <v>3215</v>
      </c>
      <c r="Q455" s="112" t="s">
        <v>2424</v>
      </c>
      <c r="R455" s="112" t="s">
        <v>3570</v>
      </c>
      <c r="S455" s="144">
        <v>3713.37</v>
      </c>
      <c r="T455" s="111">
        <v>334.19</v>
      </c>
      <c r="U455" s="144">
        <v>3379.18</v>
      </c>
    </row>
    <row r="456" spans="1:21" ht="15" thickBot="1" x14ac:dyDescent="0.35">
      <c r="A456" s="117">
        <v>455</v>
      </c>
      <c r="B456" s="118" t="s">
        <v>696</v>
      </c>
      <c r="C456" s="118" t="s">
        <v>158</v>
      </c>
      <c r="D456" s="118" t="s">
        <v>3082</v>
      </c>
      <c r="E456" s="118" t="s">
        <v>161</v>
      </c>
      <c r="F456" s="119"/>
      <c r="G456" s="118"/>
      <c r="H456" s="120"/>
      <c r="I456" s="121"/>
      <c r="J456" s="110" t="s">
        <v>2368</v>
      </c>
      <c r="K456" s="110" t="s">
        <v>1403</v>
      </c>
      <c r="L456" s="110" t="s">
        <v>3781</v>
      </c>
      <c r="M456" s="111" t="s">
        <v>1456</v>
      </c>
      <c r="N456" s="111" t="s">
        <v>1457</v>
      </c>
      <c r="O456" s="111" t="s">
        <v>1458</v>
      </c>
      <c r="P456" s="112" t="s">
        <v>3328</v>
      </c>
      <c r="Q456" s="112" t="s">
        <v>3514</v>
      </c>
      <c r="R456" s="112" t="s">
        <v>3719</v>
      </c>
      <c r="S456" s="144">
        <v>3128.28</v>
      </c>
      <c r="T456" s="111">
        <v>263.98</v>
      </c>
      <c r="U456" s="144">
        <v>2864.3</v>
      </c>
    </row>
    <row r="457" spans="1:21" ht="15" thickBot="1" x14ac:dyDescent="0.35">
      <c r="A457" s="117">
        <v>456</v>
      </c>
      <c r="B457" s="118" t="s">
        <v>697</v>
      </c>
      <c r="C457" s="118" t="s">
        <v>158</v>
      </c>
      <c r="D457" s="118" t="s">
        <v>3083</v>
      </c>
      <c r="E457" s="118" t="s">
        <v>187</v>
      </c>
      <c r="F457" s="119"/>
      <c r="G457" s="118"/>
      <c r="H457" s="120"/>
      <c r="I457" s="121"/>
      <c r="J457" s="110" t="s">
        <v>2369</v>
      </c>
      <c r="K457" s="110" t="s">
        <v>1403</v>
      </c>
      <c r="L457" s="110" t="s">
        <v>3781</v>
      </c>
      <c r="M457" s="111" t="s">
        <v>1425</v>
      </c>
      <c r="N457" s="111" t="s">
        <v>1426</v>
      </c>
      <c r="O457" s="111" t="s">
        <v>1427</v>
      </c>
      <c r="P457" s="112" t="s">
        <v>3215</v>
      </c>
      <c r="Q457" s="112" t="s">
        <v>2424</v>
      </c>
      <c r="R457" s="112" t="s">
        <v>3570</v>
      </c>
      <c r="S457" s="144">
        <v>3536.16</v>
      </c>
      <c r="T457" s="111">
        <v>312.92</v>
      </c>
      <c r="U457" s="144">
        <v>3223.24</v>
      </c>
    </row>
    <row r="458" spans="1:21" ht="15" thickBot="1" x14ac:dyDescent="0.35">
      <c r="A458" s="117">
        <v>457</v>
      </c>
      <c r="B458" s="118" t="s">
        <v>698</v>
      </c>
      <c r="C458" s="118" t="s">
        <v>150</v>
      </c>
      <c r="D458" s="118" t="s">
        <v>3084</v>
      </c>
      <c r="E458" s="118" t="s">
        <v>168</v>
      </c>
      <c r="F458" s="119"/>
      <c r="G458" s="118"/>
      <c r="H458" s="120"/>
      <c r="I458" s="121"/>
      <c r="J458" s="110" t="s">
        <v>2370</v>
      </c>
      <c r="K458" s="110" t="s">
        <v>1403</v>
      </c>
      <c r="L458" s="110" t="s">
        <v>3781</v>
      </c>
      <c r="M458" s="111" t="s">
        <v>1527</v>
      </c>
      <c r="N458" s="111" t="s">
        <v>2371</v>
      </c>
      <c r="O458" s="111" t="s">
        <v>2372</v>
      </c>
      <c r="P458" s="112" t="s">
        <v>1570</v>
      </c>
      <c r="Q458" s="112" t="s">
        <v>3515</v>
      </c>
      <c r="R458" s="112" t="s">
        <v>3720</v>
      </c>
      <c r="S458" s="144">
        <v>2327.59</v>
      </c>
      <c r="T458" s="111">
        <v>516.05999999999995</v>
      </c>
      <c r="U458" s="144">
        <v>1811.53</v>
      </c>
    </row>
    <row r="459" spans="1:21" ht="15" thickBot="1" x14ac:dyDescent="0.35">
      <c r="A459" s="117">
        <v>458</v>
      </c>
      <c r="B459" s="118" t="s">
        <v>699</v>
      </c>
      <c r="C459" s="118" t="s">
        <v>150</v>
      </c>
      <c r="D459" s="118" t="s">
        <v>3085</v>
      </c>
      <c r="E459" s="118" t="s">
        <v>168</v>
      </c>
      <c r="F459" s="119"/>
      <c r="G459" s="118"/>
      <c r="H459" s="120"/>
      <c r="I459" s="121"/>
      <c r="J459" s="110" t="s">
        <v>2373</v>
      </c>
      <c r="K459" s="110" t="s">
        <v>1403</v>
      </c>
      <c r="L459" s="110" t="s">
        <v>3781</v>
      </c>
      <c r="M459" s="111" t="s">
        <v>1422</v>
      </c>
      <c r="N459" s="111" t="s">
        <v>2374</v>
      </c>
      <c r="O459" s="111" t="s">
        <v>2375</v>
      </c>
      <c r="P459" s="112" t="s">
        <v>1671</v>
      </c>
      <c r="Q459" s="112" t="s">
        <v>3516</v>
      </c>
      <c r="R459" s="112" t="s">
        <v>3721</v>
      </c>
      <c r="S459" s="144">
        <v>2186.52</v>
      </c>
      <c r="T459" s="111">
        <v>319.99</v>
      </c>
      <c r="U459" s="144">
        <v>1866.53</v>
      </c>
    </row>
    <row r="460" spans="1:21" ht="15" thickBot="1" x14ac:dyDescent="0.35">
      <c r="A460" s="117">
        <v>459</v>
      </c>
      <c r="B460" s="118" t="s">
        <v>700</v>
      </c>
      <c r="C460" s="118" t="s">
        <v>179</v>
      </c>
      <c r="D460" s="118" t="s">
        <v>3086</v>
      </c>
      <c r="E460" s="118" t="s">
        <v>317</v>
      </c>
      <c r="F460" s="119"/>
      <c r="G460" s="118"/>
      <c r="H460" s="120"/>
      <c r="I460" s="121"/>
      <c r="J460" s="110" t="s">
        <v>2376</v>
      </c>
      <c r="K460" s="110" t="s">
        <v>1403</v>
      </c>
      <c r="L460" s="110" t="s">
        <v>3781</v>
      </c>
      <c r="M460" s="111" t="s">
        <v>1694</v>
      </c>
      <c r="N460" s="111" t="s">
        <v>1695</v>
      </c>
      <c r="O460" s="111" t="s">
        <v>1696</v>
      </c>
      <c r="P460" s="112" t="s">
        <v>1694</v>
      </c>
      <c r="Q460" s="112" t="s">
        <v>1695</v>
      </c>
      <c r="R460" s="112" t="s">
        <v>1696</v>
      </c>
      <c r="S460" s="144">
        <v>6140.97</v>
      </c>
      <c r="T460" s="144">
        <v>1098.45</v>
      </c>
      <c r="U460" s="144">
        <v>5042.5200000000004</v>
      </c>
    </row>
    <row r="461" spans="1:21" ht="15" thickBot="1" x14ac:dyDescent="0.35">
      <c r="A461" s="117">
        <v>460</v>
      </c>
      <c r="B461" s="118" t="s">
        <v>701</v>
      </c>
      <c r="C461" s="118" t="s">
        <v>179</v>
      </c>
      <c r="D461" s="118" t="s">
        <v>3087</v>
      </c>
      <c r="E461" s="118" t="s">
        <v>390</v>
      </c>
      <c r="F461" s="119"/>
      <c r="G461" s="118"/>
      <c r="H461" s="120"/>
      <c r="I461" s="121"/>
      <c r="J461" s="110" t="s">
        <v>2377</v>
      </c>
      <c r="K461" s="110" t="s">
        <v>1403</v>
      </c>
      <c r="L461" s="110" t="s">
        <v>3781</v>
      </c>
      <c r="M461" s="111" t="s">
        <v>1509</v>
      </c>
      <c r="N461" s="111" t="s">
        <v>1510</v>
      </c>
      <c r="O461" s="111" t="s">
        <v>1511</v>
      </c>
      <c r="P461" s="112" t="s">
        <v>1509</v>
      </c>
      <c r="Q461" s="112" t="s">
        <v>1510</v>
      </c>
      <c r="R461" s="112" t="s">
        <v>1511</v>
      </c>
      <c r="S461" s="144">
        <v>4280</v>
      </c>
      <c r="T461" s="111">
        <v>402.18</v>
      </c>
      <c r="U461" s="144">
        <v>3877.82</v>
      </c>
    </row>
    <row r="462" spans="1:21" ht="15" thickBot="1" x14ac:dyDescent="0.35">
      <c r="A462" s="117">
        <v>461</v>
      </c>
      <c r="B462" s="118" t="s">
        <v>702</v>
      </c>
      <c r="C462" s="118" t="s">
        <v>150</v>
      </c>
      <c r="D462" s="118" t="s">
        <v>3088</v>
      </c>
      <c r="E462" s="118" t="s">
        <v>161</v>
      </c>
      <c r="F462" s="119"/>
      <c r="G462" s="118"/>
      <c r="H462" s="120"/>
      <c r="I462" s="121"/>
      <c r="J462" s="110" t="s">
        <v>2378</v>
      </c>
      <c r="K462" s="110" t="s">
        <v>1403</v>
      </c>
      <c r="L462" s="110" t="s">
        <v>3781</v>
      </c>
      <c r="M462" s="111" t="s">
        <v>1722</v>
      </c>
      <c r="N462" s="111" t="s">
        <v>2379</v>
      </c>
      <c r="O462" s="111" t="s">
        <v>2380</v>
      </c>
      <c r="P462" s="112" t="s">
        <v>3252</v>
      </c>
      <c r="Q462" s="112" t="s">
        <v>3517</v>
      </c>
      <c r="R462" s="112" t="s">
        <v>3722</v>
      </c>
      <c r="S462" s="144">
        <v>2060.35</v>
      </c>
      <c r="T462" s="111">
        <v>594.48</v>
      </c>
      <c r="U462" s="144">
        <v>1465.87</v>
      </c>
    </row>
    <row r="463" spans="1:21" ht="15" thickBot="1" x14ac:dyDescent="0.35">
      <c r="A463" s="117">
        <v>462</v>
      </c>
      <c r="B463" s="118" t="s">
        <v>703</v>
      </c>
      <c r="C463" s="118" t="s">
        <v>150</v>
      </c>
      <c r="D463" s="118" t="s">
        <v>3089</v>
      </c>
      <c r="E463" s="118" t="s">
        <v>301</v>
      </c>
      <c r="F463" s="119"/>
      <c r="G463" s="118"/>
      <c r="H463" s="120"/>
      <c r="I463" s="121"/>
      <c r="J463" s="110" t="s">
        <v>2381</v>
      </c>
      <c r="K463" s="110" t="s">
        <v>1403</v>
      </c>
      <c r="L463" s="110" t="s">
        <v>3781</v>
      </c>
      <c r="M463" s="111" t="s">
        <v>1527</v>
      </c>
      <c r="N463" s="111" t="s">
        <v>1528</v>
      </c>
      <c r="O463" s="111" t="s">
        <v>1529</v>
      </c>
      <c r="P463" s="112" t="s">
        <v>1570</v>
      </c>
      <c r="Q463" s="112" t="s">
        <v>1534</v>
      </c>
      <c r="R463" s="112" t="s">
        <v>1571</v>
      </c>
      <c r="S463" s="144">
        <v>1698.16</v>
      </c>
      <c r="T463" s="111">
        <v>128.51</v>
      </c>
      <c r="U463" s="144">
        <v>1569.65</v>
      </c>
    </row>
    <row r="464" spans="1:21" ht="15" thickBot="1" x14ac:dyDescent="0.35">
      <c r="A464" s="117">
        <v>463</v>
      </c>
      <c r="B464" s="118" t="s">
        <v>704</v>
      </c>
      <c r="C464" s="118" t="s">
        <v>150</v>
      </c>
      <c r="D464" s="118" t="s">
        <v>3090</v>
      </c>
      <c r="E464" s="118" t="s">
        <v>163</v>
      </c>
      <c r="F464" s="119"/>
      <c r="G464" s="118"/>
      <c r="H464" s="120"/>
      <c r="I464" s="121"/>
      <c r="J464" s="110" t="s">
        <v>2382</v>
      </c>
      <c r="K464" s="110" t="s">
        <v>1403</v>
      </c>
      <c r="L464" s="110" t="s">
        <v>3781</v>
      </c>
      <c r="M464" s="111" t="s">
        <v>1437</v>
      </c>
      <c r="N464" s="111" t="s">
        <v>2383</v>
      </c>
      <c r="O464" s="111" t="s">
        <v>2384</v>
      </c>
      <c r="P464" s="112" t="s">
        <v>3286</v>
      </c>
      <c r="Q464" s="112" t="s">
        <v>3518</v>
      </c>
      <c r="R464" s="112" t="s">
        <v>3723</v>
      </c>
      <c r="S464" s="144">
        <v>1992.81</v>
      </c>
      <c r="T464" s="111">
        <v>548.62</v>
      </c>
      <c r="U464" s="144">
        <v>1444.19</v>
      </c>
    </row>
    <row r="465" spans="1:21" ht="15" thickBot="1" x14ac:dyDescent="0.35">
      <c r="A465" s="117">
        <v>464</v>
      </c>
      <c r="B465" s="118" t="s">
        <v>705</v>
      </c>
      <c r="C465" s="118" t="s">
        <v>158</v>
      </c>
      <c r="D465" s="118" t="s">
        <v>3091</v>
      </c>
      <c r="E465" s="118" t="s">
        <v>177</v>
      </c>
      <c r="F465" s="119"/>
      <c r="G465" s="118"/>
      <c r="H465" s="120"/>
      <c r="I465" s="121"/>
      <c r="J465" s="110" t="s">
        <v>2385</v>
      </c>
      <c r="K465" s="110" t="s">
        <v>1403</v>
      </c>
      <c r="L465" s="110" t="s">
        <v>3781</v>
      </c>
      <c r="M465" s="111" t="s">
        <v>1425</v>
      </c>
      <c r="N465" s="111" t="s">
        <v>1426</v>
      </c>
      <c r="O465" s="111" t="s">
        <v>1427</v>
      </c>
      <c r="P465" s="112" t="s">
        <v>3215</v>
      </c>
      <c r="Q465" s="112" t="s">
        <v>2424</v>
      </c>
      <c r="R465" s="112" t="s">
        <v>3570</v>
      </c>
      <c r="S465" s="144">
        <v>3757.54</v>
      </c>
      <c r="T465" s="111">
        <v>339.49</v>
      </c>
      <c r="U465" s="144">
        <v>3418.05</v>
      </c>
    </row>
    <row r="466" spans="1:21" ht="15" thickBot="1" x14ac:dyDescent="0.35">
      <c r="A466" s="117">
        <v>465</v>
      </c>
      <c r="B466" s="118" t="s">
        <v>706</v>
      </c>
      <c r="C466" s="118" t="s">
        <v>150</v>
      </c>
      <c r="D466" s="118" t="s">
        <v>3092</v>
      </c>
      <c r="E466" s="118" t="s">
        <v>161</v>
      </c>
      <c r="F466" s="119"/>
      <c r="G466" s="118"/>
      <c r="H466" s="120"/>
      <c r="I466" s="121"/>
      <c r="J466" s="110" t="s">
        <v>2386</v>
      </c>
      <c r="K466" s="110" t="s">
        <v>1403</v>
      </c>
      <c r="L466" s="110" t="s">
        <v>3781</v>
      </c>
      <c r="M466" s="111" t="s">
        <v>2387</v>
      </c>
      <c r="N466" s="111" t="s">
        <v>2388</v>
      </c>
      <c r="O466" s="111" t="s">
        <v>2389</v>
      </c>
      <c r="P466" s="112" t="s">
        <v>3329</v>
      </c>
      <c r="Q466" s="112" t="s">
        <v>3519</v>
      </c>
      <c r="R466" s="112" t="s">
        <v>3724</v>
      </c>
      <c r="S466" s="144">
        <v>1849.46</v>
      </c>
      <c r="T466" s="111">
        <v>129.97</v>
      </c>
      <c r="U466" s="144">
        <v>1719.49</v>
      </c>
    </row>
    <row r="467" spans="1:21" ht="15" thickBot="1" x14ac:dyDescent="0.35">
      <c r="A467" s="117">
        <v>466</v>
      </c>
      <c r="B467" s="118" t="s">
        <v>707</v>
      </c>
      <c r="C467" s="118" t="s">
        <v>179</v>
      </c>
      <c r="D467" s="118" t="s">
        <v>3093</v>
      </c>
      <c r="E467" s="118" t="s">
        <v>355</v>
      </c>
      <c r="F467" s="119"/>
      <c r="G467" s="118"/>
      <c r="H467" s="120"/>
      <c r="I467" s="121"/>
      <c r="J467" s="110" t="s">
        <v>2390</v>
      </c>
      <c r="K467" s="110" t="s">
        <v>1403</v>
      </c>
      <c r="L467" s="110" t="s">
        <v>3781</v>
      </c>
      <c r="M467" s="111" t="s">
        <v>1509</v>
      </c>
      <c r="N467" s="111" t="s">
        <v>1510</v>
      </c>
      <c r="O467" s="111" t="s">
        <v>1511</v>
      </c>
      <c r="P467" s="112" t="s">
        <v>1509</v>
      </c>
      <c r="Q467" s="112" t="s">
        <v>1510</v>
      </c>
      <c r="R467" s="112" t="s">
        <v>1511</v>
      </c>
      <c r="S467" s="144">
        <v>4280</v>
      </c>
      <c r="T467" s="111">
        <v>402.18</v>
      </c>
      <c r="U467" s="144">
        <v>3877.82</v>
      </c>
    </row>
    <row r="468" spans="1:21" ht="15" thickBot="1" x14ac:dyDescent="0.35">
      <c r="A468" s="117">
        <v>467</v>
      </c>
      <c r="B468" s="118" t="s">
        <v>708</v>
      </c>
      <c r="C468" s="118" t="s">
        <v>158</v>
      </c>
      <c r="D468" s="118" t="s">
        <v>3094</v>
      </c>
      <c r="E468" s="118" t="s">
        <v>177</v>
      </c>
      <c r="F468" s="119"/>
      <c r="G468" s="118"/>
      <c r="H468" s="120"/>
      <c r="I468" s="121"/>
      <c r="J468" s="110" t="s">
        <v>2391</v>
      </c>
      <c r="K468" s="110" t="s">
        <v>1403</v>
      </c>
      <c r="L468" s="110" t="s">
        <v>3781</v>
      </c>
      <c r="M468" s="111" t="s">
        <v>1425</v>
      </c>
      <c r="N468" s="111" t="s">
        <v>1426</v>
      </c>
      <c r="O468" s="111" t="s">
        <v>1427</v>
      </c>
      <c r="P468" s="112" t="s">
        <v>3215</v>
      </c>
      <c r="Q468" s="112" t="s">
        <v>2424</v>
      </c>
      <c r="R468" s="112" t="s">
        <v>3570</v>
      </c>
      <c r="S468" s="144">
        <v>3967.91</v>
      </c>
      <c r="T468" s="111">
        <v>364.73</v>
      </c>
      <c r="U468" s="144">
        <v>3603.18</v>
      </c>
    </row>
    <row r="469" spans="1:21" ht="15" thickBot="1" x14ac:dyDescent="0.35">
      <c r="A469" s="117">
        <v>468</v>
      </c>
      <c r="B469" s="118" t="s">
        <v>709</v>
      </c>
      <c r="C469" s="118" t="s">
        <v>158</v>
      </c>
      <c r="D469" s="118" t="s">
        <v>3095</v>
      </c>
      <c r="E469" s="118" t="s">
        <v>355</v>
      </c>
      <c r="F469" s="119"/>
      <c r="G469" s="118"/>
      <c r="H469" s="120"/>
      <c r="I469" s="121"/>
      <c r="J469" s="110" t="s">
        <v>2392</v>
      </c>
      <c r="K469" s="110" t="s">
        <v>1403</v>
      </c>
      <c r="L469" s="110" t="s">
        <v>3781</v>
      </c>
      <c r="M469" s="111" t="s">
        <v>1425</v>
      </c>
      <c r="N469" s="111" t="s">
        <v>1426</v>
      </c>
      <c r="O469" s="111" t="s">
        <v>1427</v>
      </c>
      <c r="P469" s="112" t="s">
        <v>3215</v>
      </c>
      <c r="Q469" s="112" t="s">
        <v>2424</v>
      </c>
      <c r="R469" s="112" t="s">
        <v>3570</v>
      </c>
      <c r="S469" s="144">
        <v>3493.05</v>
      </c>
      <c r="T469" s="111">
        <v>307.75</v>
      </c>
      <c r="U469" s="144">
        <v>3185.3</v>
      </c>
    </row>
    <row r="470" spans="1:21" ht="15" thickBot="1" x14ac:dyDescent="0.35">
      <c r="A470" s="117">
        <v>469</v>
      </c>
      <c r="B470" s="118" t="s">
        <v>710</v>
      </c>
      <c r="C470" s="118" t="s">
        <v>150</v>
      </c>
      <c r="D470" s="118" t="s">
        <v>3096</v>
      </c>
      <c r="E470" s="118" t="s">
        <v>159</v>
      </c>
      <c r="F470" s="119"/>
      <c r="G470" s="118"/>
      <c r="H470" s="120"/>
      <c r="I470" s="121"/>
      <c r="J470" s="110" t="s">
        <v>2393</v>
      </c>
      <c r="K470" s="110" t="s">
        <v>1403</v>
      </c>
      <c r="L470" s="110" t="s">
        <v>3781</v>
      </c>
      <c r="M470" s="111" t="s">
        <v>1399</v>
      </c>
      <c r="N470" s="111" t="s">
        <v>1400</v>
      </c>
      <c r="O470" s="111" t="s">
        <v>1401</v>
      </c>
      <c r="P470" s="112" t="s">
        <v>1570</v>
      </c>
      <c r="Q470" s="112" t="s">
        <v>1534</v>
      </c>
      <c r="R470" s="112" t="s">
        <v>1571</v>
      </c>
      <c r="S470" s="144">
        <v>1714.38</v>
      </c>
      <c r="T470" s="111">
        <v>129.97</v>
      </c>
      <c r="U470" s="144">
        <v>1584.41</v>
      </c>
    </row>
    <row r="471" spans="1:21" ht="15" thickBot="1" x14ac:dyDescent="0.35">
      <c r="A471" s="117">
        <v>470</v>
      </c>
      <c r="B471" s="118" t="s">
        <v>711</v>
      </c>
      <c r="C471" s="118" t="s">
        <v>158</v>
      </c>
      <c r="D471" s="118" t="s">
        <v>3097</v>
      </c>
      <c r="E471" s="118" t="s">
        <v>161</v>
      </c>
      <c r="F471" s="119"/>
      <c r="G471" s="118"/>
      <c r="H471" s="120"/>
      <c r="I471" s="121"/>
      <c r="J471" s="110" t="s">
        <v>2394</v>
      </c>
      <c r="K471" s="110" t="s">
        <v>1574</v>
      </c>
      <c r="L471" s="110" t="s">
        <v>3781</v>
      </c>
      <c r="M471" s="111" t="s">
        <v>2395</v>
      </c>
      <c r="N471" s="111" t="s">
        <v>2396</v>
      </c>
      <c r="O471" s="111" t="s">
        <v>2397</v>
      </c>
      <c r="P471" s="112" t="s">
        <v>3330</v>
      </c>
      <c r="Q471" s="112" t="s">
        <v>3520</v>
      </c>
      <c r="R471" s="112" t="s">
        <v>3725</v>
      </c>
      <c r="S471" s="144">
        <v>3504.03</v>
      </c>
      <c r="T471" s="111">
        <v>309.07</v>
      </c>
      <c r="U471" s="144">
        <v>3194.96</v>
      </c>
    </row>
    <row r="472" spans="1:21" ht="15" thickBot="1" x14ac:dyDescent="0.35">
      <c r="A472" s="117">
        <v>471</v>
      </c>
      <c r="B472" s="118" t="s">
        <v>712</v>
      </c>
      <c r="C472" s="118" t="s">
        <v>150</v>
      </c>
      <c r="D472" s="118" t="s">
        <v>3098</v>
      </c>
      <c r="E472" s="118" t="s">
        <v>223</v>
      </c>
      <c r="F472" s="119"/>
      <c r="G472" s="118"/>
      <c r="H472" s="120"/>
      <c r="I472" s="121"/>
      <c r="J472" s="110" t="s">
        <v>2398</v>
      </c>
      <c r="K472" s="110" t="s">
        <v>1403</v>
      </c>
      <c r="L472" s="110" t="s">
        <v>3781</v>
      </c>
      <c r="M472" s="111">
        <v>0</v>
      </c>
      <c r="N472" s="111">
        <v>0</v>
      </c>
      <c r="O472" s="111">
        <v>0</v>
      </c>
      <c r="P472" s="112">
        <v>0</v>
      </c>
      <c r="Q472" s="112">
        <v>0</v>
      </c>
      <c r="R472" s="112">
        <v>0</v>
      </c>
      <c r="S472" s="144">
        <v>1721.3</v>
      </c>
      <c r="T472" s="144">
        <v>1721.3</v>
      </c>
      <c r="U472" s="111">
        <v>0</v>
      </c>
    </row>
    <row r="473" spans="1:21" ht="15" thickBot="1" x14ac:dyDescent="0.35">
      <c r="A473" s="117">
        <v>472</v>
      </c>
      <c r="B473" s="118" t="s">
        <v>713</v>
      </c>
      <c r="C473" s="118" t="s">
        <v>150</v>
      </c>
      <c r="D473" s="118" t="s">
        <v>3099</v>
      </c>
      <c r="E473" s="118" t="s">
        <v>163</v>
      </c>
      <c r="F473" s="119"/>
      <c r="G473" s="118"/>
      <c r="H473" s="120"/>
      <c r="I473" s="121"/>
      <c r="J473" s="110" t="s">
        <v>2399</v>
      </c>
      <c r="K473" s="110" t="s">
        <v>1563</v>
      </c>
      <c r="L473" s="110" t="s">
        <v>3781</v>
      </c>
      <c r="M473" s="111" t="s">
        <v>2136</v>
      </c>
      <c r="N473" s="111" t="s">
        <v>1528</v>
      </c>
      <c r="O473" s="111" t="s">
        <v>2137</v>
      </c>
      <c r="P473" s="112" t="s">
        <v>3331</v>
      </c>
      <c r="Q473" s="112" t="s">
        <v>3521</v>
      </c>
      <c r="R473" s="112" t="s">
        <v>3726</v>
      </c>
      <c r="S473" s="144">
        <v>1765.7</v>
      </c>
      <c r="T473" s="111">
        <v>128.51</v>
      </c>
      <c r="U473" s="144">
        <v>1637.19</v>
      </c>
    </row>
    <row r="474" spans="1:21" ht="15" thickBot="1" x14ac:dyDescent="0.35">
      <c r="A474" s="117">
        <v>473</v>
      </c>
      <c r="B474" s="118" t="s">
        <v>714</v>
      </c>
      <c r="C474" s="118" t="s">
        <v>253</v>
      </c>
      <c r="D474" s="118" t="s">
        <v>3100</v>
      </c>
      <c r="E474" s="118" t="s">
        <v>272</v>
      </c>
      <c r="F474" s="119"/>
      <c r="G474" s="118"/>
      <c r="H474" s="120"/>
      <c r="I474" s="121"/>
      <c r="J474" s="110" t="s">
        <v>2400</v>
      </c>
      <c r="K474" s="110" t="s">
        <v>1403</v>
      </c>
      <c r="L474" s="110" t="s">
        <v>3781</v>
      </c>
      <c r="M474" s="111" t="s">
        <v>1570</v>
      </c>
      <c r="N474" s="111" t="s">
        <v>1534</v>
      </c>
      <c r="O474" s="111" t="s">
        <v>1571</v>
      </c>
      <c r="P474" s="112" t="s">
        <v>1570</v>
      </c>
      <c r="Q474" s="112" t="s">
        <v>1534</v>
      </c>
      <c r="R474" s="112" t="s">
        <v>1571</v>
      </c>
      <c r="S474" s="144">
        <v>1652.66</v>
      </c>
      <c r="T474" s="111">
        <v>124.41</v>
      </c>
      <c r="U474" s="144">
        <v>1528.25</v>
      </c>
    </row>
    <row r="475" spans="1:21" ht="15" thickBot="1" x14ac:dyDescent="0.35">
      <c r="A475" s="117">
        <v>474</v>
      </c>
      <c r="B475" s="118" t="s">
        <v>715</v>
      </c>
      <c r="C475" s="118" t="s">
        <v>248</v>
      </c>
      <c r="D475" s="118" t="s">
        <v>3101</v>
      </c>
      <c r="E475" s="118" t="s">
        <v>272</v>
      </c>
      <c r="F475" s="119"/>
      <c r="G475" s="118"/>
      <c r="H475" s="120"/>
      <c r="I475" s="121"/>
      <c r="J475" s="110" t="s">
        <v>2401</v>
      </c>
      <c r="K475" s="110" t="s">
        <v>1574</v>
      </c>
      <c r="L475" s="110" t="s">
        <v>3781</v>
      </c>
      <c r="M475" s="111" t="s">
        <v>1559</v>
      </c>
      <c r="N475" s="111" t="s">
        <v>1560</v>
      </c>
      <c r="O475" s="111" t="s">
        <v>1561</v>
      </c>
      <c r="P475" s="112" t="s">
        <v>1559</v>
      </c>
      <c r="Q475" s="112" t="s">
        <v>1560</v>
      </c>
      <c r="R475" s="112" t="s">
        <v>1561</v>
      </c>
      <c r="S475" s="144">
        <v>4895.21</v>
      </c>
      <c r="T475" s="111">
        <v>486.83</v>
      </c>
      <c r="U475" s="144">
        <v>4408.38</v>
      </c>
    </row>
    <row r="476" spans="1:21" ht="15" thickBot="1" x14ac:dyDescent="0.35">
      <c r="A476" s="117">
        <v>475</v>
      </c>
      <c r="B476" s="122" t="s">
        <v>716</v>
      </c>
      <c r="C476" s="118" t="s">
        <v>158</v>
      </c>
      <c r="D476" s="118"/>
      <c r="E476" s="118" t="s">
        <v>163</v>
      </c>
      <c r="F476" s="119"/>
      <c r="G476" s="118"/>
      <c r="H476" s="120"/>
      <c r="I476" s="121"/>
      <c r="J476" s="123" t="s">
        <v>3775</v>
      </c>
      <c r="K476" s="110" t="s">
        <v>3776</v>
      </c>
      <c r="L476" s="110" t="s">
        <v>3781</v>
      </c>
      <c r="M476" s="111"/>
      <c r="N476" s="111"/>
      <c r="O476" s="111"/>
      <c r="P476" s="112" t="s">
        <v>3332</v>
      </c>
      <c r="Q476" s="112" t="s">
        <v>3522</v>
      </c>
      <c r="R476" s="112" t="s">
        <v>3727</v>
      </c>
      <c r="S476" s="144">
        <v>3500.67</v>
      </c>
      <c r="T476" s="111">
        <v>308.66000000000003</v>
      </c>
      <c r="U476" s="144">
        <v>3192.01</v>
      </c>
    </row>
    <row r="477" spans="1:21" ht="15" thickBot="1" x14ac:dyDescent="0.35">
      <c r="A477" s="117">
        <v>476</v>
      </c>
      <c r="B477" s="118" t="s">
        <v>717</v>
      </c>
      <c r="C477" s="118" t="s">
        <v>150</v>
      </c>
      <c r="D477" s="118" t="s">
        <v>3102</v>
      </c>
      <c r="E477" s="118" t="s">
        <v>161</v>
      </c>
      <c r="F477" s="119"/>
      <c r="G477" s="118"/>
      <c r="H477" s="120"/>
      <c r="I477" s="121"/>
      <c r="J477" s="110" t="s">
        <v>2402</v>
      </c>
      <c r="K477" s="110" t="s">
        <v>1403</v>
      </c>
      <c r="L477" s="110" t="s">
        <v>3781</v>
      </c>
      <c r="M477" s="111" t="s">
        <v>1801</v>
      </c>
      <c r="N477" s="111" t="s">
        <v>2403</v>
      </c>
      <c r="O477" s="111" t="s">
        <v>2404</v>
      </c>
      <c r="P477" s="112" t="s">
        <v>3333</v>
      </c>
      <c r="Q477" s="112" t="s">
        <v>3523</v>
      </c>
      <c r="R477" s="112" t="s">
        <v>3728</v>
      </c>
      <c r="S477" s="144">
        <v>1925.27</v>
      </c>
      <c r="T477" s="111">
        <v>213.77</v>
      </c>
      <c r="U477" s="144">
        <v>1711.5</v>
      </c>
    </row>
    <row r="478" spans="1:21" ht="15" thickBot="1" x14ac:dyDescent="0.35">
      <c r="A478" s="117">
        <v>477</v>
      </c>
      <c r="B478" s="118" t="s">
        <v>718</v>
      </c>
      <c r="C478" s="118" t="s">
        <v>150</v>
      </c>
      <c r="D478" s="118" t="s">
        <v>3103</v>
      </c>
      <c r="E478" s="118" t="s">
        <v>270</v>
      </c>
      <c r="F478" s="119"/>
      <c r="G478" s="118"/>
      <c r="H478" s="120"/>
      <c r="I478" s="121"/>
      <c r="J478" s="110" t="s">
        <v>2405</v>
      </c>
      <c r="K478" s="110" t="s">
        <v>1403</v>
      </c>
      <c r="L478" s="110" t="s">
        <v>3781</v>
      </c>
      <c r="M478" s="111" t="s">
        <v>1993</v>
      </c>
      <c r="N478" s="111" t="s">
        <v>2406</v>
      </c>
      <c r="O478" s="111" t="s">
        <v>2407</v>
      </c>
      <c r="P478" s="112" t="s">
        <v>1910</v>
      </c>
      <c r="Q478" s="112" t="s">
        <v>3524</v>
      </c>
      <c r="R478" s="112" t="s">
        <v>3729</v>
      </c>
      <c r="S478" s="144">
        <v>2227.86</v>
      </c>
      <c r="T478" s="111">
        <v>606.15</v>
      </c>
      <c r="U478" s="144">
        <v>1621.71</v>
      </c>
    </row>
    <row r="479" spans="1:21" ht="15" thickBot="1" x14ac:dyDescent="0.35">
      <c r="A479" s="117">
        <v>478</v>
      </c>
      <c r="B479" s="118" t="s">
        <v>719</v>
      </c>
      <c r="C479" s="118" t="s">
        <v>184</v>
      </c>
      <c r="D479" s="118" t="s">
        <v>3104</v>
      </c>
      <c r="E479" s="118" t="s">
        <v>198</v>
      </c>
      <c r="F479" s="119"/>
      <c r="G479" s="118"/>
      <c r="H479" s="120"/>
      <c r="I479" s="121"/>
      <c r="J479" s="110" t="s">
        <v>2408</v>
      </c>
      <c r="K479" s="110" t="s">
        <v>1403</v>
      </c>
      <c r="L479" s="110" t="s">
        <v>3781</v>
      </c>
      <c r="M479" s="111" t="s">
        <v>1451</v>
      </c>
      <c r="N479" s="111" t="s">
        <v>1452</v>
      </c>
      <c r="O479" s="111" t="s">
        <v>1453</v>
      </c>
      <c r="P479" s="112" t="s">
        <v>1451</v>
      </c>
      <c r="Q479" s="112" t="s">
        <v>1452</v>
      </c>
      <c r="R479" s="112" t="s">
        <v>1453</v>
      </c>
      <c r="S479" s="144">
        <v>3818.4</v>
      </c>
      <c r="T479" s="111">
        <v>346.79</v>
      </c>
      <c r="U479" s="144">
        <v>3471.61</v>
      </c>
    </row>
    <row r="480" spans="1:21" ht="15" thickBot="1" x14ac:dyDescent="0.35">
      <c r="A480" s="117">
        <v>479</v>
      </c>
      <c r="B480" s="118" t="s">
        <v>720</v>
      </c>
      <c r="C480" s="118" t="s">
        <v>150</v>
      </c>
      <c r="D480" s="118" t="s">
        <v>3105</v>
      </c>
      <c r="E480" s="118" t="s">
        <v>180</v>
      </c>
      <c r="F480" s="119"/>
      <c r="G480" s="118"/>
      <c r="H480" s="120"/>
      <c r="I480" s="121"/>
      <c r="J480" s="110" t="s">
        <v>2409</v>
      </c>
      <c r="K480" s="110" t="s">
        <v>1403</v>
      </c>
      <c r="L480" s="110" t="s">
        <v>3781</v>
      </c>
      <c r="M480" s="111" t="s">
        <v>1993</v>
      </c>
      <c r="N480" s="111" t="s">
        <v>1994</v>
      </c>
      <c r="O480" s="111" t="s">
        <v>1995</v>
      </c>
      <c r="P480" s="112" t="s">
        <v>1910</v>
      </c>
      <c r="Q480" s="112" t="s">
        <v>3525</v>
      </c>
      <c r="R480" s="112" t="s">
        <v>3730</v>
      </c>
      <c r="S480" s="144">
        <v>2248.33</v>
      </c>
      <c r="T480" s="111">
        <v>704.8</v>
      </c>
      <c r="U480" s="144">
        <v>1543.53</v>
      </c>
    </row>
    <row r="481" spans="1:21" ht="15" thickBot="1" x14ac:dyDescent="0.35">
      <c r="A481" s="117">
        <v>480</v>
      </c>
      <c r="B481" s="118" t="s">
        <v>721</v>
      </c>
      <c r="C481" s="118" t="s">
        <v>207</v>
      </c>
      <c r="D481" s="118" t="s">
        <v>3106</v>
      </c>
      <c r="E481" s="118" t="s">
        <v>208</v>
      </c>
      <c r="F481" s="119"/>
      <c r="G481" s="118"/>
      <c r="H481" s="120"/>
      <c r="I481" s="121"/>
      <c r="J481" s="110" t="s">
        <v>2410</v>
      </c>
      <c r="K481" s="110" t="s">
        <v>1403</v>
      </c>
      <c r="L481" s="110" t="s">
        <v>3781</v>
      </c>
      <c r="M481" s="111" t="s">
        <v>2411</v>
      </c>
      <c r="N481" s="111" t="s">
        <v>2412</v>
      </c>
      <c r="O481" s="111" t="s">
        <v>2413</v>
      </c>
      <c r="P481" s="112" t="s">
        <v>3334</v>
      </c>
      <c r="Q481" s="112" t="s">
        <v>3526</v>
      </c>
      <c r="R481" s="112" t="s">
        <v>3731</v>
      </c>
      <c r="S481" s="144">
        <v>4746.54</v>
      </c>
      <c r="T481" s="111">
        <v>466.01</v>
      </c>
      <c r="U481" s="144">
        <v>4280.53</v>
      </c>
    </row>
    <row r="482" spans="1:21" ht="15" thickBot="1" x14ac:dyDescent="0.35">
      <c r="A482" s="117">
        <v>481</v>
      </c>
      <c r="B482" s="118" t="s">
        <v>722</v>
      </c>
      <c r="C482" s="118" t="s">
        <v>150</v>
      </c>
      <c r="D482" s="118" t="s">
        <v>3107</v>
      </c>
      <c r="E482" s="118" t="s">
        <v>161</v>
      </c>
      <c r="F482" s="119"/>
      <c r="G482" s="118"/>
      <c r="H482" s="120"/>
      <c r="I482" s="121"/>
      <c r="J482" s="110" t="s">
        <v>2414</v>
      </c>
      <c r="K482" s="110" t="s">
        <v>1403</v>
      </c>
      <c r="L482" s="110" t="s">
        <v>3781</v>
      </c>
      <c r="M482" s="111" t="s">
        <v>1513</v>
      </c>
      <c r="N482" s="111" t="s">
        <v>2415</v>
      </c>
      <c r="O482" s="111" t="s">
        <v>2416</v>
      </c>
      <c r="P482" s="112" t="s">
        <v>3335</v>
      </c>
      <c r="Q482" s="112" t="s">
        <v>3527</v>
      </c>
      <c r="R482" s="112" t="s">
        <v>3732</v>
      </c>
      <c r="S482" s="144">
        <v>1925.27</v>
      </c>
      <c r="T482" s="111">
        <v>419.53</v>
      </c>
      <c r="U482" s="144">
        <v>1505.74</v>
      </c>
    </row>
    <row r="483" spans="1:21" ht="15" thickBot="1" x14ac:dyDescent="0.35">
      <c r="A483" s="117">
        <v>482</v>
      </c>
      <c r="B483" s="118" t="s">
        <v>723</v>
      </c>
      <c r="C483" s="118" t="s">
        <v>158</v>
      </c>
      <c r="D483" s="118" t="s">
        <v>3108</v>
      </c>
      <c r="E483" s="118" t="s">
        <v>161</v>
      </c>
      <c r="F483" s="119"/>
      <c r="G483" s="118"/>
      <c r="H483" s="120"/>
      <c r="I483" s="121"/>
      <c r="J483" s="110" t="s">
        <v>2417</v>
      </c>
      <c r="K483" s="110" t="s">
        <v>1398</v>
      </c>
      <c r="L483" s="110" t="s">
        <v>3781</v>
      </c>
      <c r="M483" s="111" t="s">
        <v>2418</v>
      </c>
      <c r="N483" s="111" t="s">
        <v>2419</v>
      </c>
      <c r="O483" s="111" t="s">
        <v>2420</v>
      </c>
      <c r="P483" s="112" t="s">
        <v>3336</v>
      </c>
      <c r="Q483" s="112" t="s">
        <v>3528</v>
      </c>
      <c r="R483" s="112" t="s">
        <v>3733</v>
      </c>
      <c r="S483" s="144">
        <v>3537.03</v>
      </c>
      <c r="T483" s="111">
        <v>313.02999999999997</v>
      </c>
      <c r="U483" s="144">
        <v>3224</v>
      </c>
    </row>
    <row r="484" spans="1:21" ht="15" thickBot="1" x14ac:dyDescent="0.35">
      <c r="A484" s="117">
        <v>483</v>
      </c>
      <c r="B484" s="118" t="s">
        <v>724</v>
      </c>
      <c r="C484" s="118" t="s">
        <v>158</v>
      </c>
      <c r="D484" s="118" t="s">
        <v>3109</v>
      </c>
      <c r="E484" s="118" t="s">
        <v>161</v>
      </c>
      <c r="F484" s="119"/>
      <c r="G484" s="118"/>
      <c r="H484" s="120"/>
      <c r="I484" s="121"/>
      <c r="J484" s="110" t="s">
        <v>2421</v>
      </c>
      <c r="K484" s="110" t="s">
        <v>2422</v>
      </c>
      <c r="L484" s="110" t="s">
        <v>3781</v>
      </c>
      <c r="M484" s="111" t="s">
        <v>2423</v>
      </c>
      <c r="N484" s="111" t="s">
        <v>2424</v>
      </c>
      <c r="O484" s="111" t="s">
        <v>2425</v>
      </c>
      <c r="P484" s="112" t="s">
        <v>3215</v>
      </c>
      <c r="Q484" s="112" t="s">
        <v>2424</v>
      </c>
      <c r="R484" s="112" t="s">
        <v>3570</v>
      </c>
      <c r="S484" s="144">
        <v>3566.49</v>
      </c>
      <c r="T484" s="111">
        <v>316.56</v>
      </c>
      <c r="U484" s="144">
        <v>3249.93</v>
      </c>
    </row>
    <row r="485" spans="1:21" ht="15" thickBot="1" x14ac:dyDescent="0.35">
      <c r="A485" s="117">
        <v>484</v>
      </c>
      <c r="B485" s="118" t="s">
        <v>725</v>
      </c>
      <c r="C485" s="118" t="s">
        <v>179</v>
      </c>
      <c r="D485" s="118" t="s">
        <v>3110</v>
      </c>
      <c r="E485" s="118" t="s">
        <v>254</v>
      </c>
      <c r="F485" s="119"/>
      <c r="G485" s="118"/>
      <c r="H485" s="120"/>
      <c r="I485" s="121"/>
      <c r="J485" s="110" t="s">
        <v>2426</v>
      </c>
      <c r="K485" s="110" t="s">
        <v>1532</v>
      </c>
      <c r="L485" s="110" t="s">
        <v>3781</v>
      </c>
      <c r="M485" s="111" t="s">
        <v>1509</v>
      </c>
      <c r="N485" s="111" t="s">
        <v>1510</v>
      </c>
      <c r="O485" s="111" t="s">
        <v>1511</v>
      </c>
      <c r="P485" s="112" t="s">
        <v>1509</v>
      </c>
      <c r="Q485" s="112" t="s">
        <v>1510</v>
      </c>
      <c r="R485" s="112" t="s">
        <v>1511</v>
      </c>
      <c r="S485" s="144">
        <v>4280</v>
      </c>
      <c r="T485" s="111">
        <v>402.18</v>
      </c>
      <c r="U485" s="144">
        <v>3877.82</v>
      </c>
    </row>
    <row r="486" spans="1:21" ht="15" thickBot="1" x14ac:dyDescent="0.35">
      <c r="A486" s="117">
        <v>485</v>
      </c>
      <c r="B486" s="118" t="s">
        <v>726</v>
      </c>
      <c r="C486" s="118" t="s">
        <v>107</v>
      </c>
      <c r="D486" s="118" t="s">
        <v>3111</v>
      </c>
      <c r="E486" s="118" t="s">
        <v>159</v>
      </c>
      <c r="F486" s="119"/>
      <c r="G486" s="118"/>
      <c r="H486" s="120"/>
      <c r="I486" s="121"/>
      <c r="J486" s="110" t="s">
        <v>2427</v>
      </c>
      <c r="K486" s="110" t="s">
        <v>1403</v>
      </c>
      <c r="L486" s="110" t="s">
        <v>3781</v>
      </c>
      <c r="M486" s="111" t="s">
        <v>1632</v>
      </c>
      <c r="N486" s="111" t="s">
        <v>1714</v>
      </c>
      <c r="O486" s="111" t="s">
        <v>1715</v>
      </c>
      <c r="P486" s="112" t="s">
        <v>1632</v>
      </c>
      <c r="Q486" s="112" t="s">
        <v>1714</v>
      </c>
      <c r="R486" s="112" t="s">
        <v>1715</v>
      </c>
      <c r="S486" s="144">
        <v>3000</v>
      </c>
      <c r="T486" s="111">
        <v>308.25</v>
      </c>
      <c r="U486" s="144">
        <v>2691.75</v>
      </c>
    </row>
    <row r="487" spans="1:21" ht="15" thickBot="1" x14ac:dyDescent="0.35">
      <c r="A487" s="117">
        <v>486</v>
      </c>
      <c r="B487" s="118" t="s">
        <v>727</v>
      </c>
      <c r="C487" s="118" t="s">
        <v>216</v>
      </c>
      <c r="D487" s="118" t="s">
        <v>3112</v>
      </c>
      <c r="E487" s="118" t="s">
        <v>240</v>
      </c>
      <c r="F487" s="119"/>
      <c r="G487" s="118"/>
      <c r="H487" s="120"/>
      <c r="I487" s="121"/>
      <c r="J487" s="110" t="s">
        <v>2428</v>
      </c>
      <c r="K487" s="110" t="s">
        <v>1403</v>
      </c>
      <c r="L487" s="110" t="s">
        <v>3781</v>
      </c>
      <c r="M487" s="111" t="s">
        <v>1836</v>
      </c>
      <c r="N487" s="111" t="s">
        <v>1837</v>
      </c>
      <c r="O487" s="111" t="s">
        <v>1838</v>
      </c>
      <c r="P487" s="112" t="s">
        <v>1836</v>
      </c>
      <c r="Q487" s="112" t="s">
        <v>1837</v>
      </c>
      <c r="R487" s="112" t="s">
        <v>1838</v>
      </c>
      <c r="S487" s="144">
        <v>3720</v>
      </c>
      <c r="T487" s="111">
        <v>334.98</v>
      </c>
      <c r="U487" s="144">
        <v>3385.02</v>
      </c>
    </row>
    <row r="488" spans="1:21" ht="15" thickBot="1" x14ac:dyDescent="0.35">
      <c r="A488" s="117">
        <v>487</v>
      </c>
      <c r="B488" s="118" t="s">
        <v>728</v>
      </c>
      <c r="C488" s="118" t="s">
        <v>184</v>
      </c>
      <c r="D488" s="118" t="s">
        <v>3113</v>
      </c>
      <c r="E488" s="118" t="s">
        <v>170</v>
      </c>
      <c r="F488" s="119"/>
      <c r="G488" s="118"/>
      <c r="H488" s="120"/>
      <c r="I488" s="121"/>
      <c r="J488" s="110" t="s">
        <v>2429</v>
      </c>
      <c r="K488" s="110" t="s">
        <v>1403</v>
      </c>
      <c r="L488" s="110" t="s">
        <v>3781</v>
      </c>
      <c r="M488" s="111" t="s">
        <v>1451</v>
      </c>
      <c r="N488" s="111" t="s">
        <v>1452</v>
      </c>
      <c r="O488" s="111" t="s">
        <v>1453</v>
      </c>
      <c r="P488" s="112" t="s">
        <v>1451</v>
      </c>
      <c r="Q488" s="112" t="s">
        <v>1452</v>
      </c>
      <c r="R488" s="112" t="s">
        <v>1453</v>
      </c>
      <c r="S488" s="144">
        <v>3818.4</v>
      </c>
      <c r="T488" s="111">
        <v>346.79</v>
      </c>
      <c r="U488" s="144">
        <v>3471.61</v>
      </c>
    </row>
    <row r="489" spans="1:21" ht="15" thickBot="1" x14ac:dyDescent="0.35">
      <c r="A489" s="117">
        <v>488</v>
      </c>
      <c r="B489" s="118" t="s">
        <v>729</v>
      </c>
      <c r="C489" s="118" t="s">
        <v>158</v>
      </c>
      <c r="D489" s="118" t="s">
        <v>3114</v>
      </c>
      <c r="E489" s="118" t="s">
        <v>173</v>
      </c>
      <c r="F489" s="119"/>
      <c r="G489" s="118"/>
      <c r="H489" s="120"/>
      <c r="I489" s="121"/>
      <c r="J489" s="110" t="s">
        <v>2430</v>
      </c>
      <c r="K489" s="110" t="s">
        <v>1403</v>
      </c>
      <c r="L489" s="110" t="s">
        <v>3781</v>
      </c>
      <c r="M489" s="111" t="s">
        <v>2431</v>
      </c>
      <c r="N489" s="111" t="s">
        <v>2432</v>
      </c>
      <c r="O489" s="111" t="s">
        <v>2433</v>
      </c>
      <c r="P489" s="112" t="s">
        <v>3219</v>
      </c>
      <c r="Q489" s="112" t="s">
        <v>3374</v>
      </c>
      <c r="R489" s="112" t="s">
        <v>3572</v>
      </c>
      <c r="S489" s="144">
        <v>3504.05</v>
      </c>
      <c r="T489" s="111">
        <v>309.07</v>
      </c>
      <c r="U489" s="144">
        <v>3194.98</v>
      </c>
    </row>
    <row r="490" spans="1:21" ht="15" thickBot="1" x14ac:dyDescent="0.35">
      <c r="A490" s="117">
        <v>489</v>
      </c>
      <c r="B490" s="118" t="s">
        <v>730</v>
      </c>
      <c r="C490" s="118" t="s">
        <v>214</v>
      </c>
      <c r="D490" s="118" t="s">
        <v>3115</v>
      </c>
      <c r="E490" s="118" t="s">
        <v>159</v>
      </c>
      <c r="F490" s="119"/>
      <c r="G490" s="118"/>
      <c r="H490" s="120"/>
      <c r="I490" s="121"/>
      <c r="J490" s="110" t="s">
        <v>2434</v>
      </c>
      <c r="K490" s="110" t="s">
        <v>1403</v>
      </c>
      <c r="L490" s="110" t="s">
        <v>3781</v>
      </c>
      <c r="M490" s="111" t="s">
        <v>1626</v>
      </c>
      <c r="N490" s="111" t="s">
        <v>1627</v>
      </c>
      <c r="O490" s="111" t="s">
        <v>1628</v>
      </c>
      <c r="P490" s="112" t="s">
        <v>3243</v>
      </c>
      <c r="Q490" s="112" t="s">
        <v>3402</v>
      </c>
      <c r="R490" s="112" t="s">
        <v>3601</v>
      </c>
      <c r="S490" s="144">
        <v>4909.37</v>
      </c>
      <c r="T490" s="111">
        <v>488.81</v>
      </c>
      <c r="U490" s="144">
        <v>4420.5600000000004</v>
      </c>
    </row>
    <row r="491" spans="1:21" ht="15" thickBot="1" x14ac:dyDescent="0.35">
      <c r="A491" s="117">
        <v>490</v>
      </c>
      <c r="B491" s="122" t="s">
        <v>731</v>
      </c>
      <c r="C491" s="118" t="s">
        <v>260</v>
      </c>
      <c r="D491" s="118"/>
      <c r="E491" s="118" t="s">
        <v>234</v>
      </c>
      <c r="F491" s="119"/>
      <c r="G491" s="118"/>
      <c r="H491" s="120"/>
      <c r="I491" s="121"/>
      <c r="J491" s="123"/>
      <c r="K491" s="110"/>
      <c r="L491" s="110" t="s">
        <v>3781</v>
      </c>
      <c r="M491" s="111"/>
      <c r="N491" s="111"/>
      <c r="O491" s="111"/>
      <c r="P491" s="112"/>
      <c r="Q491" s="112"/>
      <c r="R491" s="112"/>
      <c r="S491" s="144">
        <v>1625.81</v>
      </c>
      <c r="T491" s="111">
        <v>122</v>
      </c>
      <c r="U491" s="144">
        <v>1503.81</v>
      </c>
    </row>
    <row r="492" spans="1:21" ht="15" thickBot="1" x14ac:dyDescent="0.35">
      <c r="A492" s="117">
        <v>491</v>
      </c>
      <c r="B492" s="118" t="s">
        <v>732</v>
      </c>
      <c r="C492" s="118" t="s">
        <v>158</v>
      </c>
      <c r="D492" s="118" t="s">
        <v>3116</v>
      </c>
      <c r="E492" s="118" t="s">
        <v>296</v>
      </c>
      <c r="F492" s="119"/>
      <c r="G492" s="118"/>
      <c r="H492" s="120"/>
      <c r="I492" s="121"/>
      <c r="J492" s="110" t="s">
        <v>2435</v>
      </c>
      <c r="K492" s="110" t="s">
        <v>1574</v>
      </c>
      <c r="L492" s="110" t="s">
        <v>3781</v>
      </c>
      <c r="M492" s="111" t="s">
        <v>2423</v>
      </c>
      <c r="N492" s="111" t="s">
        <v>2424</v>
      </c>
      <c r="O492" s="111" t="s">
        <v>2425</v>
      </c>
      <c r="P492" s="112" t="s">
        <v>3215</v>
      </c>
      <c r="Q492" s="112" t="s">
        <v>3529</v>
      </c>
      <c r="R492" s="112" t="s">
        <v>3734</v>
      </c>
      <c r="S492" s="144">
        <v>3433.34</v>
      </c>
      <c r="T492" s="144">
        <v>1177.6099999999999</v>
      </c>
      <c r="U492" s="144">
        <v>2255.73</v>
      </c>
    </row>
    <row r="493" spans="1:21" ht="15" thickBot="1" x14ac:dyDescent="0.35">
      <c r="A493" s="117">
        <v>492</v>
      </c>
      <c r="B493" s="118" t="s">
        <v>733</v>
      </c>
      <c r="C493" s="118" t="s">
        <v>150</v>
      </c>
      <c r="D493" s="118" t="s">
        <v>3117</v>
      </c>
      <c r="E493" s="118" t="s">
        <v>390</v>
      </c>
      <c r="F493" s="119"/>
      <c r="G493" s="118"/>
      <c r="H493" s="120"/>
      <c r="I493" s="121"/>
      <c r="J493" s="110" t="s">
        <v>2436</v>
      </c>
      <c r="K493" s="110" t="s">
        <v>1538</v>
      </c>
      <c r="L493" s="110" t="s">
        <v>3781</v>
      </c>
      <c r="M493" s="111" t="s">
        <v>1441</v>
      </c>
      <c r="N493" s="111" t="s">
        <v>1400</v>
      </c>
      <c r="O493" s="111" t="s">
        <v>1442</v>
      </c>
      <c r="P493" s="112" t="s">
        <v>1776</v>
      </c>
      <c r="Q493" s="112" t="s">
        <v>1534</v>
      </c>
      <c r="R493" s="112" t="s">
        <v>1777</v>
      </c>
      <c r="S493" s="144">
        <v>1835.97</v>
      </c>
      <c r="T493" s="111">
        <v>128.76</v>
      </c>
      <c r="U493" s="144">
        <v>1707.21</v>
      </c>
    </row>
    <row r="494" spans="1:21" ht="15" thickBot="1" x14ac:dyDescent="0.35">
      <c r="A494" s="117">
        <v>493</v>
      </c>
      <c r="B494" s="118" t="s">
        <v>734</v>
      </c>
      <c r="C494" s="118" t="s">
        <v>158</v>
      </c>
      <c r="D494" s="118" t="s">
        <v>3118</v>
      </c>
      <c r="E494" s="118" t="s">
        <v>159</v>
      </c>
      <c r="F494" s="119"/>
      <c r="G494" s="118"/>
      <c r="H494" s="120"/>
      <c r="I494" s="121"/>
      <c r="J494" s="110" t="s">
        <v>2437</v>
      </c>
      <c r="K494" s="110" t="s">
        <v>1403</v>
      </c>
      <c r="L494" s="110" t="s">
        <v>3781</v>
      </c>
      <c r="M494" s="111" t="s">
        <v>2438</v>
      </c>
      <c r="N494" s="111" t="s">
        <v>2439</v>
      </c>
      <c r="O494" s="111" t="s">
        <v>2440</v>
      </c>
      <c r="P494" s="112" t="s">
        <v>3337</v>
      </c>
      <c r="Q494" s="112" t="s">
        <v>3530</v>
      </c>
      <c r="R494" s="112" t="s">
        <v>3735</v>
      </c>
      <c r="S494" s="144">
        <v>3184.61</v>
      </c>
      <c r="T494" s="111">
        <v>468.94</v>
      </c>
      <c r="U494" s="144">
        <v>2715.67</v>
      </c>
    </row>
    <row r="495" spans="1:21" ht="15" thickBot="1" x14ac:dyDescent="0.35">
      <c r="A495" s="117">
        <v>494</v>
      </c>
      <c r="B495" s="118" t="s">
        <v>735</v>
      </c>
      <c r="C495" s="118" t="s">
        <v>150</v>
      </c>
      <c r="D495" s="118" t="s">
        <v>3119</v>
      </c>
      <c r="E495" s="118" t="s">
        <v>159</v>
      </c>
      <c r="F495" s="119"/>
      <c r="G495" s="118"/>
      <c r="H495" s="120"/>
      <c r="I495" s="121"/>
      <c r="J495" s="110" t="s">
        <v>2441</v>
      </c>
      <c r="K495" s="110" t="s">
        <v>1403</v>
      </c>
      <c r="L495" s="110" t="s">
        <v>3781</v>
      </c>
      <c r="M495" s="111" t="s">
        <v>2442</v>
      </c>
      <c r="N495" s="111" t="s">
        <v>2443</v>
      </c>
      <c r="O495" s="111" t="s">
        <v>2444</v>
      </c>
      <c r="P495" s="112" t="s">
        <v>3221</v>
      </c>
      <c r="Q495" s="112" t="s">
        <v>3388</v>
      </c>
      <c r="R495" s="112" t="s">
        <v>3586</v>
      </c>
      <c r="S495" s="144">
        <v>1701.11</v>
      </c>
      <c r="T495" s="111">
        <v>128.77000000000001</v>
      </c>
      <c r="U495" s="144">
        <v>1572.34</v>
      </c>
    </row>
    <row r="496" spans="1:21" ht="15" thickBot="1" x14ac:dyDescent="0.35">
      <c r="A496" s="117">
        <v>495</v>
      </c>
      <c r="B496" s="118" t="s">
        <v>736</v>
      </c>
      <c r="C496" s="118" t="s">
        <v>150</v>
      </c>
      <c r="D496" s="118" t="s">
        <v>3120</v>
      </c>
      <c r="E496" s="118" t="s">
        <v>159</v>
      </c>
      <c r="F496" s="119"/>
      <c r="G496" s="118"/>
      <c r="H496" s="120"/>
      <c r="I496" s="121"/>
      <c r="J496" s="110" t="s">
        <v>2445</v>
      </c>
      <c r="K496" s="110" t="s">
        <v>1403</v>
      </c>
      <c r="L496" s="110" t="s">
        <v>3781</v>
      </c>
      <c r="M496" s="111" t="s">
        <v>1399</v>
      </c>
      <c r="N496" s="111" t="s">
        <v>1400</v>
      </c>
      <c r="O496" s="111" t="s">
        <v>1401</v>
      </c>
      <c r="P496" s="112" t="s">
        <v>3221</v>
      </c>
      <c r="Q496" s="112" t="s">
        <v>3388</v>
      </c>
      <c r="R496" s="112" t="s">
        <v>3586</v>
      </c>
      <c r="S496" s="144">
        <v>1730.61</v>
      </c>
      <c r="T496" s="111">
        <v>427.59</v>
      </c>
      <c r="U496" s="144">
        <v>1303.02</v>
      </c>
    </row>
    <row r="497" spans="1:21" ht="15" thickBot="1" x14ac:dyDescent="0.35">
      <c r="A497" s="117">
        <v>496</v>
      </c>
      <c r="B497" s="118" t="s">
        <v>737</v>
      </c>
      <c r="C497" s="118" t="s">
        <v>150</v>
      </c>
      <c r="D497" s="118" t="s">
        <v>3121</v>
      </c>
      <c r="E497" s="118" t="s">
        <v>177</v>
      </c>
      <c r="F497" s="119"/>
      <c r="G497" s="118"/>
      <c r="H497" s="120"/>
      <c r="I497" s="121"/>
      <c r="J497" s="110" t="s">
        <v>2446</v>
      </c>
      <c r="K497" s="110" t="s">
        <v>1403</v>
      </c>
      <c r="L497" s="110" t="s">
        <v>3781</v>
      </c>
      <c r="M497" s="111" t="s">
        <v>1441</v>
      </c>
      <c r="N497" s="111" t="s">
        <v>1400</v>
      </c>
      <c r="O497" s="111" t="s">
        <v>1442</v>
      </c>
      <c r="P497" s="112" t="s">
        <v>1776</v>
      </c>
      <c r="Q497" s="112" t="s">
        <v>1534</v>
      </c>
      <c r="R497" s="112" t="s">
        <v>1777</v>
      </c>
      <c r="S497" s="144">
        <v>1817.02</v>
      </c>
      <c r="T497" s="111">
        <v>127.05</v>
      </c>
      <c r="U497" s="144">
        <v>1689.97</v>
      </c>
    </row>
    <row r="498" spans="1:21" ht="15" thickBot="1" x14ac:dyDescent="0.35">
      <c r="A498" s="117">
        <v>497</v>
      </c>
      <c r="B498" s="118" t="s">
        <v>738</v>
      </c>
      <c r="C498" s="118" t="s">
        <v>150</v>
      </c>
      <c r="D498" s="118" t="s">
        <v>3122</v>
      </c>
      <c r="E498" s="118" t="s">
        <v>161</v>
      </c>
      <c r="F498" s="119"/>
      <c r="G498" s="118"/>
      <c r="H498" s="120"/>
      <c r="I498" s="121"/>
      <c r="J498" s="110" t="s">
        <v>2447</v>
      </c>
      <c r="K498" s="110" t="s">
        <v>1403</v>
      </c>
      <c r="L498" s="110" t="s">
        <v>3781</v>
      </c>
      <c r="M498" s="111" t="s">
        <v>2448</v>
      </c>
      <c r="N498" s="111" t="s">
        <v>2449</v>
      </c>
      <c r="O498" s="111" t="s">
        <v>2450</v>
      </c>
      <c r="P498" s="112" t="s">
        <v>3338</v>
      </c>
      <c r="Q498" s="112" t="s">
        <v>3531</v>
      </c>
      <c r="R498" s="112" t="s">
        <v>3736</v>
      </c>
      <c r="S498" s="144">
        <v>1925.27</v>
      </c>
      <c r="T498" s="111">
        <v>684.06</v>
      </c>
      <c r="U498" s="144">
        <v>1241.21</v>
      </c>
    </row>
    <row r="499" spans="1:21" ht="15" thickBot="1" x14ac:dyDescent="0.35">
      <c r="A499" s="117">
        <v>498</v>
      </c>
      <c r="B499" s="118" t="s">
        <v>739</v>
      </c>
      <c r="C499" s="118" t="s">
        <v>150</v>
      </c>
      <c r="D499" s="118" t="s">
        <v>3123</v>
      </c>
      <c r="E499" s="118" t="s">
        <v>234</v>
      </c>
      <c r="F499" s="119"/>
      <c r="G499" s="118"/>
      <c r="H499" s="120"/>
      <c r="I499" s="121"/>
      <c r="J499" s="110" t="s">
        <v>2451</v>
      </c>
      <c r="K499" s="110" t="s">
        <v>1403</v>
      </c>
      <c r="L499" s="110" t="s">
        <v>3781</v>
      </c>
      <c r="M499" s="111" t="s">
        <v>1399</v>
      </c>
      <c r="N499" s="111" t="s">
        <v>1400</v>
      </c>
      <c r="O499" s="111" t="s">
        <v>1401</v>
      </c>
      <c r="P499" s="112" t="s">
        <v>1570</v>
      </c>
      <c r="Q499" s="112" t="s">
        <v>1534</v>
      </c>
      <c r="R499" s="112" t="s">
        <v>1571</v>
      </c>
      <c r="S499" s="144">
        <v>1681.94</v>
      </c>
      <c r="T499" s="111">
        <v>127.05</v>
      </c>
      <c r="U499" s="144">
        <v>1554.89</v>
      </c>
    </row>
    <row r="500" spans="1:21" ht="15" thickBot="1" x14ac:dyDescent="0.35">
      <c r="A500" s="117">
        <v>499</v>
      </c>
      <c r="B500" s="118" t="s">
        <v>740</v>
      </c>
      <c r="C500" s="118" t="s">
        <v>214</v>
      </c>
      <c r="D500" s="118" t="s">
        <v>3124</v>
      </c>
      <c r="E500" s="118" t="s">
        <v>234</v>
      </c>
      <c r="F500" s="119"/>
      <c r="G500" s="118"/>
      <c r="H500" s="120"/>
      <c r="I500" s="121"/>
      <c r="J500" s="110" t="s">
        <v>2452</v>
      </c>
      <c r="K500" s="110" t="s">
        <v>1403</v>
      </c>
      <c r="L500" s="110" t="s">
        <v>3781</v>
      </c>
      <c r="M500" s="111" t="s">
        <v>1626</v>
      </c>
      <c r="N500" s="111" t="s">
        <v>1627</v>
      </c>
      <c r="O500" s="111" t="s">
        <v>1628</v>
      </c>
      <c r="P500" s="112" t="s">
        <v>3243</v>
      </c>
      <c r="Q500" s="112" t="s">
        <v>3402</v>
      </c>
      <c r="R500" s="112" t="s">
        <v>3601</v>
      </c>
      <c r="S500" s="144">
        <v>4909.37</v>
      </c>
      <c r="T500" s="111">
        <v>488.81</v>
      </c>
      <c r="U500" s="144">
        <v>4420.5600000000004</v>
      </c>
    </row>
    <row r="501" spans="1:21" ht="15" thickBot="1" x14ac:dyDescent="0.35">
      <c r="A501" s="117">
        <v>500</v>
      </c>
      <c r="B501" s="118" t="s">
        <v>741</v>
      </c>
      <c r="C501" s="118" t="s">
        <v>150</v>
      </c>
      <c r="D501" s="118" t="s">
        <v>3125</v>
      </c>
      <c r="E501" s="118" t="s">
        <v>161</v>
      </c>
      <c r="F501" s="119"/>
      <c r="G501" s="118"/>
      <c r="H501" s="120"/>
      <c r="I501" s="121"/>
      <c r="J501" s="110" t="s">
        <v>2453</v>
      </c>
      <c r="K501" s="110" t="s">
        <v>1403</v>
      </c>
      <c r="L501" s="110" t="s">
        <v>3781</v>
      </c>
      <c r="M501" s="111" t="s">
        <v>2454</v>
      </c>
      <c r="N501" s="111" t="s">
        <v>1592</v>
      </c>
      <c r="O501" s="111" t="s">
        <v>2455</v>
      </c>
      <c r="P501" s="112" t="s">
        <v>3339</v>
      </c>
      <c r="Q501" s="112" t="s">
        <v>3532</v>
      </c>
      <c r="R501" s="112" t="s">
        <v>3737</v>
      </c>
      <c r="S501" s="144">
        <v>1957.04</v>
      </c>
      <c r="T501" s="111">
        <v>145.72999999999999</v>
      </c>
      <c r="U501" s="144">
        <v>1811.31</v>
      </c>
    </row>
    <row r="502" spans="1:21" ht="15" thickBot="1" x14ac:dyDescent="0.35">
      <c r="A502" s="117">
        <v>501</v>
      </c>
      <c r="B502" s="118" t="s">
        <v>742</v>
      </c>
      <c r="C502" s="118" t="s">
        <v>179</v>
      </c>
      <c r="D502" s="118" t="s">
        <v>3126</v>
      </c>
      <c r="E502" s="118" t="s">
        <v>245</v>
      </c>
      <c r="F502" s="119"/>
      <c r="G502" s="118"/>
      <c r="H502" s="120"/>
      <c r="I502" s="121"/>
      <c r="J502" s="110" t="s">
        <v>2456</v>
      </c>
      <c r="K502" s="110" t="s">
        <v>1403</v>
      </c>
      <c r="L502" s="110" t="s">
        <v>3781</v>
      </c>
      <c r="M502" s="111" t="s">
        <v>1509</v>
      </c>
      <c r="N502" s="111" t="s">
        <v>1510</v>
      </c>
      <c r="O502" s="111" t="s">
        <v>1511</v>
      </c>
      <c r="P502" s="112" t="s">
        <v>1509</v>
      </c>
      <c r="Q502" s="112" t="s">
        <v>1510</v>
      </c>
      <c r="R502" s="112" t="s">
        <v>1511</v>
      </c>
      <c r="S502" s="144">
        <v>4280</v>
      </c>
      <c r="T502" s="111">
        <v>402.18</v>
      </c>
      <c r="U502" s="144">
        <v>3877.82</v>
      </c>
    </row>
    <row r="503" spans="1:21" ht="15" thickBot="1" x14ac:dyDescent="0.35">
      <c r="A503" s="117">
        <v>502</v>
      </c>
      <c r="B503" s="118" t="s">
        <v>743</v>
      </c>
      <c r="C503" s="118" t="s">
        <v>150</v>
      </c>
      <c r="D503" s="118" t="s">
        <v>3127</v>
      </c>
      <c r="E503" s="118" t="s">
        <v>245</v>
      </c>
      <c r="F503" s="119"/>
      <c r="G503" s="118"/>
      <c r="H503" s="120"/>
      <c r="I503" s="121"/>
      <c r="J503" s="110" t="s">
        <v>2457</v>
      </c>
      <c r="K503" s="110" t="s">
        <v>2458</v>
      </c>
      <c r="L503" s="110" t="s">
        <v>3781</v>
      </c>
      <c r="M503" s="111" t="s">
        <v>1399</v>
      </c>
      <c r="N503" s="111" t="s">
        <v>1400</v>
      </c>
      <c r="O503" s="111" t="s">
        <v>1401</v>
      </c>
      <c r="P503" s="112" t="s">
        <v>1570</v>
      </c>
      <c r="Q503" s="112" t="s">
        <v>1534</v>
      </c>
      <c r="R503" s="112" t="s">
        <v>1571</v>
      </c>
      <c r="S503" s="144">
        <v>1681.94</v>
      </c>
      <c r="T503" s="111">
        <v>127.05</v>
      </c>
      <c r="U503" s="144">
        <v>1554.89</v>
      </c>
    </row>
    <row r="504" spans="1:21" ht="15" thickBot="1" x14ac:dyDescent="0.35">
      <c r="A504" s="117">
        <v>503</v>
      </c>
      <c r="B504" s="118" t="s">
        <v>744</v>
      </c>
      <c r="C504" s="118" t="s">
        <v>260</v>
      </c>
      <c r="D504" s="118" t="s">
        <v>3128</v>
      </c>
      <c r="E504" s="118" t="s">
        <v>272</v>
      </c>
      <c r="F504" s="119"/>
      <c r="G504" s="118"/>
      <c r="H504" s="120"/>
      <c r="I504" s="121"/>
      <c r="J504" s="110" t="s">
        <v>2459</v>
      </c>
      <c r="K504" s="110" t="s">
        <v>1403</v>
      </c>
      <c r="L504" s="110" t="s">
        <v>3781</v>
      </c>
      <c r="M504" s="111" t="s">
        <v>1599</v>
      </c>
      <c r="N504" s="111" t="s">
        <v>2460</v>
      </c>
      <c r="O504" s="111" t="s">
        <v>2461</v>
      </c>
      <c r="P504" s="112" t="s">
        <v>1599</v>
      </c>
      <c r="Q504" s="112" t="s">
        <v>2460</v>
      </c>
      <c r="R504" s="112" t="s">
        <v>2461</v>
      </c>
      <c r="S504" s="144">
        <v>1805.02</v>
      </c>
      <c r="T504" s="111">
        <v>474.27</v>
      </c>
      <c r="U504" s="144">
        <v>1330.75</v>
      </c>
    </row>
    <row r="505" spans="1:21" ht="15" thickBot="1" x14ac:dyDescent="0.35">
      <c r="A505" s="117">
        <v>504</v>
      </c>
      <c r="B505" s="118" t="s">
        <v>745</v>
      </c>
      <c r="C505" s="118" t="s">
        <v>158</v>
      </c>
      <c r="D505" s="118" t="s">
        <v>3129</v>
      </c>
      <c r="E505" s="118" t="s">
        <v>159</v>
      </c>
      <c r="F505" s="119"/>
      <c r="G505" s="118"/>
      <c r="H505" s="120"/>
      <c r="I505" s="121"/>
      <c r="J505" s="110" t="s">
        <v>2462</v>
      </c>
      <c r="K505" s="110" t="s">
        <v>1403</v>
      </c>
      <c r="L505" s="110" t="s">
        <v>3781</v>
      </c>
      <c r="M505" s="111" t="s">
        <v>2463</v>
      </c>
      <c r="N505" s="111" t="s">
        <v>2464</v>
      </c>
      <c r="O505" s="111" t="s">
        <v>2465</v>
      </c>
      <c r="P505" s="112" t="s">
        <v>3282</v>
      </c>
      <c r="Q505" s="112" t="s">
        <v>3457</v>
      </c>
      <c r="R505" s="112" t="s">
        <v>3658</v>
      </c>
      <c r="S505" s="144">
        <v>3486.69</v>
      </c>
      <c r="T505" s="111">
        <v>306.99</v>
      </c>
      <c r="U505" s="144">
        <v>3179.7</v>
      </c>
    </row>
    <row r="506" spans="1:21" ht="15" thickBot="1" x14ac:dyDescent="0.35">
      <c r="A506" s="117">
        <v>505</v>
      </c>
      <c r="B506" s="118" t="s">
        <v>746</v>
      </c>
      <c r="C506" s="118" t="s">
        <v>210</v>
      </c>
      <c r="D506" s="118" t="s">
        <v>3130</v>
      </c>
      <c r="E506" s="118" t="s">
        <v>159</v>
      </c>
      <c r="F506" s="119"/>
      <c r="G506" s="118"/>
      <c r="H506" s="120"/>
      <c r="I506" s="121"/>
      <c r="J506" s="110" t="s">
        <v>2466</v>
      </c>
      <c r="K506" s="110" t="s">
        <v>2467</v>
      </c>
      <c r="L506" s="110" t="s">
        <v>3781</v>
      </c>
      <c r="M506" s="111" t="s">
        <v>2468</v>
      </c>
      <c r="N506" s="111" t="s">
        <v>2469</v>
      </c>
      <c r="O506" s="111" t="s">
        <v>2470</v>
      </c>
      <c r="P506" s="112" t="s">
        <v>3340</v>
      </c>
      <c r="Q506" s="112" t="s">
        <v>3533</v>
      </c>
      <c r="R506" s="112" t="s">
        <v>3738</v>
      </c>
      <c r="S506" s="144">
        <v>2577.83</v>
      </c>
      <c r="T506" s="111">
        <v>284.99</v>
      </c>
      <c r="U506" s="144">
        <v>2292.84</v>
      </c>
    </row>
    <row r="507" spans="1:21" ht="15" thickBot="1" x14ac:dyDescent="0.35">
      <c r="A507" s="117">
        <v>506</v>
      </c>
      <c r="B507" s="118" t="s">
        <v>747</v>
      </c>
      <c r="C507" s="118" t="s">
        <v>150</v>
      </c>
      <c r="D507" s="118" t="s">
        <v>3131</v>
      </c>
      <c r="E507" s="118" t="s">
        <v>504</v>
      </c>
      <c r="F507" s="119"/>
      <c r="G507" s="118"/>
      <c r="H507" s="120"/>
      <c r="I507" s="121"/>
      <c r="J507" s="110" t="s">
        <v>2471</v>
      </c>
      <c r="K507" s="110" t="s">
        <v>1874</v>
      </c>
      <c r="L507" s="110" t="s">
        <v>3781</v>
      </c>
      <c r="M507" s="111" t="s">
        <v>1422</v>
      </c>
      <c r="N507" s="111" t="s">
        <v>1400</v>
      </c>
      <c r="O507" s="111" t="s">
        <v>1423</v>
      </c>
      <c r="P507" s="112" t="s">
        <v>1671</v>
      </c>
      <c r="Q507" s="112" t="s">
        <v>1534</v>
      </c>
      <c r="R507" s="112" t="s">
        <v>1672</v>
      </c>
      <c r="S507" s="144">
        <v>1749.48</v>
      </c>
      <c r="T507" s="111">
        <v>284.82</v>
      </c>
      <c r="U507" s="144">
        <v>1464.66</v>
      </c>
    </row>
    <row r="508" spans="1:21" ht="15" thickBot="1" x14ac:dyDescent="0.35">
      <c r="A508" s="117">
        <v>507</v>
      </c>
      <c r="B508" s="118" t="s">
        <v>748</v>
      </c>
      <c r="C508" s="118" t="s">
        <v>214</v>
      </c>
      <c r="D508" s="118" t="s">
        <v>3132</v>
      </c>
      <c r="E508" s="118" t="s">
        <v>159</v>
      </c>
      <c r="F508" s="119"/>
      <c r="G508" s="118"/>
      <c r="H508" s="120"/>
      <c r="I508" s="121"/>
      <c r="J508" s="110" t="s">
        <v>2472</v>
      </c>
      <c r="K508" s="110" t="s">
        <v>1403</v>
      </c>
      <c r="L508" s="110" t="s">
        <v>3781</v>
      </c>
      <c r="M508" s="111" t="s">
        <v>1626</v>
      </c>
      <c r="N508" s="111" t="s">
        <v>1627</v>
      </c>
      <c r="O508" s="111" t="s">
        <v>1628</v>
      </c>
      <c r="P508" s="112" t="s">
        <v>3243</v>
      </c>
      <c r="Q508" s="112" t="s">
        <v>3402</v>
      </c>
      <c r="R508" s="112" t="s">
        <v>3601</v>
      </c>
      <c r="S508" s="144">
        <v>4909.8100000000004</v>
      </c>
      <c r="T508" s="111">
        <v>488.87</v>
      </c>
      <c r="U508" s="144">
        <v>4420.9399999999996</v>
      </c>
    </row>
    <row r="509" spans="1:21" ht="15" thickBot="1" x14ac:dyDescent="0.35">
      <c r="A509" s="117">
        <v>508</v>
      </c>
      <c r="B509" s="118" t="s">
        <v>749</v>
      </c>
      <c r="C509" s="118" t="s">
        <v>150</v>
      </c>
      <c r="D509" s="118" t="s">
        <v>3133</v>
      </c>
      <c r="E509" s="118" t="s">
        <v>308</v>
      </c>
      <c r="F509" s="119"/>
      <c r="G509" s="118"/>
      <c r="H509" s="120"/>
      <c r="I509" s="121"/>
      <c r="J509" s="110" t="s">
        <v>2473</v>
      </c>
      <c r="K509" s="110" t="s">
        <v>1403</v>
      </c>
      <c r="L509" s="110" t="s">
        <v>3781</v>
      </c>
      <c r="M509" s="111" t="s">
        <v>1441</v>
      </c>
      <c r="N509" s="111" t="s">
        <v>1400</v>
      </c>
      <c r="O509" s="111" t="s">
        <v>1442</v>
      </c>
      <c r="P509" s="112" t="s">
        <v>1776</v>
      </c>
      <c r="Q509" s="112" t="s">
        <v>1534</v>
      </c>
      <c r="R509" s="112" t="s">
        <v>1777</v>
      </c>
      <c r="S509" s="144">
        <v>1817.02</v>
      </c>
      <c r="T509" s="111">
        <v>127.05</v>
      </c>
      <c r="U509" s="144">
        <v>1689.97</v>
      </c>
    </row>
    <row r="510" spans="1:21" ht="15" thickBot="1" x14ac:dyDescent="0.35">
      <c r="A510" s="117">
        <v>509</v>
      </c>
      <c r="B510" s="118" t="s">
        <v>750</v>
      </c>
      <c r="C510" s="118" t="s">
        <v>150</v>
      </c>
      <c r="D510" s="118" t="s">
        <v>3134</v>
      </c>
      <c r="E510" s="118" t="s">
        <v>305</v>
      </c>
      <c r="F510" s="119"/>
      <c r="G510" s="118"/>
      <c r="H510" s="120"/>
      <c r="I510" s="121"/>
      <c r="J510" s="110" t="s">
        <v>2474</v>
      </c>
      <c r="K510" s="110" t="s">
        <v>1403</v>
      </c>
      <c r="L510" s="110" t="s">
        <v>3781</v>
      </c>
      <c r="M510" s="111" t="s">
        <v>1399</v>
      </c>
      <c r="N510" s="111" t="s">
        <v>1400</v>
      </c>
      <c r="O510" s="111" t="s">
        <v>1401</v>
      </c>
      <c r="P510" s="112" t="s">
        <v>1570</v>
      </c>
      <c r="Q510" s="112" t="s">
        <v>1534</v>
      </c>
      <c r="R510" s="112" t="s">
        <v>1571</v>
      </c>
      <c r="S510" s="144">
        <v>1686.79</v>
      </c>
      <c r="T510" s="111">
        <v>127.49</v>
      </c>
      <c r="U510" s="144">
        <v>1559.3</v>
      </c>
    </row>
    <row r="511" spans="1:21" ht="15" thickBot="1" x14ac:dyDescent="0.35">
      <c r="A511" s="117">
        <v>510</v>
      </c>
      <c r="B511" s="118" t="s">
        <v>751</v>
      </c>
      <c r="C511" s="118" t="s">
        <v>158</v>
      </c>
      <c r="D511" s="118" t="s">
        <v>3135</v>
      </c>
      <c r="E511" s="118" t="s">
        <v>208</v>
      </c>
      <c r="F511" s="119"/>
      <c r="G511" s="118"/>
      <c r="H511" s="120"/>
      <c r="I511" s="121"/>
      <c r="J511" s="110" t="s">
        <v>2475</v>
      </c>
      <c r="K511" s="110" t="s">
        <v>1403</v>
      </c>
      <c r="L511" s="110" t="s">
        <v>3781</v>
      </c>
      <c r="M511" s="111" t="s">
        <v>2476</v>
      </c>
      <c r="N511" s="111" t="s">
        <v>2477</v>
      </c>
      <c r="O511" s="111" t="s">
        <v>2478</v>
      </c>
      <c r="P511" s="112" t="s">
        <v>3341</v>
      </c>
      <c r="Q511" s="112" t="s">
        <v>3534</v>
      </c>
      <c r="R511" s="112" t="s">
        <v>3739</v>
      </c>
      <c r="S511" s="144">
        <v>3756.16</v>
      </c>
      <c r="T511" s="111">
        <v>534.24</v>
      </c>
      <c r="U511" s="144">
        <v>3221.92</v>
      </c>
    </row>
    <row r="512" spans="1:21" ht="15" thickBot="1" x14ac:dyDescent="0.35">
      <c r="A512" s="117">
        <v>511</v>
      </c>
      <c r="B512" s="118" t="s">
        <v>752</v>
      </c>
      <c r="C512" s="118" t="s">
        <v>158</v>
      </c>
      <c r="D512" s="118" t="s">
        <v>3136</v>
      </c>
      <c r="E512" s="118" t="s">
        <v>159</v>
      </c>
      <c r="F512" s="119"/>
      <c r="G512" s="118"/>
      <c r="H512" s="120"/>
      <c r="I512" s="121"/>
      <c r="J512" s="110" t="s">
        <v>2479</v>
      </c>
      <c r="K512" s="110" t="s">
        <v>1403</v>
      </c>
      <c r="L512" s="110" t="s">
        <v>3781</v>
      </c>
      <c r="M512" s="111" t="s">
        <v>1895</v>
      </c>
      <c r="N512" s="111" t="s">
        <v>2480</v>
      </c>
      <c r="O512" s="111" t="s">
        <v>2481</v>
      </c>
      <c r="P512" s="112" t="s">
        <v>3342</v>
      </c>
      <c r="Q512" s="112" t="s">
        <v>3535</v>
      </c>
      <c r="R512" s="112" t="s">
        <v>3740</v>
      </c>
      <c r="S512" s="144">
        <v>3537.03</v>
      </c>
      <c r="T512" s="111">
        <v>313.02999999999997</v>
      </c>
      <c r="U512" s="144">
        <v>3224</v>
      </c>
    </row>
    <row r="513" spans="1:21" ht="15" thickBot="1" x14ac:dyDescent="0.35">
      <c r="A513" s="117">
        <v>512</v>
      </c>
      <c r="B513" s="118" t="s">
        <v>753</v>
      </c>
      <c r="C513" s="118" t="s">
        <v>150</v>
      </c>
      <c r="D513" s="118" t="s">
        <v>3137</v>
      </c>
      <c r="E513" s="118" t="s">
        <v>159</v>
      </c>
      <c r="F513" s="119"/>
      <c r="G513" s="118"/>
      <c r="H513" s="120"/>
      <c r="I513" s="121"/>
      <c r="J513" s="110" t="s">
        <v>2482</v>
      </c>
      <c r="K513" s="110" t="s">
        <v>1403</v>
      </c>
      <c r="L513" s="110" t="s">
        <v>3781</v>
      </c>
      <c r="M513" s="111" t="s">
        <v>1433</v>
      </c>
      <c r="N513" s="111" t="s">
        <v>1434</v>
      </c>
      <c r="O513" s="111" t="s">
        <v>1435</v>
      </c>
      <c r="P513" s="112" t="s">
        <v>3261</v>
      </c>
      <c r="Q513" s="112" t="s">
        <v>3427</v>
      </c>
      <c r="R513" s="112" t="s">
        <v>3628</v>
      </c>
      <c r="S513" s="144">
        <v>1726.18</v>
      </c>
      <c r="T513" s="111">
        <v>131.03</v>
      </c>
      <c r="U513" s="144">
        <v>1595.15</v>
      </c>
    </row>
    <row r="514" spans="1:21" ht="15" thickBot="1" x14ac:dyDescent="0.35">
      <c r="A514" s="117">
        <v>513</v>
      </c>
      <c r="B514" s="118" t="s">
        <v>754</v>
      </c>
      <c r="C514" s="118" t="s">
        <v>179</v>
      </c>
      <c r="D514" s="118" t="s">
        <v>3138</v>
      </c>
      <c r="E514" s="118" t="s">
        <v>317</v>
      </c>
      <c r="F514" s="119"/>
      <c r="G514" s="118"/>
      <c r="H514" s="120"/>
      <c r="I514" s="121"/>
      <c r="J514" s="110" t="s">
        <v>2483</v>
      </c>
      <c r="K514" s="110" t="s">
        <v>1403</v>
      </c>
      <c r="L514" s="110" t="s">
        <v>3781</v>
      </c>
      <c r="M514" s="111" t="s">
        <v>2484</v>
      </c>
      <c r="N514" s="111" t="s">
        <v>2485</v>
      </c>
      <c r="O514" s="111" t="s">
        <v>2486</v>
      </c>
      <c r="P514" s="112" t="s">
        <v>3343</v>
      </c>
      <c r="Q514" s="112" t="s">
        <v>3536</v>
      </c>
      <c r="R514" s="112" t="s">
        <v>3741</v>
      </c>
      <c r="S514" s="144">
        <v>4777.03</v>
      </c>
      <c r="T514" s="144">
        <v>1832.11</v>
      </c>
      <c r="U514" s="144">
        <v>2944.92</v>
      </c>
    </row>
    <row r="515" spans="1:21" ht="15" thickBot="1" x14ac:dyDescent="0.35">
      <c r="A515" s="117">
        <v>514</v>
      </c>
      <c r="B515" s="118" t="s">
        <v>755</v>
      </c>
      <c r="C515" s="118" t="s">
        <v>216</v>
      </c>
      <c r="D515" s="118" t="s">
        <v>3139</v>
      </c>
      <c r="E515" s="118" t="s">
        <v>443</v>
      </c>
      <c r="F515" s="119"/>
      <c r="G515" s="118"/>
      <c r="H515" s="120"/>
      <c r="I515" s="121"/>
      <c r="J515" s="110" t="s">
        <v>2487</v>
      </c>
      <c r="K515" s="110" t="s">
        <v>1403</v>
      </c>
      <c r="L515" s="110" t="s">
        <v>3781</v>
      </c>
      <c r="M515" s="111" t="s">
        <v>2488</v>
      </c>
      <c r="N515" s="111" t="s">
        <v>2489</v>
      </c>
      <c r="O515" s="111" t="s">
        <v>2490</v>
      </c>
      <c r="P515" s="112" t="s">
        <v>2488</v>
      </c>
      <c r="Q515" s="112" t="s">
        <v>2489</v>
      </c>
      <c r="R515" s="112" t="s">
        <v>2490</v>
      </c>
      <c r="S515" s="144">
        <v>4464</v>
      </c>
      <c r="T515" s="111">
        <v>426.46</v>
      </c>
      <c r="U515" s="144">
        <v>4037.54</v>
      </c>
    </row>
    <row r="516" spans="1:21" ht="15" thickBot="1" x14ac:dyDescent="0.35">
      <c r="A516" s="117">
        <v>515</v>
      </c>
      <c r="B516" s="118" t="s">
        <v>756</v>
      </c>
      <c r="C516" s="118" t="s">
        <v>757</v>
      </c>
      <c r="D516" s="118" t="s">
        <v>3140</v>
      </c>
      <c r="E516" s="118" t="s">
        <v>159</v>
      </c>
      <c r="F516" s="119"/>
      <c r="G516" s="118"/>
      <c r="H516" s="120"/>
      <c r="I516" s="121"/>
      <c r="J516" s="110" t="s">
        <v>2491</v>
      </c>
      <c r="K516" s="110" t="s">
        <v>1403</v>
      </c>
      <c r="L516" s="110" t="s">
        <v>3781</v>
      </c>
      <c r="M516" s="111" t="s">
        <v>2492</v>
      </c>
      <c r="N516" s="111" t="s">
        <v>2493</v>
      </c>
      <c r="O516" s="111" t="s">
        <v>2494</v>
      </c>
      <c r="P516" s="112" t="s">
        <v>2492</v>
      </c>
      <c r="Q516" s="112" t="s">
        <v>2493</v>
      </c>
      <c r="R516" s="112" t="s">
        <v>2494</v>
      </c>
      <c r="S516" s="144">
        <v>6712.55</v>
      </c>
      <c r="T516" s="144">
        <v>2264.15</v>
      </c>
      <c r="U516" s="144">
        <v>4448.3999999999996</v>
      </c>
    </row>
    <row r="517" spans="1:21" ht="15" thickBot="1" x14ac:dyDescent="0.35">
      <c r="A517" s="117">
        <v>516</v>
      </c>
      <c r="B517" s="118" t="s">
        <v>758</v>
      </c>
      <c r="C517" s="118" t="s">
        <v>179</v>
      </c>
      <c r="D517" s="118" t="s">
        <v>3141</v>
      </c>
      <c r="E517" s="118" t="s">
        <v>759</v>
      </c>
      <c r="F517" s="119"/>
      <c r="G517" s="118"/>
      <c r="H517" s="120"/>
      <c r="I517" s="121"/>
      <c r="J517" s="110" t="s">
        <v>2495</v>
      </c>
      <c r="K517" s="110" t="s">
        <v>1574</v>
      </c>
      <c r="L517" s="110" t="s">
        <v>3781</v>
      </c>
      <c r="M517" s="111" t="s">
        <v>1509</v>
      </c>
      <c r="N517" s="111" t="s">
        <v>1510</v>
      </c>
      <c r="O517" s="111" t="s">
        <v>1511</v>
      </c>
      <c r="P517" s="112" t="s">
        <v>1509</v>
      </c>
      <c r="Q517" s="112" t="s">
        <v>1510</v>
      </c>
      <c r="R517" s="112" t="s">
        <v>1511</v>
      </c>
      <c r="S517" s="144">
        <v>4280</v>
      </c>
      <c r="T517" s="111">
        <v>402.18</v>
      </c>
      <c r="U517" s="144">
        <v>3877.82</v>
      </c>
    </row>
    <row r="518" spans="1:21" ht="15" thickBot="1" x14ac:dyDescent="0.35">
      <c r="A518" s="117">
        <v>517</v>
      </c>
      <c r="B518" s="118" t="s">
        <v>760</v>
      </c>
      <c r="C518" s="118" t="s">
        <v>150</v>
      </c>
      <c r="D518" s="118" t="s">
        <v>3142</v>
      </c>
      <c r="E518" s="118" t="s">
        <v>161</v>
      </c>
      <c r="F518" s="119"/>
      <c r="G518" s="118"/>
      <c r="H518" s="120"/>
      <c r="I518" s="121"/>
      <c r="J518" s="110" t="s">
        <v>2496</v>
      </c>
      <c r="K518" s="110" t="s">
        <v>1403</v>
      </c>
      <c r="L518" s="110" t="s">
        <v>3781</v>
      </c>
      <c r="M518" s="111" t="s">
        <v>1399</v>
      </c>
      <c r="N518" s="111" t="s">
        <v>1400</v>
      </c>
      <c r="O518" s="111" t="s">
        <v>1401</v>
      </c>
      <c r="P518" s="112" t="s">
        <v>1570</v>
      </c>
      <c r="Q518" s="112" t="s">
        <v>1534</v>
      </c>
      <c r="R518" s="112" t="s">
        <v>1571</v>
      </c>
      <c r="S518" s="144">
        <v>1698.16</v>
      </c>
      <c r="T518" s="111">
        <v>128.51</v>
      </c>
      <c r="U518" s="144">
        <v>1569.65</v>
      </c>
    </row>
    <row r="519" spans="1:21" ht="15" thickBot="1" x14ac:dyDescent="0.35">
      <c r="A519" s="117">
        <v>518</v>
      </c>
      <c r="B519" s="118" t="s">
        <v>761</v>
      </c>
      <c r="C519" s="118" t="s">
        <v>150</v>
      </c>
      <c r="D519" s="118" t="s">
        <v>3143</v>
      </c>
      <c r="E519" s="118" t="s">
        <v>296</v>
      </c>
      <c r="F519" s="119"/>
      <c r="G519" s="118"/>
      <c r="H519" s="120"/>
      <c r="I519" s="121"/>
      <c r="J519" s="110" t="s">
        <v>2497</v>
      </c>
      <c r="K519" s="110" t="s">
        <v>1403</v>
      </c>
      <c r="L519" s="110" t="s">
        <v>3781</v>
      </c>
      <c r="M519" s="111" t="s">
        <v>1399</v>
      </c>
      <c r="N519" s="111" t="s">
        <v>1400</v>
      </c>
      <c r="O519" s="111" t="s">
        <v>1401</v>
      </c>
      <c r="P519" s="112" t="s">
        <v>1570</v>
      </c>
      <c r="Q519" s="112" t="s">
        <v>3426</v>
      </c>
      <c r="R519" s="112" t="s">
        <v>3591</v>
      </c>
      <c r="S519" s="144">
        <v>1794.85</v>
      </c>
      <c r="T519" s="111">
        <v>137.21</v>
      </c>
      <c r="U519" s="144">
        <v>1657.64</v>
      </c>
    </row>
    <row r="520" spans="1:21" ht="15" thickBot="1" x14ac:dyDescent="0.35">
      <c r="A520" s="117">
        <v>519</v>
      </c>
      <c r="B520" s="118" t="s">
        <v>762</v>
      </c>
      <c r="C520" s="118" t="s">
        <v>150</v>
      </c>
      <c r="D520" s="118" t="s">
        <v>3144</v>
      </c>
      <c r="E520" s="118" t="s">
        <v>163</v>
      </c>
      <c r="F520" s="119"/>
      <c r="G520" s="118"/>
      <c r="H520" s="120"/>
      <c r="I520" s="121"/>
      <c r="J520" s="110" t="s">
        <v>2498</v>
      </c>
      <c r="K520" s="110" t="s">
        <v>1403</v>
      </c>
      <c r="L520" s="110" t="s">
        <v>3781</v>
      </c>
      <c r="M520" s="111" t="s">
        <v>1422</v>
      </c>
      <c r="N520" s="111" t="s">
        <v>1400</v>
      </c>
      <c r="O520" s="111" t="s">
        <v>1423</v>
      </c>
      <c r="P520" s="112" t="s">
        <v>3344</v>
      </c>
      <c r="Q520" s="112" t="s">
        <v>3370</v>
      </c>
      <c r="R520" s="112" t="s">
        <v>3742</v>
      </c>
      <c r="S520" s="144">
        <v>1765.7</v>
      </c>
      <c r="T520" s="111">
        <v>128.51</v>
      </c>
      <c r="U520" s="144">
        <v>1637.19</v>
      </c>
    </row>
    <row r="521" spans="1:21" ht="15" thickBot="1" x14ac:dyDescent="0.35">
      <c r="A521" s="117">
        <v>520</v>
      </c>
      <c r="B521" s="118" t="s">
        <v>763</v>
      </c>
      <c r="C521" s="118" t="s">
        <v>158</v>
      </c>
      <c r="D521" s="118" t="s">
        <v>3145</v>
      </c>
      <c r="E521" s="118" t="s">
        <v>161</v>
      </c>
      <c r="F521" s="119"/>
      <c r="G521" s="118"/>
      <c r="H521" s="120"/>
      <c r="I521" s="121"/>
      <c r="J521" s="110" t="s">
        <v>2499</v>
      </c>
      <c r="K521" s="110" t="s">
        <v>1403</v>
      </c>
      <c r="L521" s="110" t="s">
        <v>3781</v>
      </c>
      <c r="M521" s="111" t="s">
        <v>1456</v>
      </c>
      <c r="N521" s="111" t="s">
        <v>1457</v>
      </c>
      <c r="O521" s="111" t="s">
        <v>1458</v>
      </c>
      <c r="P521" s="112" t="s">
        <v>3219</v>
      </c>
      <c r="Q521" s="112" t="s">
        <v>3374</v>
      </c>
      <c r="R521" s="112" t="s">
        <v>3572</v>
      </c>
      <c r="S521" s="144">
        <v>3119.81</v>
      </c>
      <c r="T521" s="111">
        <v>262.95999999999998</v>
      </c>
      <c r="U521" s="144">
        <v>2856.85</v>
      </c>
    </row>
    <row r="522" spans="1:21" ht="15" thickBot="1" x14ac:dyDescent="0.35">
      <c r="A522" s="117">
        <v>521</v>
      </c>
      <c r="B522" s="118" t="s">
        <v>764</v>
      </c>
      <c r="C522" s="118" t="s">
        <v>150</v>
      </c>
      <c r="D522" s="118" t="s">
        <v>3146</v>
      </c>
      <c r="E522" s="118" t="s">
        <v>193</v>
      </c>
      <c r="F522" s="119"/>
      <c r="G522" s="118"/>
      <c r="H522" s="120"/>
      <c r="I522" s="121"/>
      <c r="J522" s="110" t="s">
        <v>2500</v>
      </c>
      <c r="K522" s="110" t="s">
        <v>1403</v>
      </c>
      <c r="L522" s="110" t="s">
        <v>3781</v>
      </c>
      <c r="M522" s="111" t="s">
        <v>1399</v>
      </c>
      <c r="N522" s="111" t="s">
        <v>1400</v>
      </c>
      <c r="O522" s="111" t="s">
        <v>1401</v>
      </c>
      <c r="P522" s="112" t="s">
        <v>1570</v>
      </c>
      <c r="Q522" s="112" t="s">
        <v>1534</v>
      </c>
      <c r="R522" s="112" t="s">
        <v>1571</v>
      </c>
      <c r="S522" s="144">
        <v>1681.94</v>
      </c>
      <c r="T522" s="111">
        <v>127.05</v>
      </c>
      <c r="U522" s="144">
        <v>1554.89</v>
      </c>
    </row>
    <row r="523" spans="1:21" ht="15" thickBot="1" x14ac:dyDescent="0.35">
      <c r="A523" s="117">
        <v>522</v>
      </c>
      <c r="B523" s="118" t="s">
        <v>765</v>
      </c>
      <c r="C523" s="118" t="s">
        <v>150</v>
      </c>
      <c r="D523" s="118" t="s">
        <v>3147</v>
      </c>
      <c r="E523" s="118" t="s">
        <v>308</v>
      </c>
      <c r="F523" s="119"/>
      <c r="G523" s="118"/>
      <c r="H523" s="120"/>
      <c r="I523" s="121"/>
      <c r="J523" s="110" t="s">
        <v>2501</v>
      </c>
      <c r="K523" s="110" t="s">
        <v>1403</v>
      </c>
      <c r="L523" s="110" t="s">
        <v>3781</v>
      </c>
      <c r="M523" s="111" t="s">
        <v>1399</v>
      </c>
      <c r="N523" s="111" t="s">
        <v>1400</v>
      </c>
      <c r="O523" s="111" t="s">
        <v>1401</v>
      </c>
      <c r="P523" s="112" t="s">
        <v>1570</v>
      </c>
      <c r="Q523" s="112" t="s">
        <v>1534</v>
      </c>
      <c r="R523" s="112" t="s">
        <v>1571</v>
      </c>
      <c r="S523" s="144">
        <v>1681.94</v>
      </c>
      <c r="T523" s="111">
        <v>127.05</v>
      </c>
      <c r="U523" s="144">
        <v>1554.89</v>
      </c>
    </row>
    <row r="524" spans="1:21" ht="15" thickBot="1" x14ac:dyDescent="0.35">
      <c r="A524" s="117">
        <v>523</v>
      </c>
      <c r="B524" s="118" t="s">
        <v>766</v>
      </c>
      <c r="C524" s="118" t="s">
        <v>150</v>
      </c>
      <c r="D524" s="118" t="s">
        <v>3148</v>
      </c>
      <c r="E524" s="118" t="s">
        <v>161</v>
      </c>
      <c r="F524" s="119"/>
      <c r="G524" s="118"/>
      <c r="H524" s="120"/>
      <c r="I524" s="121"/>
      <c r="J524" s="110" t="s">
        <v>2502</v>
      </c>
      <c r="K524" s="110" t="s">
        <v>1403</v>
      </c>
      <c r="L524" s="110" t="s">
        <v>3781</v>
      </c>
      <c r="M524" s="111" t="s">
        <v>1441</v>
      </c>
      <c r="N524" s="111" t="s">
        <v>1400</v>
      </c>
      <c r="O524" s="111" t="s">
        <v>1442</v>
      </c>
      <c r="P524" s="112" t="s">
        <v>1776</v>
      </c>
      <c r="Q524" s="112" t="s">
        <v>1534</v>
      </c>
      <c r="R524" s="112" t="s">
        <v>1777</v>
      </c>
      <c r="S524" s="144">
        <v>1817.02</v>
      </c>
      <c r="T524" s="111">
        <v>127.05</v>
      </c>
      <c r="U524" s="144">
        <v>1689.97</v>
      </c>
    </row>
    <row r="525" spans="1:21" ht="15" thickBot="1" x14ac:dyDescent="0.35">
      <c r="A525" s="117">
        <v>524</v>
      </c>
      <c r="B525" s="118" t="s">
        <v>767</v>
      </c>
      <c r="C525" s="118" t="s">
        <v>158</v>
      </c>
      <c r="D525" s="118" t="s">
        <v>3149</v>
      </c>
      <c r="E525" s="118" t="s">
        <v>490</v>
      </c>
      <c r="F525" s="119"/>
      <c r="G525" s="118"/>
      <c r="H525" s="120"/>
      <c r="I525" s="121"/>
      <c r="J525" s="110" t="s">
        <v>2503</v>
      </c>
      <c r="K525" s="110" t="s">
        <v>1403</v>
      </c>
      <c r="L525" s="110" t="s">
        <v>3781</v>
      </c>
      <c r="M525" s="111" t="s">
        <v>1425</v>
      </c>
      <c r="N525" s="111" t="s">
        <v>1426</v>
      </c>
      <c r="O525" s="111" t="s">
        <v>1427</v>
      </c>
      <c r="P525" s="112" t="s">
        <v>3215</v>
      </c>
      <c r="Q525" s="112" t="s">
        <v>2424</v>
      </c>
      <c r="R525" s="112" t="s">
        <v>3570</v>
      </c>
      <c r="S525" s="144">
        <v>3433.34</v>
      </c>
      <c r="T525" s="111">
        <v>398.05</v>
      </c>
      <c r="U525" s="144">
        <v>3035.29</v>
      </c>
    </row>
    <row r="526" spans="1:21" ht="15" thickBot="1" x14ac:dyDescent="0.35">
      <c r="A526" s="117">
        <v>525</v>
      </c>
      <c r="B526" s="118" t="s">
        <v>768</v>
      </c>
      <c r="C526" s="118" t="s">
        <v>150</v>
      </c>
      <c r="D526" s="118" t="s">
        <v>3150</v>
      </c>
      <c r="E526" s="118" t="s">
        <v>159</v>
      </c>
      <c r="F526" s="119"/>
      <c r="G526" s="118"/>
      <c r="H526" s="120"/>
      <c r="I526" s="121"/>
      <c r="J526" s="110" t="s">
        <v>2504</v>
      </c>
      <c r="K526" s="110" t="s">
        <v>1403</v>
      </c>
      <c r="L526" s="110" t="s">
        <v>3781</v>
      </c>
      <c r="M526" s="111" t="s">
        <v>2505</v>
      </c>
      <c r="N526" s="111" t="s">
        <v>2506</v>
      </c>
      <c r="O526" s="111" t="s">
        <v>2507</v>
      </c>
      <c r="P526" s="112" t="s">
        <v>3217</v>
      </c>
      <c r="Q526" s="112" t="s">
        <v>3370</v>
      </c>
      <c r="R526" s="112" t="s">
        <v>3567</v>
      </c>
      <c r="S526" s="144">
        <v>1715.04</v>
      </c>
      <c r="T526" s="111">
        <v>130.03</v>
      </c>
      <c r="U526" s="144">
        <v>1585.01</v>
      </c>
    </row>
    <row r="527" spans="1:21" ht="15" thickBot="1" x14ac:dyDescent="0.35">
      <c r="A527" s="117">
        <v>526</v>
      </c>
      <c r="B527" s="118" t="s">
        <v>769</v>
      </c>
      <c r="C527" s="118" t="s">
        <v>150</v>
      </c>
      <c r="D527" s="118" t="s">
        <v>3151</v>
      </c>
      <c r="E527" s="118" t="s">
        <v>223</v>
      </c>
      <c r="F527" s="119"/>
      <c r="G527" s="118"/>
      <c r="H527" s="120"/>
      <c r="I527" s="121"/>
      <c r="J527" s="110" t="s">
        <v>2508</v>
      </c>
      <c r="K527" s="110" t="s">
        <v>1398</v>
      </c>
      <c r="L527" s="110" t="s">
        <v>3781</v>
      </c>
      <c r="M527" s="111" t="s">
        <v>2509</v>
      </c>
      <c r="N527" s="111" t="s">
        <v>2510</v>
      </c>
      <c r="O527" s="111" t="s">
        <v>2511</v>
      </c>
      <c r="P527" s="112" t="s">
        <v>3345</v>
      </c>
      <c r="Q527" s="112" t="s">
        <v>3537</v>
      </c>
      <c r="R527" s="112" t="s">
        <v>3743</v>
      </c>
      <c r="S527" s="144">
        <v>1988.47</v>
      </c>
      <c r="T527" s="111">
        <v>607.12</v>
      </c>
      <c r="U527" s="144">
        <v>1381.35</v>
      </c>
    </row>
    <row r="528" spans="1:21" ht="15" thickBot="1" x14ac:dyDescent="0.35">
      <c r="A528" s="117">
        <v>527</v>
      </c>
      <c r="B528" s="118" t="s">
        <v>770</v>
      </c>
      <c r="C528" s="118" t="s">
        <v>216</v>
      </c>
      <c r="D528" s="118" t="s">
        <v>3152</v>
      </c>
      <c r="E528" s="118" t="s">
        <v>385</v>
      </c>
      <c r="F528" s="119"/>
      <c r="G528" s="118"/>
      <c r="H528" s="120"/>
      <c r="I528" s="121"/>
      <c r="J528" s="110" t="s">
        <v>2512</v>
      </c>
      <c r="K528" s="110" t="s">
        <v>1403</v>
      </c>
      <c r="L528" s="110" t="s">
        <v>3781</v>
      </c>
      <c r="M528" s="111" t="s">
        <v>1836</v>
      </c>
      <c r="N528" s="111" t="s">
        <v>1837</v>
      </c>
      <c r="O528" s="111" t="s">
        <v>1838</v>
      </c>
      <c r="P528" s="112" t="s">
        <v>1836</v>
      </c>
      <c r="Q528" s="112" t="s">
        <v>1837</v>
      </c>
      <c r="R528" s="112" t="s">
        <v>1838</v>
      </c>
      <c r="S528" s="144">
        <v>3720.02</v>
      </c>
      <c r="T528" s="111">
        <v>334.99</v>
      </c>
      <c r="U528" s="144">
        <v>3385.03</v>
      </c>
    </row>
    <row r="529" spans="1:21" ht="15" thickBot="1" x14ac:dyDescent="0.35">
      <c r="A529" s="117">
        <v>528</v>
      </c>
      <c r="B529" s="118" t="s">
        <v>771</v>
      </c>
      <c r="C529" s="118" t="s">
        <v>150</v>
      </c>
      <c r="D529" s="118" t="s">
        <v>3153</v>
      </c>
      <c r="E529" s="118" t="s">
        <v>234</v>
      </c>
      <c r="F529" s="119"/>
      <c r="G529" s="118"/>
      <c r="H529" s="120"/>
      <c r="I529" s="121"/>
      <c r="J529" s="110" t="s">
        <v>2513</v>
      </c>
      <c r="K529" s="110" t="s">
        <v>1403</v>
      </c>
      <c r="L529" s="110" t="s">
        <v>3781</v>
      </c>
      <c r="M529" s="111" t="s">
        <v>1399</v>
      </c>
      <c r="N529" s="111" t="s">
        <v>1400</v>
      </c>
      <c r="O529" s="111" t="s">
        <v>1401</v>
      </c>
      <c r="P529" s="112" t="s">
        <v>1570</v>
      </c>
      <c r="Q529" s="112" t="s">
        <v>1534</v>
      </c>
      <c r="R529" s="112" t="s">
        <v>1571</v>
      </c>
      <c r="S529" s="144">
        <v>1681.94</v>
      </c>
      <c r="T529" s="111">
        <v>127.05</v>
      </c>
      <c r="U529" s="144">
        <v>1554.89</v>
      </c>
    </row>
    <row r="530" spans="1:21" ht="15" thickBot="1" x14ac:dyDescent="0.35">
      <c r="A530" s="117">
        <v>529</v>
      </c>
      <c r="B530" s="118" t="s">
        <v>772</v>
      </c>
      <c r="C530" s="118" t="s">
        <v>214</v>
      </c>
      <c r="D530" s="118" t="s">
        <v>3154</v>
      </c>
      <c r="E530" s="118" t="s">
        <v>163</v>
      </c>
      <c r="F530" s="119"/>
      <c r="G530" s="118"/>
      <c r="H530" s="120"/>
      <c r="I530" s="121"/>
      <c r="J530" s="110" t="s">
        <v>2514</v>
      </c>
      <c r="K530" s="110" t="s">
        <v>1403</v>
      </c>
      <c r="L530" s="110" t="s">
        <v>3781</v>
      </c>
      <c r="M530" s="111" t="s">
        <v>1890</v>
      </c>
      <c r="N530" s="111" t="s">
        <v>2515</v>
      </c>
      <c r="O530" s="111" t="s">
        <v>2516</v>
      </c>
      <c r="P530" s="112" t="s">
        <v>3226</v>
      </c>
      <c r="Q530" s="112" t="s">
        <v>3382</v>
      </c>
      <c r="R530" s="112" t="s">
        <v>3580</v>
      </c>
      <c r="S530" s="144">
        <v>5349.78</v>
      </c>
      <c r="T530" s="111">
        <v>679.63</v>
      </c>
      <c r="U530" s="144">
        <v>4670.1499999999996</v>
      </c>
    </row>
    <row r="531" spans="1:21" ht="15" thickBot="1" x14ac:dyDescent="0.35">
      <c r="A531" s="117">
        <v>530</v>
      </c>
      <c r="B531" s="118" t="s">
        <v>773</v>
      </c>
      <c r="C531" s="118" t="s">
        <v>150</v>
      </c>
      <c r="D531" s="118" t="s">
        <v>3155</v>
      </c>
      <c r="E531" s="118" t="s">
        <v>161</v>
      </c>
      <c r="F531" s="119"/>
      <c r="G531" s="118"/>
      <c r="H531" s="120"/>
      <c r="I531" s="121"/>
      <c r="J531" s="110" t="s">
        <v>2517</v>
      </c>
      <c r="K531" s="110" t="s">
        <v>1403</v>
      </c>
      <c r="L531" s="110" t="s">
        <v>3781</v>
      </c>
      <c r="M531" s="111" t="s">
        <v>1437</v>
      </c>
      <c r="N531" s="111" t="s">
        <v>1438</v>
      </c>
      <c r="O531" s="111" t="s">
        <v>1439</v>
      </c>
      <c r="P531" s="112" t="s">
        <v>3346</v>
      </c>
      <c r="Q531" s="112" t="s">
        <v>3538</v>
      </c>
      <c r="R531" s="112" t="s">
        <v>3744</v>
      </c>
      <c r="S531" s="144">
        <v>1958.46</v>
      </c>
      <c r="T531" s="111">
        <v>195.23</v>
      </c>
      <c r="U531" s="144">
        <v>1763.23</v>
      </c>
    </row>
    <row r="532" spans="1:21" ht="15" thickBot="1" x14ac:dyDescent="0.35">
      <c r="A532" s="117">
        <v>531</v>
      </c>
      <c r="B532" s="118" t="s">
        <v>774</v>
      </c>
      <c r="C532" s="118" t="s">
        <v>158</v>
      </c>
      <c r="D532" s="118" t="s">
        <v>3156</v>
      </c>
      <c r="E532" s="118" t="s">
        <v>775</v>
      </c>
      <c r="F532" s="119"/>
      <c r="G532" s="118"/>
      <c r="H532" s="120"/>
      <c r="I532" s="121"/>
      <c r="J532" s="110" t="s">
        <v>2518</v>
      </c>
      <c r="K532" s="110" t="s">
        <v>1403</v>
      </c>
      <c r="L532" s="110" t="s">
        <v>3781</v>
      </c>
      <c r="M532" s="111" t="s">
        <v>1425</v>
      </c>
      <c r="N532" s="111" t="s">
        <v>1426</v>
      </c>
      <c r="O532" s="111" t="s">
        <v>1427</v>
      </c>
      <c r="P532" s="112" t="s">
        <v>3215</v>
      </c>
      <c r="Q532" s="112" t="s">
        <v>2424</v>
      </c>
      <c r="R532" s="112" t="s">
        <v>3570</v>
      </c>
      <c r="S532" s="144">
        <v>3902.46</v>
      </c>
      <c r="T532" s="111">
        <v>356.88</v>
      </c>
      <c r="U532" s="144">
        <v>3545.58</v>
      </c>
    </row>
    <row r="533" spans="1:21" ht="15" thickBot="1" x14ac:dyDescent="0.35">
      <c r="A533" s="117">
        <v>532</v>
      </c>
      <c r="B533" s="118" t="s">
        <v>776</v>
      </c>
      <c r="C533" s="118" t="s">
        <v>150</v>
      </c>
      <c r="D533" s="118" t="s">
        <v>3157</v>
      </c>
      <c r="E533" s="118" t="s">
        <v>163</v>
      </c>
      <c r="F533" s="119"/>
      <c r="G533" s="118"/>
      <c r="H533" s="120"/>
      <c r="I533" s="121"/>
      <c r="J533" s="110" t="s">
        <v>2519</v>
      </c>
      <c r="K533" s="110" t="s">
        <v>1403</v>
      </c>
      <c r="L533" s="110" t="s">
        <v>3781</v>
      </c>
      <c r="M533" s="111" t="s">
        <v>2520</v>
      </c>
      <c r="N533" s="111" t="s">
        <v>2521</v>
      </c>
      <c r="O533" s="111" t="s">
        <v>2522</v>
      </c>
      <c r="P533" s="112" t="s">
        <v>3347</v>
      </c>
      <c r="Q533" s="112" t="s">
        <v>3539</v>
      </c>
      <c r="R533" s="112" t="s">
        <v>3745</v>
      </c>
      <c r="S533" s="144">
        <v>2267.42</v>
      </c>
      <c r="T533" s="111">
        <v>263.52</v>
      </c>
      <c r="U533" s="144">
        <v>2003.9</v>
      </c>
    </row>
    <row r="534" spans="1:21" ht="15" thickBot="1" x14ac:dyDescent="0.35">
      <c r="A534" s="117">
        <v>533</v>
      </c>
      <c r="B534" s="118" t="s">
        <v>777</v>
      </c>
      <c r="C534" s="118" t="s">
        <v>218</v>
      </c>
      <c r="D534" s="118" t="s">
        <v>3158</v>
      </c>
      <c r="E534" s="118" t="s">
        <v>161</v>
      </c>
      <c r="F534" s="119"/>
      <c r="G534" s="118"/>
      <c r="H534" s="120"/>
      <c r="I534" s="121"/>
      <c r="J534" s="110" t="s">
        <v>2523</v>
      </c>
      <c r="K534" s="110" t="s">
        <v>1403</v>
      </c>
      <c r="L534" s="110" t="s">
        <v>3781</v>
      </c>
      <c r="M534" s="111" t="s">
        <v>2524</v>
      </c>
      <c r="N534" s="111" t="s">
        <v>2525</v>
      </c>
      <c r="O534" s="111" t="s">
        <v>2526</v>
      </c>
      <c r="P534" s="112" t="s">
        <v>3348</v>
      </c>
      <c r="Q534" s="112" t="s">
        <v>3540</v>
      </c>
      <c r="R534" s="112" t="s">
        <v>3746</v>
      </c>
      <c r="S534" s="144">
        <v>3537.03</v>
      </c>
      <c r="T534" s="111">
        <v>313.02999999999997</v>
      </c>
      <c r="U534" s="144">
        <v>3224</v>
      </c>
    </row>
    <row r="535" spans="1:21" ht="15" thickBot="1" x14ac:dyDescent="0.35">
      <c r="A535" s="117">
        <v>534</v>
      </c>
      <c r="B535" s="118" t="s">
        <v>778</v>
      </c>
      <c r="C535" s="118" t="s">
        <v>253</v>
      </c>
      <c r="D535" s="118" t="s">
        <v>3159</v>
      </c>
      <c r="E535" s="118" t="s">
        <v>372</v>
      </c>
      <c r="F535" s="119"/>
      <c r="G535" s="118"/>
      <c r="H535" s="120"/>
      <c r="I535" s="121"/>
      <c r="J535" s="110" t="s">
        <v>2527</v>
      </c>
      <c r="K535" s="110" t="s">
        <v>1403</v>
      </c>
      <c r="L535" s="110" t="s">
        <v>3781</v>
      </c>
      <c r="M535" s="111" t="s">
        <v>1570</v>
      </c>
      <c r="N535" s="111" t="s">
        <v>1534</v>
      </c>
      <c r="O535" s="111" t="s">
        <v>1571</v>
      </c>
      <c r="P535" s="112" t="s">
        <v>1570</v>
      </c>
      <c r="Q535" s="112" t="s">
        <v>1534</v>
      </c>
      <c r="R535" s="112" t="s">
        <v>1571</v>
      </c>
      <c r="S535" s="144">
        <v>1621.49</v>
      </c>
      <c r="T535" s="111">
        <v>121.61</v>
      </c>
      <c r="U535" s="144">
        <v>1499.88</v>
      </c>
    </row>
    <row r="536" spans="1:21" ht="15" thickBot="1" x14ac:dyDescent="0.35">
      <c r="A536" s="117">
        <v>535</v>
      </c>
      <c r="B536" s="118" t="s">
        <v>779</v>
      </c>
      <c r="C536" s="118" t="s">
        <v>150</v>
      </c>
      <c r="D536" s="118" t="s">
        <v>3160</v>
      </c>
      <c r="E536" s="118" t="s">
        <v>494</v>
      </c>
      <c r="F536" s="119"/>
      <c r="G536" s="118"/>
      <c r="H536" s="120"/>
      <c r="I536" s="121"/>
      <c r="J536" s="110" t="s">
        <v>2528</v>
      </c>
      <c r="K536" s="110" t="s">
        <v>1403</v>
      </c>
      <c r="L536" s="110" t="s">
        <v>3781</v>
      </c>
      <c r="M536" s="111" t="s">
        <v>1399</v>
      </c>
      <c r="N536" s="111" t="s">
        <v>1400</v>
      </c>
      <c r="O536" s="111" t="s">
        <v>1401</v>
      </c>
      <c r="P536" s="112" t="s">
        <v>1570</v>
      </c>
      <c r="Q536" s="112" t="s">
        <v>1534</v>
      </c>
      <c r="R536" s="112" t="s">
        <v>1571</v>
      </c>
      <c r="S536" s="144">
        <v>1699.15</v>
      </c>
      <c r="T536" s="111">
        <v>128.6</v>
      </c>
      <c r="U536" s="144">
        <v>1570.55</v>
      </c>
    </row>
    <row r="537" spans="1:21" ht="15" thickBot="1" x14ac:dyDescent="0.35">
      <c r="A537" s="117">
        <v>536</v>
      </c>
      <c r="B537" s="118" t="s">
        <v>780</v>
      </c>
      <c r="C537" s="118" t="s">
        <v>150</v>
      </c>
      <c r="D537" s="118" t="s">
        <v>3161</v>
      </c>
      <c r="E537" s="118" t="s">
        <v>159</v>
      </c>
      <c r="F537" s="119"/>
      <c r="G537" s="118"/>
      <c r="H537" s="120"/>
      <c r="I537" s="121"/>
      <c r="J537" s="110" t="s">
        <v>2529</v>
      </c>
      <c r="K537" s="110" t="s">
        <v>1398</v>
      </c>
      <c r="L537" s="110" t="s">
        <v>3781</v>
      </c>
      <c r="M537" s="111" t="s">
        <v>1399</v>
      </c>
      <c r="N537" s="111" t="s">
        <v>1400</v>
      </c>
      <c r="O537" s="111" t="s">
        <v>1401</v>
      </c>
      <c r="P537" s="112" t="s">
        <v>1570</v>
      </c>
      <c r="Q537" s="112" t="s">
        <v>1534</v>
      </c>
      <c r="R537" s="112" t="s">
        <v>1571</v>
      </c>
      <c r="S537" s="144">
        <v>1698.16</v>
      </c>
      <c r="T537" s="111">
        <v>128.51</v>
      </c>
      <c r="U537" s="144">
        <v>1569.65</v>
      </c>
    </row>
    <row r="538" spans="1:21" ht="15" thickBot="1" x14ac:dyDescent="0.35">
      <c r="A538" s="117">
        <v>537</v>
      </c>
      <c r="B538" s="118" t="s">
        <v>781</v>
      </c>
      <c r="C538" s="118" t="s">
        <v>150</v>
      </c>
      <c r="D538" s="118" t="s">
        <v>3162</v>
      </c>
      <c r="E538" s="118" t="s">
        <v>159</v>
      </c>
      <c r="F538" s="119"/>
      <c r="G538" s="118"/>
      <c r="H538" s="120"/>
      <c r="I538" s="121"/>
      <c r="J538" s="110" t="s">
        <v>2530</v>
      </c>
      <c r="K538" s="110" t="s">
        <v>1403</v>
      </c>
      <c r="L538" s="110" t="s">
        <v>3781</v>
      </c>
      <c r="M538" s="111" t="s">
        <v>2531</v>
      </c>
      <c r="N538" s="111" t="s">
        <v>2532</v>
      </c>
      <c r="O538" s="111" t="s">
        <v>2533</v>
      </c>
      <c r="P538" s="112" t="s">
        <v>3349</v>
      </c>
      <c r="Q538" s="112" t="s">
        <v>3541</v>
      </c>
      <c r="R538" s="112" t="s">
        <v>3747</v>
      </c>
      <c r="S538" s="144">
        <v>1892.81</v>
      </c>
      <c r="T538" s="111">
        <v>522.26</v>
      </c>
      <c r="U538" s="144">
        <v>1370.55</v>
      </c>
    </row>
    <row r="539" spans="1:21" ht="15" thickBot="1" x14ac:dyDescent="0.35">
      <c r="A539" s="117">
        <v>538</v>
      </c>
      <c r="B539" s="118" t="s">
        <v>782</v>
      </c>
      <c r="C539" s="118" t="s">
        <v>158</v>
      </c>
      <c r="D539" s="118" t="s">
        <v>3163</v>
      </c>
      <c r="E539" s="118" t="s">
        <v>161</v>
      </c>
      <c r="F539" s="119"/>
      <c r="G539" s="118"/>
      <c r="H539" s="120"/>
      <c r="I539" s="121"/>
      <c r="J539" s="110" t="s">
        <v>2534</v>
      </c>
      <c r="K539" s="110" t="s">
        <v>1403</v>
      </c>
      <c r="L539" s="110" t="s">
        <v>3781</v>
      </c>
      <c r="M539" s="111" t="s">
        <v>2535</v>
      </c>
      <c r="N539" s="111" t="s">
        <v>2536</v>
      </c>
      <c r="O539" s="111" t="s">
        <v>2537</v>
      </c>
      <c r="P539" s="112" t="s">
        <v>3350</v>
      </c>
      <c r="Q539" s="112" t="s">
        <v>3542</v>
      </c>
      <c r="R539" s="112" t="s">
        <v>3748</v>
      </c>
      <c r="S539" s="144">
        <v>3445.25</v>
      </c>
      <c r="T539" s="144">
        <v>1368.93</v>
      </c>
      <c r="U539" s="144">
        <v>2076.3200000000002</v>
      </c>
    </row>
    <row r="540" spans="1:21" ht="15" thickBot="1" x14ac:dyDescent="0.35">
      <c r="A540" s="117">
        <v>539</v>
      </c>
      <c r="B540" s="118" t="s">
        <v>783</v>
      </c>
      <c r="C540" s="118" t="s">
        <v>153</v>
      </c>
      <c r="D540" s="118" t="s">
        <v>3164</v>
      </c>
      <c r="E540" s="118" t="s">
        <v>161</v>
      </c>
      <c r="F540" s="119"/>
      <c r="G540" s="118"/>
      <c r="H540" s="120"/>
      <c r="I540" s="121"/>
      <c r="J540" s="110" t="s">
        <v>2538</v>
      </c>
      <c r="K540" s="110" t="s">
        <v>1403</v>
      </c>
      <c r="L540" s="110" t="s">
        <v>3781</v>
      </c>
      <c r="M540" s="111" t="s">
        <v>1461</v>
      </c>
      <c r="N540" s="111" t="s">
        <v>1462</v>
      </c>
      <c r="O540" s="111" t="s">
        <v>1463</v>
      </c>
      <c r="P540" s="112" t="s">
        <v>2148</v>
      </c>
      <c r="Q540" s="112" t="s">
        <v>2149</v>
      </c>
      <c r="R540" s="112" t="s">
        <v>2150</v>
      </c>
      <c r="S540" s="144">
        <v>4770.6899999999996</v>
      </c>
      <c r="T540" s="111">
        <v>469.39</v>
      </c>
      <c r="U540" s="144">
        <v>4301.3</v>
      </c>
    </row>
    <row r="541" spans="1:21" ht="15" thickBot="1" x14ac:dyDescent="0.35">
      <c r="A541" s="117">
        <v>540</v>
      </c>
      <c r="B541" s="118" t="s">
        <v>784</v>
      </c>
      <c r="C541" s="118" t="s">
        <v>218</v>
      </c>
      <c r="D541" s="118" t="s">
        <v>3165</v>
      </c>
      <c r="E541" s="118" t="s">
        <v>159</v>
      </c>
      <c r="F541" s="119"/>
      <c r="G541" s="118"/>
      <c r="H541" s="120"/>
      <c r="I541" s="121"/>
      <c r="J541" s="110" t="s">
        <v>2539</v>
      </c>
      <c r="K541" s="110" t="s">
        <v>1403</v>
      </c>
      <c r="L541" s="110" t="s">
        <v>3781</v>
      </c>
      <c r="M541" s="111" t="s">
        <v>2431</v>
      </c>
      <c r="N541" s="111" t="s">
        <v>2432</v>
      </c>
      <c r="O541" s="111" t="s">
        <v>2433</v>
      </c>
      <c r="P541" s="112" t="s">
        <v>3351</v>
      </c>
      <c r="Q541" s="112" t="s">
        <v>3543</v>
      </c>
      <c r="R541" s="112" t="s">
        <v>3749</v>
      </c>
      <c r="S541" s="144">
        <v>3149.62</v>
      </c>
      <c r="T541" s="111">
        <v>266.54000000000002</v>
      </c>
      <c r="U541" s="144">
        <v>2883.08</v>
      </c>
    </row>
    <row r="542" spans="1:21" ht="15" thickBot="1" x14ac:dyDescent="0.35">
      <c r="A542" s="117">
        <v>541</v>
      </c>
      <c r="B542" s="118" t="s">
        <v>785</v>
      </c>
      <c r="C542" s="118" t="s">
        <v>158</v>
      </c>
      <c r="D542" s="118" t="s">
        <v>3166</v>
      </c>
      <c r="E542" s="118" t="s">
        <v>520</v>
      </c>
      <c r="F542" s="119"/>
      <c r="G542" s="118"/>
      <c r="H542" s="120"/>
      <c r="I542" s="121"/>
      <c r="J542" s="110" t="s">
        <v>2540</v>
      </c>
      <c r="K542" s="110" t="s">
        <v>1403</v>
      </c>
      <c r="L542" s="110" t="s">
        <v>3781</v>
      </c>
      <c r="M542" s="111" t="s">
        <v>1425</v>
      </c>
      <c r="N542" s="111" t="s">
        <v>1426</v>
      </c>
      <c r="O542" s="111" t="s">
        <v>1427</v>
      </c>
      <c r="P542" s="112" t="s">
        <v>3215</v>
      </c>
      <c r="Q542" s="112" t="s">
        <v>3544</v>
      </c>
      <c r="R542" s="112" t="s">
        <v>3750</v>
      </c>
      <c r="S542" s="144">
        <v>3562.01</v>
      </c>
      <c r="T542" s="111">
        <v>736.15</v>
      </c>
      <c r="U542" s="144">
        <v>2825.86</v>
      </c>
    </row>
    <row r="543" spans="1:21" ht="15" thickBot="1" x14ac:dyDescent="0.35">
      <c r="A543" s="117">
        <v>542</v>
      </c>
      <c r="B543" s="118" t="s">
        <v>786</v>
      </c>
      <c r="C543" s="118" t="s">
        <v>150</v>
      </c>
      <c r="D543" s="118" t="s">
        <v>3167</v>
      </c>
      <c r="E543" s="118" t="s">
        <v>234</v>
      </c>
      <c r="F543" s="119"/>
      <c r="G543" s="118"/>
      <c r="H543" s="120"/>
      <c r="I543" s="121"/>
      <c r="J543" s="110" t="s">
        <v>2541</v>
      </c>
      <c r="K543" s="110" t="s">
        <v>1403</v>
      </c>
      <c r="L543" s="110" t="s">
        <v>3781</v>
      </c>
      <c r="M543" s="111" t="s">
        <v>1399</v>
      </c>
      <c r="N543" s="111" t="s">
        <v>1400</v>
      </c>
      <c r="O543" s="111" t="s">
        <v>1401</v>
      </c>
      <c r="P543" s="112" t="s">
        <v>1570</v>
      </c>
      <c r="Q543" s="112" t="s">
        <v>1534</v>
      </c>
      <c r="R543" s="112" t="s">
        <v>1571</v>
      </c>
      <c r="S543" s="144">
        <v>1681.94</v>
      </c>
      <c r="T543" s="111">
        <v>127.05</v>
      </c>
      <c r="U543" s="144">
        <v>1554.89</v>
      </c>
    </row>
    <row r="544" spans="1:21" ht="15" thickBot="1" x14ac:dyDescent="0.35">
      <c r="A544" s="117">
        <v>543</v>
      </c>
      <c r="B544" s="118" t="s">
        <v>787</v>
      </c>
      <c r="C544" s="118" t="s">
        <v>150</v>
      </c>
      <c r="D544" s="118" t="s">
        <v>3168</v>
      </c>
      <c r="E544" s="118" t="s">
        <v>163</v>
      </c>
      <c r="F544" s="119"/>
      <c r="G544" s="118"/>
      <c r="H544" s="120"/>
      <c r="I544" s="121"/>
      <c r="J544" s="110" t="s">
        <v>2542</v>
      </c>
      <c r="K544" s="110" t="s">
        <v>1403</v>
      </c>
      <c r="L544" s="110" t="s">
        <v>3781</v>
      </c>
      <c r="M544" s="111" t="s">
        <v>1399</v>
      </c>
      <c r="N544" s="111" t="s">
        <v>1400</v>
      </c>
      <c r="O544" s="111" t="s">
        <v>1401</v>
      </c>
      <c r="P544" s="112" t="s">
        <v>1570</v>
      </c>
      <c r="Q544" s="112" t="s">
        <v>1534</v>
      </c>
      <c r="R544" s="112" t="s">
        <v>1571</v>
      </c>
      <c r="S544" s="144">
        <v>1681.94</v>
      </c>
      <c r="T544" s="111">
        <v>127.05</v>
      </c>
      <c r="U544" s="144">
        <v>1554.89</v>
      </c>
    </row>
    <row r="545" spans="1:21" ht="15" thickBot="1" x14ac:dyDescent="0.35">
      <c r="A545" s="117">
        <v>544</v>
      </c>
      <c r="B545" s="118" t="s">
        <v>788</v>
      </c>
      <c r="C545" s="118" t="s">
        <v>150</v>
      </c>
      <c r="D545" s="118" t="s">
        <v>3169</v>
      </c>
      <c r="E545" s="118" t="s">
        <v>161</v>
      </c>
      <c r="F545" s="119"/>
      <c r="G545" s="118"/>
      <c r="H545" s="120"/>
      <c r="I545" s="121"/>
      <c r="J545" s="110" t="s">
        <v>2543</v>
      </c>
      <c r="K545" s="110" t="s">
        <v>2544</v>
      </c>
      <c r="L545" s="110" t="s">
        <v>3781</v>
      </c>
      <c r="M545" s="111" t="s">
        <v>1441</v>
      </c>
      <c r="N545" s="111" t="s">
        <v>1400</v>
      </c>
      <c r="O545" s="111" t="s">
        <v>1442</v>
      </c>
      <c r="P545" s="112" t="s">
        <v>1776</v>
      </c>
      <c r="Q545" s="112" t="s">
        <v>1534</v>
      </c>
      <c r="R545" s="112" t="s">
        <v>1777</v>
      </c>
      <c r="S545" s="144">
        <v>1817.02</v>
      </c>
      <c r="T545" s="111">
        <v>127.05</v>
      </c>
      <c r="U545" s="144">
        <v>1689.97</v>
      </c>
    </row>
    <row r="546" spans="1:21" ht="15" thickBot="1" x14ac:dyDescent="0.35">
      <c r="A546" s="117">
        <v>545</v>
      </c>
      <c r="B546" s="118" t="s">
        <v>789</v>
      </c>
      <c r="C546" s="118" t="s">
        <v>158</v>
      </c>
      <c r="D546" s="118" t="s">
        <v>3170</v>
      </c>
      <c r="E546" s="118" t="s">
        <v>775</v>
      </c>
      <c r="F546" s="119"/>
      <c r="G546" s="118"/>
      <c r="H546" s="120"/>
      <c r="I546" s="121"/>
      <c r="J546" s="110" t="s">
        <v>2545</v>
      </c>
      <c r="K546" s="110" t="s">
        <v>1403</v>
      </c>
      <c r="L546" s="110" t="s">
        <v>3781</v>
      </c>
      <c r="M546" s="111" t="s">
        <v>1425</v>
      </c>
      <c r="N546" s="111" t="s">
        <v>1426</v>
      </c>
      <c r="O546" s="111" t="s">
        <v>1427</v>
      </c>
      <c r="P546" s="112" t="s">
        <v>3215</v>
      </c>
      <c r="Q546" s="112" t="s">
        <v>2424</v>
      </c>
      <c r="R546" s="112" t="s">
        <v>3570</v>
      </c>
      <c r="S546" s="144">
        <v>3500.08</v>
      </c>
      <c r="T546" s="144">
        <v>1406.13</v>
      </c>
      <c r="U546" s="144">
        <v>2093.9499999999998</v>
      </c>
    </row>
    <row r="547" spans="1:21" ht="15" thickBot="1" x14ac:dyDescent="0.35">
      <c r="A547" s="117">
        <v>546</v>
      </c>
      <c r="B547" s="118" t="s">
        <v>790</v>
      </c>
      <c r="C547" s="118" t="s">
        <v>253</v>
      </c>
      <c r="D547" s="118" t="s">
        <v>3171</v>
      </c>
      <c r="E547" s="118" t="s">
        <v>151</v>
      </c>
      <c r="F547" s="119"/>
      <c r="G547" s="118"/>
      <c r="H547" s="120"/>
      <c r="I547" s="121"/>
      <c r="J547" s="110" t="s">
        <v>2546</v>
      </c>
      <c r="K547" s="110" t="s">
        <v>1403</v>
      </c>
      <c r="L547" s="110" t="s">
        <v>3781</v>
      </c>
      <c r="M547" s="111" t="s">
        <v>1570</v>
      </c>
      <c r="N547" s="111" t="s">
        <v>1534</v>
      </c>
      <c r="O547" s="111" t="s">
        <v>1571</v>
      </c>
      <c r="P547" s="112" t="s">
        <v>1570</v>
      </c>
      <c r="Q547" s="112" t="s">
        <v>1534</v>
      </c>
      <c r="R547" s="112" t="s">
        <v>1571</v>
      </c>
      <c r="S547" s="144">
        <v>1638.34</v>
      </c>
      <c r="T547" s="111">
        <v>614.04</v>
      </c>
      <c r="U547" s="144">
        <v>1024.3</v>
      </c>
    </row>
    <row r="548" spans="1:21" ht="15" thickBot="1" x14ac:dyDescent="0.35">
      <c r="A548" s="117">
        <v>547</v>
      </c>
      <c r="B548" s="118" t="s">
        <v>791</v>
      </c>
      <c r="C548" s="118" t="s">
        <v>792</v>
      </c>
      <c r="D548" s="118" t="s">
        <v>3172</v>
      </c>
      <c r="E548" s="118" t="s">
        <v>159</v>
      </c>
      <c r="F548" s="119"/>
      <c r="G548" s="118"/>
      <c r="H548" s="120"/>
      <c r="I548" s="121"/>
      <c r="J548" s="110" t="s">
        <v>2547</v>
      </c>
      <c r="K548" s="110" t="s">
        <v>1403</v>
      </c>
      <c r="L548" s="110" t="s">
        <v>3781</v>
      </c>
      <c r="M548" s="111" t="s">
        <v>2148</v>
      </c>
      <c r="N548" s="111" t="s">
        <v>2149</v>
      </c>
      <c r="O548" s="111" t="s">
        <v>2150</v>
      </c>
      <c r="P548" s="112" t="s">
        <v>3352</v>
      </c>
      <c r="Q548" s="112" t="s">
        <v>3545</v>
      </c>
      <c r="R548" s="112" t="s">
        <v>3751</v>
      </c>
      <c r="S548" s="144">
        <v>4801.1400000000003</v>
      </c>
      <c r="T548" s="111">
        <v>473.66</v>
      </c>
      <c r="U548" s="144">
        <v>4327.4799999999996</v>
      </c>
    </row>
    <row r="549" spans="1:21" ht="15" thickBot="1" x14ac:dyDescent="0.35">
      <c r="A549" s="117">
        <v>548</v>
      </c>
      <c r="B549" s="118" t="s">
        <v>793</v>
      </c>
      <c r="C549" s="118" t="s">
        <v>150</v>
      </c>
      <c r="D549" s="118" t="s">
        <v>3173</v>
      </c>
      <c r="E549" s="118" t="s">
        <v>296</v>
      </c>
      <c r="F549" s="119"/>
      <c r="G549" s="118"/>
      <c r="H549" s="120"/>
      <c r="I549" s="121"/>
      <c r="J549" s="110" t="s">
        <v>2548</v>
      </c>
      <c r="K549" s="110" t="s">
        <v>1403</v>
      </c>
      <c r="L549" s="110" t="s">
        <v>3781</v>
      </c>
      <c r="M549" s="111" t="s">
        <v>1422</v>
      </c>
      <c r="N549" s="111" t="s">
        <v>1675</v>
      </c>
      <c r="O549" s="111" t="s">
        <v>1676</v>
      </c>
      <c r="P549" s="112" t="s">
        <v>1671</v>
      </c>
      <c r="Q549" s="112" t="s">
        <v>1534</v>
      </c>
      <c r="R549" s="112" t="s">
        <v>1672</v>
      </c>
      <c r="S549" s="144">
        <v>1749.48</v>
      </c>
      <c r="T549" s="111">
        <v>176.43</v>
      </c>
      <c r="U549" s="144">
        <v>1573.05</v>
      </c>
    </row>
    <row r="550" spans="1:21" ht="15" thickBot="1" x14ac:dyDescent="0.35">
      <c r="A550" s="117">
        <v>549</v>
      </c>
      <c r="B550" s="118" t="s">
        <v>794</v>
      </c>
      <c r="C550" s="118" t="s">
        <v>179</v>
      </c>
      <c r="D550" s="118" t="s">
        <v>3174</v>
      </c>
      <c r="E550" s="118" t="s">
        <v>156</v>
      </c>
      <c r="F550" s="119"/>
      <c r="G550" s="118"/>
      <c r="H550" s="120"/>
      <c r="I550" s="121"/>
      <c r="J550" s="110" t="s">
        <v>2549</v>
      </c>
      <c r="K550" s="110" t="s">
        <v>1403</v>
      </c>
      <c r="L550" s="110" t="s">
        <v>3781</v>
      </c>
      <c r="M550" s="111" t="s">
        <v>1509</v>
      </c>
      <c r="N550" s="111" t="s">
        <v>1510</v>
      </c>
      <c r="O550" s="111" t="s">
        <v>1511</v>
      </c>
      <c r="P550" s="112" t="s">
        <v>1509</v>
      </c>
      <c r="Q550" s="112" t="s">
        <v>1510</v>
      </c>
      <c r="R550" s="112" t="s">
        <v>1511</v>
      </c>
      <c r="S550" s="144">
        <v>4280</v>
      </c>
      <c r="T550" s="111">
        <v>402.18</v>
      </c>
      <c r="U550" s="144">
        <v>3877.82</v>
      </c>
    </row>
    <row r="551" spans="1:21" ht="15" thickBot="1" x14ac:dyDescent="0.35">
      <c r="A551" s="117">
        <v>550</v>
      </c>
      <c r="B551" s="118" t="s">
        <v>795</v>
      </c>
      <c r="C551" s="118" t="s">
        <v>150</v>
      </c>
      <c r="D551" s="118" t="s">
        <v>3175</v>
      </c>
      <c r="E551" s="118" t="s">
        <v>173</v>
      </c>
      <c r="F551" s="119"/>
      <c r="G551" s="118"/>
      <c r="H551" s="120"/>
      <c r="I551" s="121"/>
      <c r="J551" s="110" t="s">
        <v>2550</v>
      </c>
      <c r="K551" s="110" t="s">
        <v>1403</v>
      </c>
      <c r="L551" s="110" t="s">
        <v>3781</v>
      </c>
      <c r="M551" s="111" t="s">
        <v>1399</v>
      </c>
      <c r="N551" s="111" t="s">
        <v>1400</v>
      </c>
      <c r="O551" s="111" t="s">
        <v>1401</v>
      </c>
      <c r="P551" s="112" t="s">
        <v>1570</v>
      </c>
      <c r="Q551" s="112" t="s">
        <v>1534</v>
      </c>
      <c r="R551" s="112" t="s">
        <v>1571</v>
      </c>
      <c r="S551" s="144">
        <v>1698.16</v>
      </c>
      <c r="T551" s="111">
        <v>128.51</v>
      </c>
      <c r="U551" s="144">
        <v>1569.65</v>
      </c>
    </row>
    <row r="552" spans="1:21" ht="15" thickBot="1" x14ac:dyDescent="0.35">
      <c r="A552" s="117">
        <v>551</v>
      </c>
      <c r="B552" s="118" t="s">
        <v>796</v>
      </c>
      <c r="C552" s="118" t="s">
        <v>158</v>
      </c>
      <c r="D552" s="118" t="s">
        <v>3176</v>
      </c>
      <c r="E552" s="118" t="s">
        <v>161</v>
      </c>
      <c r="F552" s="119"/>
      <c r="G552" s="118"/>
      <c r="H552" s="120"/>
      <c r="I552" s="121"/>
      <c r="J552" s="110" t="s">
        <v>2551</v>
      </c>
      <c r="K552" s="110" t="s">
        <v>1398</v>
      </c>
      <c r="L552" s="110" t="s">
        <v>3781</v>
      </c>
      <c r="M552" s="111" t="s">
        <v>2552</v>
      </c>
      <c r="N552" s="111" t="s">
        <v>2553</v>
      </c>
      <c r="O552" s="111" t="s">
        <v>2554</v>
      </c>
      <c r="P552" s="112" t="s">
        <v>3353</v>
      </c>
      <c r="Q552" s="112" t="s">
        <v>3546</v>
      </c>
      <c r="R552" s="112" t="s">
        <v>3752</v>
      </c>
      <c r="S552" s="144">
        <v>3475.8</v>
      </c>
      <c r="T552" s="111">
        <v>305.68</v>
      </c>
      <c r="U552" s="144">
        <v>3170.12</v>
      </c>
    </row>
    <row r="553" spans="1:21" ht="15" thickBot="1" x14ac:dyDescent="0.35">
      <c r="A553" s="117">
        <v>552</v>
      </c>
      <c r="B553" s="118" t="s">
        <v>797</v>
      </c>
      <c r="C553" s="118" t="s">
        <v>239</v>
      </c>
      <c r="D553" s="118" t="s">
        <v>3177</v>
      </c>
      <c r="E553" s="118" t="s">
        <v>443</v>
      </c>
      <c r="F553" s="119"/>
      <c r="G553" s="118"/>
      <c r="H553" s="120"/>
      <c r="I553" s="121"/>
      <c r="J553" s="110" t="s">
        <v>2555</v>
      </c>
      <c r="K553" s="110" t="s">
        <v>1403</v>
      </c>
      <c r="L553" s="110" t="s">
        <v>3781</v>
      </c>
      <c r="M553" s="111" t="s">
        <v>1545</v>
      </c>
      <c r="N553" s="111" t="s">
        <v>2556</v>
      </c>
      <c r="O553" s="111" t="s">
        <v>2557</v>
      </c>
      <c r="P553" s="112" t="s">
        <v>1545</v>
      </c>
      <c r="Q553" s="112" t="s">
        <v>2556</v>
      </c>
      <c r="R553" s="112" t="s">
        <v>2557</v>
      </c>
      <c r="S553" s="144">
        <v>5700.6</v>
      </c>
      <c r="T553" s="111">
        <v>821.88</v>
      </c>
      <c r="U553" s="144">
        <v>4878.72</v>
      </c>
    </row>
    <row r="554" spans="1:21" ht="15" thickBot="1" x14ac:dyDescent="0.35">
      <c r="A554" s="117">
        <v>553</v>
      </c>
      <c r="B554" s="118" t="s">
        <v>798</v>
      </c>
      <c r="C554" s="118" t="s">
        <v>158</v>
      </c>
      <c r="D554" s="118" t="s">
        <v>3178</v>
      </c>
      <c r="E554" s="118" t="s">
        <v>320</v>
      </c>
      <c r="F554" s="119"/>
      <c r="G554" s="118"/>
      <c r="H554" s="120"/>
      <c r="I554" s="121"/>
      <c r="J554" s="110" t="s">
        <v>2558</v>
      </c>
      <c r="K554" s="110" t="s">
        <v>1398</v>
      </c>
      <c r="L554" s="110" t="s">
        <v>3781</v>
      </c>
      <c r="M554" s="111" t="s">
        <v>1425</v>
      </c>
      <c r="N554" s="111" t="s">
        <v>1426</v>
      </c>
      <c r="O554" s="111" t="s">
        <v>1427</v>
      </c>
      <c r="P554" s="112" t="s">
        <v>3215</v>
      </c>
      <c r="Q554" s="112" t="s">
        <v>2424</v>
      </c>
      <c r="R554" s="112" t="s">
        <v>3570</v>
      </c>
      <c r="S554" s="144">
        <v>3471.98</v>
      </c>
      <c r="T554" s="111">
        <v>305.22000000000003</v>
      </c>
      <c r="U554" s="144">
        <v>3166.76</v>
      </c>
    </row>
    <row r="555" spans="1:21" ht="15" thickBot="1" x14ac:dyDescent="0.35">
      <c r="A555" s="117">
        <v>554</v>
      </c>
      <c r="B555" s="118" t="s">
        <v>799</v>
      </c>
      <c r="C555" s="118" t="s">
        <v>184</v>
      </c>
      <c r="D555" s="118" t="s">
        <v>3179</v>
      </c>
      <c r="E555" s="118" t="s">
        <v>191</v>
      </c>
      <c r="F555" s="119"/>
      <c r="G555" s="118"/>
      <c r="H555" s="120"/>
      <c r="I555" s="121"/>
      <c r="J555" s="110" t="s">
        <v>2559</v>
      </c>
      <c r="K555" s="110" t="s">
        <v>1403</v>
      </c>
      <c r="L555" s="110" t="s">
        <v>3781</v>
      </c>
      <c r="M555" s="111" t="s">
        <v>1451</v>
      </c>
      <c r="N555" s="111" t="s">
        <v>1452</v>
      </c>
      <c r="O555" s="111" t="s">
        <v>1453</v>
      </c>
      <c r="P555" s="112" t="s">
        <v>1451</v>
      </c>
      <c r="Q555" s="112" t="s">
        <v>1452</v>
      </c>
      <c r="R555" s="112" t="s">
        <v>1453</v>
      </c>
      <c r="S555" s="144">
        <v>3818.4</v>
      </c>
      <c r="T555" s="144">
        <v>1105.55</v>
      </c>
      <c r="U555" s="144">
        <v>2712.85</v>
      </c>
    </row>
    <row r="556" spans="1:21" ht="15" thickBot="1" x14ac:dyDescent="0.35">
      <c r="A556" s="117">
        <v>555</v>
      </c>
      <c r="B556" s="118" t="s">
        <v>800</v>
      </c>
      <c r="C556" s="118" t="s">
        <v>179</v>
      </c>
      <c r="D556" s="118" t="s">
        <v>3180</v>
      </c>
      <c r="E556" s="118" t="s">
        <v>308</v>
      </c>
      <c r="F556" s="119"/>
      <c r="G556" s="118"/>
      <c r="H556" s="120"/>
      <c r="I556" s="121"/>
      <c r="J556" s="110" t="s">
        <v>2560</v>
      </c>
      <c r="K556" s="110" t="s">
        <v>1403</v>
      </c>
      <c r="L556" s="110" t="s">
        <v>3781</v>
      </c>
      <c r="M556" s="111" t="s">
        <v>1509</v>
      </c>
      <c r="N556" s="111" t="s">
        <v>1510</v>
      </c>
      <c r="O556" s="111" t="s">
        <v>1511</v>
      </c>
      <c r="P556" s="112" t="s">
        <v>1509</v>
      </c>
      <c r="Q556" s="112" t="s">
        <v>1510</v>
      </c>
      <c r="R556" s="112" t="s">
        <v>1511</v>
      </c>
      <c r="S556" s="144">
        <v>5400.89</v>
      </c>
      <c r="T556" s="111">
        <v>707.63</v>
      </c>
      <c r="U556" s="144">
        <v>4693.26</v>
      </c>
    </row>
    <row r="557" spans="1:21" ht="15" thickBot="1" x14ac:dyDescent="0.35">
      <c r="A557" s="117">
        <v>556</v>
      </c>
      <c r="B557" s="118" t="s">
        <v>801</v>
      </c>
      <c r="C557" s="118" t="s">
        <v>260</v>
      </c>
      <c r="D557" s="118" t="s">
        <v>3181</v>
      </c>
      <c r="E557" s="118" t="s">
        <v>185</v>
      </c>
      <c r="F557" s="119"/>
      <c r="G557" s="118"/>
      <c r="H557" s="120"/>
      <c r="I557" s="121"/>
      <c r="J557" s="110" t="s">
        <v>2561</v>
      </c>
      <c r="K557" s="110" t="s">
        <v>1403</v>
      </c>
      <c r="L557" s="110" t="s">
        <v>3781</v>
      </c>
      <c r="M557" s="111" t="s">
        <v>1599</v>
      </c>
      <c r="N557" s="111" t="s">
        <v>1600</v>
      </c>
      <c r="O557" s="111" t="s">
        <v>1601</v>
      </c>
      <c r="P557" s="112" t="s">
        <v>1599</v>
      </c>
      <c r="Q557" s="112" t="s">
        <v>1600</v>
      </c>
      <c r="R557" s="112" t="s">
        <v>1601</v>
      </c>
      <c r="S557" s="144">
        <v>1800</v>
      </c>
      <c r="T557" s="111">
        <v>137.68</v>
      </c>
      <c r="U557" s="144">
        <v>1662.32</v>
      </c>
    </row>
    <row r="558" spans="1:21" ht="15" thickBot="1" x14ac:dyDescent="0.35">
      <c r="A558" s="117">
        <v>557</v>
      </c>
      <c r="B558" s="118" t="s">
        <v>802</v>
      </c>
      <c r="C558" s="118" t="s">
        <v>150</v>
      </c>
      <c r="D558" s="118" t="s">
        <v>3182</v>
      </c>
      <c r="E558" s="118" t="s">
        <v>223</v>
      </c>
      <c r="F558" s="119"/>
      <c r="G558" s="118"/>
      <c r="H558" s="120"/>
      <c r="I558" s="121"/>
      <c r="J558" s="110" t="s">
        <v>2562</v>
      </c>
      <c r="K558" s="110" t="s">
        <v>1403</v>
      </c>
      <c r="L558" s="110" t="s">
        <v>3781</v>
      </c>
      <c r="M558" s="111" t="s">
        <v>1518</v>
      </c>
      <c r="N558" s="111" t="s">
        <v>2563</v>
      </c>
      <c r="O558" s="111" t="s">
        <v>2564</v>
      </c>
      <c r="P558" s="112" t="s">
        <v>1570</v>
      </c>
      <c r="Q558" s="112" t="s">
        <v>3547</v>
      </c>
      <c r="R558" s="112" t="s">
        <v>3753</v>
      </c>
      <c r="S558" s="144">
        <v>1964.36</v>
      </c>
      <c r="T558" s="111">
        <v>232.89</v>
      </c>
      <c r="U558" s="144">
        <v>1731.47</v>
      </c>
    </row>
    <row r="559" spans="1:21" ht="15" thickBot="1" x14ac:dyDescent="0.35">
      <c r="A559" s="117">
        <v>558</v>
      </c>
      <c r="B559" s="118" t="s">
        <v>803</v>
      </c>
      <c r="C559" s="118" t="s">
        <v>150</v>
      </c>
      <c r="D559" s="118" t="s">
        <v>3183</v>
      </c>
      <c r="E559" s="118" t="s">
        <v>163</v>
      </c>
      <c r="F559" s="119"/>
      <c r="G559" s="118"/>
      <c r="H559" s="120"/>
      <c r="I559" s="121"/>
      <c r="J559" s="110" t="s">
        <v>2565</v>
      </c>
      <c r="K559" s="110" t="s">
        <v>1403</v>
      </c>
      <c r="L559" s="110" t="s">
        <v>3781</v>
      </c>
      <c r="M559" s="111" t="s">
        <v>2566</v>
      </c>
      <c r="N559" s="111" t="s">
        <v>2567</v>
      </c>
      <c r="O559" s="111" t="s">
        <v>2568</v>
      </c>
      <c r="P559" s="112" t="s">
        <v>3354</v>
      </c>
      <c r="Q559" s="112" t="s">
        <v>3548</v>
      </c>
      <c r="R559" s="112" t="s">
        <v>3754</v>
      </c>
      <c r="S559" s="144">
        <v>2003.31</v>
      </c>
      <c r="T559" s="111">
        <v>155.97</v>
      </c>
      <c r="U559" s="144">
        <v>1847.34</v>
      </c>
    </row>
    <row r="560" spans="1:21" ht="15" thickBot="1" x14ac:dyDescent="0.35">
      <c r="A560" s="117">
        <v>559</v>
      </c>
      <c r="B560" s="118" t="s">
        <v>804</v>
      </c>
      <c r="C560" s="118" t="s">
        <v>150</v>
      </c>
      <c r="D560" s="118" t="s">
        <v>3184</v>
      </c>
      <c r="E560" s="118" t="s">
        <v>173</v>
      </c>
      <c r="F560" s="119"/>
      <c r="G560" s="118"/>
      <c r="H560" s="120"/>
      <c r="I560" s="121"/>
      <c r="J560" s="110" t="s">
        <v>2569</v>
      </c>
      <c r="K560" s="110" t="s">
        <v>1403</v>
      </c>
      <c r="L560" s="110" t="s">
        <v>3781</v>
      </c>
      <c r="M560" s="111" t="s">
        <v>2570</v>
      </c>
      <c r="N560" s="111" t="s">
        <v>2571</v>
      </c>
      <c r="O560" s="111" t="s">
        <v>2572</v>
      </c>
      <c r="P560" s="112" t="s">
        <v>3355</v>
      </c>
      <c r="Q560" s="112" t="s">
        <v>3549</v>
      </c>
      <c r="R560" s="112" t="s">
        <v>3755</v>
      </c>
      <c r="S560" s="144">
        <v>2134.0500000000002</v>
      </c>
      <c r="T560" s="111">
        <v>167.74</v>
      </c>
      <c r="U560" s="144">
        <v>1966.31</v>
      </c>
    </row>
    <row r="561" spans="1:21" ht="15" thickBot="1" x14ac:dyDescent="0.35">
      <c r="A561" s="117">
        <v>560</v>
      </c>
      <c r="B561" s="122" t="s">
        <v>805</v>
      </c>
      <c r="C561" s="118" t="s">
        <v>158</v>
      </c>
      <c r="D561" s="118"/>
      <c r="E561" s="118" t="s">
        <v>305</v>
      </c>
      <c r="F561" s="119"/>
      <c r="G561" s="118"/>
      <c r="H561" s="120"/>
      <c r="I561" s="121"/>
      <c r="J561" s="123" t="s">
        <v>3777</v>
      </c>
      <c r="K561" s="110" t="s">
        <v>3767</v>
      </c>
      <c r="L561" s="110" t="s">
        <v>3781</v>
      </c>
      <c r="M561" s="111"/>
      <c r="N561" s="111"/>
      <c r="O561" s="111"/>
      <c r="P561" s="112" t="s">
        <v>3356</v>
      </c>
      <c r="Q561" s="112" t="s">
        <v>3550</v>
      </c>
      <c r="R561" s="112" t="s">
        <v>3756</v>
      </c>
      <c r="S561" s="144">
        <v>3727.84</v>
      </c>
      <c r="T561" s="111">
        <v>506.59</v>
      </c>
      <c r="U561" s="144">
        <v>3221.25</v>
      </c>
    </row>
    <row r="562" spans="1:21" ht="15" thickBot="1" x14ac:dyDescent="0.35">
      <c r="A562" s="117">
        <v>561</v>
      </c>
      <c r="B562" s="118" t="s">
        <v>806</v>
      </c>
      <c r="C562" s="118" t="s">
        <v>150</v>
      </c>
      <c r="D562" s="118" t="s">
        <v>3185</v>
      </c>
      <c r="E562" s="118" t="s">
        <v>173</v>
      </c>
      <c r="F562" s="119"/>
      <c r="G562" s="118"/>
      <c r="H562" s="120"/>
      <c r="I562" s="121"/>
      <c r="J562" s="110" t="s">
        <v>2573</v>
      </c>
      <c r="K562" s="110" t="s">
        <v>1403</v>
      </c>
      <c r="L562" s="110" t="s">
        <v>3781</v>
      </c>
      <c r="M562" s="111" t="s">
        <v>1513</v>
      </c>
      <c r="N562" s="111" t="s">
        <v>1438</v>
      </c>
      <c r="O562" s="111" t="s">
        <v>2574</v>
      </c>
      <c r="P562" s="112" t="s">
        <v>3357</v>
      </c>
      <c r="Q562" s="112" t="s">
        <v>3551</v>
      </c>
      <c r="R562" s="112" t="s">
        <v>3757</v>
      </c>
      <c r="S562" s="144">
        <v>1909.03</v>
      </c>
      <c r="T562" s="111">
        <v>147.49</v>
      </c>
      <c r="U562" s="144">
        <v>1761.54</v>
      </c>
    </row>
    <row r="563" spans="1:21" ht="15" thickBot="1" x14ac:dyDescent="0.35">
      <c r="A563" s="117">
        <v>562</v>
      </c>
      <c r="B563" s="118" t="s">
        <v>807</v>
      </c>
      <c r="C563" s="118" t="s">
        <v>158</v>
      </c>
      <c r="D563" s="118" t="s">
        <v>3186</v>
      </c>
      <c r="E563" s="118" t="s">
        <v>161</v>
      </c>
      <c r="F563" s="119"/>
      <c r="G563" s="118"/>
      <c r="H563" s="120"/>
      <c r="I563" s="121"/>
      <c r="J563" s="110" t="s">
        <v>2575</v>
      </c>
      <c r="K563" s="110" t="s">
        <v>1403</v>
      </c>
      <c r="L563" s="110" t="s">
        <v>3781</v>
      </c>
      <c r="M563" s="111" t="s">
        <v>2576</v>
      </c>
      <c r="N563" s="111" t="s">
        <v>2577</v>
      </c>
      <c r="O563" s="111" t="s">
        <v>2578</v>
      </c>
      <c r="P563" s="112" t="s">
        <v>3358</v>
      </c>
      <c r="Q563" s="112" t="s">
        <v>3552</v>
      </c>
      <c r="R563" s="112" t="s">
        <v>3758</v>
      </c>
      <c r="S563" s="144">
        <v>3970.96</v>
      </c>
      <c r="T563" s="111">
        <v>365.1</v>
      </c>
      <c r="U563" s="144">
        <v>3605.86</v>
      </c>
    </row>
    <row r="564" spans="1:21" ht="15" thickBot="1" x14ac:dyDescent="0.35">
      <c r="A564" s="117">
        <v>563</v>
      </c>
      <c r="B564" s="118" t="s">
        <v>808</v>
      </c>
      <c r="C564" s="118" t="s">
        <v>210</v>
      </c>
      <c r="D564" s="118" t="s">
        <v>3187</v>
      </c>
      <c r="E564" s="118" t="s">
        <v>163</v>
      </c>
      <c r="F564" s="119"/>
      <c r="G564" s="118"/>
      <c r="H564" s="120"/>
      <c r="I564" s="121"/>
      <c r="J564" s="110" t="s">
        <v>2579</v>
      </c>
      <c r="K564" s="110" t="s">
        <v>1398</v>
      </c>
      <c r="L564" s="110" t="s">
        <v>3781</v>
      </c>
      <c r="M564" s="111" t="s">
        <v>2580</v>
      </c>
      <c r="N564" s="111" t="s">
        <v>2581</v>
      </c>
      <c r="O564" s="111" t="s">
        <v>2582</v>
      </c>
      <c r="P564" s="112" t="s">
        <v>3359</v>
      </c>
      <c r="Q564" s="112" t="s">
        <v>3553</v>
      </c>
      <c r="R564" s="112" t="s">
        <v>3759</v>
      </c>
      <c r="S564" s="144">
        <v>4414.04</v>
      </c>
      <c r="T564" s="111">
        <v>549.01</v>
      </c>
      <c r="U564" s="144">
        <v>3865.03</v>
      </c>
    </row>
    <row r="565" spans="1:21" ht="15" thickBot="1" x14ac:dyDescent="0.35">
      <c r="A565" s="117">
        <v>564</v>
      </c>
      <c r="B565" s="118" t="s">
        <v>809</v>
      </c>
      <c r="C565" s="118" t="s">
        <v>253</v>
      </c>
      <c r="D565" s="118" t="s">
        <v>3188</v>
      </c>
      <c r="E565" s="118" t="s">
        <v>180</v>
      </c>
      <c r="F565" s="119"/>
      <c r="G565" s="118"/>
      <c r="H565" s="120"/>
      <c r="I565" s="121"/>
      <c r="J565" s="110" t="s">
        <v>2583</v>
      </c>
      <c r="K565" s="110" t="s">
        <v>1403</v>
      </c>
      <c r="L565" s="110" t="s">
        <v>3781</v>
      </c>
      <c r="M565" s="111" t="s">
        <v>1910</v>
      </c>
      <c r="N565" s="111" t="s">
        <v>1911</v>
      </c>
      <c r="O565" s="111" t="s">
        <v>1912</v>
      </c>
      <c r="P565" s="112" t="s">
        <v>1910</v>
      </c>
      <c r="Q565" s="112" t="s">
        <v>1911</v>
      </c>
      <c r="R565" s="112" t="s">
        <v>1912</v>
      </c>
      <c r="S565" s="144">
        <v>2149.04</v>
      </c>
      <c r="T565" s="111">
        <v>169.09</v>
      </c>
      <c r="U565" s="144">
        <v>1979.95</v>
      </c>
    </row>
    <row r="566" spans="1:21" ht="15" thickBot="1" x14ac:dyDescent="0.35">
      <c r="A566" s="117">
        <v>565</v>
      </c>
      <c r="B566" s="118" t="s">
        <v>810</v>
      </c>
      <c r="C566" s="118" t="s">
        <v>253</v>
      </c>
      <c r="D566" s="118" t="s">
        <v>3189</v>
      </c>
      <c r="E566" s="118" t="s">
        <v>317</v>
      </c>
      <c r="F566" s="119"/>
      <c r="G566" s="118"/>
      <c r="H566" s="120"/>
      <c r="I566" s="121"/>
      <c r="J566" s="110" t="s">
        <v>2584</v>
      </c>
      <c r="K566" s="110" t="s">
        <v>1403</v>
      </c>
      <c r="L566" s="110" t="s">
        <v>3781</v>
      </c>
      <c r="M566" s="111" t="s">
        <v>1570</v>
      </c>
      <c r="N566" s="111" t="s">
        <v>1534</v>
      </c>
      <c r="O566" s="111" t="s">
        <v>1571</v>
      </c>
      <c r="P566" s="112" t="s">
        <v>1570</v>
      </c>
      <c r="Q566" s="112" t="s">
        <v>1534</v>
      </c>
      <c r="R566" s="112" t="s">
        <v>1571</v>
      </c>
      <c r="S566" s="144">
        <v>1621</v>
      </c>
      <c r="T566" s="111">
        <v>121.57</v>
      </c>
      <c r="U566" s="144">
        <v>1499.43</v>
      </c>
    </row>
    <row r="567" spans="1:21" ht="15" thickBot="1" x14ac:dyDescent="0.35">
      <c r="A567" s="117">
        <v>566</v>
      </c>
      <c r="B567" s="118" t="s">
        <v>811</v>
      </c>
      <c r="C567" s="118" t="s">
        <v>158</v>
      </c>
      <c r="D567" s="118" t="s">
        <v>3190</v>
      </c>
      <c r="E567" s="118" t="s">
        <v>163</v>
      </c>
      <c r="F567" s="119"/>
      <c r="G567" s="118"/>
      <c r="H567" s="120"/>
      <c r="I567" s="121"/>
      <c r="J567" s="110" t="s">
        <v>2585</v>
      </c>
      <c r="K567" s="110" t="s">
        <v>1403</v>
      </c>
      <c r="L567" s="110" t="s">
        <v>3781</v>
      </c>
      <c r="M567" s="111" t="s">
        <v>2586</v>
      </c>
      <c r="N567" s="111" t="s">
        <v>2587</v>
      </c>
      <c r="O567" s="111" t="s">
        <v>2588</v>
      </c>
      <c r="P567" s="112" t="s">
        <v>3219</v>
      </c>
      <c r="Q567" s="112" t="s">
        <v>3374</v>
      </c>
      <c r="R567" s="112" t="s">
        <v>3572</v>
      </c>
      <c r="S567" s="144">
        <v>3090.01</v>
      </c>
      <c r="T567" s="111">
        <v>259.39</v>
      </c>
      <c r="U567" s="144">
        <v>2830.62</v>
      </c>
    </row>
    <row r="568" spans="1:21" ht="15" thickBot="1" x14ac:dyDescent="0.35">
      <c r="A568" s="117">
        <v>567</v>
      </c>
      <c r="B568" s="118" t="s">
        <v>812</v>
      </c>
      <c r="C568" s="118" t="s">
        <v>158</v>
      </c>
      <c r="D568" s="118" t="s">
        <v>3191</v>
      </c>
      <c r="E568" s="118" t="s">
        <v>173</v>
      </c>
      <c r="F568" s="119"/>
      <c r="G568" s="118"/>
      <c r="H568" s="120"/>
      <c r="I568" s="121"/>
      <c r="J568" s="110" t="s">
        <v>2589</v>
      </c>
      <c r="K568" s="110" t="s">
        <v>1403</v>
      </c>
      <c r="L568" s="110" t="s">
        <v>3781</v>
      </c>
      <c r="M568" s="111" t="s">
        <v>1456</v>
      </c>
      <c r="N568" s="111" t="s">
        <v>1457</v>
      </c>
      <c r="O568" s="111" t="s">
        <v>1458</v>
      </c>
      <c r="P568" s="112" t="s">
        <v>3276</v>
      </c>
      <c r="Q568" s="112" t="s">
        <v>3449</v>
      </c>
      <c r="R568" s="112" t="s">
        <v>3650</v>
      </c>
      <c r="S568" s="144">
        <v>3090.01</v>
      </c>
      <c r="T568" s="111">
        <v>259.39</v>
      </c>
      <c r="U568" s="144">
        <v>2830.62</v>
      </c>
    </row>
    <row r="569" spans="1:21" ht="15" thickBot="1" x14ac:dyDescent="0.35">
      <c r="A569" s="117">
        <v>568</v>
      </c>
      <c r="B569" s="118" t="s">
        <v>813</v>
      </c>
      <c r="C569" s="118" t="s">
        <v>150</v>
      </c>
      <c r="D569" s="118" t="s">
        <v>3192</v>
      </c>
      <c r="E569" s="118" t="s">
        <v>163</v>
      </c>
      <c r="F569" s="119"/>
      <c r="G569" s="118"/>
      <c r="H569" s="120"/>
      <c r="I569" s="121"/>
      <c r="J569" s="110" t="s">
        <v>2590</v>
      </c>
      <c r="K569" s="110" t="s">
        <v>1403</v>
      </c>
      <c r="L569" s="110" t="s">
        <v>3781</v>
      </c>
      <c r="M569" s="111" t="s">
        <v>2591</v>
      </c>
      <c r="N569" s="111" t="s">
        <v>2592</v>
      </c>
      <c r="O569" s="111" t="s">
        <v>2593</v>
      </c>
      <c r="P569" s="112" t="s">
        <v>1570</v>
      </c>
      <c r="Q569" s="112" t="s">
        <v>1534</v>
      </c>
      <c r="R569" s="112" t="s">
        <v>1571</v>
      </c>
      <c r="S569" s="144">
        <v>1714.38</v>
      </c>
      <c r="T569" s="111">
        <v>129.97</v>
      </c>
      <c r="U569" s="144">
        <v>1584.41</v>
      </c>
    </row>
    <row r="570" spans="1:21" ht="15" thickBot="1" x14ac:dyDescent="0.35">
      <c r="A570" s="117">
        <v>569</v>
      </c>
      <c r="B570" s="118" t="s">
        <v>814</v>
      </c>
      <c r="C570" s="118" t="s">
        <v>158</v>
      </c>
      <c r="D570" s="118" t="s">
        <v>3193</v>
      </c>
      <c r="E570" s="118" t="s">
        <v>159</v>
      </c>
      <c r="F570" s="119"/>
      <c r="G570" s="118"/>
      <c r="H570" s="120"/>
      <c r="I570" s="121"/>
      <c r="J570" s="110" t="s">
        <v>2594</v>
      </c>
      <c r="K570" s="110" t="s">
        <v>1403</v>
      </c>
      <c r="L570" s="110" t="s">
        <v>3781</v>
      </c>
      <c r="M570" s="111" t="s">
        <v>2595</v>
      </c>
      <c r="N570" s="111" t="s">
        <v>2596</v>
      </c>
      <c r="O570" s="111" t="s">
        <v>2597</v>
      </c>
      <c r="P570" s="112" t="s">
        <v>3219</v>
      </c>
      <c r="Q570" s="112" t="s">
        <v>3374</v>
      </c>
      <c r="R570" s="112" t="s">
        <v>3572</v>
      </c>
      <c r="S570" s="144">
        <v>3090.01</v>
      </c>
      <c r="T570" s="111">
        <v>259.39</v>
      </c>
      <c r="U570" s="144">
        <v>2830.62</v>
      </c>
    </row>
    <row r="571" spans="1:21" ht="15" thickBot="1" x14ac:dyDescent="0.35">
      <c r="A571" s="117">
        <v>570</v>
      </c>
      <c r="B571" s="118" t="s">
        <v>815</v>
      </c>
      <c r="C571" s="118" t="s">
        <v>150</v>
      </c>
      <c r="D571" s="118" t="s">
        <v>3194</v>
      </c>
      <c r="E571" s="118" t="s">
        <v>159</v>
      </c>
      <c r="F571" s="119"/>
      <c r="G571" s="118"/>
      <c r="H571" s="120"/>
      <c r="I571" s="121"/>
      <c r="J571" s="110" t="s">
        <v>2598</v>
      </c>
      <c r="K571" s="110" t="s">
        <v>1403</v>
      </c>
      <c r="L571" s="110" t="s">
        <v>3781</v>
      </c>
      <c r="M571" s="111" t="s">
        <v>1399</v>
      </c>
      <c r="N571" s="111" t="s">
        <v>1400</v>
      </c>
      <c r="O571" s="111" t="s">
        <v>1401</v>
      </c>
      <c r="P571" s="112" t="s">
        <v>1570</v>
      </c>
      <c r="Q571" s="112" t="s">
        <v>1534</v>
      </c>
      <c r="R571" s="112" t="s">
        <v>1571</v>
      </c>
      <c r="S571" s="144">
        <v>1681.94</v>
      </c>
      <c r="T571" s="111">
        <v>127.05</v>
      </c>
      <c r="U571" s="144">
        <v>1554.89</v>
      </c>
    </row>
    <row r="572" spans="1:21" ht="15" thickBot="1" x14ac:dyDescent="0.35">
      <c r="A572" s="117">
        <v>571</v>
      </c>
      <c r="B572" s="118" t="s">
        <v>816</v>
      </c>
      <c r="C572" s="118" t="s">
        <v>150</v>
      </c>
      <c r="D572" s="118" t="s">
        <v>3195</v>
      </c>
      <c r="E572" s="118" t="s">
        <v>262</v>
      </c>
      <c r="F572" s="119"/>
      <c r="G572" s="118"/>
      <c r="H572" s="120"/>
      <c r="I572" s="121"/>
      <c r="J572" s="110" t="s">
        <v>2599</v>
      </c>
      <c r="K572" s="110" t="s">
        <v>1574</v>
      </c>
      <c r="L572" s="110" t="s">
        <v>3781</v>
      </c>
      <c r="M572" s="111" t="s">
        <v>2600</v>
      </c>
      <c r="N572" s="111" t="s">
        <v>2601</v>
      </c>
      <c r="O572" s="111" t="s">
        <v>2602</v>
      </c>
      <c r="P572" s="112" t="s">
        <v>1776</v>
      </c>
      <c r="Q572" s="112" t="s">
        <v>3554</v>
      </c>
      <c r="R572" s="112" t="s">
        <v>3760</v>
      </c>
      <c r="S572" s="144">
        <v>1850.74</v>
      </c>
      <c r="T572" s="111">
        <v>563.19000000000005</v>
      </c>
      <c r="U572" s="144">
        <v>1287.55</v>
      </c>
    </row>
    <row r="573" spans="1:21" ht="15" thickBot="1" x14ac:dyDescent="0.35">
      <c r="A573" s="117">
        <v>572</v>
      </c>
      <c r="B573" s="118" t="s">
        <v>817</v>
      </c>
      <c r="C573" s="118" t="s">
        <v>158</v>
      </c>
      <c r="D573" s="118" t="s">
        <v>3196</v>
      </c>
      <c r="E573" s="118" t="s">
        <v>161</v>
      </c>
      <c r="F573" s="119"/>
      <c r="G573" s="118"/>
      <c r="H573" s="120"/>
      <c r="I573" s="121"/>
      <c r="J573" s="110" t="s">
        <v>2603</v>
      </c>
      <c r="K573" s="110" t="s">
        <v>1403</v>
      </c>
      <c r="L573" s="110" t="s">
        <v>3781</v>
      </c>
      <c r="M573" s="111" t="s">
        <v>2604</v>
      </c>
      <c r="N573" s="111" t="s">
        <v>2605</v>
      </c>
      <c r="O573" s="111" t="s">
        <v>2606</v>
      </c>
      <c r="P573" s="112" t="s">
        <v>3219</v>
      </c>
      <c r="Q573" s="112" t="s">
        <v>3374</v>
      </c>
      <c r="R573" s="112" t="s">
        <v>3572</v>
      </c>
      <c r="S573" s="144">
        <v>3543.21</v>
      </c>
      <c r="T573" s="111">
        <v>313.77</v>
      </c>
      <c r="U573" s="144">
        <v>3229.44</v>
      </c>
    </row>
    <row r="574" spans="1:21" ht="15" thickBot="1" x14ac:dyDescent="0.35">
      <c r="A574" s="117">
        <v>573</v>
      </c>
      <c r="B574" s="118" t="s">
        <v>818</v>
      </c>
      <c r="C574" s="118" t="s">
        <v>179</v>
      </c>
      <c r="D574" s="118" t="s">
        <v>3197</v>
      </c>
      <c r="E574" s="118" t="s">
        <v>182</v>
      </c>
      <c r="F574" s="119"/>
      <c r="G574" s="118"/>
      <c r="H574" s="120"/>
      <c r="I574" s="121"/>
      <c r="J574" s="110" t="s">
        <v>2607</v>
      </c>
      <c r="K574" s="110" t="s">
        <v>1403</v>
      </c>
      <c r="L574" s="110" t="s">
        <v>3781</v>
      </c>
      <c r="M574" s="111" t="s">
        <v>1509</v>
      </c>
      <c r="N574" s="111" t="s">
        <v>1510</v>
      </c>
      <c r="O574" s="111" t="s">
        <v>1511</v>
      </c>
      <c r="P574" s="112" t="s">
        <v>1509</v>
      </c>
      <c r="Q574" s="112" t="s">
        <v>1510</v>
      </c>
      <c r="R574" s="112" t="s">
        <v>1511</v>
      </c>
      <c r="S574" s="144">
        <v>4280</v>
      </c>
      <c r="T574" s="111">
        <v>402.18</v>
      </c>
      <c r="U574" s="144">
        <v>3877.82</v>
      </c>
    </row>
    <row r="575" spans="1:21" ht="15" thickBot="1" x14ac:dyDescent="0.35">
      <c r="A575" s="117">
        <v>574</v>
      </c>
      <c r="B575" s="118" t="s">
        <v>819</v>
      </c>
      <c r="C575" s="118" t="s">
        <v>216</v>
      </c>
      <c r="D575" s="118" t="s">
        <v>3198</v>
      </c>
      <c r="E575" s="118" t="s">
        <v>385</v>
      </c>
      <c r="F575" s="119"/>
      <c r="G575" s="118"/>
      <c r="H575" s="120"/>
      <c r="I575" s="121"/>
      <c r="J575" s="110" t="s">
        <v>2608</v>
      </c>
      <c r="K575" s="110" t="s">
        <v>1403</v>
      </c>
      <c r="L575" s="110" t="s">
        <v>3781</v>
      </c>
      <c r="M575" s="111" t="s">
        <v>1836</v>
      </c>
      <c r="N575" s="111" t="s">
        <v>1837</v>
      </c>
      <c r="O575" s="111" t="s">
        <v>1838</v>
      </c>
      <c r="P575" s="112" t="s">
        <v>1836</v>
      </c>
      <c r="Q575" s="112" t="s">
        <v>1837</v>
      </c>
      <c r="R575" s="112" t="s">
        <v>1838</v>
      </c>
      <c r="S575" s="144">
        <v>3745.61</v>
      </c>
      <c r="T575" s="111">
        <v>338.06</v>
      </c>
      <c r="U575" s="144">
        <v>3407.55</v>
      </c>
    </row>
    <row r="576" spans="1:21" ht="15" thickBot="1" x14ac:dyDescent="0.35">
      <c r="A576" s="117">
        <v>575</v>
      </c>
      <c r="B576" s="122" t="s">
        <v>820</v>
      </c>
      <c r="C576" s="118" t="s">
        <v>150</v>
      </c>
      <c r="D576" s="118"/>
      <c r="E576" s="118" t="s">
        <v>159</v>
      </c>
      <c r="F576" s="119"/>
      <c r="G576" s="118"/>
      <c r="H576" s="120"/>
      <c r="I576" s="121"/>
      <c r="J576" s="123" t="s">
        <v>3778</v>
      </c>
      <c r="K576" s="110" t="s">
        <v>3767</v>
      </c>
      <c r="L576" s="110" t="s">
        <v>3781</v>
      </c>
      <c r="M576" s="111"/>
      <c r="N576" s="111"/>
      <c r="O576" s="111"/>
      <c r="P576" s="112" t="s">
        <v>3360</v>
      </c>
      <c r="Q576" s="112" t="s">
        <v>3555</v>
      </c>
      <c r="R576" s="112" t="s">
        <v>3761</v>
      </c>
      <c r="S576" s="144">
        <v>1978.57</v>
      </c>
      <c r="T576" s="111">
        <v>153.75</v>
      </c>
      <c r="U576" s="144">
        <v>1824.82</v>
      </c>
    </row>
    <row r="577" spans="1:21" ht="15" thickBot="1" x14ac:dyDescent="0.35">
      <c r="A577" s="117">
        <v>576</v>
      </c>
      <c r="B577" s="118" t="s">
        <v>821</v>
      </c>
      <c r="C577" s="118" t="s">
        <v>207</v>
      </c>
      <c r="D577" s="118" t="s">
        <v>3199</v>
      </c>
      <c r="E577" s="118" t="s">
        <v>208</v>
      </c>
      <c r="F577" s="119"/>
      <c r="G577" s="118"/>
      <c r="H577" s="120"/>
      <c r="I577" s="121"/>
      <c r="J577" s="110" t="s">
        <v>2609</v>
      </c>
      <c r="K577" s="110" t="s">
        <v>1403</v>
      </c>
      <c r="L577" s="110" t="s">
        <v>3781</v>
      </c>
      <c r="M577" s="111" t="s">
        <v>2165</v>
      </c>
      <c r="N577" s="111" t="s">
        <v>2610</v>
      </c>
      <c r="O577" s="111" t="s">
        <v>2611</v>
      </c>
      <c r="P577" s="112" t="s">
        <v>3361</v>
      </c>
      <c r="Q577" s="112" t="s">
        <v>3556</v>
      </c>
      <c r="R577" s="112" t="s">
        <v>3762</v>
      </c>
      <c r="S577" s="144">
        <v>3367.6</v>
      </c>
      <c r="T577" s="111">
        <v>932.35</v>
      </c>
      <c r="U577" s="144">
        <v>2435.25</v>
      </c>
    </row>
    <row r="578" spans="1:21" ht="15" thickBot="1" x14ac:dyDescent="0.35">
      <c r="A578" s="117">
        <v>577</v>
      </c>
      <c r="B578" s="122" t="s">
        <v>822</v>
      </c>
      <c r="C578" s="118" t="s">
        <v>158</v>
      </c>
      <c r="D578" s="118"/>
      <c r="E578" s="118" t="s">
        <v>163</v>
      </c>
      <c r="F578" s="119"/>
      <c r="G578" s="118"/>
      <c r="H578" s="120"/>
      <c r="I578" s="121"/>
      <c r="J578" s="123" t="s">
        <v>3779</v>
      </c>
      <c r="K578" s="110" t="s">
        <v>3769</v>
      </c>
      <c r="L578" s="110" t="s">
        <v>3781</v>
      </c>
      <c r="M578" s="111"/>
      <c r="N578" s="111"/>
      <c r="O578" s="111"/>
      <c r="P578" s="112" t="s">
        <v>3362</v>
      </c>
      <c r="Q578" s="112" t="s">
        <v>3557</v>
      </c>
      <c r="R578" s="112" t="s">
        <v>3763</v>
      </c>
      <c r="S578" s="144">
        <v>3533.32</v>
      </c>
      <c r="T578" s="111">
        <v>312.58</v>
      </c>
      <c r="U578" s="144">
        <v>3220.74</v>
      </c>
    </row>
    <row r="579" spans="1:21" ht="15" thickBot="1" x14ac:dyDescent="0.35">
      <c r="A579" s="117">
        <v>578</v>
      </c>
      <c r="B579" s="118" t="s">
        <v>823</v>
      </c>
      <c r="C579" s="118" t="s">
        <v>150</v>
      </c>
      <c r="D579" s="118" t="s">
        <v>3200</v>
      </c>
      <c r="E579" s="118" t="s">
        <v>159</v>
      </c>
      <c r="F579" s="119"/>
      <c r="G579" s="118"/>
      <c r="H579" s="120"/>
      <c r="I579" s="121"/>
      <c r="J579" s="110" t="s">
        <v>2612</v>
      </c>
      <c r="K579" s="110" t="s">
        <v>1398</v>
      </c>
      <c r="L579" s="110" t="s">
        <v>3781</v>
      </c>
      <c r="M579" s="111" t="s">
        <v>1513</v>
      </c>
      <c r="N579" s="111" t="s">
        <v>2613</v>
      </c>
      <c r="O579" s="111" t="s">
        <v>2614</v>
      </c>
      <c r="P579" s="112" t="s">
        <v>3228</v>
      </c>
      <c r="Q579" s="112" t="s">
        <v>3558</v>
      </c>
      <c r="R579" s="112" t="s">
        <v>3764</v>
      </c>
      <c r="S579" s="144">
        <v>1860.38</v>
      </c>
      <c r="T579" s="111">
        <v>529.41</v>
      </c>
      <c r="U579" s="144">
        <v>1330.97</v>
      </c>
    </row>
    <row r="580" spans="1:21" ht="15" thickBot="1" x14ac:dyDescent="0.35">
      <c r="A580" s="117">
        <v>579</v>
      </c>
      <c r="B580" s="118" t="s">
        <v>824</v>
      </c>
      <c r="C580" s="118" t="s">
        <v>792</v>
      </c>
      <c r="D580" s="118" t="s">
        <v>3201</v>
      </c>
      <c r="E580" s="118" t="s">
        <v>161</v>
      </c>
      <c r="F580" s="119"/>
      <c r="G580" s="118"/>
      <c r="H580" s="120"/>
      <c r="I580" s="121"/>
      <c r="J580" s="110" t="s">
        <v>2615</v>
      </c>
      <c r="K580" s="110" t="s">
        <v>1403</v>
      </c>
      <c r="L580" s="110" t="s">
        <v>3781</v>
      </c>
      <c r="M580" s="111" t="s">
        <v>2616</v>
      </c>
      <c r="N580" s="111" t="s">
        <v>2617</v>
      </c>
      <c r="O580" s="111" t="s">
        <v>2618</v>
      </c>
      <c r="P580" s="112" t="s">
        <v>2148</v>
      </c>
      <c r="Q580" s="112" t="s">
        <v>2149</v>
      </c>
      <c r="R580" s="112" t="s">
        <v>2150</v>
      </c>
      <c r="S580" s="144">
        <v>4766.66</v>
      </c>
      <c r="T580" s="111">
        <v>468.83</v>
      </c>
      <c r="U580" s="144">
        <v>4297.83</v>
      </c>
    </row>
    <row r="581" spans="1:21" ht="15" thickBot="1" x14ac:dyDescent="0.35">
      <c r="A581" s="117">
        <v>580</v>
      </c>
      <c r="B581" s="118" t="s">
        <v>825</v>
      </c>
      <c r="C581" s="118" t="s">
        <v>260</v>
      </c>
      <c r="D581" s="118" t="s">
        <v>3202</v>
      </c>
      <c r="E581" s="118" t="s">
        <v>161</v>
      </c>
      <c r="F581" s="119"/>
      <c r="G581" s="118"/>
      <c r="H581" s="120"/>
      <c r="I581" s="121"/>
      <c r="J581" s="110" t="s">
        <v>2619</v>
      </c>
      <c r="K581" s="110" t="s">
        <v>1403</v>
      </c>
      <c r="L581" s="110" t="s">
        <v>3781</v>
      </c>
      <c r="M581" s="111" t="s">
        <v>2620</v>
      </c>
      <c r="N581" s="111" t="s">
        <v>2621</v>
      </c>
      <c r="O581" s="111" t="s">
        <v>2622</v>
      </c>
      <c r="P581" s="112" t="s">
        <v>1599</v>
      </c>
      <c r="Q581" s="112" t="s">
        <v>1600</v>
      </c>
      <c r="R581" s="112" t="s">
        <v>1601</v>
      </c>
      <c r="S581" s="144">
        <v>2161.96</v>
      </c>
      <c r="T581" s="111">
        <v>170.25</v>
      </c>
      <c r="U581" s="144">
        <v>1991.71</v>
      </c>
    </row>
    <row r="582" spans="1:21" ht="15" thickBot="1" x14ac:dyDescent="0.35">
      <c r="A582" s="117">
        <v>581</v>
      </c>
      <c r="B582" s="118" t="s">
        <v>826</v>
      </c>
      <c r="C582" s="118" t="s">
        <v>158</v>
      </c>
      <c r="D582" s="118" t="s">
        <v>3203</v>
      </c>
      <c r="E582" s="118" t="s">
        <v>291</v>
      </c>
      <c r="F582" s="119"/>
      <c r="G582" s="118"/>
      <c r="H582" s="120"/>
      <c r="I582" s="121"/>
      <c r="J582" s="110" t="s">
        <v>2623</v>
      </c>
      <c r="K582" s="110" t="s">
        <v>1403</v>
      </c>
      <c r="L582" s="110" t="s">
        <v>3781</v>
      </c>
      <c r="M582" s="111" t="s">
        <v>1425</v>
      </c>
      <c r="N582" s="111" t="s">
        <v>1426</v>
      </c>
      <c r="O582" s="111" t="s">
        <v>1427</v>
      </c>
      <c r="P582" s="112" t="s">
        <v>3215</v>
      </c>
      <c r="Q582" s="112" t="s">
        <v>2424</v>
      </c>
      <c r="R582" s="112" t="s">
        <v>3570</v>
      </c>
      <c r="S582" s="144">
        <v>3499.43</v>
      </c>
      <c r="T582" s="111">
        <v>308.52</v>
      </c>
      <c r="U582" s="144">
        <v>3190.91</v>
      </c>
    </row>
    <row r="583" spans="1:21" ht="15" thickBot="1" x14ac:dyDescent="0.35">
      <c r="A583" s="117">
        <v>582</v>
      </c>
      <c r="B583" s="118" t="s">
        <v>827</v>
      </c>
      <c r="C583" s="118" t="s">
        <v>179</v>
      </c>
      <c r="D583" s="118" t="s">
        <v>3204</v>
      </c>
      <c r="E583" s="118" t="s">
        <v>317</v>
      </c>
      <c r="F583" s="119"/>
      <c r="G583" s="118"/>
      <c r="H583" s="120"/>
      <c r="I583" s="121"/>
      <c r="J583" s="110" t="s">
        <v>2624</v>
      </c>
      <c r="K583" s="110" t="s">
        <v>1403</v>
      </c>
      <c r="L583" s="110" t="s">
        <v>3781</v>
      </c>
      <c r="M583" s="111" t="s">
        <v>1694</v>
      </c>
      <c r="N583" s="111" t="s">
        <v>1695</v>
      </c>
      <c r="O583" s="111" t="s">
        <v>1696</v>
      </c>
      <c r="P583" s="112" t="s">
        <v>1694</v>
      </c>
      <c r="Q583" s="112" t="s">
        <v>1695</v>
      </c>
      <c r="R583" s="112" t="s">
        <v>1696</v>
      </c>
      <c r="S583" s="144">
        <v>5270.61</v>
      </c>
      <c r="T583" s="111">
        <v>636.29999999999995</v>
      </c>
      <c r="U583" s="144">
        <v>4634.3100000000004</v>
      </c>
    </row>
    <row r="584" spans="1:21" ht="15" thickBot="1" x14ac:dyDescent="0.35">
      <c r="A584" s="117">
        <v>583</v>
      </c>
      <c r="B584" s="118" t="s">
        <v>828</v>
      </c>
      <c r="C584" s="118" t="s">
        <v>107</v>
      </c>
      <c r="D584" s="118" t="s">
        <v>3205</v>
      </c>
      <c r="E584" s="118" t="s">
        <v>173</v>
      </c>
      <c r="F584" s="119"/>
      <c r="G584" s="118"/>
      <c r="H584" s="120"/>
      <c r="I584" s="121"/>
      <c r="J584" s="110" t="s">
        <v>2625</v>
      </c>
      <c r="K584" s="110" t="s">
        <v>1403</v>
      </c>
      <c r="L584" s="110" t="s">
        <v>3781</v>
      </c>
      <c r="M584" s="111" t="s">
        <v>1632</v>
      </c>
      <c r="N584" s="111" t="s">
        <v>1714</v>
      </c>
      <c r="O584" s="111" t="s">
        <v>1715</v>
      </c>
      <c r="P584" s="112" t="s">
        <v>1632</v>
      </c>
      <c r="Q584" s="112" t="s">
        <v>1714</v>
      </c>
      <c r="R584" s="112" t="s">
        <v>1715</v>
      </c>
      <c r="S584" s="144">
        <v>3000</v>
      </c>
      <c r="T584" s="111">
        <v>248.58</v>
      </c>
      <c r="U584" s="144">
        <v>2751.42</v>
      </c>
    </row>
    <row r="585" spans="1:21" ht="15" thickBot="1" x14ac:dyDescent="0.35">
      <c r="A585" s="117">
        <v>584</v>
      </c>
      <c r="B585" s="118" t="s">
        <v>829</v>
      </c>
      <c r="C585" s="118" t="s">
        <v>158</v>
      </c>
      <c r="D585" s="118" t="s">
        <v>3206</v>
      </c>
      <c r="E585" s="118" t="s">
        <v>161</v>
      </c>
      <c r="F585" s="119"/>
      <c r="G585" s="118"/>
      <c r="H585" s="120"/>
      <c r="I585" s="121"/>
      <c r="J585" s="110" t="s">
        <v>2626</v>
      </c>
      <c r="K585" s="110" t="s">
        <v>1403</v>
      </c>
      <c r="L585" s="110" t="s">
        <v>3781</v>
      </c>
      <c r="M585" s="111" t="s">
        <v>1621</v>
      </c>
      <c r="N585" s="111" t="s">
        <v>1850</v>
      </c>
      <c r="O585" s="111" t="s">
        <v>1851</v>
      </c>
      <c r="P585" s="112" t="s">
        <v>3289</v>
      </c>
      <c r="Q585" s="112" t="s">
        <v>3465</v>
      </c>
      <c r="R585" s="112" t="s">
        <v>3667</v>
      </c>
      <c r="S585" s="144">
        <v>3533.04</v>
      </c>
      <c r="T585" s="111">
        <v>312.55</v>
      </c>
      <c r="U585" s="144">
        <v>3220.49</v>
      </c>
    </row>
    <row r="586" spans="1:21" ht="15" thickBot="1" x14ac:dyDescent="0.35">
      <c r="A586" s="117">
        <v>585</v>
      </c>
      <c r="B586" s="118" t="s">
        <v>830</v>
      </c>
      <c r="C586" s="118" t="s">
        <v>216</v>
      </c>
      <c r="D586" s="118" t="s">
        <v>3207</v>
      </c>
      <c r="E586" s="118" t="s">
        <v>191</v>
      </c>
      <c r="F586" s="119"/>
      <c r="G586" s="118"/>
      <c r="H586" s="120"/>
      <c r="I586" s="121"/>
      <c r="J586" s="110" t="s">
        <v>2627</v>
      </c>
      <c r="K586" s="110" t="s">
        <v>1563</v>
      </c>
      <c r="L586" s="110" t="s">
        <v>3781</v>
      </c>
      <c r="M586" s="111" t="s">
        <v>1836</v>
      </c>
      <c r="N586" s="111" t="s">
        <v>1837</v>
      </c>
      <c r="O586" s="111" t="s">
        <v>1838</v>
      </c>
      <c r="P586" s="112" t="s">
        <v>1836</v>
      </c>
      <c r="Q586" s="112" t="s">
        <v>1837</v>
      </c>
      <c r="R586" s="112" t="s">
        <v>1838</v>
      </c>
      <c r="S586" s="144">
        <v>3720</v>
      </c>
      <c r="T586" s="111">
        <v>334.98</v>
      </c>
      <c r="U586" s="144">
        <v>3385.02</v>
      </c>
    </row>
    <row r="587" spans="1:21" ht="15" thickBot="1" x14ac:dyDescent="0.35">
      <c r="A587" s="117">
        <v>586</v>
      </c>
      <c r="B587" s="118" t="s">
        <v>831</v>
      </c>
      <c r="C587" s="118" t="s">
        <v>210</v>
      </c>
      <c r="D587" s="118" t="s">
        <v>3208</v>
      </c>
      <c r="E587" s="118" t="s">
        <v>546</v>
      </c>
      <c r="F587" s="119"/>
      <c r="G587" s="118"/>
      <c r="H587" s="120"/>
      <c r="I587" s="121"/>
      <c r="J587" s="110" t="s">
        <v>2628</v>
      </c>
      <c r="K587" s="110" t="s">
        <v>1403</v>
      </c>
      <c r="L587" s="110" t="s">
        <v>3781</v>
      </c>
      <c r="M587" s="111" t="s">
        <v>1599</v>
      </c>
      <c r="N587" s="111" t="s">
        <v>2629</v>
      </c>
      <c r="O587" s="111" t="s">
        <v>2630</v>
      </c>
      <c r="P587" s="112" t="s">
        <v>1599</v>
      </c>
      <c r="Q587" s="112" t="s">
        <v>1600</v>
      </c>
      <c r="R587" s="112" t="s">
        <v>1601</v>
      </c>
      <c r="S587" s="144">
        <v>1867.54</v>
      </c>
      <c r="T587" s="111">
        <v>137.68</v>
      </c>
      <c r="U587" s="144">
        <v>1729.86</v>
      </c>
    </row>
    <row r="588" spans="1:21" ht="15" thickBot="1" x14ac:dyDescent="0.35">
      <c r="A588" s="117">
        <v>587</v>
      </c>
      <c r="B588" s="118" t="s">
        <v>832</v>
      </c>
      <c r="C588" s="118" t="s">
        <v>150</v>
      </c>
      <c r="D588" s="118" t="s">
        <v>3209</v>
      </c>
      <c r="E588" s="118" t="s">
        <v>161</v>
      </c>
      <c r="F588" s="119"/>
      <c r="G588" s="118"/>
      <c r="H588" s="120"/>
      <c r="I588" s="121"/>
      <c r="J588" s="110" t="s">
        <v>2631</v>
      </c>
      <c r="K588" s="110" t="s">
        <v>1403</v>
      </c>
      <c r="L588" s="110" t="s">
        <v>3781</v>
      </c>
      <c r="M588" s="111" t="s">
        <v>2632</v>
      </c>
      <c r="N588" s="111" t="s">
        <v>2633</v>
      </c>
      <c r="O588" s="111" t="s">
        <v>2634</v>
      </c>
      <c r="P588" s="112" t="s">
        <v>3363</v>
      </c>
      <c r="Q588" s="112" t="s">
        <v>3559</v>
      </c>
      <c r="R588" s="112" t="s">
        <v>3765</v>
      </c>
      <c r="S588" s="144">
        <v>1909.03</v>
      </c>
      <c r="T588" s="111">
        <v>147.49</v>
      </c>
      <c r="U588" s="144">
        <v>1761.54</v>
      </c>
    </row>
    <row r="589" spans="1:21" ht="15" thickBot="1" x14ac:dyDescent="0.35">
      <c r="A589" s="117">
        <v>588</v>
      </c>
      <c r="B589" s="118" t="s">
        <v>833</v>
      </c>
      <c r="C589" s="118" t="s">
        <v>253</v>
      </c>
      <c r="D589" s="118" t="s">
        <v>3210</v>
      </c>
      <c r="E589" s="118" t="s">
        <v>317</v>
      </c>
      <c r="F589" s="119"/>
      <c r="G589" s="118"/>
      <c r="H589" s="120"/>
      <c r="I589" s="121"/>
      <c r="J589" s="110" t="s">
        <v>2635</v>
      </c>
      <c r="K589" s="110" t="s">
        <v>1403</v>
      </c>
      <c r="L589" s="110" t="s">
        <v>3781</v>
      </c>
      <c r="M589" s="111" t="s">
        <v>1570</v>
      </c>
      <c r="N589" s="111" t="s">
        <v>1534</v>
      </c>
      <c r="O589" s="111" t="s">
        <v>1571</v>
      </c>
      <c r="P589" s="112" t="s">
        <v>1570</v>
      </c>
      <c r="Q589" s="112" t="s">
        <v>1534</v>
      </c>
      <c r="R589" s="112" t="s">
        <v>1571</v>
      </c>
      <c r="S589" s="144">
        <v>1621</v>
      </c>
      <c r="T589" s="111">
        <v>121.57</v>
      </c>
      <c r="U589" s="144">
        <v>1499.43</v>
      </c>
    </row>
    <row r="590" spans="1:21" ht="15" thickBot="1" x14ac:dyDescent="0.35">
      <c r="A590" s="117">
        <v>589</v>
      </c>
      <c r="B590" s="124" t="s">
        <v>870</v>
      </c>
      <c r="C590" s="120" t="s">
        <v>1269</v>
      </c>
      <c r="D590" s="125" t="s">
        <v>871</v>
      </c>
      <c r="E590" s="118" t="s">
        <v>234</v>
      </c>
      <c r="F590" s="119"/>
      <c r="G590" s="118"/>
      <c r="H590" s="120" t="s">
        <v>869</v>
      </c>
      <c r="I590" s="121" t="s">
        <v>872</v>
      </c>
      <c r="J590" s="110"/>
      <c r="K590" s="110"/>
      <c r="L590" s="110" t="s">
        <v>3781</v>
      </c>
      <c r="M590" s="111"/>
      <c r="N590" s="111"/>
      <c r="O590" s="111"/>
      <c r="P590" s="112"/>
      <c r="Q590" s="112"/>
      <c r="R590" s="112"/>
      <c r="S590" s="111"/>
      <c r="T590" s="111"/>
      <c r="U590" s="111"/>
    </row>
    <row r="591" spans="1:21" ht="15" thickBot="1" x14ac:dyDescent="0.35">
      <c r="A591" s="117">
        <v>590</v>
      </c>
      <c r="B591" s="126" t="s">
        <v>885</v>
      </c>
      <c r="C591" s="120" t="s">
        <v>1269</v>
      </c>
      <c r="D591" s="125" t="s">
        <v>886</v>
      </c>
      <c r="E591" s="118" t="s">
        <v>234</v>
      </c>
      <c r="F591" s="119"/>
      <c r="G591" s="118"/>
      <c r="H591" s="127" t="s">
        <v>888</v>
      </c>
      <c r="I591" s="128" t="s">
        <v>887</v>
      </c>
      <c r="J591" s="110"/>
      <c r="K591" s="110"/>
      <c r="L591" s="110" t="s">
        <v>3781</v>
      </c>
      <c r="M591" s="111"/>
      <c r="N591" s="111"/>
      <c r="O591" s="111"/>
      <c r="P591" s="112"/>
      <c r="Q591" s="112"/>
      <c r="R591" s="112"/>
      <c r="S591" s="111"/>
      <c r="T591" s="111"/>
      <c r="U591" s="111"/>
    </row>
    <row r="592" spans="1:21" ht="15" thickBot="1" x14ac:dyDescent="0.35">
      <c r="A592" s="117">
        <v>591</v>
      </c>
      <c r="B592" s="126" t="s">
        <v>889</v>
      </c>
      <c r="C592" s="120" t="s">
        <v>1269</v>
      </c>
      <c r="D592" s="125" t="s">
        <v>890</v>
      </c>
      <c r="E592" s="118" t="s">
        <v>234</v>
      </c>
      <c r="F592" s="119"/>
      <c r="G592" s="118"/>
      <c r="H592" s="127" t="s">
        <v>888</v>
      </c>
      <c r="I592" s="128" t="s">
        <v>891</v>
      </c>
      <c r="J592" s="110"/>
      <c r="K592" s="110"/>
      <c r="L592" s="110" t="s">
        <v>3781</v>
      </c>
      <c r="M592" s="111"/>
      <c r="N592" s="111"/>
      <c r="O592" s="111"/>
      <c r="P592" s="112"/>
      <c r="Q592" s="112"/>
      <c r="R592" s="112"/>
      <c r="S592" s="111"/>
      <c r="T592" s="111"/>
      <c r="U592" s="111"/>
    </row>
    <row r="593" spans="1:21" ht="15" thickBot="1" x14ac:dyDescent="0.35">
      <c r="A593" s="117">
        <v>592</v>
      </c>
      <c r="B593" s="126" t="s">
        <v>934</v>
      </c>
      <c r="C593" s="120" t="s">
        <v>1269</v>
      </c>
      <c r="D593" s="125" t="s">
        <v>935</v>
      </c>
      <c r="E593" s="118" t="s">
        <v>234</v>
      </c>
      <c r="F593" s="119"/>
      <c r="G593" s="118"/>
      <c r="H593" s="127" t="s">
        <v>888</v>
      </c>
      <c r="I593" s="128" t="s">
        <v>936</v>
      </c>
      <c r="J593" s="110"/>
      <c r="K593" s="110"/>
      <c r="L593" s="110" t="s">
        <v>3781</v>
      </c>
      <c r="M593" s="111"/>
      <c r="N593" s="111"/>
      <c r="O593" s="111"/>
      <c r="P593" s="112"/>
      <c r="Q593" s="112"/>
      <c r="R593" s="112"/>
      <c r="S593" s="111"/>
      <c r="T593" s="111"/>
      <c r="U593" s="111"/>
    </row>
    <row r="594" spans="1:21" ht="15" thickBot="1" x14ac:dyDescent="0.35">
      <c r="A594" s="117">
        <v>593</v>
      </c>
      <c r="B594" s="126" t="s">
        <v>968</v>
      </c>
      <c r="C594" s="120" t="s">
        <v>1269</v>
      </c>
      <c r="D594" s="125" t="s">
        <v>969</v>
      </c>
      <c r="E594" s="118" t="s">
        <v>234</v>
      </c>
      <c r="F594" s="119"/>
      <c r="G594" s="118"/>
      <c r="H594" s="127" t="s">
        <v>869</v>
      </c>
      <c r="I594" s="128" t="s">
        <v>970</v>
      </c>
      <c r="J594" s="110"/>
      <c r="K594" s="110"/>
      <c r="L594" s="110" t="s">
        <v>3781</v>
      </c>
      <c r="M594" s="111"/>
      <c r="N594" s="111"/>
      <c r="O594" s="111"/>
      <c r="P594" s="112"/>
      <c r="Q594" s="112"/>
      <c r="R594" s="112"/>
      <c r="S594" s="111"/>
      <c r="T594" s="111"/>
      <c r="U594" s="111"/>
    </row>
    <row r="595" spans="1:21" ht="15" thickBot="1" x14ac:dyDescent="0.35">
      <c r="A595" s="117">
        <v>594</v>
      </c>
      <c r="B595" s="126" t="s">
        <v>981</v>
      </c>
      <c r="C595" s="120" t="s">
        <v>1269</v>
      </c>
      <c r="D595" s="125" t="s">
        <v>982</v>
      </c>
      <c r="E595" s="118" t="s">
        <v>234</v>
      </c>
      <c r="F595" s="119"/>
      <c r="G595" s="118"/>
      <c r="H595" s="127" t="s">
        <v>984</v>
      </c>
      <c r="I595" s="128" t="s">
        <v>983</v>
      </c>
      <c r="J595" s="110"/>
      <c r="K595" s="110"/>
      <c r="L595" s="110" t="s">
        <v>3781</v>
      </c>
      <c r="M595" s="111"/>
      <c r="N595" s="111"/>
      <c r="O595" s="111"/>
      <c r="P595" s="112"/>
      <c r="Q595" s="112"/>
      <c r="R595" s="112"/>
      <c r="S595" s="111"/>
      <c r="T595" s="111"/>
      <c r="U595" s="111"/>
    </row>
    <row r="596" spans="1:21" ht="15" thickBot="1" x14ac:dyDescent="0.35">
      <c r="A596" s="117">
        <v>595</v>
      </c>
      <c r="B596" s="129" t="s">
        <v>998</v>
      </c>
      <c r="C596" s="120" t="s">
        <v>1269</v>
      </c>
      <c r="D596" s="125" t="s">
        <v>999</v>
      </c>
      <c r="E596" s="118" t="s">
        <v>234</v>
      </c>
      <c r="F596" s="119"/>
      <c r="G596" s="118"/>
      <c r="H596" s="127" t="s">
        <v>869</v>
      </c>
      <c r="I596" s="128" t="s">
        <v>1000</v>
      </c>
      <c r="J596" s="110"/>
      <c r="K596" s="110"/>
      <c r="L596" s="110" t="s">
        <v>3781</v>
      </c>
      <c r="M596" s="111"/>
      <c r="N596" s="111"/>
      <c r="O596" s="111"/>
      <c r="P596" s="112"/>
      <c r="Q596" s="112"/>
      <c r="R596" s="112"/>
      <c r="S596" s="111"/>
      <c r="T596" s="111"/>
      <c r="U596" s="111"/>
    </row>
    <row r="597" spans="1:21" ht="15" thickBot="1" x14ac:dyDescent="0.35">
      <c r="A597" s="117">
        <v>596</v>
      </c>
      <c r="B597" s="126" t="s">
        <v>1025</v>
      </c>
      <c r="C597" s="120" t="s">
        <v>1269</v>
      </c>
      <c r="D597" s="125" t="s">
        <v>1026</v>
      </c>
      <c r="E597" s="118" t="s">
        <v>234</v>
      </c>
      <c r="F597" s="119"/>
      <c r="G597" s="118"/>
      <c r="H597" s="127" t="s">
        <v>888</v>
      </c>
      <c r="I597" s="128" t="s">
        <v>1027</v>
      </c>
      <c r="J597" s="110"/>
      <c r="K597" s="110"/>
      <c r="L597" s="110" t="s">
        <v>3781</v>
      </c>
      <c r="M597" s="111"/>
      <c r="N597" s="111"/>
      <c r="O597" s="111"/>
      <c r="P597" s="112"/>
      <c r="Q597" s="112"/>
      <c r="R597" s="112"/>
      <c r="S597" s="111"/>
      <c r="T597" s="111"/>
      <c r="U597" s="111"/>
    </row>
    <row r="598" spans="1:21" ht="15" thickBot="1" x14ac:dyDescent="0.35">
      <c r="A598" s="117">
        <v>597</v>
      </c>
      <c r="B598" s="126" t="s">
        <v>1070</v>
      </c>
      <c r="C598" s="120" t="s">
        <v>1269</v>
      </c>
      <c r="D598" s="125" t="s">
        <v>1071</v>
      </c>
      <c r="E598" s="118" t="s">
        <v>234</v>
      </c>
      <c r="F598" s="119"/>
      <c r="G598" s="118"/>
      <c r="H598" s="127" t="s">
        <v>888</v>
      </c>
      <c r="I598" s="128" t="s">
        <v>1072</v>
      </c>
      <c r="J598" s="110"/>
      <c r="K598" s="110"/>
      <c r="L598" s="110" t="s">
        <v>3781</v>
      </c>
      <c r="M598" s="111"/>
      <c r="N598" s="111"/>
      <c r="O598" s="111"/>
      <c r="P598" s="112"/>
      <c r="Q598" s="112"/>
      <c r="R598" s="112"/>
      <c r="S598" s="111"/>
      <c r="T598" s="111"/>
      <c r="U598" s="111"/>
    </row>
    <row r="599" spans="1:21" ht="15" thickBot="1" x14ac:dyDescent="0.35">
      <c r="A599" s="117">
        <v>598</v>
      </c>
      <c r="B599" s="126" t="s">
        <v>1108</v>
      </c>
      <c r="C599" s="120" t="s">
        <v>1269</v>
      </c>
      <c r="D599" s="125" t="s">
        <v>1109</v>
      </c>
      <c r="E599" s="118" t="s">
        <v>234</v>
      </c>
      <c r="F599" s="119"/>
      <c r="G599" s="118"/>
      <c r="H599" s="127" t="s">
        <v>888</v>
      </c>
      <c r="I599" s="128" t="s">
        <v>1110</v>
      </c>
      <c r="J599" s="110"/>
      <c r="K599" s="110"/>
      <c r="L599" s="110" t="s">
        <v>3781</v>
      </c>
      <c r="M599" s="111"/>
      <c r="N599" s="111"/>
      <c r="O599" s="111"/>
      <c r="P599" s="112"/>
      <c r="Q599" s="112"/>
      <c r="R599" s="112"/>
      <c r="S599" s="111"/>
      <c r="T599" s="111"/>
      <c r="U599" s="111"/>
    </row>
    <row r="600" spans="1:21" ht="15" thickBot="1" x14ac:dyDescent="0.35">
      <c r="A600" s="117">
        <v>599</v>
      </c>
      <c r="B600" s="126" t="s">
        <v>1148</v>
      </c>
      <c r="C600" s="120" t="s">
        <v>1269</v>
      </c>
      <c r="D600" s="125" t="s">
        <v>1149</v>
      </c>
      <c r="E600" s="118" t="s">
        <v>234</v>
      </c>
      <c r="F600" s="119"/>
      <c r="G600" s="118"/>
      <c r="H600" s="127" t="s">
        <v>869</v>
      </c>
      <c r="I600" s="128" t="s">
        <v>1150</v>
      </c>
      <c r="J600" s="110"/>
      <c r="K600" s="110"/>
      <c r="L600" s="110" t="s">
        <v>3781</v>
      </c>
      <c r="M600" s="111"/>
      <c r="N600" s="111"/>
      <c r="O600" s="111"/>
      <c r="P600" s="112"/>
      <c r="Q600" s="112"/>
      <c r="R600" s="112"/>
      <c r="S600" s="111"/>
      <c r="T600" s="111"/>
      <c r="U600" s="111"/>
    </row>
    <row r="601" spans="1:21" ht="15" thickBot="1" x14ac:dyDescent="0.35">
      <c r="A601" s="117">
        <v>600</v>
      </c>
      <c r="B601" s="126" t="s">
        <v>1251</v>
      </c>
      <c r="C601" s="120" t="s">
        <v>1269</v>
      </c>
      <c r="D601" s="125" t="s">
        <v>1252</v>
      </c>
      <c r="E601" s="118" t="s">
        <v>234</v>
      </c>
      <c r="F601" s="119"/>
      <c r="G601" s="118"/>
      <c r="H601" s="127" t="s">
        <v>888</v>
      </c>
      <c r="I601" s="128" t="s">
        <v>1253</v>
      </c>
      <c r="J601" s="110"/>
      <c r="K601" s="110"/>
      <c r="L601" s="110" t="s">
        <v>3781</v>
      </c>
      <c r="M601" s="111"/>
      <c r="N601" s="111"/>
      <c r="O601" s="111"/>
      <c r="P601" s="112"/>
      <c r="Q601" s="112"/>
      <c r="R601" s="112"/>
      <c r="S601" s="111"/>
      <c r="T601" s="111"/>
      <c r="U601" s="111"/>
    </row>
    <row r="602" spans="1:21" ht="15" thickBot="1" x14ac:dyDescent="0.35">
      <c r="A602" s="117">
        <v>601</v>
      </c>
      <c r="B602" s="126" t="s">
        <v>1086</v>
      </c>
      <c r="C602" s="120" t="s">
        <v>1269</v>
      </c>
      <c r="D602" s="125" t="s">
        <v>1087</v>
      </c>
      <c r="E602" s="118" t="s">
        <v>234</v>
      </c>
      <c r="F602" s="119" t="s">
        <v>159</v>
      </c>
      <c r="G602" s="118"/>
      <c r="H602" s="127" t="s">
        <v>888</v>
      </c>
      <c r="I602" s="128" t="s">
        <v>1088</v>
      </c>
      <c r="J602" s="110"/>
      <c r="K602" s="110"/>
      <c r="L602" s="110" t="s">
        <v>3781</v>
      </c>
      <c r="M602" s="111"/>
      <c r="N602" s="111"/>
      <c r="O602" s="111"/>
      <c r="P602" s="112"/>
      <c r="Q602" s="112"/>
      <c r="R602" s="112"/>
      <c r="S602" s="111"/>
      <c r="T602" s="111"/>
      <c r="U602" s="111"/>
    </row>
    <row r="603" spans="1:21" ht="15" thickBot="1" x14ac:dyDescent="0.35">
      <c r="A603" s="117">
        <v>602</v>
      </c>
      <c r="B603" s="126" t="s">
        <v>1203</v>
      </c>
      <c r="C603" s="120" t="s">
        <v>1269</v>
      </c>
      <c r="D603" s="125" t="s">
        <v>1204</v>
      </c>
      <c r="E603" s="118" t="s">
        <v>234</v>
      </c>
      <c r="F603" s="119" t="s">
        <v>159</v>
      </c>
      <c r="G603" s="118"/>
      <c r="H603" s="127" t="s">
        <v>869</v>
      </c>
      <c r="I603" s="128" t="s">
        <v>1205</v>
      </c>
      <c r="J603" s="110"/>
      <c r="K603" s="110"/>
      <c r="L603" s="110" t="s">
        <v>3781</v>
      </c>
      <c r="M603" s="111"/>
      <c r="N603" s="111"/>
      <c r="O603" s="111"/>
      <c r="P603" s="112"/>
      <c r="Q603" s="112"/>
      <c r="R603" s="112"/>
      <c r="S603" s="111"/>
      <c r="T603" s="111"/>
      <c r="U603" s="111"/>
    </row>
    <row r="604" spans="1:21" ht="15" thickBot="1" x14ac:dyDescent="0.35">
      <c r="A604" s="117">
        <v>603</v>
      </c>
      <c r="B604" s="126" t="s">
        <v>856</v>
      </c>
      <c r="C604" s="120" t="s">
        <v>1269</v>
      </c>
      <c r="D604" s="125" t="s">
        <v>857</v>
      </c>
      <c r="E604" s="118" t="s">
        <v>173</v>
      </c>
      <c r="F604" s="127"/>
      <c r="G604" s="127"/>
      <c r="H604" s="127" t="s">
        <v>859</v>
      </c>
      <c r="I604" s="128" t="s">
        <v>858</v>
      </c>
      <c r="J604" s="110"/>
      <c r="K604" s="110"/>
      <c r="L604" s="110" t="s">
        <v>3781</v>
      </c>
      <c r="M604" s="111"/>
      <c r="N604" s="111"/>
      <c r="O604" s="111"/>
      <c r="P604" s="112"/>
      <c r="Q604" s="112"/>
      <c r="R604" s="112"/>
      <c r="S604" s="111"/>
      <c r="T604" s="111"/>
      <c r="U604" s="111"/>
    </row>
    <row r="605" spans="1:21" ht="15" thickBot="1" x14ac:dyDescent="0.35">
      <c r="A605" s="117">
        <v>604</v>
      </c>
      <c r="B605" s="126" t="s">
        <v>1043</v>
      </c>
      <c r="C605" s="120" t="s">
        <v>1269</v>
      </c>
      <c r="D605" s="125" t="s">
        <v>1044</v>
      </c>
      <c r="E605" s="118" t="s">
        <v>173</v>
      </c>
      <c r="F605" s="127"/>
      <c r="G605" s="127"/>
      <c r="H605" s="127" t="s">
        <v>838</v>
      </c>
      <c r="I605" s="128" t="s">
        <v>1045</v>
      </c>
      <c r="J605" s="110"/>
      <c r="K605" s="110"/>
      <c r="L605" s="110" t="s">
        <v>3781</v>
      </c>
      <c r="M605" s="111"/>
      <c r="N605" s="111"/>
      <c r="O605" s="111"/>
      <c r="P605" s="112"/>
      <c r="Q605" s="112"/>
      <c r="R605" s="112"/>
      <c r="S605" s="111"/>
      <c r="T605" s="111"/>
      <c r="U605" s="111"/>
    </row>
    <row r="606" spans="1:21" ht="15" thickBot="1" x14ac:dyDescent="0.35">
      <c r="A606" s="117">
        <v>605</v>
      </c>
      <c r="B606" s="126" t="s">
        <v>1166</v>
      </c>
      <c r="C606" s="120" t="s">
        <v>1269</v>
      </c>
      <c r="D606" s="125" t="s">
        <v>1167</v>
      </c>
      <c r="E606" s="118" t="s">
        <v>173</v>
      </c>
      <c r="F606" s="127"/>
      <c r="G606" s="127"/>
      <c r="H606" s="127" t="s">
        <v>838</v>
      </c>
      <c r="I606" s="128" t="s">
        <v>1168</v>
      </c>
      <c r="J606" s="110"/>
      <c r="K606" s="110"/>
      <c r="L606" s="110" t="s">
        <v>3781</v>
      </c>
      <c r="M606" s="111"/>
      <c r="N606" s="111"/>
      <c r="O606" s="111"/>
      <c r="P606" s="112"/>
      <c r="Q606" s="112"/>
      <c r="R606" s="112"/>
      <c r="S606" s="111"/>
      <c r="T606" s="111"/>
      <c r="U606" s="111"/>
    </row>
    <row r="607" spans="1:21" ht="15" thickBot="1" x14ac:dyDescent="0.35">
      <c r="A607" s="117">
        <v>606</v>
      </c>
      <c r="B607" s="129" t="s">
        <v>988</v>
      </c>
      <c r="C607" s="120" t="s">
        <v>1269</v>
      </c>
      <c r="D607" s="125" t="s">
        <v>989</v>
      </c>
      <c r="E607" s="127" t="s">
        <v>991</v>
      </c>
      <c r="F607" s="127"/>
      <c r="G607" s="127"/>
      <c r="H607" s="130"/>
      <c r="I607" s="128" t="s">
        <v>990</v>
      </c>
      <c r="J607" s="110"/>
      <c r="K607" s="110"/>
      <c r="L607" s="110" t="s">
        <v>3781</v>
      </c>
      <c r="M607" s="111"/>
      <c r="N607" s="111"/>
      <c r="O607" s="111"/>
      <c r="P607" s="112"/>
      <c r="Q607" s="112"/>
      <c r="R607" s="112"/>
      <c r="S607" s="111"/>
      <c r="T607" s="111"/>
      <c r="U607" s="111"/>
    </row>
    <row r="608" spans="1:21" ht="15" thickBot="1" x14ac:dyDescent="0.35">
      <c r="A608" s="117">
        <v>607</v>
      </c>
      <c r="B608" s="129" t="s">
        <v>1117</v>
      </c>
      <c r="C608" s="120" t="s">
        <v>1269</v>
      </c>
      <c r="D608" s="125" t="s">
        <v>1118</v>
      </c>
      <c r="E608" s="118" t="s">
        <v>170</v>
      </c>
      <c r="F608" s="127"/>
      <c r="G608" s="127"/>
      <c r="H608" s="127" t="s">
        <v>842</v>
      </c>
      <c r="I608" s="131" t="s">
        <v>1119</v>
      </c>
      <c r="J608" s="110"/>
      <c r="K608" s="110"/>
      <c r="L608" s="110" t="s">
        <v>3781</v>
      </c>
      <c r="M608" s="111"/>
      <c r="N608" s="111"/>
      <c r="O608" s="111"/>
      <c r="P608" s="112"/>
      <c r="Q608" s="112"/>
      <c r="R608" s="112"/>
      <c r="S608" s="111"/>
      <c r="T608" s="111"/>
      <c r="U608" s="111"/>
    </row>
    <row r="609" spans="1:21" ht="15" thickBot="1" x14ac:dyDescent="0.35">
      <c r="A609" s="117">
        <v>608</v>
      </c>
      <c r="B609" s="126" t="s">
        <v>977</v>
      </c>
      <c r="C609" s="120" t="s">
        <v>1269</v>
      </c>
      <c r="D609" s="125" t="s">
        <v>978</v>
      </c>
      <c r="E609" s="118" t="s">
        <v>159</v>
      </c>
      <c r="F609" s="127"/>
      <c r="G609" s="127"/>
      <c r="H609" s="127" t="s">
        <v>980</v>
      </c>
      <c r="I609" s="128" t="s">
        <v>979</v>
      </c>
      <c r="J609" s="110"/>
      <c r="K609" s="110"/>
      <c r="L609" s="110" t="s">
        <v>3781</v>
      </c>
      <c r="M609" s="111"/>
      <c r="N609" s="111"/>
      <c r="O609" s="111"/>
      <c r="P609" s="112"/>
      <c r="Q609" s="112"/>
      <c r="R609" s="112"/>
      <c r="S609" s="111"/>
      <c r="T609" s="111"/>
      <c r="U609" s="111"/>
    </row>
    <row r="610" spans="1:21" ht="15" thickBot="1" x14ac:dyDescent="0.35">
      <c r="A610" s="117">
        <v>609</v>
      </c>
      <c r="B610" s="126" t="s">
        <v>1001</v>
      </c>
      <c r="C610" s="120" t="s">
        <v>1269</v>
      </c>
      <c r="D610" s="125" t="s">
        <v>1002</v>
      </c>
      <c r="E610" s="118" t="s">
        <v>159</v>
      </c>
      <c r="F610" s="127"/>
      <c r="G610" s="127"/>
      <c r="H610" s="127" t="s">
        <v>838</v>
      </c>
      <c r="I610" s="128" t="s">
        <v>1003</v>
      </c>
      <c r="J610" s="110"/>
      <c r="K610" s="110"/>
      <c r="L610" s="110" t="s">
        <v>3781</v>
      </c>
      <c r="M610" s="111"/>
      <c r="N610" s="111"/>
      <c r="O610" s="111"/>
      <c r="P610" s="112"/>
      <c r="Q610" s="112"/>
      <c r="R610" s="112"/>
      <c r="S610" s="111"/>
      <c r="T610" s="111"/>
      <c r="U610" s="111"/>
    </row>
    <row r="611" spans="1:21" ht="15" thickBot="1" x14ac:dyDescent="0.35">
      <c r="A611" s="117">
        <v>610</v>
      </c>
      <c r="B611" s="126" t="s">
        <v>1076</v>
      </c>
      <c r="C611" s="120" t="s">
        <v>1269</v>
      </c>
      <c r="D611" s="125" t="s">
        <v>1077</v>
      </c>
      <c r="E611" s="118" t="s">
        <v>159</v>
      </c>
      <c r="F611" s="127"/>
      <c r="G611" s="127"/>
      <c r="H611" s="127" t="s">
        <v>1079</v>
      </c>
      <c r="I611" s="128" t="s">
        <v>1078</v>
      </c>
      <c r="J611" s="110"/>
      <c r="K611" s="110"/>
      <c r="L611" s="110" t="s">
        <v>3781</v>
      </c>
      <c r="M611" s="111"/>
      <c r="N611" s="111"/>
      <c r="O611" s="111"/>
      <c r="P611" s="112"/>
      <c r="Q611" s="112"/>
      <c r="R611" s="112"/>
      <c r="S611" s="111"/>
      <c r="T611" s="111"/>
      <c r="U611" s="111"/>
    </row>
    <row r="612" spans="1:21" ht="15" thickBot="1" x14ac:dyDescent="0.35">
      <c r="A612" s="117">
        <v>611</v>
      </c>
      <c r="B612" s="126" t="s">
        <v>1190</v>
      </c>
      <c r="C612" s="120" t="s">
        <v>1269</v>
      </c>
      <c r="D612" s="125" t="s">
        <v>1191</v>
      </c>
      <c r="E612" s="118" t="s">
        <v>159</v>
      </c>
      <c r="F612" s="127"/>
      <c r="G612" s="127"/>
      <c r="H612" s="127" t="s">
        <v>869</v>
      </c>
      <c r="I612" s="128" t="s">
        <v>1192</v>
      </c>
      <c r="J612" s="110"/>
      <c r="K612" s="110"/>
      <c r="L612" s="110" t="s">
        <v>3781</v>
      </c>
      <c r="M612" s="111"/>
      <c r="N612" s="111"/>
      <c r="O612" s="111"/>
      <c r="P612" s="112"/>
      <c r="Q612" s="112"/>
      <c r="R612" s="112"/>
      <c r="S612" s="111"/>
      <c r="T612" s="111"/>
      <c r="U612" s="111"/>
    </row>
    <row r="613" spans="1:21" ht="15" thickBot="1" x14ac:dyDescent="0.35">
      <c r="A613" s="117">
        <v>612</v>
      </c>
      <c r="B613" s="126" t="s">
        <v>1193</v>
      </c>
      <c r="C613" s="120" t="s">
        <v>1269</v>
      </c>
      <c r="D613" s="125" t="s">
        <v>1194</v>
      </c>
      <c r="E613" s="118" t="s">
        <v>159</v>
      </c>
      <c r="F613" s="127"/>
      <c r="G613" s="127"/>
      <c r="H613" s="127" t="s">
        <v>869</v>
      </c>
      <c r="I613" s="128" t="s">
        <v>1195</v>
      </c>
      <c r="J613" s="110"/>
      <c r="K613" s="110"/>
      <c r="L613" s="110" t="s">
        <v>3781</v>
      </c>
      <c r="M613" s="111"/>
      <c r="N613" s="111"/>
      <c r="O613" s="111"/>
      <c r="P613" s="112"/>
      <c r="Q613" s="112"/>
      <c r="R613" s="112"/>
      <c r="S613" s="111"/>
      <c r="T613" s="111"/>
      <c r="U613" s="111"/>
    </row>
    <row r="614" spans="1:21" ht="15" thickBot="1" x14ac:dyDescent="0.35">
      <c r="A614" s="117">
        <v>613</v>
      </c>
      <c r="B614" s="129" t="s">
        <v>1196</v>
      </c>
      <c r="C614" s="120" t="s">
        <v>1269</v>
      </c>
      <c r="D614" s="125" t="s">
        <v>1197</v>
      </c>
      <c r="E614" s="118" t="s">
        <v>159</v>
      </c>
      <c r="F614" s="127"/>
      <c r="G614" s="127"/>
      <c r="H614" s="127" t="s">
        <v>1199</v>
      </c>
      <c r="I614" s="128" t="s">
        <v>1198</v>
      </c>
      <c r="J614" s="110"/>
      <c r="K614" s="110"/>
      <c r="L614" s="110" t="s">
        <v>3781</v>
      </c>
      <c r="M614" s="111"/>
      <c r="N614" s="111"/>
      <c r="O614" s="111"/>
      <c r="P614" s="112"/>
      <c r="Q614" s="112"/>
      <c r="R614" s="112"/>
      <c r="S614" s="111"/>
      <c r="T614" s="111"/>
      <c r="U614" s="111"/>
    </row>
    <row r="615" spans="1:21" ht="15" thickBot="1" x14ac:dyDescent="0.35">
      <c r="A615" s="117">
        <v>614</v>
      </c>
      <c r="B615" s="126" t="s">
        <v>1209</v>
      </c>
      <c r="C615" s="120" t="s">
        <v>1269</v>
      </c>
      <c r="D615" s="125" t="s">
        <v>1210</v>
      </c>
      <c r="E615" s="118" t="s">
        <v>159</v>
      </c>
      <c r="F615" s="127"/>
      <c r="G615" s="127"/>
      <c r="H615" s="127" t="s">
        <v>1141</v>
      </c>
      <c r="I615" s="128" t="s">
        <v>1211</v>
      </c>
      <c r="J615" s="110"/>
      <c r="K615" s="110"/>
      <c r="L615" s="110" t="s">
        <v>3831</v>
      </c>
      <c r="M615" s="111"/>
      <c r="N615" s="111"/>
      <c r="O615" s="111"/>
      <c r="P615" s="112"/>
      <c r="Q615" s="112"/>
      <c r="R615" s="112"/>
      <c r="S615" s="111"/>
      <c r="T615" s="111"/>
      <c r="U615" s="111"/>
    </row>
    <row r="616" spans="1:21" ht="15" thickBot="1" x14ac:dyDescent="0.35">
      <c r="A616" s="117">
        <v>615</v>
      </c>
      <c r="B616" s="129" t="s">
        <v>1224</v>
      </c>
      <c r="C616" s="120" t="s">
        <v>1269</v>
      </c>
      <c r="D616" s="125" t="s">
        <v>1225</v>
      </c>
      <c r="E616" s="118" t="s">
        <v>159</v>
      </c>
      <c r="F616" s="127"/>
      <c r="G616" s="127"/>
      <c r="H616" s="127" t="s">
        <v>869</v>
      </c>
      <c r="I616" s="131" t="s">
        <v>1226</v>
      </c>
      <c r="J616" s="110"/>
      <c r="K616" s="110"/>
      <c r="L616" s="110" t="s">
        <v>3781</v>
      </c>
      <c r="M616" s="111"/>
      <c r="N616" s="111"/>
      <c r="O616" s="111"/>
      <c r="P616" s="112"/>
      <c r="Q616" s="112"/>
      <c r="R616" s="112"/>
      <c r="S616" s="111"/>
      <c r="T616" s="111"/>
      <c r="U616" s="111"/>
    </row>
    <row r="617" spans="1:21" ht="15" thickBot="1" x14ac:dyDescent="0.35">
      <c r="A617" s="117">
        <v>616</v>
      </c>
      <c r="B617" s="126" t="s">
        <v>1257</v>
      </c>
      <c r="C617" s="120" t="s">
        <v>1269</v>
      </c>
      <c r="D617" s="125" t="s">
        <v>1258</v>
      </c>
      <c r="E617" s="118" t="s">
        <v>159</v>
      </c>
      <c r="F617" s="127"/>
      <c r="G617" s="127"/>
      <c r="H617" s="127" t="s">
        <v>838</v>
      </c>
      <c r="I617" s="128" t="s">
        <v>1259</v>
      </c>
      <c r="J617" s="110"/>
      <c r="K617" s="110"/>
      <c r="L617" s="110" t="s">
        <v>3781</v>
      </c>
      <c r="M617" s="111"/>
      <c r="N617" s="111"/>
      <c r="O617" s="111"/>
      <c r="P617" s="112"/>
      <c r="Q617" s="112"/>
      <c r="R617" s="112"/>
      <c r="S617" s="111"/>
      <c r="T617" s="111"/>
      <c r="U617" s="111"/>
    </row>
    <row r="618" spans="1:21" ht="15" thickBot="1" x14ac:dyDescent="0.35">
      <c r="A618" s="117">
        <v>617</v>
      </c>
      <c r="B618" s="126" t="s">
        <v>918</v>
      </c>
      <c r="C618" s="120" t="s">
        <v>1269</v>
      </c>
      <c r="D618" s="125" t="s">
        <v>919</v>
      </c>
      <c r="E618" s="118" t="s">
        <v>159</v>
      </c>
      <c r="F618" s="127" t="s">
        <v>161</v>
      </c>
      <c r="G618" s="127"/>
      <c r="H618" s="127" t="s">
        <v>859</v>
      </c>
      <c r="I618" s="128" t="s">
        <v>920</v>
      </c>
      <c r="J618" s="110"/>
      <c r="K618" s="110"/>
      <c r="L618" s="110" t="s">
        <v>3781</v>
      </c>
      <c r="M618" s="111"/>
      <c r="N618" s="111"/>
      <c r="O618" s="111"/>
      <c r="P618" s="112"/>
      <c r="Q618" s="112"/>
      <c r="R618" s="112"/>
      <c r="S618" s="111"/>
      <c r="T618" s="111"/>
      <c r="U618" s="111"/>
    </row>
    <row r="619" spans="1:21" ht="15" thickBot="1" x14ac:dyDescent="0.35">
      <c r="A619" s="117">
        <v>618</v>
      </c>
      <c r="B619" s="129" t="s">
        <v>950</v>
      </c>
      <c r="C619" s="120" t="s">
        <v>1269</v>
      </c>
      <c r="D619" s="125" t="s">
        <v>951</v>
      </c>
      <c r="E619" s="118" t="s">
        <v>159</v>
      </c>
      <c r="F619" s="127" t="s">
        <v>161</v>
      </c>
      <c r="G619" s="127"/>
      <c r="H619" s="127" t="s">
        <v>859</v>
      </c>
      <c r="I619" s="128" t="s">
        <v>952</v>
      </c>
      <c r="J619" s="110"/>
      <c r="K619" s="110"/>
      <c r="L619" s="110" t="s">
        <v>3781</v>
      </c>
      <c r="M619" s="111"/>
      <c r="N619" s="111"/>
      <c r="O619" s="111"/>
      <c r="P619" s="112"/>
      <c r="Q619" s="112"/>
      <c r="R619" s="112"/>
      <c r="S619" s="111"/>
      <c r="T619" s="111"/>
      <c r="U619" s="111"/>
    </row>
    <row r="620" spans="1:21" ht="15" thickBot="1" x14ac:dyDescent="0.35">
      <c r="A620" s="117">
        <v>619</v>
      </c>
      <c r="B620" s="126" t="s">
        <v>965</v>
      </c>
      <c r="C620" s="120" t="s">
        <v>1269</v>
      </c>
      <c r="D620" s="125" t="s">
        <v>966</v>
      </c>
      <c r="E620" s="118" t="s">
        <v>159</v>
      </c>
      <c r="F620" s="127" t="s">
        <v>161</v>
      </c>
      <c r="G620" s="127" t="s">
        <v>163</v>
      </c>
      <c r="H620" s="127" t="s">
        <v>929</v>
      </c>
      <c r="I620" s="128" t="s">
        <v>967</v>
      </c>
      <c r="J620" s="110"/>
      <c r="K620" s="110"/>
      <c r="L620" s="110" t="s">
        <v>3781</v>
      </c>
      <c r="M620" s="111"/>
      <c r="N620" s="111"/>
      <c r="O620" s="111"/>
      <c r="P620" s="112"/>
      <c r="Q620" s="112"/>
      <c r="R620" s="112"/>
      <c r="S620" s="111"/>
      <c r="T620" s="111"/>
      <c r="U620" s="111"/>
    </row>
    <row r="621" spans="1:21" ht="15" thickBot="1" x14ac:dyDescent="0.35">
      <c r="A621" s="117">
        <v>620</v>
      </c>
      <c r="B621" s="126" t="s">
        <v>866</v>
      </c>
      <c r="C621" s="120" t="s">
        <v>1269</v>
      </c>
      <c r="D621" s="125" t="s">
        <v>867</v>
      </c>
      <c r="E621" s="118" t="s">
        <v>185</v>
      </c>
      <c r="F621" s="127"/>
      <c r="G621" s="127"/>
      <c r="H621" s="127" t="s">
        <v>869</v>
      </c>
      <c r="I621" s="128" t="s">
        <v>868</v>
      </c>
      <c r="J621" s="110"/>
      <c r="K621" s="110"/>
      <c r="L621" s="110" t="s">
        <v>3781</v>
      </c>
      <c r="M621" s="111"/>
      <c r="N621" s="111"/>
      <c r="O621" s="111"/>
      <c r="P621" s="112"/>
      <c r="Q621" s="112"/>
      <c r="R621" s="112"/>
      <c r="S621" s="111"/>
      <c r="T621" s="111"/>
      <c r="U621" s="111"/>
    </row>
    <row r="622" spans="1:21" ht="15" thickBot="1" x14ac:dyDescent="0.35">
      <c r="A622" s="117">
        <v>621</v>
      </c>
      <c r="B622" s="126" t="s">
        <v>1160</v>
      </c>
      <c r="C622" s="120" t="s">
        <v>1269</v>
      </c>
      <c r="D622" s="125" t="s">
        <v>1161</v>
      </c>
      <c r="E622" s="118" t="s">
        <v>185</v>
      </c>
      <c r="F622" s="127"/>
      <c r="G622" s="127"/>
      <c r="H622" s="127" t="s">
        <v>869</v>
      </c>
      <c r="I622" s="128" t="s">
        <v>1162</v>
      </c>
      <c r="J622" s="110"/>
      <c r="K622" s="110"/>
      <c r="L622" s="110" t="s">
        <v>3781</v>
      </c>
      <c r="M622" s="111"/>
      <c r="N622" s="111"/>
      <c r="O622" s="111"/>
      <c r="P622" s="112"/>
      <c r="Q622" s="112"/>
      <c r="R622" s="112"/>
      <c r="S622" s="111"/>
      <c r="T622" s="111"/>
      <c r="U622" s="111"/>
    </row>
    <row r="623" spans="1:21" ht="15" thickBot="1" x14ac:dyDescent="0.35">
      <c r="A623" s="117">
        <v>622</v>
      </c>
      <c r="B623" s="126" t="s">
        <v>1206</v>
      </c>
      <c r="C623" s="120" t="s">
        <v>1269</v>
      </c>
      <c r="D623" s="125" t="s">
        <v>1207</v>
      </c>
      <c r="E623" s="118" t="s">
        <v>185</v>
      </c>
      <c r="F623" s="127"/>
      <c r="G623" s="127"/>
      <c r="H623" s="127" t="s">
        <v>869</v>
      </c>
      <c r="I623" s="128" t="s">
        <v>1208</v>
      </c>
      <c r="J623" s="110"/>
      <c r="K623" s="110"/>
      <c r="L623" s="110" t="s">
        <v>3781</v>
      </c>
      <c r="M623" s="111"/>
      <c r="N623" s="111"/>
      <c r="O623" s="111"/>
      <c r="P623" s="112"/>
      <c r="Q623" s="112"/>
      <c r="R623" s="112"/>
      <c r="S623" s="111"/>
      <c r="T623" s="111"/>
      <c r="U623" s="111"/>
    </row>
    <row r="624" spans="1:21" ht="15" thickBot="1" x14ac:dyDescent="0.35">
      <c r="A624" s="117">
        <v>623</v>
      </c>
      <c r="B624" s="129" t="s">
        <v>1031</v>
      </c>
      <c r="C624" s="120" t="s">
        <v>1269</v>
      </c>
      <c r="D624" s="125" t="s">
        <v>1032</v>
      </c>
      <c r="E624" s="118" t="s">
        <v>185</v>
      </c>
      <c r="F624" s="119" t="s">
        <v>159</v>
      </c>
      <c r="G624" s="127"/>
      <c r="H624" s="127" t="s">
        <v>869</v>
      </c>
      <c r="I624" s="131" t="s">
        <v>1033</v>
      </c>
      <c r="J624" s="110"/>
      <c r="K624" s="110"/>
      <c r="L624" s="110" t="s">
        <v>3781</v>
      </c>
      <c r="M624" s="111"/>
      <c r="N624" s="111"/>
      <c r="O624" s="111"/>
      <c r="P624" s="112"/>
      <c r="Q624" s="112"/>
      <c r="R624" s="112"/>
      <c r="S624" s="111"/>
      <c r="T624" s="111"/>
      <c r="U624" s="111"/>
    </row>
    <row r="625" spans="1:21" ht="15" thickBot="1" x14ac:dyDescent="0.35">
      <c r="A625" s="117">
        <v>624</v>
      </c>
      <c r="B625" s="126" t="s">
        <v>1178</v>
      </c>
      <c r="C625" s="120" t="s">
        <v>1269</v>
      </c>
      <c r="D625" s="125" t="s">
        <v>1179</v>
      </c>
      <c r="E625" s="127" t="s">
        <v>1155</v>
      </c>
      <c r="F625" s="127"/>
      <c r="G625" s="127"/>
      <c r="H625" s="127" t="s">
        <v>1155</v>
      </c>
      <c r="I625" s="128" t="s">
        <v>1180</v>
      </c>
      <c r="J625" s="110"/>
      <c r="K625" s="110"/>
      <c r="L625" s="110" t="s">
        <v>3781</v>
      </c>
      <c r="M625" s="111"/>
      <c r="N625" s="111"/>
      <c r="O625" s="111"/>
      <c r="P625" s="112"/>
      <c r="Q625" s="112"/>
      <c r="R625" s="112"/>
      <c r="S625" s="111"/>
      <c r="T625" s="111"/>
      <c r="U625" s="111"/>
    </row>
    <row r="626" spans="1:21" ht="15" thickBot="1" x14ac:dyDescent="0.35">
      <c r="A626" s="117">
        <v>625</v>
      </c>
      <c r="B626" s="126" t="s">
        <v>1138</v>
      </c>
      <c r="C626" s="120" t="s">
        <v>1269</v>
      </c>
      <c r="D626" s="125" t="s">
        <v>1139</v>
      </c>
      <c r="E626" s="118" t="s">
        <v>173</v>
      </c>
      <c r="F626" s="119" t="s">
        <v>234</v>
      </c>
      <c r="G626" s="118"/>
      <c r="H626" s="127" t="s">
        <v>1141</v>
      </c>
      <c r="I626" s="128" t="s">
        <v>1140</v>
      </c>
      <c r="J626" s="110"/>
      <c r="K626" s="110"/>
      <c r="L626" s="110" t="s">
        <v>3781</v>
      </c>
      <c r="M626" s="111"/>
      <c r="N626" s="111"/>
      <c r="O626" s="111"/>
      <c r="P626" s="112"/>
      <c r="Q626" s="112"/>
      <c r="R626" s="112"/>
      <c r="S626" s="111"/>
      <c r="T626" s="111"/>
      <c r="U626" s="111"/>
    </row>
    <row r="627" spans="1:21" ht="15" thickBot="1" x14ac:dyDescent="0.35">
      <c r="A627" s="117">
        <v>626</v>
      </c>
      <c r="B627" s="129" t="s">
        <v>906</v>
      </c>
      <c r="C627" s="120" t="s">
        <v>1269</v>
      </c>
      <c r="D627" s="125" t="s">
        <v>907</v>
      </c>
      <c r="E627" s="127" t="s">
        <v>168</v>
      </c>
      <c r="F627" s="127"/>
      <c r="G627" s="127"/>
      <c r="H627" s="127" t="s">
        <v>838</v>
      </c>
      <c r="I627" s="131" t="s">
        <v>908</v>
      </c>
      <c r="J627" s="110"/>
      <c r="K627" s="110"/>
      <c r="L627" s="110" t="s">
        <v>3781</v>
      </c>
      <c r="M627" s="111"/>
      <c r="N627" s="111"/>
      <c r="O627" s="111"/>
      <c r="P627" s="112"/>
      <c r="Q627" s="112"/>
      <c r="R627" s="112"/>
      <c r="S627" s="111"/>
      <c r="T627" s="111"/>
      <c r="U627" s="111"/>
    </row>
    <row r="628" spans="1:21" ht="15" thickBot="1" x14ac:dyDescent="0.35">
      <c r="A628" s="117">
        <v>627</v>
      </c>
      <c r="B628" s="129" t="s">
        <v>924</v>
      </c>
      <c r="C628" s="120" t="s">
        <v>1269</v>
      </c>
      <c r="D628" s="125" t="s">
        <v>925</v>
      </c>
      <c r="E628" s="127" t="s">
        <v>168</v>
      </c>
      <c r="F628" s="127"/>
      <c r="G628" s="127"/>
      <c r="H628" s="127" t="s">
        <v>838</v>
      </c>
      <c r="I628" s="131" t="s">
        <v>926</v>
      </c>
      <c r="J628" s="110"/>
      <c r="K628" s="110"/>
      <c r="L628" s="110" t="s">
        <v>3781</v>
      </c>
      <c r="M628" s="111"/>
      <c r="N628" s="111"/>
      <c r="O628" s="111"/>
      <c r="P628" s="112"/>
      <c r="Q628" s="112"/>
      <c r="R628" s="112"/>
      <c r="S628" s="111"/>
      <c r="T628" s="111"/>
      <c r="U628" s="111"/>
    </row>
    <row r="629" spans="1:21" ht="15" thickBot="1" x14ac:dyDescent="0.35">
      <c r="A629" s="117">
        <v>628</v>
      </c>
      <c r="B629" s="129" t="s">
        <v>1028</v>
      </c>
      <c r="C629" s="120" t="s">
        <v>1269</v>
      </c>
      <c r="D629" s="125" t="s">
        <v>1029</v>
      </c>
      <c r="E629" s="127" t="s">
        <v>168</v>
      </c>
      <c r="F629" s="127"/>
      <c r="G629" s="127"/>
      <c r="H629" s="127" t="s">
        <v>838</v>
      </c>
      <c r="I629" s="131" t="s">
        <v>1030</v>
      </c>
      <c r="J629" s="110"/>
      <c r="K629" s="110"/>
      <c r="L629" s="110" t="s">
        <v>3781</v>
      </c>
      <c r="M629" s="111"/>
      <c r="N629" s="111"/>
      <c r="O629" s="111"/>
      <c r="P629" s="112"/>
      <c r="Q629" s="112"/>
      <c r="R629" s="112"/>
      <c r="S629" s="111"/>
      <c r="T629" s="111"/>
      <c r="U629" s="111"/>
    </row>
    <row r="630" spans="1:21" ht="15" thickBot="1" x14ac:dyDescent="0.35">
      <c r="A630" s="117">
        <v>629</v>
      </c>
      <c r="B630" s="126" t="s">
        <v>1037</v>
      </c>
      <c r="C630" s="120" t="s">
        <v>1269</v>
      </c>
      <c r="D630" s="125" t="s">
        <v>1038</v>
      </c>
      <c r="E630" s="127" t="s">
        <v>168</v>
      </c>
      <c r="F630" s="127"/>
      <c r="G630" s="127"/>
      <c r="H630" s="127" t="s">
        <v>838</v>
      </c>
      <c r="I630" s="128" t="s">
        <v>1039</v>
      </c>
      <c r="J630" s="110"/>
      <c r="K630" s="110"/>
      <c r="L630" s="110" t="s">
        <v>3781</v>
      </c>
      <c r="M630" s="111"/>
      <c r="N630" s="111"/>
      <c r="O630" s="111"/>
      <c r="P630" s="112"/>
      <c r="Q630" s="112"/>
      <c r="R630" s="112"/>
      <c r="S630" s="111"/>
      <c r="T630" s="111"/>
      <c r="U630" s="111"/>
    </row>
    <row r="631" spans="1:21" ht="15" thickBot="1" x14ac:dyDescent="0.35">
      <c r="A631" s="117">
        <v>630</v>
      </c>
      <c r="B631" s="129" t="s">
        <v>1049</v>
      </c>
      <c r="C631" s="120" t="s">
        <v>1269</v>
      </c>
      <c r="D631" s="125" t="s">
        <v>1050</v>
      </c>
      <c r="E631" s="127" t="s">
        <v>168</v>
      </c>
      <c r="F631" s="127"/>
      <c r="G631" s="127"/>
      <c r="H631" s="127" t="s">
        <v>838</v>
      </c>
      <c r="I631" s="131" t="s">
        <v>1051</v>
      </c>
      <c r="J631" s="110"/>
      <c r="K631" s="110"/>
      <c r="L631" s="110" t="s">
        <v>3781</v>
      </c>
      <c r="M631" s="111"/>
      <c r="N631" s="111"/>
      <c r="O631" s="111"/>
      <c r="P631" s="112"/>
      <c r="Q631" s="112"/>
      <c r="R631" s="112"/>
      <c r="S631" s="111"/>
      <c r="T631" s="111"/>
      <c r="U631" s="111"/>
    </row>
    <row r="632" spans="1:21" ht="15" thickBot="1" x14ac:dyDescent="0.35">
      <c r="A632" s="117">
        <v>631</v>
      </c>
      <c r="B632" s="129" t="s">
        <v>1095</v>
      </c>
      <c r="C632" s="120" t="s">
        <v>1269</v>
      </c>
      <c r="D632" s="125" t="s">
        <v>1096</v>
      </c>
      <c r="E632" s="127" t="s">
        <v>168</v>
      </c>
      <c r="F632" s="127"/>
      <c r="G632" s="127"/>
      <c r="H632" s="127" t="s">
        <v>838</v>
      </c>
      <c r="I632" s="131" t="s">
        <v>1097</v>
      </c>
      <c r="J632" s="110"/>
      <c r="K632" s="110"/>
      <c r="L632" s="110" t="s">
        <v>3781</v>
      </c>
      <c r="M632" s="111"/>
      <c r="N632" s="111"/>
      <c r="O632" s="111"/>
      <c r="P632" s="112"/>
      <c r="Q632" s="112"/>
      <c r="R632" s="112"/>
      <c r="S632" s="111"/>
      <c r="T632" s="111"/>
      <c r="U632" s="111"/>
    </row>
    <row r="633" spans="1:21" ht="15" thickBot="1" x14ac:dyDescent="0.35">
      <c r="A633" s="117">
        <v>632</v>
      </c>
      <c r="B633" s="129" t="s">
        <v>1114</v>
      </c>
      <c r="C633" s="120" t="s">
        <v>1269</v>
      </c>
      <c r="D633" s="125" t="s">
        <v>1115</v>
      </c>
      <c r="E633" s="127" t="s">
        <v>168</v>
      </c>
      <c r="F633" s="127"/>
      <c r="G633" s="127"/>
      <c r="H633" s="127" t="s">
        <v>838</v>
      </c>
      <c r="I633" s="131" t="s">
        <v>1116</v>
      </c>
      <c r="J633" s="110"/>
      <c r="K633" s="110"/>
      <c r="L633" s="110" t="s">
        <v>3781</v>
      </c>
      <c r="M633" s="111"/>
      <c r="N633" s="111"/>
      <c r="O633" s="111"/>
      <c r="P633" s="112"/>
      <c r="Q633" s="112"/>
      <c r="R633" s="112"/>
      <c r="S633" s="111"/>
      <c r="T633" s="111"/>
      <c r="U633" s="111"/>
    </row>
    <row r="634" spans="1:21" ht="15" thickBot="1" x14ac:dyDescent="0.35">
      <c r="A634" s="117">
        <v>633</v>
      </c>
      <c r="B634" s="129" t="s">
        <v>1123</v>
      </c>
      <c r="C634" s="120" t="s">
        <v>1269</v>
      </c>
      <c r="D634" s="125" t="s">
        <v>1124</v>
      </c>
      <c r="E634" s="127" t="s">
        <v>168</v>
      </c>
      <c r="F634" s="127"/>
      <c r="G634" s="127"/>
      <c r="H634" s="127" t="s">
        <v>838</v>
      </c>
      <c r="I634" s="131" t="s">
        <v>1125</v>
      </c>
      <c r="J634" s="110"/>
      <c r="K634" s="110"/>
      <c r="L634" s="110" t="s">
        <v>3781</v>
      </c>
      <c r="M634" s="111"/>
      <c r="N634" s="111"/>
      <c r="O634" s="111"/>
      <c r="P634" s="112"/>
      <c r="Q634" s="112"/>
      <c r="R634" s="112"/>
      <c r="S634" s="111"/>
      <c r="T634" s="111"/>
      <c r="U634" s="111"/>
    </row>
    <row r="635" spans="1:21" ht="15" thickBot="1" x14ac:dyDescent="0.35">
      <c r="A635" s="117">
        <v>634</v>
      </c>
      <c r="B635" s="129" t="s">
        <v>1126</v>
      </c>
      <c r="C635" s="120" t="s">
        <v>1269</v>
      </c>
      <c r="D635" s="125" t="s">
        <v>1127</v>
      </c>
      <c r="E635" s="127" t="s">
        <v>168</v>
      </c>
      <c r="F635" s="127"/>
      <c r="G635" s="127"/>
      <c r="H635" s="127" t="s">
        <v>838</v>
      </c>
      <c r="I635" s="131" t="s">
        <v>1128</v>
      </c>
      <c r="J635" s="110"/>
      <c r="K635" s="110"/>
      <c r="L635" s="110" t="s">
        <v>3781</v>
      </c>
      <c r="M635" s="111"/>
      <c r="N635" s="111"/>
      <c r="O635" s="111"/>
      <c r="P635" s="112"/>
      <c r="Q635" s="112"/>
      <c r="R635" s="112"/>
      <c r="S635" s="111"/>
      <c r="T635" s="111"/>
      <c r="U635" s="111"/>
    </row>
    <row r="636" spans="1:21" ht="15" thickBot="1" x14ac:dyDescent="0.35">
      <c r="A636" s="117">
        <v>635</v>
      </c>
      <c r="B636" s="129" t="s">
        <v>1132</v>
      </c>
      <c r="C636" s="120" t="s">
        <v>1269</v>
      </c>
      <c r="D636" s="125" t="s">
        <v>1133</v>
      </c>
      <c r="E636" s="127" t="s">
        <v>168</v>
      </c>
      <c r="F636" s="127"/>
      <c r="G636" s="127"/>
      <c r="H636" s="127" t="s">
        <v>838</v>
      </c>
      <c r="I636" s="131" t="s">
        <v>1134</v>
      </c>
      <c r="J636" s="110"/>
      <c r="K636" s="110"/>
      <c r="L636" s="110" t="s">
        <v>3781</v>
      </c>
      <c r="M636" s="111"/>
      <c r="N636" s="111"/>
      <c r="O636" s="111"/>
      <c r="P636" s="112"/>
      <c r="Q636" s="112"/>
      <c r="R636" s="112"/>
      <c r="S636" s="111"/>
      <c r="T636" s="111"/>
      <c r="U636" s="111"/>
    </row>
    <row r="637" spans="1:21" ht="15" thickBot="1" x14ac:dyDescent="0.35">
      <c r="A637" s="117">
        <v>636</v>
      </c>
      <c r="B637" s="129" t="s">
        <v>1221</v>
      </c>
      <c r="C637" s="120" t="s">
        <v>1269</v>
      </c>
      <c r="D637" s="125" t="s">
        <v>1222</v>
      </c>
      <c r="E637" s="127" t="s">
        <v>168</v>
      </c>
      <c r="F637" s="132"/>
      <c r="G637" s="132"/>
      <c r="H637" s="132" t="s">
        <v>838</v>
      </c>
      <c r="I637" s="131" t="s">
        <v>1223</v>
      </c>
      <c r="J637" s="110"/>
      <c r="K637" s="110"/>
      <c r="L637" s="110" t="s">
        <v>3781</v>
      </c>
      <c r="M637" s="111"/>
      <c r="N637" s="111"/>
      <c r="O637" s="111"/>
      <c r="P637" s="112"/>
      <c r="Q637" s="112"/>
      <c r="R637" s="112"/>
      <c r="S637" s="111"/>
      <c r="T637" s="111"/>
      <c r="U637" s="111"/>
    </row>
    <row r="638" spans="1:21" ht="15" thickBot="1" x14ac:dyDescent="0.35">
      <c r="A638" s="117">
        <v>637</v>
      </c>
      <c r="B638" s="129" t="s">
        <v>1242</v>
      </c>
      <c r="C638" s="120" t="s">
        <v>1269</v>
      </c>
      <c r="D638" s="125" t="s">
        <v>1243</v>
      </c>
      <c r="E638" s="127" t="s">
        <v>168</v>
      </c>
      <c r="F638" s="127"/>
      <c r="G638" s="127"/>
      <c r="H638" s="127" t="s">
        <v>838</v>
      </c>
      <c r="I638" s="131" t="s">
        <v>1244</v>
      </c>
      <c r="J638" s="110"/>
      <c r="K638" s="110"/>
      <c r="L638" s="110" t="s">
        <v>3781</v>
      </c>
      <c r="M638" s="111"/>
      <c r="N638" s="111"/>
      <c r="O638" s="111"/>
      <c r="P638" s="112"/>
      <c r="Q638" s="112"/>
      <c r="R638" s="112"/>
      <c r="S638" s="111"/>
      <c r="T638" s="111"/>
      <c r="U638" s="111"/>
    </row>
    <row r="639" spans="1:21" ht="15" thickBot="1" x14ac:dyDescent="0.35">
      <c r="A639" s="117">
        <v>638</v>
      </c>
      <c r="B639" s="126" t="s">
        <v>1260</v>
      </c>
      <c r="C639" s="120" t="s">
        <v>1269</v>
      </c>
      <c r="D639" s="125" t="s">
        <v>1261</v>
      </c>
      <c r="E639" s="127" t="s">
        <v>168</v>
      </c>
      <c r="F639" s="127"/>
      <c r="G639" s="127"/>
      <c r="H639" s="127" t="s">
        <v>838</v>
      </c>
      <c r="I639" s="128" t="s">
        <v>1262</v>
      </c>
      <c r="J639" s="110"/>
      <c r="K639" s="110"/>
      <c r="L639" s="110" t="s">
        <v>3781</v>
      </c>
      <c r="M639" s="111"/>
      <c r="N639" s="111"/>
      <c r="O639" s="111"/>
      <c r="P639" s="112"/>
      <c r="Q639" s="112"/>
      <c r="R639" s="112"/>
      <c r="S639" s="111"/>
      <c r="T639" s="111"/>
      <c r="U639" s="111"/>
    </row>
    <row r="640" spans="1:21" ht="15" thickBot="1" x14ac:dyDescent="0.35">
      <c r="A640" s="117">
        <v>639</v>
      </c>
      <c r="B640" s="129" t="s">
        <v>927</v>
      </c>
      <c r="C640" s="120" t="s">
        <v>1269</v>
      </c>
      <c r="D640" s="125" t="s">
        <v>925</v>
      </c>
      <c r="E640" s="127" t="s">
        <v>168</v>
      </c>
      <c r="F640" s="127" t="s">
        <v>161</v>
      </c>
      <c r="G640" s="127" t="s">
        <v>163</v>
      </c>
      <c r="H640" s="127" t="s">
        <v>929</v>
      </c>
      <c r="I640" s="131" t="s">
        <v>928</v>
      </c>
      <c r="J640" s="110"/>
      <c r="K640" s="110"/>
      <c r="L640" s="110" t="s">
        <v>3781</v>
      </c>
      <c r="M640" s="111"/>
      <c r="N640" s="111"/>
      <c r="O640" s="111"/>
      <c r="P640" s="112"/>
      <c r="Q640" s="112"/>
      <c r="R640" s="112"/>
      <c r="S640" s="111"/>
      <c r="T640" s="111"/>
      <c r="U640" s="111"/>
    </row>
    <row r="641" spans="1:21" ht="15" thickBot="1" x14ac:dyDescent="0.35">
      <c r="A641" s="117">
        <v>640</v>
      </c>
      <c r="B641" s="126" t="s">
        <v>921</v>
      </c>
      <c r="C641" s="120" t="s">
        <v>1269</v>
      </c>
      <c r="D641" s="125" t="s">
        <v>922</v>
      </c>
      <c r="E641" s="127" t="s">
        <v>168</v>
      </c>
      <c r="F641" s="127" t="s">
        <v>163</v>
      </c>
      <c r="G641" s="127"/>
      <c r="H641" s="127" t="s">
        <v>859</v>
      </c>
      <c r="I641" s="128" t="s">
        <v>923</v>
      </c>
      <c r="J641" s="110"/>
      <c r="K641" s="110"/>
      <c r="L641" s="110" t="s">
        <v>3781</v>
      </c>
      <c r="M641" s="111"/>
      <c r="N641" s="111"/>
      <c r="O641" s="111"/>
      <c r="P641" s="112"/>
      <c r="Q641" s="112"/>
      <c r="R641" s="112"/>
      <c r="S641" s="111"/>
      <c r="T641" s="111"/>
      <c r="U641" s="111"/>
    </row>
    <row r="642" spans="1:21" ht="15" thickBot="1" x14ac:dyDescent="0.35">
      <c r="A642" s="117">
        <v>641</v>
      </c>
      <c r="B642" s="126" t="s">
        <v>1151</v>
      </c>
      <c r="C642" s="120" t="s">
        <v>1269</v>
      </c>
      <c r="D642" s="125" t="s">
        <v>1152</v>
      </c>
      <c r="E642" s="133" t="s">
        <v>1154</v>
      </c>
      <c r="F642" s="127"/>
      <c r="G642" s="127"/>
      <c r="H642" s="127" t="s">
        <v>1155</v>
      </c>
      <c r="I642" s="128" t="s">
        <v>1153</v>
      </c>
      <c r="J642" s="110"/>
      <c r="K642" s="110"/>
      <c r="L642" s="110" t="s">
        <v>3781</v>
      </c>
      <c r="M642" s="111"/>
      <c r="N642" s="111"/>
      <c r="O642" s="111"/>
      <c r="P642" s="112"/>
      <c r="Q642" s="112"/>
      <c r="R642" s="112"/>
      <c r="S642" s="111"/>
      <c r="T642" s="111"/>
      <c r="U642" s="111"/>
    </row>
    <row r="643" spans="1:21" ht="15" thickBot="1" x14ac:dyDescent="0.35">
      <c r="A643" s="117">
        <v>642</v>
      </c>
      <c r="B643" s="129" t="s">
        <v>985</v>
      </c>
      <c r="C643" s="120" t="s">
        <v>1269</v>
      </c>
      <c r="D643" s="125" t="s">
        <v>986</v>
      </c>
      <c r="E643" s="127" t="s">
        <v>208</v>
      </c>
      <c r="F643" s="127"/>
      <c r="G643" s="127"/>
      <c r="H643" s="127" t="s">
        <v>984</v>
      </c>
      <c r="I643" s="128" t="s">
        <v>987</v>
      </c>
      <c r="J643" s="110"/>
      <c r="K643" s="110"/>
      <c r="L643" s="110" t="s">
        <v>3781</v>
      </c>
      <c r="M643" s="111"/>
      <c r="N643" s="111"/>
      <c r="O643" s="111"/>
      <c r="P643" s="112"/>
      <c r="Q643" s="112"/>
      <c r="R643" s="112"/>
      <c r="S643" s="111"/>
      <c r="T643" s="111"/>
      <c r="U643" s="111"/>
    </row>
    <row r="644" spans="1:21" ht="15" thickBot="1" x14ac:dyDescent="0.35">
      <c r="A644" s="117">
        <v>643</v>
      </c>
      <c r="B644" s="126" t="s">
        <v>1175</v>
      </c>
      <c r="C644" s="120" t="s">
        <v>1269</v>
      </c>
      <c r="D644" s="125" t="s">
        <v>1176</v>
      </c>
      <c r="E644" s="127" t="s">
        <v>276</v>
      </c>
      <c r="F644" s="127"/>
      <c r="G644" s="127"/>
      <c r="H644" s="127" t="s">
        <v>842</v>
      </c>
      <c r="I644" s="128" t="s">
        <v>1177</v>
      </c>
      <c r="J644" s="110"/>
      <c r="K644" s="110"/>
      <c r="L644" s="110" t="s">
        <v>3781</v>
      </c>
      <c r="M644" s="111"/>
      <c r="N644" s="111"/>
      <c r="O644" s="111"/>
      <c r="P644" s="112"/>
      <c r="Q644" s="112"/>
      <c r="R644" s="112"/>
      <c r="S644" s="111"/>
      <c r="T644" s="111"/>
      <c r="U644" s="111"/>
    </row>
    <row r="645" spans="1:21" ht="15" thickBot="1" x14ac:dyDescent="0.35">
      <c r="A645" s="117">
        <v>644</v>
      </c>
      <c r="B645" s="129" t="s">
        <v>1245</v>
      </c>
      <c r="C645" s="120" t="s">
        <v>1269</v>
      </c>
      <c r="D645" s="125" t="s">
        <v>1246</v>
      </c>
      <c r="E645" s="127" t="s">
        <v>276</v>
      </c>
      <c r="F645" s="127"/>
      <c r="G645" s="127"/>
      <c r="H645" s="127" t="s">
        <v>842</v>
      </c>
      <c r="I645" s="131" t="s">
        <v>1247</v>
      </c>
      <c r="J645" s="110"/>
      <c r="K645" s="110"/>
      <c r="L645" s="110" t="s">
        <v>3781</v>
      </c>
      <c r="M645" s="111"/>
      <c r="N645" s="111"/>
      <c r="O645" s="111"/>
      <c r="P645" s="112"/>
      <c r="Q645" s="112"/>
      <c r="R645" s="112"/>
      <c r="S645" s="111"/>
      <c r="T645" s="111"/>
      <c r="U645" s="111"/>
    </row>
    <row r="646" spans="1:21" ht="15" thickBot="1" x14ac:dyDescent="0.35">
      <c r="A646" s="117">
        <v>645</v>
      </c>
      <c r="B646" s="126" t="s">
        <v>882</v>
      </c>
      <c r="C646" s="120" t="s">
        <v>1269</v>
      </c>
      <c r="D646" s="125" t="s">
        <v>883</v>
      </c>
      <c r="E646" s="127" t="s">
        <v>322</v>
      </c>
      <c r="F646" s="127"/>
      <c r="G646" s="127"/>
      <c r="H646" s="127" t="s">
        <v>842</v>
      </c>
      <c r="I646" s="128" t="s">
        <v>884</v>
      </c>
      <c r="J646" s="110"/>
      <c r="K646" s="110"/>
      <c r="L646" s="110" t="s">
        <v>3781</v>
      </c>
      <c r="M646" s="111"/>
      <c r="N646" s="111"/>
      <c r="O646" s="111"/>
      <c r="P646" s="112"/>
      <c r="Q646" s="112"/>
      <c r="R646" s="112"/>
      <c r="S646" s="111"/>
      <c r="T646" s="111"/>
      <c r="U646" s="111"/>
    </row>
    <row r="647" spans="1:21" ht="15" thickBot="1" x14ac:dyDescent="0.35">
      <c r="A647" s="117">
        <v>646</v>
      </c>
      <c r="B647" s="126" t="s">
        <v>1019</v>
      </c>
      <c r="C647" s="120" t="s">
        <v>1269</v>
      </c>
      <c r="D647" s="125" t="s">
        <v>1020</v>
      </c>
      <c r="E647" s="127" t="s">
        <v>254</v>
      </c>
      <c r="F647" s="127"/>
      <c r="G647" s="127"/>
      <c r="H647" s="127" t="s">
        <v>984</v>
      </c>
      <c r="I647" s="128" t="s">
        <v>1021</v>
      </c>
      <c r="J647" s="110"/>
      <c r="K647" s="110"/>
      <c r="L647" s="110" t="s">
        <v>3781</v>
      </c>
      <c r="M647" s="111"/>
      <c r="N647" s="111"/>
      <c r="O647" s="111"/>
      <c r="P647" s="112"/>
      <c r="Q647" s="112"/>
      <c r="R647" s="112"/>
      <c r="S647" s="111"/>
      <c r="T647" s="111"/>
      <c r="U647" s="111"/>
    </row>
    <row r="648" spans="1:21" ht="15" thickBot="1" x14ac:dyDescent="0.35">
      <c r="A648" s="117">
        <v>647</v>
      </c>
      <c r="B648" s="126" t="s">
        <v>876</v>
      </c>
      <c r="C648" s="120" t="s">
        <v>1269</v>
      </c>
      <c r="D648" s="125" t="s">
        <v>877</v>
      </c>
      <c r="E648" s="127" t="s">
        <v>193</v>
      </c>
      <c r="F648" s="127"/>
      <c r="G648" s="127"/>
      <c r="H648" s="127" t="s">
        <v>842</v>
      </c>
      <c r="I648" s="128" t="s">
        <v>878</v>
      </c>
      <c r="J648" s="110"/>
      <c r="K648" s="110"/>
      <c r="L648" s="110" t="s">
        <v>3781</v>
      </c>
      <c r="M648" s="111"/>
      <c r="N648" s="111"/>
      <c r="O648" s="111"/>
      <c r="P648" s="112"/>
      <c r="Q648" s="112"/>
      <c r="R648" s="112"/>
      <c r="S648" s="111"/>
      <c r="T648" s="111"/>
      <c r="U648" s="111"/>
    </row>
    <row r="649" spans="1:21" ht="15" thickBot="1" x14ac:dyDescent="0.35">
      <c r="A649" s="117">
        <v>648</v>
      </c>
      <c r="B649" s="129" t="s">
        <v>846</v>
      </c>
      <c r="C649" s="120" t="s">
        <v>1269</v>
      </c>
      <c r="D649" s="125" t="s">
        <v>847</v>
      </c>
      <c r="E649" s="127" t="s">
        <v>257</v>
      </c>
      <c r="F649" s="127"/>
      <c r="G649" s="127"/>
      <c r="H649" s="127" t="s">
        <v>842</v>
      </c>
      <c r="I649" s="128" t="s">
        <v>848</v>
      </c>
      <c r="J649" s="110"/>
      <c r="K649" s="110"/>
      <c r="L649" s="110" t="s">
        <v>3781</v>
      </c>
      <c r="M649" s="111"/>
      <c r="N649" s="111"/>
      <c r="O649" s="111"/>
      <c r="P649" s="112"/>
      <c r="Q649" s="112"/>
      <c r="R649" s="112"/>
      <c r="S649" s="111"/>
      <c r="T649" s="111"/>
      <c r="U649" s="111"/>
    </row>
    <row r="650" spans="1:21" ht="15" thickBot="1" x14ac:dyDescent="0.35">
      <c r="A650" s="117">
        <v>649</v>
      </c>
      <c r="B650" s="126" t="s">
        <v>1080</v>
      </c>
      <c r="C650" s="120" t="s">
        <v>1269</v>
      </c>
      <c r="D650" s="125" t="s">
        <v>1081</v>
      </c>
      <c r="E650" s="127" t="s">
        <v>490</v>
      </c>
      <c r="F650" s="127"/>
      <c r="G650" s="127"/>
      <c r="H650" s="127" t="s">
        <v>842</v>
      </c>
      <c r="I650" s="128" t="s">
        <v>1082</v>
      </c>
      <c r="J650" s="110"/>
      <c r="K650" s="110"/>
      <c r="L650" s="110" t="s">
        <v>3781</v>
      </c>
      <c r="M650" s="111"/>
      <c r="N650" s="111"/>
      <c r="O650" s="111"/>
      <c r="P650" s="112"/>
      <c r="Q650" s="112"/>
      <c r="R650" s="112"/>
      <c r="S650" s="111"/>
      <c r="T650" s="111"/>
      <c r="U650" s="111"/>
    </row>
    <row r="651" spans="1:21" ht="15" thickBot="1" x14ac:dyDescent="0.35">
      <c r="A651" s="117">
        <v>650</v>
      </c>
      <c r="B651" s="126" t="s">
        <v>1004</v>
      </c>
      <c r="C651" s="120" t="s">
        <v>1269</v>
      </c>
      <c r="D651" s="125" t="s">
        <v>1005</v>
      </c>
      <c r="E651" s="127" t="s">
        <v>305</v>
      </c>
      <c r="F651" s="127"/>
      <c r="G651" s="127"/>
      <c r="H651" s="127" t="s">
        <v>842</v>
      </c>
      <c r="I651" s="128" t="s">
        <v>1006</v>
      </c>
      <c r="J651" s="110"/>
      <c r="K651" s="110"/>
      <c r="L651" s="110" t="s">
        <v>3781</v>
      </c>
      <c r="M651" s="111"/>
      <c r="N651" s="111"/>
      <c r="O651" s="111"/>
      <c r="P651" s="112"/>
      <c r="Q651" s="112"/>
      <c r="R651" s="112"/>
      <c r="S651" s="111"/>
      <c r="T651" s="111"/>
      <c r="U651" s="111"/>
    </row>
    <row r="652" spans="1:21" ht="15" thickBot="1" x14ac:dyDescent="0.35">
      <c r="A652" s="117">
        <v>651</v>
      </c>
      <c r="B652" s="129" t="s">
        <v>1120</v>
      </c>
      <c r="C652" s="120" t="s">
        <v>1269</v>
      </c>
      <c r="D652" s="125" t="s">
        <v>1121</v>
      </c>
      <c r="E652" s="127" t="s">
        <v>320</v>
      </c>
      <c r="F652" s="127"/>
      <c r="G652" s="127"/>
      <c r="H652" s="127" t="s">
        <v>842</v>
      </c>
      <c r="I652" s="131" t="s">
        <v>1122</v>
      </c>
      <c r="J652" s="110"/>
      <c r="K652" s="110"/>
      <c r="L652" s="110" t="s">
        <v>3781</v>
      </c>
      <c r="M652" s="111"/>
      <c r="N652" s="111"/>
      <c r="O652" s="111"/>
      <c r="P652" s="112"/>
      <c r="Q652" s="112"/>
      <c r="R652" s="112"/>
      <c r="S652" s="111"/>
      <c r="T652" s="111"/>
      <c r="U652" s="111"/>
    </row>
    <row r="653" spans="1:21" ht="15" thickBot="1" x14ac:dyDescent="0.35">
      <c r="A653" s="117">
        <v>652</v>
      </c>
      <c r="B653" s="126" t="s">
        <v>962</v>
      </c>
      <c r="C653" s="120" t="s">
        <v>1269</v>
      </c>
      <c r="D653" s="125" t="s">
        <v>963</v>
      </c>
      <c r="E653" s="127" t="s">
        <v>237</v>
      </c>
      <c r="F653" s="127"/>
      <c r="G653" s="127"/>
      <c r="H653" s="127" t="s">
        <v>842</v>
      </c>
      <c r="I653" s="128" t="s">
        <v>964</v>
      </c>
      <c r="J653" s="110"/>
      <c r="K653" s="110"/>
      <c r="L653" s="110" t="s">
        <v>3781</v>
      </c>
      <c r="M653" s="111"/>
      <c r="N653" s="111"/>
      <c r="O653" s="111"/>
      <c r="P653" s="112"/>
      <c r="Q653" s="112"/>
      <c r="R653" s="112"/>
      <c r="S653" s="111"/>
      <c r="T653" s="111"/>
      <c r="U653" s="111"/>
    </row>
    <row r="654" spans="1:21" ht="15" thickBot="1" x14ac:dyDescent="0.35">
      <c r="A654" s="117">
        <v>653</v>
      </c>
      <c r="B654" s="126" t="s">
        <v>1101</v>
      </c>
      <c r="C654" s="120" t="s">
        <v>1269</v>
      </c>
      <c r="D654" s="125" t="s">
        <v>1102</v>
      </c>
      <c r="E654" s="133" t="s">
        <v>1104</v>
      </c>
      <c r="F654" s="127"/>
      <c r="G654" s="127"/>
      <c r="H654" s="127" t="s">
        <v>984</v>
      </c>
      <c r="I654" s="128" t="s">
        <v>1103</v>
      </c>
      <c r="J654" s="110"/>
      <c r="K654" s="110"/>
      <c r="L654" s="110" t="s">
        <v>3781</v>
      </c>
      <c r="M654" s="111"/>
      <c r="N654" s="111"/>
      <c r="O654" s="111"/>
      <c r="P654" s="112"/>
      <c r="Q654" s="112"/>
      <c r="R654" s="112"/>
      <c r="S654" s="111"/>
      <c r="T654" s="111"/>
      <c r="U654" s="111"/>
    </row>
    <row r="655" spans="1:21" ht="15" thickBot="1" x14ac:dyDescent="0.35">
      <c r="A655" s="117">
        <v>654</v>
      </c>
      <c r="B655" s="126" t="s">
        <v>839</v>
      </c>
      <c r="C655" s="120" t="s">
        <v>1269</v>
      </c>
      <c r="D655" s="125" t="s">
        <v>840</v>
      </c>
      <c r="E655" s="127" t="s">
        <v>372</v>
      </c>
      <c r="F655" s="127"/>
      <c r="G655" s="127"/>
      <c r="H655" s="127" t="s">
        <v>842</v>
      </c>
      <c r="I655" s="128" t="s">
        <v>841</v>
      </c>
      <c r="J655" s="110"/>
      <c r="K655" s="110"/>
      <c r="L655" s="110" t="s">
        <v>3781</v>
      </c>
      <c r="M655" s="111"/>
      <c r="N655" s="111"/>
      <c r="O655" s="111"/>
      <c r="P655" s="112"/>
      <c r="Q655" s="112"/>
      <c r="R655" s="112"/>
      <c r="S655" s="111"/>
      <c r="T655" s="111"/>
      <c r="U655" s="111"/>
    </row>
    <row r="656" spans="1:21" ht="15" thickBot="1" x14ac:dyDescent="0.35">
      <c r="A656" s="117">
        <v>655</v>
      </c>
      <c r="B656" s="126" t="s">
        <v>946</v>
      </c>
      <c r="C656" s="120" t="s">
        <v>1269</v>
      </c>
      <c r="D656" s="125" t="s">
        <v>947</v>
      </c>
      <c r="E656" s="127" t="s">
        <v>296</v>
      </c>
      <c r="F656" s="127"/>
      <c r="G656" s="127"/>
      <c r="H656" s="127" t="s">
        <v>949</v>
      </c>
      <c r="I656" s="128" t="s">
        <v>948</v>
      </c>
      <c r="J656" s="110"/>
      <c r="K656" s="110"/>
      <c r="L656" s="110" t="s">
        <v>3781</v>
      </c>
      <c r="M656" s="111"/>
      <c r="N656" s="111"/>
      <c r="O656" s="111"/>
      <c r="P656" s="112"/>
      <c r="Q656" s="112"/>
      <c r="R656" s="112"/>
      <c r="S656" s="111"/>
      <c r="T656" s="111"/>
      <c r="U656" s="111"/>
    </row>
    <row r="657" spans="1:21" ht="15" thickBot="1" x14ac:dyDescent="0.35">
      <c r="A657" s="117">
        <v>656</v>
      </c>
      <c r="B657" s="126" t="s">
        <v>852</v>
      </c>
      <c r="C657" s="120" t="s">
        <v>1269</v>
      </c>
      <c r="D657" s="125" t="s">
        <v>853</v>
      </c>
      <c r="E657" s="127" t="s">
        <v>284</v>
      </c>
      <c r="F657" s="127" t="s">
        <v>372</v>
      </c>
      <c r="G657" s="127"/>
      <c r="H657" s="127" t="s">
        <v>855</v>
      </c>
      <c r="I657" s="131" t="s">
        <v>854</v>
      </c>
      <c r="J657" s="110"/>
      <c r="K657" s="110"/>
      <c r="L657" s="110" t="s">
        <v>3781</v>
      </c>
      <c r="M657" s="111"/>
      <c r="N657" s="111"/>
      <c r="O657" s="111"/>
      <c r="P657" s="112"/>
      <c r="Q657" s="112"/>
      <c r="R657" s="112"/>
      <c r="S657" s="111"/>
      <c r="T657" s="111"/>
      <c r="U657" s="111"/>
    </row>
    <row r="658" spans="1:21" ht="15" thickBot="1" x14ac:dyDescent="0.35">
      <c r="A658" s="117">
        <v>657</v>
      </c>
      <c r="B658" s="126" t="s">
        <v>1163</v>
      </c>
      <c r="C658" s="120" t="s">
        <v>1269</v>
      </c>
      <c r="D658" s="125" t="s">
        <v>1164</v>
      </c>
      <c r="E658" s="127" t="s">
        <v>180</v>
      </c>
      <c r="F658" s="127"/>
      <c r="G658" s="127"/>
      <c r="H658" s="127" t="s">
        <v>984</v>
      </c>
      <c r="I658" s="128" t="s">
        <v>1165</v>
      </c>
      <c r="J658" s="110"/>
      <c r="K658" s="110"/>
      <c r="L658" s="110" t="s">
        <v>3781</v>
      </c>
      <c r="M658" s="111"/>
      <c r="N658" s="111"/>
      <c r="O658" s="111"/>
      <c r="P658" s="112"/>
      <c r="Q658" s="112"/>
      <c r="R658" s="112"/>
      <c r="S658" s="111"/>
      <c r="T658" s="111"/>
      <c r="U658" s="111"/>
    </row>
    <row r="659" spans="1:21" ht="15" thickBot="1" x14ac:dyDescent="0.35">
      <c r="A659" s="117">
        <v>658</v>
      </c>
      <c r="B659" s="129" t="s">
        <v>943</v>
      </c>
      <c r="C659" s="120" t="s">
        <v>1269</v>
      </c>
      <c r="D659" s="125" t="s">
        <v>944</v>
      </c>
      <c r="E659" s="127" t="s">
        <v>270</v>
      </c>
      <c r="F659" s="127" t="s">
        <v>168</v>
      </c>
      <c r="G659" s="127"/>
      <c r="H659" s="127" t="s">
        <v>933</v>
      </c>
      <c r="I659" s="131" t="s">
        <v>945</v>
      </c>
      <c r="J659" s="110"/>
      <c r="K659" s="110"/>
      <c r="L659" s="110" t="s">
        <v>3781</v>
      </c>
      <c r="M659" s="111"/>
      <c r="N659" s="111"/>
      <c r="O659" s="111"/>
      <c r="P659" s="112"/>
      <c r="Q659" s="112"/>
      <c r="R659" s="112"/>
      <c r="S659" s="111"/>
      <c r="T659" s="111"/>
      <c r="U659" s="111"/>
    </row>
    <row r="660" spans="1:21" ht="15" thickBot="1" x14ac:dyDescent="0.35">
      <c r="A660" s="117">
        <v>659</v>
      </c>
      <c r="B660" s="126" t="s">
        <v>1156</v>
      </c>
      <c r="C660" s="120" t="s">
        <v>1269</v>
      </c>
      <c r="D660" s="125" t="s">
        <v>1157</v>
      </c>
      <c r="E660" s="127" t="s">
        <v>643</v>
      </c>
      <c r="F660" s="119" t="s">
        <v>159</v>
      </c>
      <c r="G660" s="127"/>
      <c r="H660" s="127" t="s">
        <v>1159</v>
      </c>
      <c r="I660" s="128" t="s">
        <v>1158</v>
      </c>
      <c r="J660" s="110"/>
      <c r="K660" s="110"/>
      <c r="L660" s="110" t="s">
        <v>3781</v>
      </c>
      <c r="M660" s="111"/>
      <c r="N660" s="111"/>
      <c r="O660" s="111"/>
      <c r="P660" s="112"/>
      <c r="Q660" s="112"/>
      <c r="R660" s="112"/>
      <c r="S660" s="111"/>
      <c r="T660" s="111"/>
      <c r="U660" s="111"/>
    </row>
    <row r="661" spans="1:21" ht="15" thickBot="1" x14ac:dyDescent="0.35">
      <c r="A661" s="117">
        <v>660</v>
      </c>
      <c r="B661" s="126" t="s">
        <v>860</v>
      </c>
      <c r="C661" s="120" t="s">
        <v>1269</v>
      </c>
      <c r="D661" s="125" t="s">
        <v>861</v>
      </c>
      <c r="E661" s="127" t="s">
        <v>245</v>
      </c>
      <c r="F661" s="127"/>
      <c r="G661" s="127"/>
      <c r="H661" s="127" t="s">
        <v>842</v>
      </c>
      <c r="I661" s="131" t="s">
        <v>862</v>
      </c>
      <c r="J661" s="110"/>
      <c r="K661" s="110"/>
      <c r="L661" s="110" t="s">
        <v>3781</v>
      </c>
      <c r="M661" s="111"/>
      <c r="N661" s="111"/>
      <c r="O661" s="111"/>
      <c r="P661" s="112"/>
      <c r="Q661" s="112"/>
      <c r="R661" s="112"/>
      <c r="S661" s="111"/>
      <c r="T661" s="111"/>
      <c r="U661" s="111"/>
    </row>
    <row r="662" spans="1:21" ht="15" thickBot="1" x14ac:dyDescent="0.35">
      <c r="A662" s="117">
        <v>661</v>
      </c>
      <c r="B662" s="126" t="s">
        <v>1092</v>
      </c>
      <c r="C662" s="120" t="s">
        <v>1269</v>
      </c>
      <c r="D662" s="125" t="s">
        <v>1093</v>
      </c>
      <c r="E662" s="127" t="s">
        <v>308</v>
      </c>
      <c r="F662" s="127"/>
      <c r="G662" s="127"/>
      <c r="H662" s="127" t="s">
        <v>984</v>
      </c>
      <c r="I662" s="128" t="s">
        <v>1094</v>
      </c>
      <c r="J662" s="110"/>
      <c r="K662" s="110"/>
      <c r="L662" s="110" t="s">
        <v>3781</v>
      </c>
      <c r="M662" s="111"/>
      <c r="N662" s="111"/>
      <c r="O662" s="111"/>
      <c r="P662" s="112"/>
      <c r="Q662" s="112"/>
      <c r="R662" s="112"/>
      <c r="S662" s="111"/>
      <c r="T662" s="111"/>
      <c r="U662" s="111"/>
    </row>
    <row r="663" spans="1:21" ht="15" thickBot="1" x14ac:dyDescent="0.35">
      <c r="A663" s="117">
        <v>662</v>
      </c>
      <c r="B663" s="126" t="s">
        <v>1073</v>
      </c>
      <c r="C663" s="120" t="s">
        <v>1269</v>
      </c>
      <c r="D663" s="125" t="s">
        <v>1074</v>
      </c>
      <c r="E663" s="127" t="s">
        <v>151</v>
      </c>
      <c r="F663" s="127"/>
      <c r="G663" s="127"/>
      <c r="H663" s="127" t="s">
        <v>842</v>
      </c>
      <c r="I663" s="128" t="s">
        <v>1075</v>
      </c>
      <c r="J663" s="110"/>
      <c r="K663" s="110"/>
      <c r="L663" s="110" t="s">
        <v>3781</v>
      </c>
      <c r="M663" s="111"/>
      <c r="N663" s="111"/>
      <c r="O663" s="111"/>
      <c r="P663" s="112"/>
      <c r="Q663" s="112"/>
      <c r="R663" s="112"/>
      <c r="S663" s="111"/>
      <c r="T663" s="111"/>
      <c r="U663" s="111"/>
    </row>
    <row r="664" spans="1:21" ht="15" thickBot="1" x14ac:dyDescent="0.35">
      <c r="A664" s="117">
        <v>663</v>
      </c>
      <c r="B664" s="126" t="s">
        <v>1007</v>
      </c>
      <c r="C664" s="120" t="s">
        <v>1269</v>
      </c>
      <c r="D664" s="125" t="s">
        <v>1008</v>
      </c>
      <c r="E664" s="127" t="s">
        <v>187</v>
      </c>
      <c r="F664" s="127" t="s">
        <v>520</v>
      </c>
      <c r="G664" s="127"/>
      <c r="H664" s="127" t="s">
        <v>842</v>
      </c>
      <c r="I664" s="128" t="s">
        <v>1009</v>
      </c>
      <c r="J664" s="110"/>
      <c r="K664" s="110"/>
      <c r="L664" s="110" t="s">
        <v>3781</v>
      </c>
      <c r="M664" s="111"/>
      <c r="N664" s="111"/>
      <c r="O664" s="111"/>
      <c r="P664" s="112"/>
      <c r="Q664" s="112"/>
      <c r="R664" s="112"/>
      <c r="S664" s="111"/>
      <c r="T664" s="111"/>
      <c r="U664" s="111"/>
    </row>
    <row r="665" spans="1:21" ht="15" thickBot="1" x14ac:dyDescent="0.35">
      <c r="A665" s="117">
        <v>664</v>
      </c>
      <c r="B665" s="126" t="s">
        <v>1098</v>
      </c>
      <c r="C665" s="120" t="s">
        <v>1269</v>
      </c>
      <c r="D665" s="125" t="s">
        <v>1099</v>
      </c>
      <c r="E665" s="127" t="s">
        <v>330</v>
      </c>
      <c r="F665" s="127" t="s">
        <v>163</v>
      </c>
      <c r="G665" s="127"/>
      <c r="H665" s="127" t="s">
        <v>902</v>
      </c>
      <c r="I665" s="128" t="s">
        <v>1100</v>
      </c>
      <c r="J665" s="110"/>
      <c r="K665" s="110"/>
      <c r="L665" s="110" t="s">
        <v>3781</v>
      </c>
      <c r="M665" s="111"/>
      <c r="N665" s="111"/>
      <c r="O665" s="111"/>
      <c r="P665" s="112"/>
      <c r="Q665" s="112"/>
      <c r="R665" s="112"/>
      <c r="S665" s="111"/>
      <c r="T665" s="111"/>
      <c r="U665" s="111"/>
    </row>
    <row r="666" spans="1:21" ht="15" thickBot="1" x14ac:dyDescent="0.35">
      <c r="A666" s="117">
        <v>665</v>
      </c>
      <c r="B666" s="126" t="s">
        <v>1052</v>
      </c>
      <c r="C666" s="120" t="s">
        <v>1269</v>
      </c>
      <c r="D666" s="125" t="s">
        <v>1053</v>
      </c>
      <c r="E666" s="127" t="s">
        <v>296</v>
      </c>
      <c r="F666" s="127"/>
      <c r="G666" s="127"/>
      <c r="H666" s="127" t="s">
        <v>842</v>
      </c>
      <c r="I666" s="128" t="s">
        <v>1054</v>
      </c>
      <c r="J666" s="110"/>
      <c r="K666" s="110"/>
      <c r="L666" s="110" t="s">
        <v>3781</v>
      </c>
      <c r="M666" s="111"/>
      <c r="N666" s="111"/>
      <c r="O666" s="111"/>
      <c r="P666" s="112"/>
      <c r="Q666" s="112"/>
      <c r="R666" s="112"/>
      <c r="S666" s="111"/>
      <c r="T666" s="111"/>
      <c r="U666" s="111"/>
    </row>
    <row r="667" spans="1:21" ht="15" thickBot="1" x14ac:dyDescent="0.35">
      <c r="A667" s="117">
        <v>666</v>
      </c>
      <c r="B667" s="126" t="s">
        <v>1034</v>
      </c>
      <c r="C667" s="120" t="s">
        <v>1269</v>
      </c>
      <c r="D667" s="125" t="s">
        <v>1035</v>
      </c>
      <c r="E667" s="127" t="s">
        <v>305</v>
      </c>
      <c r="F667" s="127"/>
      <c r="G667" s="127"/>
      <c r="H667" s="127" t="s">
        <v>842</v>
      </c>
      <c r="I667" s="128" t="s">
        <v>1036</v>
      </c>
      <c r="J667" s="110"/>
      <c r="K667" s="110"/>
      <c r="L667" s="110" t="s">
        <v>3781</v>
      </c>
      <c r="M667" s="111"/>
      <c r="N667" s="111"/>
      <c r="O667" s="111"/>
      <c r="P667" s="112"/>
      <c r="Q667" s="112"/>
      <c r="R667" s="112"/>
      <c r="S667" s="111"/>
      <c r="T667" s="111"/>
      <c r="U667" s="111"/>
    </row>
    <row r="668" spans="1:21" ht="15" thickBot="1" x14ac:dyDescent="0.35">
      <c r="A668" s="117">
        <v>667</v>
      </c>
      <c r="B668" s="129" t="s">
        <v>930</v>
      </c>
      <c r="C668" s="120" t="s">
        <v>1269</v>
      </c>
      <c r="D668" s="125" t="s">
        <v>931</v>
      </c>
      <c r="E668" s="127" t="s">
        <v>341</v>
      </c>
      <c r="F668" s="127"/>
      <c r="G668" s="127"/>
      <c r="H668" s="127" t="s">
        <v>933</v>
      </c>
      <c r="I668" s="131" t="s">
        <v>932</v>
      </c>
      <c r="J668" s="110"/>
      <c r="K668" s="110"/>
      <c r="L668" s="110" t="s">
        <v>3781</v>
      </c>
      <c r="M668" s="111"/>
      <c r="N668" s="111"/>
      <c r="O668" s="111"/>
      <c r="P668" s="112"/>
      <c r="Q668" s="112"/>
      <c r="R668" s="112"/>
      <c r="S668" s="111"/>
      <c r="T668" s="111"/>
      <c r="U668" s="111"/>
    </row>
    <row r="669" spans="1:21" ht="15" thickBot="1" x14ac:dyDescent="0.35">
      <c r="A669" s="117">
        <v>668</v>
      </c>
      <c r="B669" s="126" t="s">
        <v>899</v>
      </c>
      <c r="C669" s="120" t="s">
        <v>1269</v>
      </c>
      <c r="D669" s="125" t="s">
        <v>900</v>
      </c>
      <c r="E669" s="127" t="s">
        <v>504</v>
      </c>
      <c r="F669" s="127" t="s">
        <v>163</v>
      </c>
      <c r="G669" s="127"/>
      <c r="H669" s="127" t="s">
        <v>902</v>
      </c>
      <c r="I669" s="128" t="s">
        <v>901</v>
      </c>
      <c r="J669" s="110"/>
      <c r="K669" s="110"/>
      <c r="L669" s="110" t="s">
        <v>3781</v>
      </c>
      <c r="M669" s="111"/>
      <c r="N669" s="111"/>
      <c r="O669" s="111"/>
      <c r="P669" s="112"/>
      <c r="Q669" s="112"/>
      <c r="R669" s="112"/>
      <c r="S669" s="111"/>
      <c r="T669" s="111"/>
      <c r="U669" s="111"/>
    </row>
    <row r="670" spans="1:21" ht="15" thickBot="1" x14ac:dyDescent="0.35">
      <c r="A670" s="117">
        <v>669</v>
      </c>
      <c r="B670" s="126" t="s">
        <v>843</v>
      </c>
      <c r="C670" s="120" t="s">
        <v>1269</v>
      </c>
      <c r="D670" s="125" t="s">
        <v>844</v>
      </c>
      <c r="E670" s="127" t="s">
        <v>161</v>
      </c>
      <c r="F670" s="127"/>
      <c r="G670" s="127"/>
      <c r="H670" s="127" t="s">
        <v>838</v>
      </c>
      <c r="I670" s="128" t="s">
        <v>845</v>
      </c>
      <c r="J670" s="110"/>
      <c r="K670" s="110"/>
      <c r="L670" s="110" t="s">
        <v>3781</v>
      </c>
      <c r="M670" s="111"/>
      <c r="N670" s="111"/>
      <c r="O670" s="111"/>
      <c r="P670" s="112"/>
      <c r="Q670" s="112"/>
      <c r="R670" s="112"/>
      <c r="S670" s="111"/>
      <c r="T670" s="111"/>
      <c r="U670" s="111"/>
    </row>
    <row r="671" spans="1:21" ht="15" thickBot="1" x14ac:dyDescent="0.35">
      <c r="A671" s="117">
        <v>670</v>
      </c>
      <c r="B671" s="126" t="s">
        <v>849</v>
      </c>
      <c r="C671" s="120" t="s">
        <v>1269</v>
      </c>
      <c r="D671" s="125" t="s">
        <v>850</v>
      </c>
      <c r="E671" s="127" t="s">
        <v>161</v>
      </c>
      <c r="F671" s="127"/>
      <c r="G671" s="127"/>
      <c r="H671" s="127" t="s">
        <v>838</v>
      </c>
      <c r="I671" s="128" t="s">
        <v>851</v>
      </c>
      <c r="J671" s="110"/>
      <c r="K671" s="110"/>
      <c r="L671" s="110" t="s">
        <v>3781</v>
      </c>
      <c r="M671" s="111"/>
      <c r="N671" s="111"/>
      <c r="O671" s="111"/>
      <c r="P671" s="112"/>
      <c r="Q671" s="112"/>
      <c r="R671" s="112"/>
      <c r="S671" s="111"/>
      <c r="T671" s="111"/>
      <c r="U671" s="111"/>
    </row>
    <row r="672" spans="1:21" ht="15" thickBot="1" x14ac:dyDescent="0.35">
      <c r="A672" s="117">
        <v>671</v>
      </c>
      <c r="B672" s="126" t="s">
        <v>873</v>
      </c>
      <c r="C672" s="120" t="s">
        <v>1269</v>
      </c>
      <c r="D672" s="125" t="s">
        <v>874</v>
      </c>
      <c r="E672" s="127" t="s">
        <v>161</v>
      </c>
      <c r="F672" s="127"/>
      <c r="G672" s="127"/>
      <c r="H672" s="127" t="s">
        <v>838</v>
      </c>
      <c r="I672" s="128" t="s">
        <v>875</v>
      </c>
      <c r="J672" s="110"/>
      <c r="K672" s="110"/>
      <c r="L672" s="110" t="s">
        <v>3781</v>
      </c>
      <c r="M672" s="111"/>
      <c r="N672" s="111"/>
      <c r="O672" s="111"/>
      <c r="P672" s="112"/>
      <c r="Q672" s="112"/>
      <c r="R672" s="112"/>
      <c r="S672" s="111"/>
      <c r="T672" s="111"/>
      <c r="U672" s="111"/>
    </row>
    <row r="673" spans="1:21" ht="15" thickBot="1" x14ac:dyDescent="0.35">
      <c r="A673" s="117">
        <v>672</v>
      </c>
      <c r="B673" s="126" t="s">
        <v>940</v>
      </c>
      <c r="C673" s="120" t="s">
        <v>1269</v>
      </c>
      <c r="D673" s="125" t="s">
        <v>941</v>
      </c>
      <c r="E673" s="127" t="s">
        <v>161</v>
      </c>
      <c r="F673" s="127"/>
      <c r="G673" s="127"/>
      <c r="H673" s="127" t="s">
        <v>838</v>
      </c>
      <c r="I673" s="128" t="s">
        <v>942</v>
      </c>
      <c r="J673" s="110"/>
      <c r="K673" s="110"/>
      <c r="L673" s="110" t="s">
        <v>3781</v>
      </c>
      <c r="M673" s="111"/>
      <c r="N673" s="111"/>
      <c r="O673" s="111"/>
      <c r="P673" s="112"/>
      <c r="Q673" s="112"/>
      <c r="R673" s="112"/>
      <c r="S673" s="111"/>
      <c r="T673" s="111"/>
      <c r="U673" s="111"/>
    </row>
    <row r="674" spans="1:21" ht="15" thickBot="1" x14ac:dyDescent="0.35">
      <c r="A674" s="117">
        <v>673</v>
      </c>
      <c r="B674" s="126" t="s">
        <v>953</v>
      </c>
      <c r="C674" s="120" t="s">
        <v>1269</v>
      </c>
      <c r="D674" s="125" t="s">
        <v>954</v>
      </c>
      <c r="E674" s="127" t="s">
        <v>161</v>
      </c>
      <c r="F674" s="127"/>
      <c r="G674" s="127"/>
      <c r="H674" s="127" t="s">
        <v>838</v>
      </c>
      <c r="I674" s="128" t="s">
        <v>955</v>
      </c>
      <c r="J674" s="110"/>
      <c r="K674" s="110"/>
      <c r="L674" s="110" t="s">
        <v>3781</v>
      </c>
      <c r="M674" s="111"/>
      <c r="N674" s="111"/>
      <c r="O674" s="111"/>
      <c r="P674" s="112"/>
      <c r="Q674" s="112"/>
      <c r="R674" s="112"/>
      <c r="S674" s="111"/>
      <c r="T674" s="111"/>
      <c r="U674" s="111"/>
    </row>
    <row r="675" spans="1:21" ht="15" thickBot="1" x14ac:dyDescent="0.35">
      <c r="A675" s="117">
        <v>674</v>
      </c>
      <c r="B675" s="129" t="s">
        <v>956</v>
      </c>
      <c r="C675" s="120" t="s">
        <v>1269</v>
      </c>
      <c r="D675" s="125" t="s">
        <v>957</v>
      </c>
      <c r="E675" s="127" t="s">
        <v>161</v>
      </c>
      <c r="F675" s="127"/>
      <c r="G675" s="127"/>
      <c r="H675" s="127" t="s">
        <v>838</v>
      </c>
      <c r="I675" s="128" t="s">
        <v>958</v>
      </c>
      <c r="J675" s="110"/>
      <c r="K675" s="110"/>
      <c r="L675" s="110" t="s">
        <v>3781</v>
      </c>
      <c r="M675" s="111"/>
      <c r="N675" s="111"/>
      <c r="O675" s="111"/>
      <c r="P675" s="112"/>
      <c r="Q675" s="112"/>
      <c r="R675" s="112"/>
      <c r="S675" s="111"/>
      <c r="T675" s="111"/>
      <c r="U675" s="111"/>
    </row>
    <row r="676" spans="1:21" ht="15" thickBot="1" x14ac:dyDescent="0.35">
      <c r="A676" s="117">
        <v>675</v>
      </c>
      <c r="B676" s="126" t="s">
        <v>959</v>
      </c>
      <c r="C676" s="120" t="s">
        <v>1269</v>
      </c>
      <c r="D676" s="125" t="s">
        <v>960</v>
      </c>
      <c r="E676" s="127" t="s">
        <v>161</v>
      </c>
      <c r="F676" s="127"/>
      <c r="G676" s="127"/>
      <c r="H676" s="127" t="s">
        <v>838</v>
      </c>
      <c r="I676" s="128" t="s">
        <v>961</v>
      </c>
      <c r="J676" s="110"/>
      <c r="K676" s="110"/>
      <c r="L676" s="110" t="s">
        <v>3781</v>
      </c>
      <c r="M676" s="111"/>
      <c r="N676" s="111"/>
      <c r="O676" s="111"/>
      <c r="P676" s="112"/>
      <c r="Q676" s="112"/>
      <c r="R676" s="112"/>
      <c r="S676" s="111"/>
      <c r="T676" s="111"/>
      <c r="U676" s="111"/>
    </row>
    <row r="677" spans="1:21" ht="15" thickBot="1" x14ac:dyDescent="0.35">
      <c r="A677" s="117">
        <v>676</v>
      </c>
      <c r="B677" s="126" t="s">
        <v>971</v>
      </c>
      <c r="C677" s="120" t="s">
        <v>1269</v>
      </c>
      <c r="D677" s="125" t="s">
        <v>972</v>
      </c>
      <c r="E677" s="127" t="s">
        <v>161</v>
      </c>
      <c r="F677" s="127"/>
      <c r="G677" s="127"/>
      <c r="H677" s="127" t="s">
        <v>838</v>
      </c>
      <c r="I677" s="128" t="s">
        <v>973</v>
      </c>
      <c r="J677" s="110"/>
      <c r="K677" s="110"/>
      <c r="L677" s="110" t="s">
        <v>3781</v>
      </c>
      <c r="M677" s="111"/>
      <c r="N677" s="111"/>
      <c r="O677" s="111"/>
      <c r="P677" s="112"/>
      <c r="Q677" s="112"/>
      <c r="R677" s="112"/>
      <c r="S677" s="111"/>
      <c r="T677" s="111"/>
      <c r="U677" s="111"/>
    </row>
    <row r="678" spans="1:21" ht="15" thickBot="1" x14ac:dyDescent="0.35">
      <c r="A678" s="117">
        <v>677</v>
      </c>
      <c r="B678" s="126" t="s">
        <v>992</v>
      </c>
      <c r="C678" s="120" t="s">
        <v>1269</v>
      </c>
      <c r="D678" s="125" t="s">
        <v>993</v>
      </c>
      <c r="E678" s="127" t="s">
        <v>161</v>
      </c>
      <c r="F678" s="127"/>
      <c r="G678" s="127"/>
      <c r="H678" s="127" t="s">
        <v>838</v>
      </c>
      <c r="I678" s="128" t="s">
        <v>994</v>
      </c>
      <c r="J678" s="110"/>
      <c r="K678" s="110"/>
      <c r="L678" s="110" t="s">
        <v>3781</v>
      </c>
      <c r="M678" s="111"/>
      <c r="N678" s="111"/>
      <c r="O678" s="111"/>
      <c r="P678" s="112"/>
      <c r="Q678" s="112"/>
      <c r="R678" s="112"/>
      <c r="S678" s="111"/>
      <c r="T678" s="111"/>
      <c r="U678" s="111"/>
    </row>
    <row r="679" spans="1:21" ht="15" thickBot="1" x14ac:dyDescent="0.35">
      <c r="A679" s="117">
        <v>678</v>
      </c>
      <c r="B679" s="129" t="s">
        <v>1013</v>
      </c>
      <c r="C679" s="120" t="s">
        <v>1269</v>
      </c>
      <c r="D679" s="125" t="s">
        <v>1014</v>
      </c>
      <c r="E679" s="127" t="s">
        <v>161</v>
      </c>
      <c r="F679" s="127"/>
      <c r="G679" s="127"/>
      <c r="H679" s="127" t="s">
        <v>838</v>
      </c>
      <c r="I679" s="128" t="s">
        <v>1015</v>
      </c>
      <c r="J679" s="110"/>
      <c r="K679" s="110"/>
      <c r="L679" s="110" t="s">
        <v>3781</v>
      </c>
      <c r="M679" s="111"/>
      <c r="N679" s="111"/>
      <c r="O679" s="111"/>
      <c r="P679" s="112"/>
      <c r="Q679" s="112"/>
      <c r="R679" s="112"/>
      <c r="S679" s="111"/>
      <c r="T679" s="111"/>
      <c r="U679" s="111"/>
    </row>
    <row r="680" spans="1:21" ht="15" thickBot="1" x14ac:dyDescent="0.35">
      <c r="A680" s="117">
        <v>679</v>
      </c>
      <c r="B680" s="126" t="s">
        <v>1016</v>
      </c>
      <c r="C680" s="120" t="s">
        <v>1269</v>
      </c>
      <c r="D680" s="125" t="s">
        <v>1017</v>
      </c>
      <c r="E680" s="127" t="s">
        <v>161</v>
      </c>
      <c r="F680" s="127"/>
      <c r="G680" s="127"/>
      <c r="H680" s="127" t="s">
        <v>838</v>
      </c>
      <c r="I680" s="128" t="s">
        <v>1018</v>
      </c>
      <c r="J680" s="110"/>
      <c r="K680" s="110"/>
      <c r="L680" s="110" t="s">
        <v>3781</v>
      </c>
      <c r="M680" s="111"/>
      <c r="N680" s="111"/>
      <c r="O680" s="111"/>
      <c r="P680" s="112"/>
      <c r="Q680" s="112"/>
      <c r="R680" s="112"/>
      <c r="S680" s="111"/>
      <c r="T680" s="111"/>
      <c r="U680" s="111"/>
    </row>
    <row r="681" spans="1:21" ht="15" thickBot="1" x14ac:dyDescent="0.35">
      <c r="A681" s="117">
        <v>680</v>
      </c>
      <c r="B681" s="126" t="s">
        <v>1022</v>
      </c>
      <c r="C681" s="120" t="s">
        <v>1269</v>
      </c>
      <c r="D681" s="125" t="s">
        <v>1023</v>
      </c>
      <c r="E681" s="127" t="s">
        <v>161</v>
      </c>
      <c r="F681" s="127"/>
      <c r="G681" s="127"/>
      <c r="H681" s="127" t="s">
        <v>838</v>
      </c>
      <c r="I681" s="128" t="s">
        <v>1024</v>
      </c>
      <c r="J681" s="110"/>
      <c r="K681" s="110"/>
      <c r="L681" s="110" t="s">
        <v>3781</v>
      </c>
      <c r="M681" s="111"/>
      <c r="N681" s="111"/>
      <c r="O681" s="111"/>
      <c r="P681" s="112"/>
      <c r="Q681" s="112"/>
      <c r="R681" s="112"/>
      <c r="S681" s="111"/>
      <c r="T681" s="111"/>
      <c r="U681" s="111"/>
    </row>
    <row r="682" spans="1:21" ht="15" thickBot="1" x14ac:dyDescent="0.35">
      <c r="A682" s="117">
        <v>681</v>
      </c>
      <c r="B682" s="126" t="s">
        <v>1061</v>
      </c>
      <c r="C682" s="120" t="s">
        <v>1269</v>
      </c>
      <c r="D682" s="125" t="s">
        <v>1062</v>
      </c>
      <c r="E682" s="127" t="s">
        <v>161</v>
      </c>
      <c r="F682" s="127"/>
      <c r="G682" s="127"/>
      <c r="H682" s="127" t="s">
        <v>838</v>
      </c>
      <c r="I682" s="128" t="s">
        <v>1063</v>
      </c>
      <c r="J682" s="110"/>
      <c r="K682" s="110"/>
      <c r="L682" s="110" t="s">
        <v>3781</v>
      </c>
      <c r="M682" s="111"/>
      <c r="N682" s="111"/>
      <c r="O682" s="111"/>
      <c r="P682" s="112"/>
      <c r="Q682" s="112"/>
      <c r="R682" s="112"/>
      <c r="S682" s="111"/>
      <c r="T682" s="111"/>
      <c r="U682" s="111"/>
    </row>
    <row r="683" spans="1:21" ht="15" thickBot="1" x14ac:dyDescent="0.35">
      <c r="A683" s="117">
        <v>682</v>
      </c>
      <c r="B683" s="126" t="s">
        <v>1067</v>
      </c>
      <c r="C683" s="120" t="s">
        <v>1269</v>
      </c>
      <c r="D683" s="125" t="s">
        <v>1068</v>
      </c>
      <c r="E683" s="127" t="s">
        <v>161</v>
      </c>
      <c r="F683" s="127"/>
      <c r="G683" s="127"/>
      <c r="H683" s="127" t="s">
        <v>838</v>
      </c>
      <c r="I683" s="128" t="s">
        <v>1069</v>
      </c>
      <c r="J683" s="110"/>
      <c r="K683" s="110"/>
      <c r="L683" s="110" t="s">
        <v>3831</v>
      </c>
      <c r="M683" s="111"/>
      <c r="N683" s="111"/>
      <c r="O683" s="111"/>
      <c r="P683" s="112"/>
      <c r="Q683" s="112"/>
      <c r="R683" s="112"/>
      <c r="S683" s="111"/>
      <c r="T683" s="111"/>
      <c r="U683" s="111"/>
    </row>
    <row r="684" spans="1:21" ht="15" thickBot="1" x14ac:dyDescent="0.35">
      <c r="A684" s="117">
        <v>683</v>
      </c>
      <c r="B684" s="126" t="s">
        <v>1105</v>
      </c>
      <c r="C684" s="120" t="s">
        <v>1269</v>
      </c>
      <c r="D684" s="125" t="s">
        <v>1106</v>
      </c>
      <c r="E684" s="127" t="s">
        <v>161</v>
      </c>
      <c r="F684" s="127"/>
      <c r="G684" s="127"/>
      <c r="H684" s="127" t="s">
        <v>838</v>
      </c>
      <c r="I684" s="128" t="s">
        <v>1107</v>
      </c>
      <c r="J684" s="110"/>
      <c r="K684" s="110"/>
      <c r="L684" s="110" t="s">
        <v>3781</v>
      </c>
      <c r="M684" s="111"/>
      <c r="N684" s="111"/>
      <c r="O684" s="111"/>
      <c r="P684" s="112"/>
      <c r="Q684" s="112"/>
      <c r="R684" s="112"/>
      <c r="S684" s="111"/>
      <c r="T684" s="111"/>
      <c r="U684" s="111"/>
    </row>
    <row r="685" spans="1:21" ht="15" thickBot="1" x14ac:dyDescent="0.35">
      <c r="A685" s="117">
        <v>684</v>
      </c>
      <c r="B685" s="126" t="s">
        <v>1215</v>
      </c>
      <c r="C685" s="120" t="s">
        <v>1269</v>
      </c>
      <c r="D685" s="125" t="s">
        <v>1216</v>
      </c>
      <c r="E685" s="127" t="s">
        <v>161</v>
      </c>
      <c r="F685" s="127"/>
      <c r="G685" s="127"/>
      <c r="H685" s="127" t="s">
        <v>838</v>
      </c>
      <c r="I685" s="128" t="s">
        <v>1217</v>
      </c>
      <c r="J685" s="110"/>
      <c r="K685" s="110"/>
      <c r="L685" s="110" t="s">
        <v>3781</v>
      </c>
      <c r="M685" s="111"/>
      <c r="N685" s="111"/>
      <c r="O685" s="111"/>
      <c r="P685" s="112"/>
      <c r="Q685" s="112"/>
      <c r="R685" s="112"/>
      <c r="S685" s="111"/>
      <c r="T685" s="111"/>
      <c r="U685" s="111"/>
    </row>
    <row r="686" spans="1:21" ht="15" thickBot="1" x14ac:dyDescent="0.35">
      <c r="A686" s="117">
        <v>685</v>
      </c>
      <c r="B686" s="126" t="s">
        <v>1218</v>
      </c>
      <c r="C686" s="120" t="s">
        <v>1269</v>
      </c>
      <c r="D686" s="125" t="s">
        <v>1219</v>
      </c>
      <c r="E686" s="127" t="s">
        <v>161</v>
      </c>
      <c r="F686" s="127"/>
      <c r="G686" s="127"/>
      <c r="H686" s="127" t="s">
        <v>838</v>
      </c>
      <c r="I686" s="128" t="s">
        <v>1220</v>
      </c>
      <c r="J686" s="110"/>
      <c r="K686" s="110"/>
      <c r="L686" s="110" t="s">
        <v>3781</v>
      </c>
      <c r="M686" s="111"/>
      <c r="N686" s="111"/>
      <c r="O686" s="111"/>
      <c r="P686" s="112"/>
      <c r="Q686" s="112"/>
      <c r="R686" s="112"/>
      <c r="S686" s="111"/>
      <c r="T686" s="111"/>
      <c r="U686" s="111"/>
    </row>
    <row r="687" spans="1:21" ht="15" thickBot="1" x14ac:dyDescent="0.35">
      <c r="A687" s="117">
        <v>686</v>
      </c>
      <c r="B687" s="126" t="s">
        <v>1263</v>
      </c>
      <c r="C687" s="120" t="s">
        <v>1269</v>
      </c>
      <c r="D687" s="125" t="s">
        <v>1264</v>
      </c>
      <c r="E687" s="127" t="s">
        <v>161</v>
      </c>
      <c r="F687" s="127"/>
      <c r="G687" s="127"/>
      <c r="H687" s="127" t="s">
        <v>838</v>
      </c>
      <c r="I687" s="128" t="s">
        <v>1265</v>
      </c>
      <c r="J687" s="110"/>
      <c r="K687" s="110"/>
      <c r="L687" s="110" t="s">
        <v>3781</v>
      </c>
      <c r="M687" s="111"/>
      <c r="N687" s="111"/>
      <c r="O687" s="111"/>
      <c r="P687" s="112"/>
      <c r="Q687" s="112"/>
      <c r="R687" s="112"/>
      <c r="S687" s="111"/>
      <c r="T687" s="111"/>
      <c r="U687" s="111"/>
    </row>
    <row r="688" spans="1:21" ht="15" thickBot="1" x14ac:dyDescent="0.35">
      <c r="A688" s="117">
        <v>687</v>
      </c>
      <c r="B688" s="126" t="s">
        <v>1266</v>
      </c>
      <c r="C688" s="120" t="s">
        <v>1269</v>
      </c>
      <c r="D688" s="125" t="s">
        <v>1267</v>
      </c>
      <c r="E688" s="127" t="s">
        <v>161</v>
      </c>
      <c r="F688" s="127"/>
      <c r="G688" s="127"/>
      <c r="H688" s="127" t="s">
        <v>838</v>
      </c>
      <c r="I688" s="128" t="s">
        <v>1268</v>
      </c>
      <c r="J688" s="110"/>
      <c r="K688" s="110"/>
      <c r="L688" s="110" t="s">
        <v>3781</v>
      </c>
      <c r="M688" s="111"/>
      <c r="N688" s="111"/>
      <c r="O688" s="111"/>
      <c r="P688" s="112"/>
      <c r="Q688" s="112"/>
      <c r="R688" s="112"/>
      <c r="S688" s="111"/>
      <c r="T688" s="111"/>
      <c r="U688" s="111"/>
    </row>
    <row r="689" spans="1:21" ht="15" thickBot="1" x14ac:dyDescent="0.35">
      <c r="A689" s="117">
        <v>688</v>
      </c>
      <c r="B689" s="126" t="s">
        <v>835</v>
      </c>
      <c r="C689" s="120" t="s">
        <v>1269</v>
      </c>
      <c r="D689" s="125" t="s">
        <v>836</v>
      </c>
      <c r="E689" s="127" t="s">
        <v>163</v>
      </c>
      <c r="F689" s="127" t="s">
        <v>161</v>
      </c>
      <c r="G689" s="127"/>
      <c r="H689" s="127" t="s">
        <v>838</v>
      </c>
      <c r="I689" s="128" t="s">
        <v>837</v>
      </c>
      <c r="J689" s="110"/>
      <c r="K689" s="110"/>
      <c r="L689" s="110" t="s">
        <v>3781</v>
      </c>
      <c r="M689" s="111"/>
      <c r="N689" s="111"/>
      <c r="O689" s="111"/>
      <c r="P689" s="112"/>
      <c r="Q689" s="112"/>
      <c r="R689" s="112"/>
      <c r="S689" s="111"/>
      <c r="T689" s="111"/>
      <c r="U689" s="111"/>
    </row>
    <row r="690" spans="1:21" ht="15" thickBot="1" x14ac:dyDescent="0.35">
      <c r="A690" s="117">
        <v>689</v>
      </c>
      <c r="B690" s="126" t="s">
        <v>879</v>
      </c>
      <c r="C690" s="120" t="s">
        <v>1269</v>
      </c>
      <c r="D690" s="125" t="s">
        <v>880</v>
      </c>
      <c r="E690" s="127" t="s">
        <v>163</v>
      </c>
      <c r="F690" s="127" t="s">
        <v>161</v>
      </c>
      <c r="G690" s="127"/>
      <c r="H690" s="127" t="s">
        <v>838</v>
      </c>
      <c r="I690" s="128" t="s">
        <v>881</v>
      </c>
      <c r="J690" s="110"/>
      <c r="K690" s="110"/>
      <c r="L690" s="110" t="s">
        <v>3781</v>
      </c>
      <c r="M690" s="111"/>
      <c r="N690" s="111"/>
      <c r="O690" s="111"/>
      <c r="P690" s="112"/>
      <c r="Q690" s="112"/>
      <c r="R690" s="112"/>
      <c r="S690" s="111"/>
      <c r="T690" s="111"/>
      <c r="U690" s="111"/>
    </row>
    <row r="691" spans="1:21" ht="15" thickBot="1" x14ac:dyDescent="0.35">
      <c r="A691" s="117">
        <v>690</v>
      </c>
      <c r="B691" s="126" t="s">
        <v>1145</v>
      </c>
      <c r="C691" s="120" t="s">
        <v>1269</v>
      </c>
      <c r="D691" s="125" t="s">
        <v>1146</v>
      </c>
      <c r="E691" s="127" t="s">
        <v>163</v>
      </c>
      <c r="F691" s="127" t="s">
        <v>161</v>
      </c>
      <c r="G691" s="127"/>
      <c r="H691" s="127" t="s">
        <v>838</v>
      </c>
      <c r="I691" s="128" t="s">
        <v>1147</v>
      </c>
      <c r="J691" s="110"/>
      <c r="K691" s="110"/>
      <c r="L691" s="110" t="s">
        <v>3831</v>
      </c>
      <c r="M691" s="111"/>
      <c r="N691" s="111"/>
      <c r="O691" s="111"/>
      <c r="P691" s="112"/>
      <c r="Q691" s="112"/>
      <c r="R691" s="112"/>
      <c r="S691" s="111"/>
      <c r="T691" s="111"/>
      <c r="U691" s="111"/>
    </row>
    <row r="692" spans="1:21" ht="15" thickBot="1" x14ac:dyDescent="0.35">
      <c r="A692" s="117">
        <v>691</v>
      </c>
      <c r="B692" s="126" t="s">
        <v>1169</v>
      </c>
      <c r="C692" s="120" t="s">
        <v>1269</v>
      </c>
      <c r="D692" s="125" t="s">
        <v>1170</v>
      </c>
      <c r="E692" s="127" t="s">
        <v>163</v>
      </c>
      <c r="F692" s="127" t="s">
        <v>161</v>
      </c>
      <c r="G692" s="127"/>
      <c r="H692" s="127" t="s">
        <v>838</v>
      </c>
      <c r="I692" s="128" t="s">
        <v>1171</v>
      </c>
      <c r="J692" s="110"/>
      <c r="K692" s="110"/>
      <c r="L692" s="110" t="s">
        <v>3781</v>
      </c>
      <c r="M692" s="111"/>
      <c r="N692" s="111"/>
      <c r="O692" s="111"/>
      <c r="P692" s="112"/>
      <c r="Q692" s="112"/>
      <c r="R692" s="112"/>
      <c r="S692" s="111"/>
      <c r="T692" s="111"/>
      <c r="U692" s="111"/>
    </row>
    <row r="693" spans="1:21" ht="15" thickBot="1" x14ac:dyDescent="0.35">
      <c r="A693" s="117">
        <v>692</v>
      </c>
      <c r="B693" s="126" t="s">
        <v>1172</v>
      </c>
      <c r="C693" s="120" t="s">
        <v>1269</v>
      </c>
      <c r="D693" s="125" t="s">
        <v>1173</v>
      </c>
      <c r="E693" s="127" t="s">
        <v>163</v>
      </c>
      <c r="F693" s="127" t="s">
        <v>161</v>
      </c>
      <c r="G693" s="127"/>
      <c r="H693" s="127" t="s">
        <v>838</v>
      </c>
      <c r="I693" s="128" t="s">
        <v>1174</v>
      </c>
      <c r="J693" s="110"/>
      <c r="K693" s="110"/>
      <c r="L693" s="110" t="s">
        <v>3781</v>
      </c>
      <c r="M693" s="111"/>
      <c r="N693" s="111"/>
      <c r="O693" s="111"/>
      <c r="P693" s="112"/>
      <c r="Q693" s="112"/>
      <c r="R693" s="112"/>
      <c r="S693" s="111"/>
      <c r="T693" s="111"/>
      <c r="U693" s="111"/>
    </row>
    <row r="694" spans="1:21" ht="15" thickBot="1" x14ac:dyDescent="0.35">
      <c r="A694" s="117">
        <v>693</v>
      </c>
      <c r="B694" s="126" t="s">
        <v>1184</v>
      </c>
      <c r="C694" s="120" t="s">
        <v>1269</v>
      </c>
      <c r="D694" s="125" t="s">
        <v>1185</v>
      </c>
      <c r="E694" s="127" t="s">
        <v>163</v>
      </c>
      <c r="F694" s="127" t="s">
        <v>161</v>
      </c>
      <c r="G694" s="127"/>
      <c r="H694" s="127" t="s">
        <v>838</v>
      </c>
      <c r="I694" s="128" t="s">
        <v>1186</v>
      </c>
      <c r="J694" s="110"/>
      <c r="K694" s="110"/>
      <c r="L694" s="110" t="s">
        <v>3781</v>
      </c>
      <c r="M694" s="111"/>
      <c r="N694" s="111"/>
      <c r="O694" s="111"/>
      <c r="P694" s="112"/>
      <c r="Q694" s="112"/>
      <c r="R694" s="112"/>
      <c r="S694" s="111"/>
      <c r="T694" s="111"/>
      <c r="U694" s="111"/>
    </row>
    <row r="695" spans="1:21" ht="15" thickBot="1" x14ac:dyDescent="0.35">
      <c r="A695" s="117">
        <v>694</v>
      </c>
      <c r="B695" s="126" t="s">
        <v>1227</v>
      </c>
      <c r="C695" s="120" t="s">
        <v>1269</v>
      </c>
      <c r="D695" s="125" t="s">
        <v>1228</v>
      </c>
      <c r="E695" s="127" t="s">
        <v>163</v>
      </c>
      <c r="F695" s="127" t="s">
        <v>161</v>
      </c>
      <c r="G695" s="127"/>
      <c r="H695" s="127" t="s">
        <v>838</v>
      </c>
      <c r="I695" s="131" t="s">
        <v>1229</v>
      </c>
      <c r="J695" s="110"/>
      <c r="K695" s="110"/>
      <c r="L695" s="110" t="s">
        <v>3781</v>
      </c>
      <c r="M695" s="111"/>
      <c r="N695" s="111"/>
      <c r="O695" s="111"/>
      <c r="P695" s="112"/>
      <c r="Q695" s="112"/>
      <c r="R695" s="112"/>
      <c r="S695" s="111"/>
      <c r="T695" s="111"/>
      <c r="U695" s="111"/>
    </row>
    <row r="696" spans="1:21" ht="15" thickBot="1" x14ac:dyDescent="0.35">
      <c r="A696" s="117">
        <v>695</v>
      </c>
      <c r="B696" s="129" t="s">
        <v>895</v>
      </c>
      <c r="C696" s="120" t="s">
        <v>1269</v>
      </c>
      <c r="D696" s="125" t="s">
        <v>896</v>
      </c>
      <c r="E696" s="127" t="s">
        <v>161</v>
      </c>
      <c r="F696" s="119" t="s">
        <v>159</v>
      </c>
      <c r="G696" s="127"/>
      <c r="H696" s="127" t="s">
        <v>898</v>
      </c>
      <c r="I696" s="128" t="s">
        <v>897</v>
      </c>
      <c r="J696" s="110"/>
      <c r="K696" s="110"/>
      <c r="L696" s="110" t="s">
        <v>3781</v>
      </c>
      <c r="M696" s="111"/>
      <c r="N696" s="111"/>
      <c r="O696" s="111"/>
      <c r="P696" s="112"/>
      <c r="Q696" s="112"/>
      <c r="R696" s="112"/>
      <c r="S696" s="111"/>
      <c r="T696" s="111"/>
      <c r="U696" s="111"/>
    </row>
    <row r="697" spans="1:21" ht="15" thickBot="1" x14ac:dyDescent="0.35">
      <c r="A697" s="117">
        <v>696</v>
      </c>
      <c r="B697" s="126" t="s">
        <v>1236</v>
      </c>
      <c r="C697" s="120" t="s">
        <v>1269</v>
      </c>
      <c r="D697" s="125" t="s">
        <v>1237</v>
      </c>
      <c r="E697" s="127" t="s">
        <v>161</v>
      </c>
      <c r="F697" s="127" t="s">
        <v>223</v>
      </c>
      <c r="G697" s="127"/>
      <c r="H697" s="127" t="s">
        <v>838</v>
      </c>
      <c r="I697" s="128" t="s">
        <v>1238</v>
      </c>
      <c r="J697" s="110"/>
      <c r="K697" s="110"/>
      <c r="L697" s="110" t="s">
        <v>3781</v>
      </c>
      <c r="M697" s="111"/>
      <c r="N697" s="111"/>
      <c r="O697" s="111"/>
      <c r="P697" s="112"/>
      <c r="Q697" s="112"/>
      <c r="R697" s="112"/>
      <c r="S697" s="111"/>
      <c r="T697" s="111"/>
      <c r="U697" s="111"/>
    </row>
    <row r="698" spans="1:21" ht="15" thickBot="1" x14ac:dyDescent="0.35">
      <c r="A698" s="117">
        <v>697</v>
      </c>
      <c r="B698" s="126" t="s">
        <v>863</v>
      </c>
      <c r="C698" s="120" t="s">
        <v>1269</v>
      </c>
      <c r="D698" s="125" t="s">
        <v>864</v>
      </c>
      <c r="E698" s="127" t="s">
        <v>163</v>
      </c>
      <c r="F698" s="127" t="s">
        <v>161</v>
      </c>
      <c r="G698" s="127"/>
      <c r="H698" s="127" t="s">
        <v>859</v>
      </c>
      <c r="I698" s="128" t="s">
        <v>865</v>
      </c>
      <c r="J698" s="110"/>
      <c r="K698" s="110"/>
      <c r="L698" s="110" t="s">
        <v>3781</v>
      </c>
      <c r="M698" s="111"/>
      <c r="N698" s="111"/>
      <c r="O698" s="111"/>
      <c r="P698" s="112"/>
      <c r="Q698" s="112"/>
      <c r="R698" s="112"/>
      <c r="S698" s="111"/>
      <c r="T698" s="111"/>
      <c r="U698" s="111"/>
    </row>
    <row r="699" spans="1:21" ht="15" thickBot="1" x14ac:dyDescent="0.35">
      <c r="A699" s="117">
        <v>698</v>
      </c>
      <c r="B699" s="126" t="s">
        <v>892</v>
      </c>
      <c r="C699" s="120" t="s">
        <v>1269</v>
      </c>
      <c r="D699" s="125" t="s">
        <v>893</v>
      </c>
      <c r="E699" s="127" t="s">
        <v>163</v>
      </c>
      <c r="F699" s="127" t="s">
        <v>161</v>
      </c>
      <c r="G699" s="127"/>
      <c r="H699" s="127" t="s">
        <v>838</v>
      </c>
      <c r="I699" s="128" t="s">
        <v>894</v>
      </c>
      <c r="J699" s="110"/>
      <c r="K699" s="110"/>
      <c r="L699" s="110" t="s">
        <v>3781</v>
      </c>
      <c r="M699" s="111"/>
      <c r="N699" s="111"/>
      <c r="O699" s="111"/>
      <c r="P699" s="112"/>
      <c r="Q699" s="112"/>
      <c r="R699" s="112"/>
      <c r="S699" s="111"/>
      <c r="T699" s="111"/>
      <c r="U699" s="111"/>
    </row>
    <row r="700" spans="1:21" ht="15" thickBot="1" x14ac:dyDescent="0.35">
      <c r="A700" s="117">
        <v>699</v>
      </c>
      <c r="B700" s="126" t="s">
        <v>903</v>
      </c>
      <c r="C700" s="120" t="s">
        <v>1269</v>
      </c>
      <c r="D700" s="125" t="s">
        <v>904</v>
      </c>
      <c r="E700" s="127" t="s">
        <v>163</v>
      </c>
      <c r="F700" s="127" t="s">
        <v>161</v>
      </c>
      <c r="G700" s="127"/>
      <c r="H700" s="127" t="s">
        <v>859</v>
      </c>
      <c r="I700" s="128" t="s">
        <v>905</v>
      </c>
      <c r="J700" s="110"/>
      <c r="K700" s="110"/>
      <c r="L700" s="110" t="s">
        <v>3781</v>
      </c>
      <c r="M700" s="111"/>
      <c r="N700" s="111"/>
      <c r="O700" s="111"/>
      <c r="P700" s="112"/>
      <c r="Q700" s="112"/>
      <c r="R700" s="112"/>
      <c r="S700" s="111"/>
      <c r="T700" s="111"/>
      <c r="U700" s="111"/>
    </row>
    <row r="701" spans="1:21" ht="15" thickBot="1" x14ac:dyDescent="0.35">
      <c r="A701" s="117">
        <v>700</v>
      </c>
      <c r="B701" s="126" t="s">
        <v>912</v>
      </c>
      <c r="C701" s="120" t="s">
        <v>1269</v>
      </c>
      <c r="D701" s="125" t="s">
        <v>913</v>
      </c>
      <c r="E701" s="127" t="s">
        <v>163</v>
      </c>
      <c r="F701" s="127" t="s">
        <v>161</v>
      </c>
      <c r="G701" s="127"/>
      <c r="H701" s="127" t="s">
        <v>859</v>
      </c>
      <c r="I701" s="128" t="s">
        <v>914</v>
      </c>
      <c r="J701" s="110"/>
      <c r="K701" s="110"/>
      <c r="L701" s="110" t="s">
        <v>3781</v>
      </c>
      <c r="M701" s="111"/>
      <c r="N701" s="111"/>
      <c r="O701" s="111"/>
      <c r="P701" s="112"/>
      <c r="Q701" s="112"/>
      <c r="R701" s="112"/>
      <c r="S701" s="111"/>
      <c r="T701" s="111"/>
      <c r="U701" s="111"/>
    </row>
    <row r="702" spans="1:21" ht="15" thickBot="1" x14ac:dyDescent="0.35">
      <c r="A702" s="117">
        <v>701</v>
      </c>
      <c r="B702" s="126" t="s">
        <v>995</v>
      </c>
      <c r="C702" s="120" t="s">
        <v>1269</v>
      </c>
      <c r="D702" s="125" t="s">
        <v>996</v>
      </c>
      <c r="E702" s="127" t="s">
        <v>163</v>
      </c>
      <c r="F702" s="127" t="s">
        <v>161</v>
      </c>
      <c r="G702" s="127"/>
      <c r="H702" s="127" t="s">
        <v>838</v>
      </c>
      <c r="I702" s="128" t="s">
        <v>997</v>
      </c>
      <c r="J702" s="110"/>
      <c r="K702" s="110"/>
      <c r="L702" s="110" t="s">
        <v>3781</v>
      </c>
      <c r="M702" s="111"/>
      <c r="N702" s="111"/>
      <c r="O702" s="111"/>
      <c r="P702" s="112"/>
      <c r="Q702" s="112"/>
      <c r="R702" s="112"/>
      <c r="S702" s="111"/>
      <c r="T702" s="111"/>
      <c r="U702" s="111"/>
    </row>
    <row r="703" spans="1:21" ht="15" thickBot="1" x14ac:dyDescent="0.35">
      <c r="A703" s="117">
        <v>702</v>
      </c>
      <c r="B703" s="126" t="s">
        <v>1010</v>
      </c>
      <c r="C703" s="120" t="s">
        <v>1269</v>
      </c>
      <c r="D703" s="125" t="s">
        <v>1011</v>
      </c>
      <c r="E703" s="127" t="s">
        <v>163</v>
      </c>
      <c r="F703" s="127" t="s">
        <v>161</v>
      </c>
      <c r="G703" s="127"/>
      <c r="H703" s="127" t="s">
        <v>859</v>
      </c>
      <c r="I703" s="128" t="s">
        <v>1012</v>
      </c>
      <c r="J703" s="110"/>
      <c r="K703" s="110"/>
      <c r="L703" s="110" t="s">
        <v>3781</v>
      </c>
      <c r="M703" s="111"/>
      <c r="N703" s="111"/>
      <c r="O703" s="111"/>
      <c r="P703" s="112"/>
      <c r="Q703" s="112"/>
      <c r="R703" s="112"/>
      <c r="S703" s="111"/>
      <c r="T703" s="111"/>
      <c r="U703" s="111"/>
    </row>
    <row r="704" spans="1:21" ht="15" thickBot="1" x14ac:dyDescent="0.35">
      <c r="A704" s="117">
        <v>703</v>
      </c>
      <c r="B704" s="126" t="s">
        <v>1135</v>
      </c>
      <c r="C704" s="120" t="s">
        <v>1269</v>
      </c>
      <c r="D704" s="125" t="s">
        <v>1136</v>
      </c>
      <c r="E704" s="127" t="s">
        <v>163</v>
      </c>
      <c r="F704" s="127" t="s">
        <v>161</v>
      </c>
      <c r="G704" s="127"/>
      <c r="H704" s="127" t="s">
        <v>859</v>
      </c>
      <c r="I704" s="128" t="s">
        <v>1137</v>
      </c>
      <c r="J704" s="110"/>
      <c r="K704" s="110"/>
      <c r="L704" s="110" t="s">
        <v>3781</v>
      </c>
      <c r="M704" s="111"/>
      <c r="N704" s="111"/>
      <c r="O704" s="111"/>
      <c r="P704" s="112"/>
      <c r="Q704" s="112"/>
      <c r="R704" s="112"/>
      <c r="S704" s="111"/>
      <c r="T704" s="111"/>
      <c r="U704" s="111"/>
    </row>
    <row r="705" spans="1:21" ht="15" thickBot="1" x14ac:dyDescent="0.35">
      <c r="A705" s="117">
        <v>704</v>
      </c>
      <c r="B705" s="126" t="s">
        <v>1142</v>
      </c>
      <c r="C705" s="120" t="s">
        <v>1269</v>
      </c>
      <c r="D705" s="125" t="s">
        <v>1143</v>
      </c>
      <c r="E705" s="127" t="s">
        <v>163</v>
      </c>
      <c r="F705" s="127" t="s">
        <v>161</v>
      </c>
      <c r="G705" s="127"/>
      <c r="H705" s="127" t="s">
        <v>859</v>
      </c>
      <c r="I705" s="128" t="s">
        <v>1144</v>
      </c>
      <c r="J705" s="110"/>
      <c r="K705" s="110"/>
      <c r="L705" s="110" t="s">
        <v>3781</v>
      </c>
      <c r="M705" s="111"/>
      <c r="N705" s="111"/>
      <c r="O705" s="111"/>
      <c r="P705" s="112"/>
      <c r="Q705" s="112"/>
      <c r="R705" s="112"/>
      <c r="S705" s="111"/>
      <c r="T705" s="111"/>
      <c r="U705" s="111"/>
    </row>
    <row r="706" spans="1:21" ht="15" thickBot="1" x14ac:dyDescent="0.35">
      <c r="A706" s="117">
        <v>705</v>
      </c>
      <c r="B706" s="126" t="s">
        <v>1200</v>
      </c>
      <c r="C706" s="120" t="s">
        <v>1269</v>
      </c>
      <c r="D706" s="125" t="s">
        <v>1201</v>
      </c>
      <c r="E706" s="127" t="s">
        <v>163</v>
      </c>
      <c r="F706" s="127" t="s">
        <v>161</v>
      </c>
      <c r="G706" s="127"/>
      <c r="H706" s="127" t="s">
        <v>859</v>
      </c>
      <c r="I706" s="128" t="s">
        <v>1202</v>
      </c>
      <c r="J706" s="110"/>
      <c r="K706" s="110"/>
      <c r="L706" s="110" t="s">
        <v>3781</v>
      </c>
      <c r="M706" s="111"/>
      <c r="N706" s="111"/>
      <c r="O706" s="111"/>
      <c r="P706" s="112"/>
      <c r="Q706" s="112"/>
      <c r="R706" s="112"/>
      <c r="S706" s="111"/>
      <c r="T706" s="111"/>
      <c r="U706" s="111"/>
    </row>
    <row r="707" spans="1:21" ht="15" thickBot="1" x14ac:dyDescent="0.35">
      <c r="A707" s="117">
        <v>706</v>
      </c>
      <c r="B707" s="126" t="s">
        <v>1230</v>
      </c>
      <c r="C707" s="120" t="s">
        <v>1269</v>
      </c>
      <c r="D707" s="125" t="s">
        <v>1231</v>
      </c>
      <c r="E707" s="127" t="s">
        <v>163</v>
      </c>
      <c r="F707" s="127" t="s">
        <v>161</v>
      </c>
      <c r="G707" s="127"/>
      <c r="H707" s="127" t="s">
        <v>859</v>
      </c>
      <c r="I707" s="128" t="s">
        <v>1232</v>
      </c>
      <c r="J707" s="110"/>
      <c r="K707" s="110"/>
      <c r="L707" s="110" t="s">
        <v>3781</v>
      </c>
      <c r="M707" s="111"/>
      <c r="N707" s="111"/>
      <c r="O707" s="111"/>
      <c r="P707" s="112"/>
      <c r="Q707" s="112"/>
      <c r="R707" s="112"/>
      <c r="S707" s="111"/>
      <c r="T707" s="111"/>
      <c r="U707" s="111"/>
    </row>
    <row r="708" spans="1:21" ht="15" thickBot="1" x14ac:dyDescent="0.35">
      <c r="A708" s="117">
        <v>707</v>
      </c>
      <c r="B708" s="126" t="s">
        <v>1254</v>
      </c>
      <c r="C708" s="120" t="s">
        <v>1269</v>
      </c>
      <c r="D708" s="125" t="s">
        <v>1255</v>
      </c>
      <c r="E708" s="127" t="s">
        <v>163</v>
      </c>
      <c r="F708" s="127" t="s">
        <v>161</v>
      </c>
      <c r="G708" s="127"/>
      <c r="H708" s="127" t="s">
        <v>859</v>
      </c>
      <c r="I708" s="128" t="s">
        <v>1256</v>
      </c>
      <c r="J708" s="110"/>
      <c r="K708" s="110"/>
      <c r="L708" s="110" t="s">
        <v>3781</v>
      </c>
      <c r="M708" s="111"/>
      <c r="N708" s="111"/>
      <c r="O708" s="111"/>
      <c r="P708" s="112"/>
      <c r="Q708" s="112"/>
      <c r="R708" s="112"/>
      <c r="S708" s="111"/>
      <c r="T708" s="111"/>
      <c r="U708" s="111"/>
    </row>
    <row r="709" spans="1:21" ht="15" thickBot="1" x14ac:dyDescent="0.35">
      <c r="A709" s="117">
        <v>708</v>
      </c>
      <c r="B709" s="126" t="s">
        <v>909</v>
      </c>
      <c r="C709" s="120" t="s">
        <v>1269</v>
      </c>
      <c r="D709" s="125" t="s">
        <v>910</v>
      </c>
      <c r="E709" s="127" t="s">
        <v>163</v>
      </c>
      <c r="F709" s="127"/>
      <c r="G709" s="127"/>
      <c r="H709" s="127" t="s">
        <v>838</v>
      </c>
      <c r="I709" s="128" t="s">
        <v>911</v>
      </c>
      <c r="J709" s="110"/>
      <c r="K709" s="110"/>
      <c r="L709" s="110" t="s">
        <v>3781</v>
      </c>
      <c r="M709" s="111"/>
      <c r="N709" s="111"/>
      <c r="O709" s="111"/>
      <c r="P709" s="112"/>
      <c r="Q709" s="112"/>
      <c r="R709" s="112"/>
      <c r="S709" s="111"/>
      <c r="T709" s="111"/>
      <c r="U709" s="111"/>
    </row>
    <row r="710" spans="1:21" ht="15" thickBot="1" x14ac:dyDescent="0.35">
      <c r="A710" s="117">
        <v>709</v>
      </c>
      <c r="B710" s="126" t="s">
        <v>915</v>
      </c>
      <c r="C710" s="120" t="s">
        <v>1269</v>
      </c>
      <c r="D710" s="125" t="s">
        <v>916</v>
      </c>
      <c r="E710" s="127" t="s">
        <v>163</v>
      </c>
      <c r="F710" s="127"/>
      <c r="G710" s="127"/>
      <c r="H710" s="127" t="s">
        <v>838</v>
      </c>
      <c r="I710" s="128" t="s">
        <v>917</v>
      </c>
      <c r="J710" s="110"/>
      <c r="K710" s="110"/>
      <c r="L710" s="110" t="s">
        <v>3781</v>
      </c>
      <c r="M710" s="111"/>
      <c r="N710" s="111"/>
      <c r="O710" s="111"/>
      <c r="P710" s="112"/>
      <c r="Q710" s="112"/>
      <c r="R710" s="112"/>
      <c r="S710" s="111"/>
      <c r="T710" s="111"/>
      <c r="U710" s="111"/>
    </row>
    <row r="711" spans="1:21" ht="15" thickBot="1" x14ac:dyDescent="0.35">
      <c r="A711" s="117">
        <v>710</v>
      </c>
      <c r="B711" s="126" t="s">
        <v>937</v>
      </c>
      <c r="C711" s="120" t="s">
        <v>1269</v>
      </c>
      <c r="D711" s="125" t="s">
        <v>938</v>
      </c>
      <c r="E711" s="127" t="s">
        <v>163</v>
      </c>
      <c r="F711" s="127"/>
      <c r="G711" s="127"/>
      <c r="H711" s="127" t="s">
        <v>838</v>
      </c>
      <c r="I711" s="128" t="s">
        <v>939</v>
      </c>
      <c r="J711" s="110"/>
      <c r="K711" s="110"/>
      <c r="L711" s="110" t="s">
        <v>3781</v>
      </c>
      <c r="M711" s="111"/>
      <c r="N711" s="111"/>
      <c r="O711" s="111"/>
      <c r="P711" s="112"/>
      <c r="Q711" s="112"/>
      <c r="R711" s="112"/>
      <c r="S711" s="111"/>
      <c r="T711" s="111"/>
      <c r="U711" s="111"/>
    </row>
    <row r="712" spans="1:21" ht="15" thickBot="1" x14ac:dyDescent="0.35">
      <c r="A712" s="117">
        <v>711</v>
      </c>
      <c r="B712" s="126" t="s">
        <v>974</v>
      </c>
      <c r="C712" s="120" t="s">
        <v>1269</v>
      </c>
      <c r="D712" s="125" t="s">
        <v>975</v>
      </c>
      <c r="E712" s="127" t="s">
        <v>163</v>
      </c>
      <c r="F712" s="127"/>
      <c r="G712" s="127"/>
      <c r="H712" s="127" t="s">
        <v>838</v>
      </c>
      <c r="I712" s="128" t="s">
        <v>976</v>
      </c>
      <c r="J712" s="110"/>
      <c r="K712" s="110"/>
      <c r="L712" s="110" t="s">
        <v>3781</v>
      </c>
      <c r="M712" s="111"/>
      <c r="N712" s="111"/>
      <c r="O712" s="111"/>
      <c r="P712" s="112"/>
      <c r="Q712" s="112"/>
      <c r="R712" s="112"/>
      <c r="S712" s="111"/>
      <c r="T712" s="111"/>
      <c r="U712" s="111"/>
    </row>
    <row r="713" spans="1:21" ht="15" thickBot="1" x14ac:dyDescent="0.35">
      <c r="A713" s="117">
        <v>712</v>
      </c>
      <c r="B713" s="126" t="s">
        <v>1040</v>
      </c>
      <c r="C713" s="120" t="s">
        <v>1269</v>
      </c>
      <c r="D713" s="125" t="s">
        <v>1041</v>
      </c>
      <c r="E713" s="127" t="s">
        <v>163</v>
      </c>
      <c r="F713" s="127"/>
      <c r="G713" s="127"/>
      <c r="H713" s="127" t="s">
        <v>838</v>
      </c>
      <c r="I713" s="128" t="s">
        <v>1042</v>
      </c>
      <c r="J713" s="110"/>
      <c r="K713" s="110"/>
      <c r="L713" s="110" t="s">
        <v>3781</v>
      </c>
      <c r="M713" s="111"/>
      <c r="N713" s="111"/>
      <c r="O713" s="111"/>
      <c r="P713" s="112"/>
      <c r="Q713" s="112"/>
      <c r="R713" s="112"/>
      <c r="S713" s="111"/>
      <c r="T713" s="111"/>
      <c r="U713" s="111"/>
    </row>
    <row r="714" spans="1:21" ht="15" thickBot="1" x14ac:dyDescent="0.35">
      <c r="A714" s="117">
        <v>713</v>
      </c>
      <c r="B714" s="134" t="s">
        <v>1046</v>
      </c>
      <c r="C714" s="120" t="s">
        <v>1269</v>
      </c>
      <c r="D714" s="125" t="s">
        <v>1047</v>
      </c>
      <c r="E714" s="127" t="s">
        <v>163</v>
      </c>
      <c r="F714" s="127"/>
      <c r="G714" s="127"/>
      <c r="H714" s="127" t="s">
        <v>838</v>
      </c>
      <c r="I714" s="128" t="s">
        <v>1048</v>
      </c>
      <c r="J714" s="110"/>
      <c r="K714" s="110"/>
      <c r="L714" s="110" t="s">
        <v>3781</v>
      </c>
      <c r="M714" s="111"/>
      <c r="N714" s="111"/>
      <c r="O714" s="111"/>
      <c r="P714" s="112"/>
      <c r="Q714" s="112"/>
      <c r="R714" s="112"/>
      <c r="S714" s="111"/>
      <c r="T714" s="111"/>
      <c r="U714" s="111"/>
    </row>
    <row r="715" spans="1:21" ht="15" thickBot="1" x14ac:dyDescent="0.35">
      <c r="A715" s="117">
        <v>714</v>
      </c>
      <c r="B715" s="126" t="s">
        <v>1055</v>
      </c>
      <c r="C715" s="120" t="s">
        <v>1269</v>
      </c>
      <c r="D715" s="125" t="s">
        <v>1056</v>
      </c>
      <c r="E715" s="127" t="s">
        <v>163</v>
      </c>
      <c r="F715" s="127"/>
      <c r="G715" s="127"/>
      <c r="H715" s="127" t="s">
        <v>838</v>
      </c>
      <c r="I715" s="128" t="s">
        <v>1057</v>
      </c>
      <c r="J715" s="110"/>
      <c r="K715" s="110"/>
      <c r="L715" s="110" t="s">
        <v>3781</v>
      </c>
      <c r="M715" s="111"/>
      <c r="N715" s="111"/>
      <c r="O715" s="111"/>
      <c r="P715" s="112"/>
      <c r="Q715" s="112"/>
      <c r="R715" s="112"/>
      <c r="S715" s="111"/>
      <c r="T715" s="111"/>
      <c r="U715" s="111"/>
    </row>
    <row r="716" spans="1:21" ht="15" thickBot="1" x14ac:dyDescent="0.35">
      <c r="A716" s="117">
        <v>715</v>
      </c>
      <c r="B716" s="126" t="s">
        <v>1058</v>
      </c>
      <c r="C716" s="120" t="s">
        <v>1269</v>
      </c>
      <c r="D716" s="125" t="s">
        <v>1059</v>
      </c>
      <c r="E716" s="127" t="s">
        <v>163</v>
      </c>
      <c r="F716" s="127"/>
      <c r="G716" s="127"/>
      <c r="H716" s="127" t="s">
        <v>838</v>
      </c>
      <c r="I716" s="128" t="s">
        <v>1060</v>
      </c>
      <c r="J716" s="110"/>
      <c r="K716" s="110"/>
      <c r="L716" s="110" t="s">
        <v>3781</v>
      </c>
      <c r="M716" s="111"/>
      <c r="N716" s="111"/>
      <c r="O716" s="111"/>
      <c r="P716" s="112"/>
      <c r="Q716" s="112"/>
      <c r="R716" s="112"/>
      <c r="S716" s="111"/>
      <c r="T716" s="111"/>
      <c r="U716" s="111"/>
    </row>
    <row r="717" spans="1:21" ht="15" thickBot="1" x14ac:dyDescent="0.35">
      <c r="A717" s="117">
        <v>716</v>
      </c>
      <c r="B717" s="126" t="s">
        <v>1064</v>
      </c>
      <c r="C717" s="120" t="s">
        <v>1269</v>
      </c>
      <c r="D717" s="125" t="s">
        <v>1065</v>
      </c>
      <c r="E717" s="127" t="s">
        <v>163</v>
      </c>
      <c r="F717" s="127"/>
      <c r="G717" s="127"/>
      <c r="H717" s="127" t="s">
        <v>838</v>
      </c>
      <c r="I717" s="128" t="s">
        <v>1066</v>
      </c>
      <c r="J717" s="110"/>
      <c r="K717" s="110"/>
      <c r="L717" s="110" t="s">
        <v>3781</v>
      </c>
      <c r="M717" s="111"/>
      <c r="N717" s="111"/>
      <c r="O717" s="111"/>
      <c r="P717" s="112"/>
      <c r="Q717" s="112"/>
      <c r="R717" s="112"/>
      <c r="S717" s="111"/>
      <c r="T717" s="111"/>
      <c r="U717" s="111"/>
    </row>
    <row r="718" spans="1:21" ht="15" thickBot="1" x14ac:dyDescent="0.35">
      <c r="A718" s="117">
        <v>717</v>
      </c>
      <c r="B718" s="126" t="s">
        <v>1083</v>
      </c>
      <c r="C718" s="120" t="s">
        <v>1269</v>
      </c>
      <c r="D718" s="125" t="s">
        <v>1084</v>
      </c>
      <c r="E718" s="127" t="s">
        <v>163</v>
      </c>
      <c r="F718" s="127"/>
      <c r="G718" s="127"/>
      <c r="H718" s="127" t="s">
        <v>838</v>
      </c>
      <c r="I718" s="128" t="s">
        <v>1085</v>
      </c>
      <c r="J718" s="110"/>
      <c r="K718" s="110"/>
      <c r="L718" s="110" t="s">
        <v>3781</v>
      </c>
      <c r="M718" s="111"/>
      <c r="N718" s="111"/>
      <c r="O718" s="111"/>
      <c r="P718" s="112"/>
      <c r="Q718" s="112"/>
      <c r="R718" s="112"/>
      <c r="S718" s="111"/>
      <c r="T718" s="111"/>
      <c r="U718" s="111"/>
    </row>
    <row r="719" spans="1:21" ht="15" thickBot="1" x14ac:dyDescent="0.35">
      <c r="A719" s="117">
        <v>718</v>
      </c>
      <c r="B719" s="126" t="s">
        <v>1129</v>
      </c>
      <c r="C719" s="120" t="s">
        <v>1269</v>
      </c>
      <c r="D719" s="125" t="s">
        <v>1130</v>
      </c>
      <c r="E719" s="127" t="s">
        <v>163</v>
      </c>
      <c r="F719" s="127"/>
      <c r="G719" s="127"/>
      <c r="H719" s="127" t="s">
        <v>838</v>
      </c>
      <c r="I719" s="128" t="s">
        <v>1131</v>
      </c>
      <c r="J719" s="110"/>
      <c r="K719" s="110"/>
      <c r="L719" s="110" t="s">
        <v>3781</v>
      </c>
      <c r="M719" s="111"/>
      <c r="N719" s="111"/>
      <c r="O719" s="111"/>
      <c r="P719" s="112"/>
      <c r="Q719" s="112"/>
      <c r="R719" s="112"/>
      <c r="S719" s="111"/>
      <c r="T719" s="111"/>
      <c r="U719" s="111"/>
    </row>
    <row r="720" spans="1:21" ht="15" thickBot="1" x14ac:dyDescent="0.35">
      <c r="A720" s="117">
        <v>719</v>
      </c>
      <c r="B720" s="126" t="s">
        <v>1181</v>
      </c>
      <c r="C720" s="120" t="s">
        <v>1269</v>
      </c>
      <c r="D720" s="125" t="s">
        <v>1182</v>
      </c>
      <c r="E720" s="127" t="s">
        <v>163</v>
      </c>
      <c r="F720" s="127"/>
      <c r="G720" s="127"/>
      <c r="H720" s="127" t="s">
        <v>838</v>
      </c>
      <c r="I720" s="128" t="s">
        <v>1183</v>
      </c>
      <c r="J720" s="110"/>
      <c r="K720" s="110"/>
      <c r="L720" s="110" t="s">
        <v>3781</v>
      </c>
      <c r="M720" s="111"/>
      <c r="N720" s="111"/>
      <c r="O720" s="111"/>
      <c r="P720" s="112"/>
      <c r="Q720" s="112"/>
      <c r="R720" s="112"/>
      <c r="S720" s="111"/>
      <c r="T720" s="111"/>
      <c r="U720" s="111"/>
    </row>
    <row r="721" spans="1:21" ht="15" thickBot="1" x14ac:dyDescent="0.35">
      <c r="A721" s="117">
        <v>720</v>
      </c>
      <c r="B721" s="126" t="s">
        <v>1187</v>
      </c>
      <c r="C721" s="120" t="s">
        <v>1269</v>
      </c>
      <c r="D721" s="125" t="s">
        <v>1188</v>
      </c>
      <c r="E721" s="127" t="s">
        <v>163</v>
      </c>
      <c r="F721" s="127"/>
      <c r="G721" s="127"/>
      <c r="H721" s="127" t="s">
        <v>838</v>
      </c>
      <c r="I721" s="128" t="s">
        <v>1189</v>
      </c>
      <c r="J721" s="110"/>
      <c r="K721" s="110"/>
      <c r="L721" s="110" t="s">
        <v>3781</v>
      </c>
      <c r="M721" s="111"/>
      <c r="N721" s="111"/>
      <c r="O721" s="111"/>
      <c r="P721" s="112"/>
      <c r="Q721" s="112"/>
      <c r="R721" s="112"/>
      <c r="S721" s="111"/>
      <c r="T721" s="111"/>
      <c r="U721" s="111"/>
    </row>
    <row r="722" spans="1:21" ht="15" thickBot="1" x14ac:dyDescent="0.35">
      <c r="A722" s="117">
        <v>721</v>
      </c>
      <c r="B722" s="126" t="s">
        <v>1212</v>
      </c>
      <c r="C722" s="120" t="s">
        <v>1269</v>
      </c>
      <c r="D722" s="125" t="s">
        <v>1213</v>
      </c>
      <c r="E722" s="127" t="s">
        <v>163</v>
      </c>
      <c r="F722" s="127"/>
      <c r="G722" s="127"/>
      <c r="H722" s="127" t="s">
        <v>838</v>
      </c>
      <c r="I722" s="128" t="s">
        <v>1214</v>
      </c>
      <c r="J722" s="110"/>
      <c r="K722" s="110"/>
      <c r="L722" s="110" t="s">
        <v>3781</v>
      </c>
      <c r="M722" s="111"/>
      <c r="N722" s="111"/>
      <c r="O722" s="111"/>
      <c r="P722" s="112"/>
      <c r="Q722" s="112"/>
      <c r="R722" s="112"/>
      <c r="S722" s="111"/>
      <c r="T722" s="111"/>
      <c r="U722" s="111"/>
    </row>
    <row r="723" spans="1:21" ht="15" thickBot="1" x14ac:dyDescent="0.35">
      <c r="A723" s="117">
        <v>722</v>
      </c>
      <c r="B723" s="129" t="s">
        <v>1233</v>
      </c>
      <c r="C723" s="120" t="s">
        <v>1269</v>
      </c>
      <c r="D723" s="125" t="s">
        <v>1234</v>
      </c>
      <c r="E723" s="127" t="s">
        <v>163</v>
      </c>
      <c r="F723" s="127"/>
      <c r="G723" s="127"/>
      <c r="H723" s="127" t="s">
        <v>838</v>
      </c>
      <c r="I723" s="128" t="s">
        <v>1235</v>
      </c>
      <c r="J723" s="110"/>
      <c r="K723" s="110"/>
      <c r="L723" s="110" t="s">
        <v>3781</v>
      </c>
      <c r="M723" s="111"/>
      <c r="N723" s="111"/>
      <c r="O723" s="111"/>
      <c r="P723" s="112"/>
      <c r="Q723" s="112"/>
      <c r="R723" s="112"/>
      <c r="S723" s="111"/>
      <c r="T723" s="111"/>
      <c r="U723" s="111"/>
    </row>
    <row r="724" spans="1:21" ht="15" thickBot="1" x14ac:dyDescent="0.35">
      <c r="A724" s="117">
        <v>723</v>
      </c>
      <c r="B724" s="126" t="s">
        <v>1239</v>
      </c>
      <c r="C724" s="120" t="s">
        <v>1269</v>
      </c>
      <c r="D724" s="125" t="s">
        <v>1240</v>
      </c>
      <c r="E724" s="127" t="s">
        <v>163</v>
      </c>
      <c r="F724" s="127"/>
      <c r="G724" s="127"/>
      <c r="H724" s="127" t="s">
        <v>838</v>
      </c>
      <c r="I724" s="128" t="s">
        <v>1241</v>
      </c>
      <c r="J724" s="110"/>
      <c r="K724" s="110"/>
      <c r="L724" s="110" t="s">
        <v>3781</v>
      </c>
      <c r="M724" s="111"/>
      <c r="N724" s="111"/>
      <c r="O724" s="111"/>
      <c r="P724" s="112"/>
      <c r="Q724" s="112"/>
      <c r="R724" s="112"/>
      <c r="S724" s="111"/>
      <c r="T724" s="111"/>
      <c r="U724" s="111"/>
    </row>
    <row r="725" spans="1:21" ht="15" thickBot="1" x14ac:dyDescent="0.35">
      <c r="A725" s="117">
        <v>724</v>
      </c>
      <c r="B725" s="126" t="s">
        <v>1248</v>
      </c>
      <c r="C725" s="120" t="s">
        <v>1269</v>
      </c>
      <c r="D725" s="125" t="s">
        <v>1249</v>
      </c>
      <c r="E725" s="127" t="s">
        <v>163</v>
      </c>
      <c r="F725" s="127"/>
      <c r="G725" s="127"/>
      <c r="H725" s="127" t="s">
        <v>838</v>
      </c>
      <c r="I725" s="128" t="s">
        <v>1250</v>
      </c>
      <c r="J725" s="110"/>
      <c r="K725" s="110"/>
      <c r="L725" s="110" t="s">
        <v>3781</v>
      </c>
      <c r="M725" s="111"/>
      <c r="N725" s="111"/>
      <c r="O725" s="111"/>
      <c r="P725" s="112"/>
      <c r="Q725" s="112"/>
      <c r="R725" s="112"/>
      <c r="S725" s="111"/>
      <c r="T725" s="111"/>
      <c r="U725" s="111"/>
    </row>
    <row r="726" spans="1:21" ht="15" thickBot="1" x14ac:dyDescent="0.35">
      <c r="A726" s="135">
        <v>725</v>
      </c>
      <c r="B726" s="126" t="s">
        <v>1089</v>
      </c>
      <c r="C726" s="120" t="s">
        <v>1269</v>
      </c>
      <c r="D726" s="125" t="s">
        <v>1090</v>
      </c>
      <c r="E726" s="127" t="s">
        <v>163</v>
      </c>
      <c r="F726" s="127" t="s">
        <v>168</v>
      </c>
      <c r="G726" s="127"/>
      <c r="H726" s="127" t="s">
        <v>838</v>
      </c>
      <c r="I726" s="128" t="s">
        <v>1091</v>
      </c>
      <c r="J726" s="110"/>
      <c r="K726" s="110"/>
      <c r="L726" s="110" t="s">
        <v>3781</v>
      </c>
      <c r="M726" s="111"/>
      <c r="N726" s="111"/>
      <c r="O726" s="111"/>
      <c r="P726" s="112"/>
      <c r="Q726" s="112"/>
      <c r="R726" s="112"/>
      <c r="S726" s="111"/>
      <c r="T726" s="111"/>
      <c r="U726" s="111"/>
    </row>
    <row r="727" spans="1:21" ht="15" thickBot="1" x14ac:dyDescent="0.35">
      <c r="A727" s="136">
        <v>726</v>
      </c>
      <c r="B727" s="137" t="s">
        <v>1111</v>
      </c>
      <c r="C727" s="120" t="s">
        <v>1269</v>
      </c>
      <c r="D727" s="138" t="s">
        <v>1112</v>
      </c>
      <c r="E727" s="139" t="s">
        <v>161</v>
      </c>
      <c r="F727" s="139"/>
      <c r="G727" s="139"/>
      <c r="H727" s="139" t="s">
        <v>838</v>
      </c>
      <c r="I727" s="140" t="s">
        <v>1113</v>
      </c>
      <c r="J727" s="110"/>
      <c r="K727" s="141"/>
      <c r="L727" s="141" t="s">
        <v>3831</v>
      </c>
      <c r="M727" s="142"/>
      <c r="N727" s="142"/>
      <c r="O727" s="142"/>
      <c r="P727" s="143"/>
      <c r="Q727" s="143"/>
      <c r="R727" s="143"/>
      <c r="S727" s="111"/>
      <c r="T727" s="111"/>
      <c r="U727" s="111"/>
    </row>
    <row r="728" spans="1:21" ht="15" thickBot="1" x14ac:dyDescent="0.35">
      <c r="A728" s="80">
        <v>727</v>
      </c>
      <c r="B728" s="114" t="s">
        <v>3785</v>
      </c>
      <c r="C728" s="110" t="s">
        <v>158</v>
      </c>
      <c r="D728" s="110" t="s">
        <v>3807</v>
      </c>
      <c r="E728" s="110" t="s">
        <v>161</v>
      </c>
      <c r="F728" s="109"/>
      <c r="G728" s="109"/>
      <c r="H728" s="109"/>
      <c r="I728" s="109"/>
      <c r="J728" s="110">
        <v>672</v>
      </c>
      <c r="K728" s="110"/>
      <c r="L728" s="141" t="s">
        <v>3781</v>
      </c>
      <c r="M728" s="111"/>
      <c r="N728" s="111"/>
      <c r="O728" s="111"/>
      <c r="P728" s="112"/>
      <c r="Q728" s="112"/>
      <c r="R728" s="112"/>
      <c r="S728" s="113">
        <v>2591.62</v>
      </c>
      <c r="T728" s="113">
        <v>208.92</v>
      </c>
      <c r="U728" s="113">
        <v>2382.6999999999998</v>
      </c>
    </row>
    <row r="729" spans="1:21" ht="15" thickBot="1" x14ac:dyDescent="0.35">
      <c r="A729" s="108">
        <v>728</v>
      </c>
      <c r="B729" s="115" t="s">
        <v>3786</v>
      </c>
      <c r="C729" s="110" t="s">
        <v>233</v>
      </c>
      <c r="D729" s="110" t="s">
        <v>3808</v>
      </c>
      <c r="E729" s="110" t="s">
        <v>234</v>
      </c>
      <c r="F729" s="109"/>
      <c r="G729" s="109"/>
      <c r="H729" s="109"/>
      <c r="I729" s="109"/>
      <c r="J729" s="110">
        <v>665</v>
      </c>
      <c r="K729" s="110"/>
      <c r="L729" s="141" t="s">
        <v>3781</v>
      </c>
      <c r="M729" s="111"/>
      <c r="N729" s="111"/>
      <c r="O729" s="111"/>
      <c r="P729" s="112"/>
      <c r="Q729" s="112"/>
      <c r="R729" s="112"/>
      <c r="S729" s="113">
        <v>2529.0300000000002</v>
      </c>
      <c r="T729" s="113">
        <v>203.29</v>
      </c>
      <c r="U729" s="113">
        <v>2325.7399999999998</v>
      </c>
    </row>
    <row r="730" spans="1:21" ht="15" thickBot="1" x14ac:dyDescent="0.35">
      <c r="A730" s="116">
        <v>729</v>
      </c>
      <c r="B730" s="115" t="s">
        <v>3787</v>
      </c>
      <c r="C730" s="110" t="s">
        <v>107</v>
      </c>
      <c r="D730" s="110" t="s">
        <v>3809</v>
      </c>
      <c r="E730" s="110" t="s">
        <v>170</v>
      </c>
      <c r="F730" s="109"/>
      <c r="G730" s="109"/>
      <c r="H730" s="109"/>
      <c r="I730" s="109"/>
      <c r="J730" s="110">
        <v>673</v>
      </c>
      <c r="K730" s="110"/>
      <c r="L730" s="141" t="s">
        <v>3781</v>
      </c>
      <c r="M730" s="111"/>
      <c r="N730" s="111"/>
      <c r="O730" s="111"/>
      <c r="P730" s="112"/>
      <c r="Q730" s="112"/>
      <c r="R730" s="112"/>
      <c r="S730" s="113">
        <v>1935.48</v>
      </c>
      <c r="T730" s="113">
        <v>592.74</v>
      </c>
      <c r="U730" s="113">
        <v>1342.74</v>
      </c>
    </row>
    <row r="731" spans="1:21" ht="15" thickBot="1" x14ac:dyDescent="0.35">
      <c r="A731" s="80">
        <v>730</v>
      </c>
      <c r="B731" s="115" t="s">
        <v>3788</v>
      </c>
      <c r="C731" s="110" t="s">
        <v>150</v>
      </c>
      <c r="D731" s="110" t="s">
        <v>3810</v>
      </c>
      <c r="E731" s="110" t="s">
        <v>163</v>
      </c>
      <c r="F731" s="109"/>
      <c r="G731" s="109"/>
      <c r="H731" s="109"/>
      <c r="I731" s="109"/>
      <c r="J731" s="110">
        <v>668</v>
      </c>
      <c r="K731" s="110"/>
      <c r="L731" s="141" t="s">
        <v>3781</v>
      </c>
      <c r="M731" s="111"/>
      <c r="N731" s="111"/>
      <c r="O731" s="111"/>
      <c r="P731" s="112"/>
      <c r="Q731" s="112"/>
      <c r="R731" s="112"/>
      <c r="S731" s="113">
        <v>1641.18</v>
      </c>
      <c r="T731" s="113">
        <v>113.93</v>
      </c>
      <c r="U731" s="113">
        <v>1527.25</v>
      </c>
    </row>
    <row r="732" spans="1:21" ht="15" thickBot="1" x14ac:dyDescent="0.35">
      <c r="A732" s="108">
        <v>731</v>
      </c>
      <c r="B732" s="115" t="s">
        <v>3789</v>
      </c>
      <c r="C732" s="110"/>
      <c r="D732" s="110" t="s">
        <v>3811</v>
      </c>
      <c r="E732" s="110"/>
      <c r="F732" s="109"/>
      <c r="G732" s="109"/>
      <c r="H732" s="109"/>
      <c r="I732" s="109"/>
      <c r="J732" s="110">
        <v>628</v>
      </c>
      <c r="K732" s="110"/>
      <c r="L732" s="141" t="s">
        <v>3831</v>
      </c>
      <c r="M732" s="111"/>
      <c r="N732" s="111"/>
      <c r="O732" s="111"/>
      <c r="P732" s="112"/>
      <c r="Q732" s="112"/>
      <c r="R732" s="112"/>
      <c r="S732" s="113">
        <v>3220.9</v>
      </c>
      <c r="T732" s="113">
        <v>3220.9</v>
      </c>
      <c r="U732" s="113">
        <v>0</v>
      </c>
    </row>
    <row r="733" spans="1:21" ht="15" thickBot="1" x14ac:dyDescent="0.35">
      <c r="A733" s="116">
        <v>732</v>
      </c>
      <c r="B733" s="115" t="s">
        <v>3790</v>
      </c>
      <c r="C733" s="110" t="s">
        <v>150</v>
      </c>
      <c r="D733" s="110" t="s">
        <v>3812</v>
      </c>
      <c r="E733" s="110" t="s">
        <v>163</v>
      </c>
      <c r="F733" s="109"/>
      <c r="G733" s="109"/>
      <c r="H733" s="109"/>
      <c r="I733" s="109"/>
      <c r="J733" s="110">
        <v>679</v>
      </c>
      <c r="K733" s="110"/>
      <c r="L733" s="141" t="s">
        <v>3781</v>
      </c>
      <c r="M733" s="111"/>
      <c r="N733" s="111"/>
      <c r="O733" s="111"/>
      <c r="P733" s="112"/>
      <c r="Q733" s="112"/>
      <c r="R733" s="112"/>
      <c r="S733" s="113">
        <v>1379.21</v>
      </c>
      <c r="T733" s="113">
        <v>103.44</v>
      </c>
      <c r="U733" s="113">
        <v>1275.77</v>
      </c>
    </row>
    <row r="734" spans="1:21" ht="15" thickBot="1" x14ac:dyDescent="0.35">
      <c r="A734" s="80">
        <v>733</v>
      </c>
      <c r="B734" s="115" t="s">
        <v>3791</v>
      </c>
      <c r="C734" s="110" t="s">
        <v>253</v>
      </c>
      <c r="D734" s="110" t="s">
        <v>3813</v>
      </c>
      <c r="E734" s="110" t="s">
        <v>317</v>
      </c>
      <c r="F734" s="109"/>
      <c r="G734" s="109"/>
      <c r="H734" s="109"/>
      <c r="I734" s="109"/>
      <c r="J734" s="110">
        <v>684</v>
      </c>
      <c r="K734" s="110"/>
      <c r="L734" s="141" t="s">
        <v>3781</v>
      </c>
      <c r="M734" s="111"/>
      <c r="N734" s="111"/>
      <c r="O734" s="111"/>
      <c r="P734" s="112"/>
      <c r="Q734" s="112"/>
      <c r="R734" s="112"/>
      <c r="S734" s="113">
        <v>1143.8499999999999</v>
      </c>
      <c r="T734" s="113">
        <v>82.35</v>
      </c>
      <c r="U734" s="113">
        <v>1061.5</v>
      </c>
    </row>
    <row r="735" spans="1:21" ht="15" thickBot="1" x14ac:dyDescent="0.35">
      <c r="A735" s="108">
        <v>734</v>
      </c>
      <c r="B735" s="115" t="s">
        <v>3792</v>
      </c>
      <c r="C735" s="110" t="s">
        <v>158</v>
      </c>
      <c r="D735" s="110" t="s">
        <v>3814</v>
      </c>
      <c r="E735" s="110" t="s">
        <v>200</v>
      </c>
      <c r="F735" s="109"/>
      <c r="G735" s="109"/>
      <c r="H735" s="109"/>
      <c r="I735" s="109"/>
      <c r="J735" s="110">
        <v>675</v>
      </c>
      <c r="K735" s="110"/>
      <c r="L735" s="141" t="s">
        <v>3781</v>
      </c>
      <c r="M735" s="111"/>
      <c r="N735" s="111"/>
      <c r="O735" s="111"/>
      <c r="P735" s="112"/>
      <c r="Q735" s="112"/>
      <c r="R735" s="112"/>
      <c r="S735" s="113">
        <v>2658.07</v>
      </c>
      <c r="T735" s="113">
        <v>214.9</v>
      </c>
      <c r="U735" s="113">
        <v>2443.17</v>
      </c>
    </row>
    <row r="736" spans="1:21" ht="15" thickBot="1" x14ac:dyDescent="0.35">
      <c r="A736" s="116">
        <v>735</v>
      </c>
      <c r="B736" s="115" t="s">
        <v>3793</v>
      </c>
      <c r="C736" s="110" t="s">
        <v>150</v>
      </c>
      <c r="D736" s="110" t="s">
        <v>2845</v>
      </c>
      <c r="E736" s="110" t="s">
        <v>163</v>
      </c>
      <c r="F736" s="109"/>
      <c r="G736" s="109"/>
      <c r="H736" s="109"/>
      <c r="I736" s="109"/>
      <c r="J736" s="110">
        <v>154</v>
      </c>
      <c r="K736" s="110"/>
      <c r="L736" s="141" t="s">
        <v>3781</v>
      </c>
      <c r="M736" s="111"/>
      <c r="N736" s="111"/>
      <c r="O736" s="111"/>
      <c r="P736" s="112"/>
      <c r="Q736" s="112"/>
      <c r="R736" s="112"/>
      <c r="S736" s="113">
        <v>1681.94</v>
      </c>
      <c r="T736" s="113">
        <v>127.05</v>
      </c>
      <c r="U736" s="113">
        <v>1554.89</v>
      </c>
    </row>
    <row r="737" spans="1:21" ht="15" thickBot="1" x14ac:dyDescent="0.35">
      <c r="A737" s="80">
        <v>736</v>
      </c>
      <c r="B737" s="115" t="s">
        <v>3794</v>
      </c>
      <c r="C737" s="110" t="s">
        <v>158</v>
      </c>
      <c r="D737" s="110" t="s">
        <v>3815</v>
      </c>
      <c r="E737" s="110" t="s">
        <v>161</v>
      </c>
      <c r="F737" s="109"/>
      <c r="G737" s="109"/>
      <c r="H737" s="109"/>
      <c r="I737" s="109"/>
      <c r="J737" s="110">
        <v>666</v>
      </c>
      <c r="K737" s="110"/>
      <c r="L737" s="141" t="s">
        <v>3781</v>
      </c>
      <c r="M737" s="111"/>
      <c r="N737" s="111"/>
      <c r="O737" s="111"/>
      <c r="P737" s="112"/>
      <c r="Q737" s="112"/>
      <c r="R737" s="112"/>
      <c r="S737" s="113">
        <v>2899.13</v>
      </c>
      <c r="T737" s="113">
        <v>236.6</v>
      </c>
      <c r="U737" s="113">
        <v>2662.53</v>
      </c>
    </row>
    <row r="738" spans="1:21" ht="15" thickBot="1" x14ac:dyDescent="0.35">
      <c r="A738" s="108">
        <v>737</v>
      </c>
      <c r="B738" s="115" t="s">
        <v>3795</v>
      </c>
      <c r="C738" s="110" t="s">
        <v>150</v>
      </c>
      <c r="D738" s="110" t="s">
        <v>3816</v>
      </c>
      <c r="E738" s="110" t="s">
        <v>159</v>
      </c>
      <c r="F738" s="109"/>
      <c r="G738" s="109"/>
      <c r="H738" s="109"/>
      <c r="I738" s="109"/>
      <c r="J738" s="110">
        <v>678</v>
      </c>
      <c r="K738" s="110"/>
      <c r="L738" s="141" t="s">
        <v>3781</v>
      </c>
      <c r="M738" s="111"/>
      <c r="N738" s="111"/>
      <c r="O738" s="111"/>
      <c r="P738" s="112"/>
      <c r="Q738" s="112"/>
      <c r="R738" s="112"/>
      <c r="S738" s="113">
        <v>1366.37</v>
      </c>
      <c r="T738" s="113">
        <v>102.47</v>
      </c>
      <c r="U738" s="113">
        <v>1263.9000000000001</v>
      </c>
    </row>
    <row r="739" spans="1:21" ht="15" thickBot="1" x14ac:dyDescent="0.35">
      <c r="A739" s="116">
        <v>738</v>
      </c>
      <c r="B739" s="115" t="s">
        <v>3796</v>
      </c>
      <c r="C739" s="110" t="s">
        <v>150</v>
      </c>
      <c r="D739" s="110" t="s">
        <v>3817</v>
      </c>
      <c r="E739" s="110" t="s">
        <v>159</v>
      </c>
      <c r="F739" s="109"/>
      <c r="G739" s="109"/>
      <c r="H739" s="109"/>
      <c r="I739" s="109"/>
      <c r="J739" s="110">
        <v>677</v>
      </c>
      <c r="K739" s="110"/>
      <c r="L739" s="141" t="s">
        <v>3781</v>
      </c>
      <c r="M739" s="111"/>
      <c r="N739" s="111"/>
      <c r="O739" s="111"/>
      <c r="P739" s="112"/>
      <c r="Q739" s="112"/>
      <c r="R739" s="112"/>
      <c r="S739" s="113">
        <v>1366.37</v>
      </c>
      <c r="T739" s="113">
        <v>102.47</v>
      </c>
      <c r="U739" s="113">
        <v>1263.9000000000001</v>
      </c>
    </row>
    <row r="740" spans="1:21" ht="15" thickBot="1" x14ac:dyDescent="0.35">
      <c r="A740" s="80">
        <v>739</v>
      </c>
      <c r="B740" s="115" t="s">
        <v>3797</v>
      </c>
      <c r="C740" s="110"/>
      <c r="D740" s="110" t="s">
        <v>3818</v>
      </c>
      <c r="E740" s="110"/>
      <c r="F740" s="109"/>
      <c r="G740" s="109"/>
      <c r="H740" s="109"/>
      <c r="I740" s="109"/>
      <c r="J740" s="110">
        <v>306</v>
      </c>
      <c r="K740" s="110"/>
      <c r="L740" s="141" t="s">
        <v>3831</v>
      </c>
      <c r="M740" s="111"/>
      <c r="N740" s="111"/>
      <c r="O740" s="111"/>
      <c r="P740" s="112"/>
      <c r="Q740" s="112"/>
      <c r="R740" s="112"/>
      <c r="S740" s="113">
        <v>4582.26</v>
      </c>
      <c r="T740" s="113">
        <v>4582.26</v>
      </c>
      <c r="U740" s="113">
        <v>0</v>
      </c>
    </row>
    <row r="741" spans="1:21" ht="15" thickBot="1" x14ac:dyDescent="0.35">
      <c r="A741" s="108">
        <v>740</v>
      </c>
      <c r="B741" s="115" t="s">
        <v>3798</v>
      </c>
      <c r="C741" s="110" t="s">
        <v>150</v>
      </c>
      <c r="D741" s="110" t="s">
        <v>3819</v>
      </c>
      <c r="E741" s="110" t="s">
        <v>159</v>
      </c>
      <c r="F741" s="109"/>
      <c r="G741" s="109"/>
      <c r="H741" s="109"/>
      <c r="I741" s="109"/>
      <c r="J741" s="110">
        <v>676</v>
      </c>
      <c r="K741" s="110"/>
      <c r="L741" s="141" t="s">
        <v>3781</v>
      </c>
      <c r="M741" s="111"/>
      <c r="N741" s="111"/>
      <c r="O741" s="111"/>
      <c r="P741" s="112"/>
      <c r="Q741" s="112"/>
      <c r="R741" s="112"/>
      <c r="S741" s="113">
        <v>1396.34</v>
      </c>
      <c r="T741" s="113">
        <v>104.72</v>
      </c>
      <c r="U741" s="113">
        <v>1291.6199999999999</v>
      </c>
    </row>
    <row r="742" spans="1:21" ht="15" thickBot="1" x14ac:dyDescent="0.35">
      <c r="A742" s="116">
        <v>741</v>
      </c>
      <c r="B742" s="115" t="s">
        <v>3799</v>
      </c>
      <c r="C742" s="110" t="s">
        <v>150</v>
      </c>
      <c r="D742" s="110" t="s">
        <v>3820</v>
      </c>
      <c r="E742" s="110" t="s">
        <v>159</v>
      </c>
      <c r="F742" s="109"/>
      <c r="G742" s="109"/>
      <c r="H742" s="109"/>
      <c r="I742" s="109"/>
      <c r="J742" s="110">
        <v>682</v>
      </c>
      <c r="K742" s="110"/>
      <c r="L742" s="141" t="s">
        <v>3781</v>
      </c>
      <c r="M742" s="111"/>
      <c r="N742" s="111"/>
      <c r="O742" s="111"/>
      <c r="P742" s="112"/>
      <c r="Q742" s="112"/>
      <c r="R742" s="112"/>
      <c r="S742" s="113">
        <v>1431.5</v>
      </c>
      <c r="T742" s="113">
        <v>103.44</v>
      </c>
      <c r="U742" s="113">
        <v>1328.06</v>
      </c>
    </row>
    <row r="743" spans="1:21" ht="15" thickBot="1" x14ac:dyDescent="0.35">
      <c r="A743" s="80">
        <v>742</v>
      </c>
      <c r="B743" s="115" t="s">
        <v>3800</v>
      </c>
      <c r="C743" s="110" t="s">
        <v>150</v>
      </c>
      <c r="D743" s="110" t="s">
        <v>3821</v>
      </c>
      <c r="E743" s="110" t="s">
        <v>159</v>
      </c>
      <c r="F743" s="109"/>
      <c r="G743" s="109"/>
      <c r="H743" s="109"/>
      <c r="I743" s="109"/>
      <c r="J743" s="110">
        <v>674</v>
      </c>
      <c r="K743" s="110"/>
      <c r="L743" s="141" t="s">
        <v>3781</v>
      </c>
      <c r="M743" s="111"/>
      <c r="N743" s="111"/>
      <c r="O743" s="111"/>
      <c r="P743" s="112"/>
      <c r="Q743" s="112"/>
      <c r="R743" s="112"/>
      <c r="S743" s="113">
        <v>1354.44</v>
      </c>
      <c r="T743" s="113">
        <v>97.66</v>
      </c>
      <c r="U743" s="113">
        <v>1256.78</v>
      </c>
    </row>
    <row r="744" spans="1:21" ht="15" thickBot="1" x14ac:dyDescent="0.35">
      <c r="A744" s="108">
        <v>743</v>
      </c>
      <c r="B744" s="115" t="s">
        <v>3801</v>
      </c>
      <c r="C744" s="110" t="s">
        <v>253</v>
      </c>
      <c r="D744" s="110" t="s">
        <v>3822</v>
      </c>
      <c r="E744" s="110" t="s">
        <v>305</v>
      </c>
      <c r="F744" s="109"/>
      <c r="G744" s="109"/>
      <c r="H744" s="109"/>
      <c r="I744" s="109"/>
      <c r="J744" s="110">
        <v>670</v>
      </c>
      <c r="K744" s="110"/>
      <c r="L744" s="141" t="s">
        <v>3781</v>
      </c>
      <c r="M744" s="111"/>
      <c r="N744" s="111"/>
      <c r="O744" s="111"/>
      <c r="P744" s="112"/>
      <c r="Q744" s="112"/>
      <c r="R744" s="112"/>
      <c r="S744" s="113">
        <v>1525.13</v>
      </c>
      <c r="T744" s="113">
        <v>400.01</v>
      </c>
      <c r="U744" s="113">
        <v>1125.1199999999999</v>
      </c>
    </row>
    <row r="745" spans="1:21" ht="15" thickBot="1" x14ac:dyDescent="0.35">
      <c r="A745" s="116">
        <v>744</v>
      </c>
      <c r="B745" s="115" t="s">
        <v>3802</v>
      </c>
      <c r="C745" s="110" t="s">
        <v>253</v>
      </c>
      <c r="D745" s="110" t="s">
        <v>3823</v>
      </c>
      <c r="E745" s="110" t="s">
        <v>317</v>
      </c>
      <c r="F745" s="109"/>
      <c r="G745" s="109"/>
      <c r="H745" s="109"/>
      <c r="I745" s="109"/>
      <c r="J745" s="110">
        <v>681</v>
      </c>
      <c r="K745" s="110"/>
      <c r="L745" s="141" t="s">
        <v>3781</v>
      </c>
      <c r="M745" s="111"/>
      <c r="N745" s="111"/>
      <c r="O745" s="111"/>
      <c r="P745" s="112"/>
      <c r="Q745" s="112"/>
      <c r="R745" s="112"/>
      <c r="S745" s="113">
        <v>1307.26</v>
      </c>
      <c r="T745" s="113">
        <v>94.12</v>
      </c>
      <c r="U745" s="113">
        <v>1213.1400000000001</v>
      </c>
    </row>
    <row r="746" spans="1:21" ht="15" thickBot="1" x14ac:dyDescent="0.35">
      <c r="A746" s="108">
        <v>745</v>
      </c>
      <c r="B746" s="115" t="s">
        <v>3803</v>
      </c>
      <c r="C746" s="110" t="s">
        <v>150</v>
      </c>
      <c r="D746" s="110" t="s">
        <v>3824</v>
      </c>
      <c r="E746" s="110" t="s">
        <v>161</v>
      </c>
      <c r="F746" s="109"/>
      <c r="G746" s="109"/>
      <c r="H746" s="109"/>
      <c r="I746" s="109"/>
      <c r="J746" s="110">
        <v>680</v>
      </c>
      <c r="K746" s="110"/>
      <c r="L746" s="141" t="s">
        <v>3781</v>
      </c>
      <c r="M746" s="111"/>
      <c r="N746" s="111"/>
      <c r="O746" s="111"/>
      <c r="P746" s="112"/>
      <c r="Q746" s="112"/>
      <c r="R746" s="112"/>
      <c r="S746" s="113">
        <v>1431.5</v>
      </c>
      <c r="T746" s="113">
        <v>103.44</v>
      </c>
      <c r="U746" s="113">
        <v>1328.06</v>
      </c>
    </row>
    <row r="747" spans="1:21" ht="15" thickBot="1" x14ac:dyDescent="0.35">
      <c r="A747" s="116">
        <v>746</v>
      </c>
      <c r="B747" s="115" t="s">
        <v>3804</v>
      </c>
      <c r="C747" s="110" t="s">
        <v>158</v>
      </c>
      <c r="D747" s="110" t="s">
        <v>3825</v>
      </c>
      <c r="E747" s="110" t="s">
        <v>159</v>
      </c>
      <c r="F747" s="109"/>
      <c r="G747" s="109"/>
      <c r="H747" s="109"/>
      <c r="I747" s="109"/>
      <c r="J747" s="110">
        <v>669</v>
      </c>
      <c r="K747" s="110"/>
      <c r="L747" s="141" t="s">
        <v>3781</v>
      </c>
      <c r="M747" s="111"/>
      <c r="N747" s="111"/>
      <c r="O747" s="111"/>
      <c r="P747" s="112"/>
      <c r="Q747" s="112"/>
      <c r="R747" s="112"/>
      <c r="S747" s="113">
        <v>2790.98</v>
      </c>
      <c r="T747" s="113">
        <v>226.86</v>
      </c>
      <c r="U747" s="113">
        <v>2564.12</v>
      </c>
    </row>
    <row r="748" spans="1:21" ht="15" thickBot="1" x14ac:dyDescent="0.35">
      <c r="A748" s="116">
        <v>747</v>
      </c>
      <c r="B748" s="115" t="s">
        <v>3805</v>
      </c>
      <c r="C748" s="110" t="s">
        <v>107</v>
      </c>
      <c r="D748" s="110" t="s">
        <v>3826</v>
      </c>
      <c r="E748" s="110" t="s">
        <v>180</v>
      </c>
      <c r="F748" s="109"/>
      <c r="G748" s="109"/>
      <c r="H748" s="109"/>
      <c r="I748" s="109"/>
      <c r="J748" s="110">
        <v>667</v>
      </c>
      <c r="K748" s="110"/>
      <c r="L748" s="141" t="s">
        <v>3781</v>
      </c>
      <c r="M748" s="111"/>
      <c r="N748" s="111"/>
      <c r="O748" s="111"/>
      <c r="P748" s="112"/>
      <c r="Q748" s="112"/>
      <c r="R748" s="112"/>
      <c r="S748" s="113">
        <v>3522.58</v>
      </c>
      <c r="T748" s="113">
        <v>311.29000000000002</v>
      </c>
      <c r="U748" s="113">
        <v>3211.29</v>
      </c>
    </row>
    <row r="749" spans="1:21" ht="15" thickBot="1" x14ac:dyDescent="0.35">
      <c r="A749" s="116">
        <v>748</v>
      </c>
      <c r="B749" s="145" t="s">
        <v>3806</v>
      </c>
      <c r="C749" s="141" t="s">
        <v>210</v>
      </c>
      <c r="D749" s="141" t="s">
        <v>3827</v>
      </c>
      <c r="E749" s="141" t="s">
        <v>234</v>
      </c>
      <c r="F749" s="146"/>
      <c r="G749" s="146"/>
      <c r="H749" s="146"/>
      <c r="I749" s="146"/>
      <c r="J749" s="141">
        <v>683</v>
      </c>
      <c r="K749" s="141"/>
      <c r="L749" s="141" t="s">
        <v>3781</v>
      </c>
      <c r="M749" s="142"/>
      <c r="N749" s="142"/>
      <c r="O749" s="142"/>
      <c r="P749" s="143"/>
      <c r="Q749" s="143"/>
      <c r="R749" s="143"/>
      <c r="S749" s="147">
        <v>1219.3499999999999</v>
      </c>
      <c r="T749" s="147">
        <v>91.45</v>
      </c>
      <c r="U749" s="147">
        <v>1127.9000000000001</v>
      </c>
    </row>
    <row r="750" spans="1:21" ht="15" thickBot="1" x14ac:dyDescent="0.35">
      <c r="A750" s="116">
        <v>749</v>
      </c>
      <c r="B750" s="115" t="s">
        <v>3832</v>
      </c>
      <c r="C750" s="110" t="s">
        <v>1269</v>
      </c>
      <c r="D750" s="149" t="s">
        <v>3842</v>
      </c>
      <c r="E750" s="110" t="s">
        <v>163</v>
      </c>
      <c r="F750" s="110" t="s">
        <v>163</v>
      </c>
      <c r="G750" s="109"/>
      <c r="H750" s="149" t="s">
        <v>838</v>
      </c>
      <c r="I750" s="150" t="s">
        <v>3853</v>
      </c>
      <c r="J750" s="110"/>
      <c r="K750" s="110"/>
      <c r="L750" s="110" t="s">
        <v>3781</v>
      </c>
      <c r="M750" s="111"/>
      <c r="N750" s="111"/>
      <c r="O750" s="111"/>
      <c r="P750" s="112"/>
      <c r="Q750" s="112"/>
      <c r="R750" s="112"/>
      <c r="S750" s="111"/>
      <c r="T750" s="111"/>
      <c r="U750" s="111"/>
    </row>
    <row r="751" spans="1:21" ht="15" thickBot="1" x14ac:dyDescent="0.35">
      <c r="A751" s="116">
        <v>750</v>
      </c>
      <c r="B751" s="115" t="s">
        <v>3833</v>
      </c>
      <c r="C751" s="110" t="s">
        <v>1269</v>
      </c>
      <c r="D751" s="149" t="s">
        <v>3843</v>
      </c>
      <c r="E751" s="110" t="s">
        <v>163</v>
      </c>
      <c r="F751" s="110" t="s">
        <v>163</v>
      </c>
      <c r="G751" s="109"/>
      <c r="H751" s="149" t="s">
        <v>838</v>
      </c>
      <c r="I751" s="151" t="s">
        <v>3854</v>
      </c>
      <c r="J751" s="110"/>
      <c r="K751" s="110"/>
      <c r="L751" s="110" t="s">
        <v>3781</v>
      </c>
      <c r="M751" s="111"/>
      <c r="N751" s="111"/>
      <c r="O751" s="111"/>
      <c r="P751" s="112"/>
      <c r="Q751" s="112"/>
      <c r="R751" s="112"/>
      <c r="S751" s="111"/>
      <c r="T751" s="111"/>
      <c r="U751" s="111"/>
    </row>
    <row r="752" spans="1:21" ht="15" thickBot="1" x14ac:dyDescent="0.35">
      <c r="A752" s="116">
        <v>751</v>
      </c>
      <c r="B752" s="115" t="s">
        <v>3834</v>
      </c>
      <c r="C752" s="110" t="s">
        <v>1269</v>
      </c>
      <c r="D752" s="149" t="s">
        <v>3844</v>
      </c>
      <c r="E752" s="110" t="s">
        <v>168</v>
      </c>
      <c r="F752" s="109"/>
      <c r="G752" s="109"/>
      <c r="H752" s="149" t="s">
        <v>838</v>
      </c>
      <c r="I752" s="150" t="s">
        <v>3855</v>
      </c>
      <c r="J752" s="110"/>
      <c r="K752" s="110"/>
      <c r="L752" s="110" t="s">
        <v>3781</v>
      </c>
      <c r="M752" s="111"/>
      <c r="N752" s="111"/>
      <c r="O752" s="111"/>
      <c r="P752" s="112"/>
      <c r="Q752" s="112"/>
      <c r="R752" s="112"/>
      <c r="S752" s="111"/>
      <c r="T752" s="111"/>
      <c r="U752" s="111"/>
    </row>
    <row r="753" spans="1:21" ht="15" thickBot="1" x14ac:dyDescent="0.35">
      <c r="A753" s="116">
        <v>752</v>
      </c>
      <c r="B753" s="115" t="s">
        <v>3835</v>
      </c>
      <c r="C753" s="110" t="s">
        <v>1269</v>
      </c>
      <c r="D753" s="149" t="s">
        <v>3845</v>
      </c>
      <c r="E753" s="110" t="s">
        <v>163</v>
      </c>
      <c r="F753" s="110" t="s">
        <v>163</v>
      </c>
      <c r="G753" s="109"/>
      <c r="H753" s="149" t="s">
        <v>838</v>
      </c>
      <c r="I753" s="150" t="s">
        <v>3856</v>
      </c>
      <c r="J753" s="110"/>
      <c r="K753" s="110"/>
      <c r="L753" s="110" t="s">
        <v>3781</v>
      </c>
      <c r="M753" s="111"/>
      <c r="N753" s="111"/>
      <c r="O753" s="111"/>
      <c r="P753" s="112"/>
      <c r="Q753" s="112"/>
      <c r="R753" s="112"/>
      <c r="S753" s="111"/>
      <c r="T753" s="111"/>
      <c r="U753" s="111"/>
    </row>
    <row r="754" spans="1:21" ht="15" thickBot="1" x14ac:dyDescent="0.35">
      <c r="A754" s="116">
        <v>753</v>
      </c>
      <c r="B754" s="115" t="s">
        <v>3836</v>
      </c>
      <c r="C754" s="110" t="s">
        <v>1269</v>
      </c>
      <c r="D754" s="149" t="s">
        <v>3846</v>
      </c>
      <c r="E754" s="110" t="s">
        <v>163</v>
      </c>
      <c r="F754" s="110" t="s">
        <v>163</v>
      </c>
      <c r="G754" s="109"/>
      <c r="H754" s="149" t="s">
        <v>838</v>
      </c>
      <c r="I754" s="150" t="s">
        <v>3857</v>
      </c>
      <c r="J754" s="110"/>
      <c r="K754" s="110"/>
      <c r="L754" s="110" t="s">
        <v>3781</v>
      </c>
      <c r="M754" s="111"/>
      <c r="N754" s="111"/>
      <c r="O754" s="111"/>
      <c r="P754" s="112"/>
      <c r="Q754" s="112"/>
      <c r="R754" s="112"/>
      <c r="S754" s="111"/>
      <c r="T754" s="111"/>
      <c r="U754" s="111"/>
    </row>
    <row r="755" spans="1:21" ht="15" thickBot="1" x14ac:dyDescent="0.35">
      <c r="A755" s="116">
        <v>754</v>
      </c>
      <c r="B755" s="115" t="s">
        <v>3837</v>
      </c>
      <c r="C755" s="110" t="s">
        <v>1269</v>
      </c>
      <c r="D755" s="149" t="s">
        <v>3847</v>
      </c>
      <c r="E755" s="148" t="s">
        <v>159</v>
      </c>
      <c r="F755" s="109"/>
      <c r="G755" s="109"/>
      <c r="H755" s="149" t="s">
        <v>869</v>
      </c>
      <c r="I755" s="151" t="s">
        <v>3858</v>
      </c>
      <c r="J755" s="110"/>
      <c r="K755" s="110"/>
      <c r="L755" s="110" t="s">
        <v>3781</v>
      </c>
      <c r="M755" s="111"/>
      <c r="N755" s="111"/>
      <c r="O755" s="111"/>
      <c r="P755" s="112"/>
      <c r="Q755" s="112"/>
      <c r="R755" s="112"/>
      <c r="S755" s="111"/>
      <c r="T755" s="111"/>
      <c r="U755" s="111"/>
    </row>
    <row r="756" spans="1:21" ht="15" thickBot="1" x14ac:dyDescent="0.35">
      <c r="A756" s="116">
        <v>755</v>
      </c>
      <c r="B756" s="115" t="s">
        <v>3838</v>
      </c>
      <c r="C756" s="110" t="s">
        <v>1269</v>
      </c>
      <c r="D756" s="149" t="s">
        <v>3848</v>
      </c>
      <c r="E756" s="110" t="s">
        <v>163</v>
      </c>
      <c r="F756" s="110" t="s">
        <v>163</v>
      </c>
      <c r="G756" s="109"/>
      <c r="H756" s="149" t="s">
        <v>838</v>
      </c>
      <c r="I756" s="150" t="s">
        <v>3859</v>
      </c>
      <c r="J756" s="110"/>
      <c r="K756" s="110"/>
      <c r="L756" s="110" t="s">
        <v>3781</v>
      </c>
      <c r="M756" s="111"/>
      <c r="N756" s="111"/>
      <c r="O756" s="111"/>
      <c r="P756" s="112"/>
      <c r="Q756" s="112"/>
      <c r="R756" s="112"/>
      <c r="S756" s="111"/>
      <c r="T756" s="111"/>
      <c r="U756" s="111"/>
    </row>
    <row r="757" spans="1:21" ht="15" thickBot="1" x14ac:dyDescent="0.35">
      <c r="A757" s="116">
        <v>756</v>
      </c>
      <c r="B757" s="115" t="s">
        <v>3839</v>
      </c>
      <c r="C757" s="110" t="s">
        <v>1269</v>
      </c>
      <c r="D757" s="149" t="s">
        <v>3849</v>
      </c>
      <c r="E757" s="110" t="s">
        <v>163</v>
      </c>
      <c r="F757" s="110" t="s">
        <v>163</v>
      </c>
      <c r="G757" s="109"/>
      <c r="H757" s="149" t="s">
        <v>838</v>
      </c>
      <c r="I757" s="150" t="s">
        <v>3860</v>
      </c>
      <c r="J757" s="110"/>
      <c r="K757" s="110"/>
      <c r="L757" s="110" t="s">
        <v>3781</v>
      </c>
      <c r="M757" s="111"/>
      <c r="N757" s="111"/>
      <c r="O757" s="111"/>
      <c r="P757" s="112"/>
      <c r="Q757" s="112"/>
      <c r="R757" s="112"/>
      <c r="S757" s="111"/>
      <c r="T757" s="111"/>
      <c r="U757" s="111"/>
    </row>
    <row r="758" spans="1:21" ht="15" thickBot="1" x14ac:dyDescent="0.35">
      <c r="A758" s="116">
        <v>757</v>
      </c>
      <c r="B758" s="115" t="s">
        <v>3840</v>
      </c>
      <c r="C758" s="110" t="s">
        <v>1269</v>
      </c>
      <c r="D758" s="149" t="s">
        <v>3850</v>
      </c>
      <c r="E758" s="148" t="s">
        <v>159</v>
      </c>
      <c r="F758" s="109"/>
      <c r="G758" s="109"/>
      <c r="H758" s="149" t="s">
        <v>3852</v>
      </c>
      <c r="I758" s="150" t="s">
        <v>3861</v>
      </c>
      <c r="J758" s="110"/>
      <c r="K758" s="110"/>
      <c r="L758" s="110" t="s">
        <v>3781</v>
      </c>
      <c r="M758" s="111"/>
      <c r="N758" s="111"/>
      <c r="O758" s="111"/>
      <c r="P758" s="112"/>
      <c r="Q758" s="112"/>
      <c r="R758" s="112"/>
      <c r="S758" s="111"/>
      <c r="T758" s="111"/>
      <c r="U758" s="111"/>
    </row>
    <row r="759" spans="1:21" ht="15" thickBot="1" x14ac:dyDescent="0.35">
      <c r="A759" s="116">
        <v>758</v>
      </c>
      <c r="B759" s="115" t="s">
        <v>3841</v>
      </c>
      <c r="C759" s="110" t="s">
        <v>1269</v>
      </c>
      <c r="D759" s="149" t="s">
        <v>3851</v>
      </c>
      <c r="E759" s="110" t="s">
        <v>163</v>
      </c>
      <c r="F759" s="110" t="s">
        <v>163</v>
      </c>
      <c r="G759" s="109"/>
      <c r="H759" s="149" t="s">
        <v>838</v>
      </c>
      <c r="I759" s="150" t="s">
        <v>3862</v>
      </c>
      <c r="J759" s="110"/>
      <c r="K759" s="110"/>
      <c r="L759" s="110" t="s">
        <v>3781</v>
      </c>
      <c r="M759" s="111"/>
      <c r="N759" s="111"/>
      <c r="O759" s="111"/>
      <c r="P759" s="112"/>
      <c r="Q759" s="112"/>
      <c r="R759" s="112"/>
      <c r="S759" s="111"/>
      <c r="T759" s="111"/>
      <c r="U759" s="111"/>
    </row>
  </sheetData>
  <autoFilter ref="A1:U759" xr:uid="{767F14E5-63AF-4626-887A-E20AC1DAB7DF}"/>
  <phoneticPr fontId="20" type="noConversion"/>
  <pageMargins left="0.511811024" right="0.511811024" top="0.78740157499999996" bottom="0.78740157499999996" header="0.31496062000000002" footer="0.31496062000000002"/>
  <pageSetup paperSize="9" orientation="portrait" horizontalDpi="4294967294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2EE5E-1564-4553-89C3-C8B9203DDD48}">
  <dimension ref="A1:F34"/>
  <sheetViews>
    <sheetView topLeftCell="A9" workbookViewId="0">
      <selection activeCell="A2" sqref="A2:A34"/>
    </sheetView>
  </sheetViews>
  <sheetFormatPr defaultRowHeight="14.4" x14ac:dyDescent="0.3"/>
  <cols>
    <col min="1" max="1" width="39" bestFit="1" customWidth="1"/>
    <col min="2" max="2" width="36.5546875" bestFit="1" customWidth="1"/>
    <col min="3" max="3" width="9.77734375" style="86" bestFit="1" customWidth="1"/>
    <col min="4" max="4" width="10.88671875" style="86" bestFit="1" customWidth="1"/>
    <col min="6" max="6" width="19.44140625" bestFit="1" customWidth="1"/>
  </cols>
  <sheetData>
    <row r="1" spans="1:6" x14ac:dyDescent="0.3">
      <c r="A1" s="87" t="s">
        <v>1278</v>
      </c>
      <c r="B1" s="87" t="s">
        <v>1279</v>
      </c>
      <c r="C1" s="88" t="s">
        <v>1280</v>
      </c>
      <c r="D1" s="88" t="s">
        <v>1281</v>
      </c>
      <c r="E1" s="89" t="s">
        <v>1315</v>
      </c>
      <c r="F1" s="89" t="s">
        <v>1316</v>
      </c>
    </row>
    <row r="2" spans="1:6" x14ac:dyDescent="0.3">
      <c r="A2" s="90" t="s">
        <v>308</v>
      </c>
      <c r="B2" s="90" t="s">
        <v>1282</v>
      </c>
      <c r="C2" s="91" t="s">
        <v>1330</v>
      </c>
      <c r="D2" s="91" t="s">
        <v>1331</v>
      </c>
      <c r="E2" s="89" t="s">
        <v>1317</v>
      </c>
      <c r="F2" s="89" t="s">
        <v>1319</v>
      </c>
    </row>
    <row r="3" spans="1:6" x14ac:dyDescent="0.3">
      <c r="A3" s="90" t="s">
        <v>156</v>
      </c>
      <c r="B3" s="90" t="s">
        <v>1283</v>
      </c>
      <c r="C3" s="91" t="s">
        <v>1332</v>
      </c>
      <c r="D3" s="91" t="s">
        <v>1333</v>
      </c>
      <c r="E3" s="89" t="s">
        <v>1317</v>
      </c>
      <c r="F3" s="89" t="s">
        <v>1320</v>
      </c>
    </row>
    <row r="4" spans="1:6" x14ac:dyDescent="0.3">
      <c r="A4" s="90" t="s">
        <v>284</v>
      </c>
      <c r="B4" s="90" t="s">
        <v>1284</v>
      </c>
      <c r="C4" s="91" t="s">
        <v>1334</v>
      </c>
      <c r="D4" s="91" t="s">
        <v>1335</v>
      </c>
      <c r="E4" s="89" t="s">
        <v>1317</v>
      </c>
      <c r="F4" s="89" t="s">
        <v>1321</v>
      </c>
    </row>
    <row r="5" spans="1:6" x14ac:dyDescent="0.3">
      <c r="A5" s="90" t="s">
        <v>276</v>
      </c>
      <c r="B5" s="90" t="s">
        <v>1285</v>
      </c>
      <c r="C5" s="91" t="s">
        <v>1336</v>
      </c>
      <c r="D5" s="91" t="s">
        <v>1337</v>
      </c>
      <c r="E5" s="89" t="s">
        <v>1317</v>
      </c>
      <c r="F5" s="89" t="s">
        <v>1321</v>
      </c>
    </row>
    <row r="6" spans="1:6" x14ac:dyDescent="0.3">
      <c r="A6" s="90" t="s">
        <v>504</v>
      </c>
      <c r="B6" s="90" t="s">
        <v>1286</v>
      </c>
      <c r="C6" s="91" t="s">
        <v>1338</v>
      </c>
      <c r="D6" s="91" t="s">
        <v>1339</v>
      </c>
      <c r="E6" s="89" t="s">
        <v>1317</v>
      </c>
      <c r="F6" s="89" t="s">
        <v>1322</v>
      </c>
    </row>
    <row r="7" spans="1:6" x14ac:dyDescent="0.3">
      <c r="A7" s="90" t="s">
        <v>520</v>
      </c>
      <c r="B7" s="90" t="s">
        <v>1287</v>
      </c>
      <c r="C7" s="91"/>
      <c r="D7" s="91"/>
      <c r="E7" s="89" t="s">
        <v>1317</v>
      </c>
      <c r="F7" s="89"/>
    </row>
    <row r="8" spans="1:6" x14ac:dyDescent="0.3">
      <c r="A8" s="90" t="s">
        <v>254</v>
      </c>
      <c r="B8" s="90" t="s">
        <v>1288</v>
      </c>
      <c r="C8" s="91" t="s">
        <v>1340</v>
      </c>
      <c r="D8" s="91" t="s">
        <v>1341</v>
      </c>
      <c r="E8" s="89" t="s">
        <v>1317</v>
      </c>
      <c r="F8" s="89" t="s">
        <v>1324</v>
      </c>
    </row>
    <row r="9" spans="1:6" x14ac:dyDescent="0.3">
      <c r="A9" s="90" t="s">
        <v>193</v>
      </c>
      <c r="B9" s="90" t="s">
        <v>1289</v>
      </c>
      <c r="C9" s="91" t="s">
        <v>1342</v>
      </c>
      <c r="D9" s="91" t="s">
        <v>1343</v>
      </c>
      <c r="E9" s="89" t="s">
        <v>1317</v>
      </c>
      <c r="F9" s="89" t="s">
        <v>1325</v>
      </c>
    </row>
    <row r="10" spans="1:6" x14ac:dyDescent="0.3">
      <c r="A10" s="90" t="s">
        <v>372</v>
      </c>
      <c r="B10" s="90" t="s">
        <v>1290</v>
      </c>
      <c r="C10" s="91" t="s">
        <v>1344</v>
      </c>
      <c r="D10" s="91" t="s">
        <v>1345</v>
      </c>
      <c r="E10" s="89" t="s">
        <v>1317</v>
      </c>
      <c r="F10" s="89" t="s">
        <v>1319</v>
      </c>
    </row>
    <row r="11" spans="1:6" x14ac:dyDescent="0.3">
      <c r="A11" s="90" t="s">
        <v>643</v>
      </c>
      <c r="B11" s="90" t="s">
        <v>1291</v>
      </c>
      <c r="C11" s="91"/>
      <c r="D11" s="91"/>
      <c r="E11" s="89" t="s">
        <v>1317</v>
      </c>
      <c r="F11" s="89"/>
    </row>
    <row r="12" spans="1:6" x14ac:dyDescent="0.3">
      <c r="A12" s="90" t="s">
        <v>322</v>
      </c>
      <c r="B12" s="90" t="s">
        <v>1292</v>
      </c>
      <c r="C12" s="91" t="s">
        <v>1346</v>
      </c>
      <c r="D12" s="91" t="s">
        <v>1347</v>
      </c>
      <c r="E12" s="89" t="s">
        <v>1317</v>
      </c>
      <c r="F12" s="89" t="s">
        <v>1326</v>
      </c>
    </row>
    <row r="13" spans="1:6" x14ac:dyDescent="0.3">
      <c r="A13" s="90" t="s">
        <v>325</v>
      </c>
      <c r="B13" s="90" t="s">
        <v>1293</v>
      </c>
      <c r="C13" s="91" t="s">
        <v>1348</v>
      </c>
      <c r="D13" s="91" t="s">
        <v>1349</v>
      </c>
      <c r="E13" s="89" t="s">
        <v>1317</v>
      </c>
      <c r="F13" s="89" t="s">
        <v>1320</v>
      </c>
    </row>
    <row r="14" spans="1:6" x14ac:dyDescent="0.3">
      <c r="A14" s="90" t="s">
        <v>262</v>
      </c>
      <c r="B14" s="90" t="s">
        <v>1294</v>
      </c>
      <c r="C14" s="91" t="s">
        <v>1368</v>
      </c>
      <c r="D14" s="91" t="s">
        <v>1369</v>
      </c>
      <c r="E14" s="89" t="s">
        <v>1317</v>
      </c>
      <c r="F14" s="89" t="s">
        <v>1327</v>
      </c>
    </row>
    <row r="15" spans="1:6" x14ac:dyDescent="0.3">
      <c r="A15" s="90" t="s">
        <v>245</v>
      </c>
      <c r="B15" s="90" t="s">
        <v>1295</v>
      </c>
      <c r="C15" s="91" t="s">
        <v>1352</v>
      </c>
      <c r="D15" s="91" t="s">
        <v>1353</v>
      </c>
      <c r="E15" s="89" t="s">
        <v>1317</v>
      </c>
      <c r="F15" s="89" t="s">
        <v>1320</v>
      </c>
    </row>
    <row r="16" spans="1:6" x14ac:dyDescent="0.3">
      <c r="A16" s="90" t="s">
        <v>200</v>
      </c>
      <c r="B16" s="90" t="s">
        <v>1296</v>
      </c>
      <c r="C16" s="91" t="s">
        <v>1354</v>
      </c>
      <c r="D16" s="91" t="s">
        <v>1355</v>
      </c>
      <c r="E16" s="89" t="s">
        <v>1317</v>
      </c>
      <c r="F16" s="89" t="s">
        <v>1323</v>
      </c>
    </row>
    <row r="17" spans="1:6" x14ac:dyDescent="0.3">
      <c r="A17" s="90" t="s">
        <v>257</v>
      </c>
      <c r="B17" s="90" t="s">
        <v>1297</v>
      </c>
      <c r="C17" s="91" t="s">
        <v>1356</v>
      </c>
      <c r="D17" s="91" t="s">
        <v>1357</v>
      </c>
      <c r="E17" s="89" t="s">
        <v>1317</v>
      </c>
      <c r="F17" s="89" t="s">
        <v>1323</v>
      </c>
    </row>
    <row r="18" spans="1:6" x14ac:dyDescent="0.3">
      <c r="A18" s="90" t="s">
        <v>151</v>
      </c>
      <c r="B18" s="90" t="s">
        <v>1298</v>
      </c>
      <c r="C18" s="91" t="s">
        <v>1358</v>
      </c>
      <c r="D18" s="91" t="s">
        <v>1359</v>
      </c>
      <c r="E18" s="89" t="s">
        <v>1317</v>
      </c>
      <c r="F18" s="89" t="s">
        <v>1322</v>
      </c>
    </row>
    <row r="19" spans="1:6" x14ac:dyDescent="0.3">
      <c r="A19" s="90" t="s">
        <v>315</v>
      </c>
      <c r="B19" s="90" t="s">
        <v>1299</v>
      </c>
      <c r="C19" s="91" t="s">
        <v>1360</v>
      </c>
      <c r="D19" s="91" t="s">
        <v>1361</v>
      </c>
      <c r="E19" s="89" t="s">
        <v>1317</v>
      </c>
      <c r="F19" s="89" t="s">
        <v>1323</v>
      </c>
    </row>
    <row r="20" spans="1:6" x14ac:dyDescent="0.3">
      <c r="A20" s="90" t="s">
        <v>187</v>
      </c>
      <c r="B20" s="90" t="s">
        <v>1300</v>
      </c>
      <c r="C20" s="91"/>
      <c r="D20" s="91"/>
      <c r="E20" s="89" t="s">
        <v>1317</v>
      </c>
      <c r="F20" s="89"/>
    </row>
    <row r="21" spans="1:6" x14ac:dyDescent="0.3">
      <c r="A21" s="90" t="s">
        <v>490</v>
      </c>
      <c r="B21" s="90" t="s">
        <v>1301</v>
      </c>
      <c r="C21" s="91" t="s">
        <v>1362</v>
      </c>
      <c r="D21" s="91" t="s">
        <v>1363</v>
      </c>
      <c r="E21" s="89" t="s">
        <v>1317</v>
      </c>
      <c r="F21" s="89" t="s">
        <v>1324</v>
      </c>
    </row>
    <row r="22" spans="1:6" x14ac:dyDescent="0.3">
      <c r="A22" s="90" t="s">
        <v>330</v>
      </c>
      <c r="B22" s="90" t="s">
        <v>1302</v>
      </c>
      <c r="C22" s="91" t="s">
        <v>1364</v>
      </c>
      <c r="D22" s="91" t="s">
        <v>1365</v>
      </c>
      <c r="E22" s="89" t="s">
        <v>1317</v>
      </c>
      <c r="F22" s="89" t="s">
        <v>1324</v>
      </c>
    </row>
    <row r="23" spans="1:6" x14ac:dyDescent="0.3">
      <c r="A23" s="90" t="s">
        <v>305</v>
      </c>
      <c r="B23" s="90" t="s">
        <v>1303</v>
      </c>
      <c r="C23" s="91" t="s">
        <v>1366</v>
      </c>
      <c r="D23" s="91" t="s">
        <v>1367</v>
      </c>
      <c r="E23" s="89" t="s">
        <v>1317</v>
      </c>
      <c r="F23" s="89" t="s">
        <v>1326</v>
      </c>
    </row>
    <row r="24" spans="1:6" x14ac:dyDescent="0.3">
      <c r="A24" s="90" t="s">
        <v>296</v>
      </c>
      <c r="B24" s="90" t="s">
        <v>1304</v>
      </c>
      <c r="C24" s="91" t="s">
        <v>1350</v>
      </c>
      <c r="D24" s="91" t="s">
        <v>1351</v>
      </c>
      <c r="E24" s="89" t="s">
        <v>1317</v>
      </c>
      <c r="F24" s="89" t="s">
        <v>1327</v>
      </c>
    </row>
    <row r="25" spans="1:6" x14ac:dyDescent="0.3">
      <c r="A25" s="90" t="s">
        <v>343</v>
      </c>
      <c r="B25" s="90" t="s">
        <v>1305</v>
      </c>
      <c r="C25" s="91" t="s">
        <v>1370</v>
      </c>
      <c r="D25" s="91" t="s">
        <v>1371</v>
      </c>
      <c r="E25" s="89" t="s">
        <v>1317</v>
      </c>
      <c r="F25" s="89" t="s">
        <v>1327</v>
      </c>
    </row>
    <row r="26" spans="1:6" x14ac:dyDescent="0.3">
      <c r="A26" s="90" t="s">
        <v>355</v>
      </c>
      <c r="B26" s="90" t="s">
        <v>1306</v>
      </c>
      <c r="C26" s="91" t="s">
        <v>1372</v>
      </c>
      <c r="D26" s="91" t="s">
        <v>1373</v>
      </c>
      <c r="E26" s="89" t="s">
        <v>1317</v>
      </c>
      <c r="F26" s="89" t="s">
        <v>1327</v>
      </c>
    </row>
    <row r="27" spans="1:6" x14ac:dyDescent="0.3">
      <c r="A27" s="90" t="s">
        <v>390</v>
      </c>
      <c r="B27" s="90" t="s">
        <v>1307</v>
      </c>
      <c r="C27" s="91" t="s">
        <v>1374</v>
      </c>
      <c r="D27" s="91" t="s">
        <v>1375</v>
      </c>
      <c r="E27" s="89" t="s">
        <v>1317</v>
      </c>
      <c r="F27" s="89" t="s">
        <v>1326</v>
      </c>
    </row>
    <row r="28" spans="1:6" x14ac:dyDescent="0.3">
      <c r="A28" s="90" t="s">
        <v>462</v>
      </c>
      <c r="B28" s="90" t="s">
        <v>1308</v>
      </c>
      <c r="C28" s="91" t="s">
        <v>1376</v>
      </c>
      <c r="D28" s="91" t="s">
        <v>1377</v>
      </c>
      <c r="E28" s="89" t="s">
        <v>1317</v>
      </c>
      <c r="F28" s="89" t="s">
        <v>1327</v>
      </c>
    </row>
    <row r="29" spans="1:6" x14ac:dyDescent="0.3">
      <c r="A29" s="90" t="s">
        <v>291</v>
      </c>
      <c r="B29" s="90" t="s">
        <v>1309</v>
      </c>
      <c r="C29" s="91" t="s">
        <v>1378</v>
      </c>
      <c r="D29" s="91" t="s">
        <v>1379</v>
      </c>
      <c r="E29" s="89" t="s">
        <v>1317</v>
      </c>
      <c r="F29" s="89" t="s">
        <v>1323</v>
      </c>
    </row>
    <row r="30" spans="1:6" x14ac:dyDescent="0.3">
      <c r="A30" s="90" t="s">
        <v>320</v>
      </c>
      <c r="B30" s="90" t="s">
        <v>1310</v>
      </c>
      <c r="C30" s="91" t="s">
        <v>1380</v>
      </c>
      <c r="D30" s="91" t="s">
        <v>1381</v>
      </c>
      <c r="E30" s="89" t="s">
        <v>1317</v>
      </c>
      <c r="F30" s="89" t="s">
        <v>1328</v>
      </c>
    </row>
    <row r="31" spans="1:6" x14ac:dyDescent="0.3">
      <c r="A31" s="90" t="s">
        <v>182</v>
      </c>
      <c r="B31" s="90" t="s">
        <v>1311</v>
      </c>
      <c r="C31" s="91" t="s">
        <v>1382</v>
      </c>
      <c r="D31" s="91" t="s">
        <v>1333</v>
      </c>
      <c r="E31" s="89" t="s">
        <v>1317</v>
      </c>
      <c r="F31" s="89" t="s">
        <v>1323</v>
      </c>
    </row>
    <row r="32" spans="1:6" x14ac:dyDescent="0.3">
      <c r="A32" s="90" t="s">
        <v>237</v>
      </c>
      <c r="B32" s="90" t="s">
        <v>1312</v>
      </c>
      <c r="C32" s="91" t="s">
        <v>1383</v>
      </c>
      <c r="D32" s="91" t="s">
        <v>1384</v>
      </c>
      <c r="E32" s="89" t="s">
        <v>1317</v>
      </c>
      <c r="F32" s="89" t="s">
        <v>1323</v>
      </c>
    </row>
    <row r="33" spans="1:6" x14ac:dyDescent="0.3">
      <c r="A33" s="92" t="s">
        <v>163</v>
      </c>
      <c r="B33" s="93" t="s">
        <v>1314</v>
      </c>
      <c r="C33" s="94" t="s">
        <v>1385</v>
      </c>
      <c r="D33" s="95" t="s">
        <v>1386</v>
      </c>
      <c r="E33" s="96" t="s">
        <v>1318</v>
      </c>
      <c r="F33" s="96" t="s">
        <v>1329</v>
      </c>
    </row>
    <row r="34" spans="1:6" x14ac:dyDescent="0.3">
      <c r="A34" s="92" t="s">
        <v>161</v>
      </c>
      <c r="B34" s="93" t="s">
        <v>1313</v>
      </c>
      <c r="C34" s="95" t="s">
        <v>1387</v>
      </c>
      <c r="D34" s="95" t="s">
        <v>1388</v>
      </c>
      <c r="E34" s="96" t="s">
        <v>1318</v>
      </c>
      <c r="F34" s="96" t="s">
        <v>1325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METAS DO PLANO DE TRABALHO</vt:lpstr>
      <vt:lpstr>INDICADORES UPA LUZIÂNIA</vt:lpstr>
      <vt:lpstr>INDICADORES UPA JARDIM INGÁ</vt:lpstr>
      <vt:lpstr>INDICADORES HMJI</vt:lpstr>
      <vt:lpstr>INDICADORES ATENÇÃO SECUNDÁRIA</vt:lpstr>
      <vt:lpstr>INDICADORES SAÚDE MENTAL</vt:lpstr>
      <vt:lpstr>INDICADORES ATENÇÃO PRIMÁRIA</vt:lpstr>
      <vt:lpstr>INDICADORES RH</vt:lpstr>
      <vt:lpstr>Financeiro</vt:lpstr>
      <vt:lpstr>COLABORADORES</vt:lpstr>
      <vt:lpstr>GEO_UNIDADES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Inovar Soluções</dc:creator>
  <cp:lastModifiedBy>angelo miguel</cp:lastModifiedBy>
  <dcterms:created xsi:type="dcterms:W3CDTF">2026-03-30T12:35:05Z</dcterms:created>
  <dcterms:modified xsi:type="dcterms:W3CDTF">2026-07-20T17:31:42Z</dcterms:modified>
</cp:coreProperties>
</file>