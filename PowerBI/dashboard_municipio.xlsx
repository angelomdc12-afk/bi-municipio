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5D2EC173-414D-4870-912F-F564F6365EEF}" xr6:coauthVersionLast="47" xr6:coauthVersionMax="47" xr10:uidLastSave="{00000000-0000-0000-0000-000000000000}"/>
  <bookViews>
    <workbookView xWindow="-28920" yWindow="555" windowWidth="29040" windowHeight="15720" firstSheet="4" activeTab="7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Financeiro" sheetId="11" r:id="rId9"/>
  </sheets>
  <calcPr calcId="191029"/>
</workbook>
</file>

<file path=xl/calcChain.xml><?xml version="1.0" encoding="utf-8"?>
<calcChain xmlns="http://schemas.openxmlformats.org/spreadsheetml/2006/main">
  <c r="C5" i="2" l="1"/>
  <c r="N15" i="11"/>
  <c r="M15" i="11"/>
  <c r="L15" i="11"/>
  <c r="K15" i="11"/>
  <c r="J15" i="11"/>
  <c r="I15" i="11"/>
  <c r="H15" i="11"/>
  <c r="G15" i="11"/>
  <c r="F15" i="11"/>
  <c r="E15" i="11"/>
  <c r="D15" i="11"/>
  <c r="C15" i="11"/>
  <c r="O15" i="11" s="1"/>
  <c r="O14" i="11"/>
  <c r="O13" i="11"/>
  <c r="O12" i="11"/>
  <c r="O11" i="11"/>
  <c r="O10" i="11"/>
  <c r="O9" i="11"/>
  <c r="O8" i="11"/>
  <c r="O7" i="11"/>
  <c r="O6" i="11"/>
  <c r="O5" i="11"/>
  <c r="O4" i="11"/>
  <c r="C20" i="2" l="1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F22" i="2" s="1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D5" i="2"/>
  <c r="O5" i="2"/>
  <c r="O4" i="2"/>
  <c r="N18" i="1"/>
  <c r="M18" i="1"/>
  <c r="L18" i="1"/>
  <c r="K18" i="1"/>
  <c r="J18" i="1"/>
  <c r="I18" i="1"/>
  <c r="H18" i="1"/>
  <c r="G18" i="1"/>
  <c r="F18" i="1"/>
  <c r="E18" i="1"/>
  <c r="D18" i="1"/>
  <c r="C18" i="1"/>
  <c r="O18" i="1" s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M20" i="3" l="1"/>
  <c r="K22" i="3"/>
  <c r="N23" i="3"/>
  <c r="M25" i="3"/>
  <c r="N20" i="3"/>
  <c r="L22" i="3"/>
  <c r="I24" i="3"/>
  <c r="H21" i="3"/>
  <c r="M22" i="3"/>
  <c r="D25" i="3"/>
  <c r="E20" i="3"/>
  <c r="I21" i="3"/>
  <c r="N22" i="3"/>
  <c r="E25" i="3"/>
  <c r="O25" i="3" s="1"/>
  <c r="F20" i="3"/>
  <c r="D22" i="3"/>
  <c r="F23" i="3"/>
  <c r="F25" i="3"/>
  <c r="G20" i="3"/>
  <c r="E22" i="3"/>
  <c r="G23" i="3"/>
  <c r="G25" i="3"/>
  <c r="H20" i="3"/>
  <c r="F22" i="3"/>
  <c r="H23" i="3"/>
  <c r="H25" i="3"/>
  <c r="I20" i="3"/>
  <c r="G22" i="3"/>
  <c r="I23" i="3"/>
  <c r="L25" i="3"/>
  <c r="O64" i="2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F20" i="2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K21" i="3"/>
  <c r="D24" i="3"/>
  <c r="J23" i="3"/>
  <c r="E24" i="3"/>
  <c r="M24" i="3"/>
  <c r="G20" i="2"/>
  <c r="H23" i="2"/>
  <c r="C24" i="2"/>
  <c r="O24" i="2" s="1"/>
  <c r="K24" i="2"/>
  <c r="F25" i="2"/>
  <c r="N25" i="2"/>
  <c r="C20" i="3"/>
  <c r="K20" i="3"/>
  <c r="D23" i="3"/>
  <c r="L23" i="3"/>
  <c r="G24" i="3"/>
  <c r="J25" i="3"/>
  <c r="O18" i="2"/>
  <c r="J24" i="3"/>
  <c r="N21" i="2"/>
  <c r="K24" i="3"/>
  <c r="G21" i="2"/>
  <c r="H21" i="2"/>
  <c r="N23" i="2"/>
  <c r="O22" i="3" l="1"/>
  <c r="O20" i="3"/>
  <c r="O21" i="3"/>
  <c r="O21" i="2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<sst xmlns="http://schemas.openxmlformats.org/spreadsheetml/2006/main" count="784" uniqueCount="146">
  <si>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</si>
  <si>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</si>
  <si>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</si>
  <si>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</si>
  <si>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</si>
  <si>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</si>
  <si>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</si>
  <si>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</si>
  <si>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</si>
  <si>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</si>
  <si>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</si>
  <si>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</si>
  <si>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</si>
  <si>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</si>
  <si>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</si>
  <si>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</si>
  <si>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</si>
  <si>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</si>
  <si>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</si>
  <si>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</si>
  <si>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</si>
  <si>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</si>
  <si>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</si>
  <si>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</si>
  <si>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</si>
  <si>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</si>
  <si>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</si>
  <si>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</si>
  <si>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</si>
  <si>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</si>
  <si>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</si>
  <si>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</si>
  <si>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</si>
  <si>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</si>
  <si>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</si>
  <si>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</si>
  <si>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</si>
  <si>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</si>
  <si>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</si>
  <si>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</si>
  <si>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</si>
  <si>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</si>
  <si>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</si>
  <si>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</si>
  <si>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</si>
  <si>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</si>
  <si>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</si>
  <si>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</si>
  <si>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</si>
  <si>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</si>
  <si>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</si>
  <si>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</si>
  <si>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</si>
  <si>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</si>
  <si>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</si>
  <si>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</si>
  <si>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</si>
  <si>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</si>
  <si>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</si>
  <si>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</si>
  <si>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</si>
  <si>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</si>
  <si>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</si>
  <si>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</si>
  <si>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</si>
  <si>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</si>
  <si>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</si>
  <si>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</si>
  <si>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</si>
  <si>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</si>
  <si>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</si>
  <si>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</si>
  <si>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</si>
  <si>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</si>
  <si>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</si>
  <si>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</si>
  <si>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</si>
  <si>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</si>
  <si>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</si>
  <si>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</si>
  <si>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</si>
  <si>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</si>
  <si>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</si>
  <si>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</si>
  <si>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</si>
  <si>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</si>
  <si>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</si>
  <si>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</si>
  <si>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</si>
  <si>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</si>
  <si>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</si>
  <si>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</si>
  <si>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</si>
  <si>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</si>
  <si>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</si>
  <si>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</si>
  <si>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</si>
  <si>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</si>
  <si>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</si>
  <si>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</si>
  <si>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</si>
  <si>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</si>
  <si>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</si>
  <si>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</si>
  <si>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</si>
  <si>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</si>
  <si>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</si>
  <si>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</si>
  <si>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</si>
  <si>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</si>
  <si>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</si>
  <si>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</si>
  <si>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</si>
  <si>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</si>
  <si>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</si>
  <si>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</si>
  <si>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</si>
  <si>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</si>
  <si>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</si>
  <si>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</si>
  <si>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</si>
  <si>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</si>
  <si>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</si>
  <si>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</si>
  <si>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</si>
  <si>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</si>
  <si>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</si>
  <si>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</si>
  <si>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</si>
  <si>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</si>
  <si>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</si>
  <si>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</si>
  <si>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</si>
  <si>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</si>
  <si>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</si>
  <si>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</si>
  <si>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</si>
  <si>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</si>
  <si>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</si>
  <si>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</si>
  <si>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</si>
  <si>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</si>
  <si>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CASMARINHO MED LTDA</t>
  </si>
  <si>
    <t>NOVA CLINICA MEDICA &amp; DIAGNOSTICO LTDA</t>
  </si>
  <si>
    <t>D3 SOLUÇÕES LTDA</t>
  </si>
  <si>
    <t>OUTROS/PG AVULSO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</si>
</sst>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"/>
    <numFmt numFmtId="165" formatCode="[$-F400]h:mm:ss\ AM/PM"/>
  </numFmts>
  <fonts count="17" x14ac:knownFonts="1">
    <font>
      <sz val="11"/>
      <color theme="1"/>
      <name val="Aptos Narrow"/>
    </font>
    <font>
      <sz val="16"/>
      <color theme="1"/>
      <name val="Aptos Narrow"/>
    </font>
    <font>
      <sz val="11"/>
      <color theme="1"/>
      <name val="Aptos Narrow"/>
    </font>
    <font>
      <b/>
      <sz val="11"/>
      <color theme="0"/>
      <name val="Aptos Narrow"/>
    </font>
    <font>
      <sz val="11"/>
      <name val="Aptos Narrow"/>
    </font>
    <font>
      <b/>
      <sz val="11"/>
      <color theme="1"/>
      <name val="Aptos Narrow"/>
    </font>
    <font>
      <b/>
      <sz val="11"/>
      <color theme="0"/>
      <name val="Aptos Narrow"/>
    </font>
    <font>
      <b/>
      <sz val="11"/>
      <color theme="1"/>
      <name val="Aptos Narrow"/>
    </font>
    <font>
      <sz val="16"/>
      <color theme="1"/>
      <name val="Aptos Narrow"/>
    </font>
    <font>
      <b/>
      <sz val="14"/>
      <color rgb="FFFFFFFF"/>
      <name val="Aptos Narrow"/>
    </font>
    <font>
      <b/>
      <sz val="11"/>
      <color rgb="FFFFFFFF"/>
      <name val="Aptos Narrow"/>
    </font>
    <font>
      <b/>
      <sz val="11"/>
      <color rgb="FF0F172A"/>
      <name val="Aptos Narrow"/>
    </font>
    <font>
      <b/>
      <sz val="11"/>
      <color rgb="FF1E3A8A"/>
      <name val="Aptos Narrow"/>
    </font>
    <font>
      <sz val="11"/>
      <color theme="1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7"/>
    <xf numFmtId="9" fontId="2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left" vertical="center"/>
    </xf>
    <xf numFmtId="0" fontId="7" fillId="13" borderId="8" xfId="0" applyFont="1" applyFill="1" applyBorder="1" applyAlignment="1">
      <alignment horizontal="center" vertical="center"/>
    </xf>
    <xf numFmtId="3" fontId="7" fillId="13" borderId="8" xfId="0" applyNumberFormat="1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left" vertical="center"/>
    </xf>
    <xf numFmtId="0" fontId="7" fillId="14" borderId="8" xfId="0" applyFont="1" applyFill="1" applyBorder="1" applyAlignment="1">
      <alignment horizontal="center" vertical="center"/>
    </xf>
    <xf numFmtId="3" fontId="7" fillId="14" borderId="8" xfId="0" applyNumberFormat="1" applyFont="1" applyFill="1" applyBorder="1" applyAlignment="1">
      <alignment horizontal="center" vertical="center"/>
    </xf>
    <xf numFmtId="0" fontId="10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5" fillId="21" borderId="8" xfId="0" applyNumberFormat="1" applyFont="1" applyFill="1" applyBorder="1" applyAlignment="1">
      <alignment wrapText="1"/>
    </xf>
    <xf numFmtId="0" fontId="5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2" fillId="18" borderId="8" xfId="0" applyFont="1" applyFill="1" applyBorder="1" applyAlignment="1">
      <alignment wrapText="1"/>
    </xf>
    <xf numFmtId="164" fontId="12" fillId="16" borderId="8" xfId="0" applyNumberFormat="1" applyFont="1" applyFill="1" applyBorder="1" applyAlignment="1">
      <alignment wrapText="1"/>
    </xf>
    <xf numFmtId="164" fontId="12" fillId="23" borderId="8" xfId="0" applyNumberFormat="1" applyFont="1" applyFill="1" applyBorder="1" applyAlignment="1">
      <alignment wrapText="1"/>
    </xf>
    <xf numFmtId="0" fontId="9" fillId="15" borderId="0" xfId="0" applyFont="1" applyFill="1" applyAlignment="1">
      <alignment vertical="center"/>
    </xf>
    <xf numFmtId="0" fontId="11" fillId="19" borderId="8" xfId="0" applyFont="1" applyFill="1" applyBorder="1"/>
    <xf numFmtId="0" fontId="5" fillId="22" borderId="8" xfId="0" applyFont="1" applyFill="1" applyBorder="1"/>
    <xf numFmtId="0" fontId="12" fillId="18" borderId="8" xfId="0" applyFont="1" applyFill="1" applyBorder="1"/>
    <xf numFmtId="0" fontId="11" fillId="24" borderId="8" xfId="0" applyFont="1" applyFill="1" applyBorder="1" applyAlignment="1">
      <alignment wrapText="1"/>
    </xf>
    <xf numFmtId="0" fontId="5" fillId="24" borderId="1" xfId="0" applyFont="1" applyFill="1" applyBorder="1" applyAlignment="1">
      <alignment horizontal="left" vertical="center"/>
    </xf>
    <xf numFmtId="0" fontId="14" fillId="25" borderId="0" xfId="0" applyFont="1" applyFill="1" applyAlignment="1">
      <alignment horizontal="center" vertical="center" wrapText="1"/>
    </xf>
    <xf numFmtId="44" fontId="14" fillId="25" borderId="0" xfId="0" applyNumberFormat="1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5" fillId="26" borderId="8" xfId="0" applyFont="1" applyFill="1" applyBorder="1" applyAlignment="1">
      <alignment horizontal="left" vertical="center"/>
    </xf>
    <xf numFmtId="44" fontId="15" fillId="26" borderId="8" xfId="0" applyNumberFormat="1" applyFont="1" applyFill="1" applyBorder="1" applyAlignment="1">
      <alignment horizontal="center" vertical="center"/>
    </xf>
    <xf numFmtId="0" fontId="15" fillId="26" borderId="8" xfId="0" applyFont="1" applyFill="1" applyBorder="1" applyAlignment="1">
      <alignment horizontal="center" vertical="center"/>
    </xf>
    <xf numFmtId="3" fontId="15" fillId="26" borderId="8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0" fontId="0" fillId="20" borderId="8" xfId="2" applyNumberFormat="1" applyFont="1" applyFill="1" applyBorder="1" applyAlignment="1">
      <alignment wrapText="1"/>
    </xf>
    <xf numFmtId="0" fontId="5" fillId="3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5" fillId="4" borderId="2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5" fillId="3" borderId="2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 indent="61"/>
    </xf>
    <xf numFmtId="0" fontId="14" fillId="25" borderId="0" xfId="0" applyFont="1" applyFill="1" applyAlignment="1">
      <alignment horizontal="center" vertical="center" wrapText="1"/>
    </xf>
    <xf numFmtId="0" fontId="15" fillId="26" borderId="8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B6D13EF8-1593-44AD-B7A9-3A9DF2CA949C}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workbookViewId="0">
      <selection activeCell="B22" sqref="B22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4" customFormat="1" ht="49.5" customHeight="1" x14ac:dyDescent="0.3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</row>
    <row r="2" spans="1:15" s="34" customFormat="1" x14ac:dyDescent="0.3">
      <c r="A2" s="35" t="s">
        <v>0</v>
      </c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3" spans="1:15" s="34" customFormat="1" x14ac:dyDescent="0.3">
      <c r="A3" s="82"/>
      <c r="B3" s="82"/>
      <c r="C3" s="37" t="s">
        <v>1</v>
      </c>
      <c r="D3" s="37" t="s">
        <v>2</v>
      </c>
      <c r="E3" s="37" t="s">
        <v>3</v>
      </c>
      <c r="F3" s="37" t="s">
        <v>4</v>
      </c>
      <c r="G3" s="37" t="s">
        <v>5</v>
      </c>
      <c r="H3" s="37" t="s">
        <v>6</v>
      </c>
      <c r="I3" s="37" t="s">
        <v>7</v>
      </c>
      <c r="J3" s="37" t="s">
        <v>8</v>
      </c>
      <c r="K3" s="37" t="s">
        <v>9</v>
      </c>
      <c r="L3" s="37" t="s">
        <v>10</v>
      </c>
      <c r="M3" s="37" t="s">
        <v>11</v>
      </c>
      <c r="N3" s="37" t="s">
        <v>12</v>
      </c>
      <c r="O3" s="37" t="s">
        <v>13</v>
      </c>
    </row>
    <row r="4" spans="1:15" s="34" customFormat="1" x14ac:dyDescent="0.3">
      <c r="A4" s="83" t="s">
        <v>14</v>
      </c>
      <c r="B4" s="41" t="s">
        <v>15</v>
      </c>
      <c r="C4" s="42">
        <v>35794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3">
        <f t="shared" ref="O4:O7" si="0">SUM(C4:N4)</f>
        <v>35794</v>
      </c>
    </row>
    <row r="5" spans="1:15" s="34" customFormat="1" x14ac:dyDescent="0.3">
      <c r="A5" s="83"/>
      <c r="B5" s="41" t="s">
        <v>16</v>
      </c>
      <c r="C5" s="42">
        <v>12251</v>
      </c>
      <c r="D5" s="42">
        <v>12251</v>
      </c>
      <c r="E5" s="42">
        <v>12251</v>
      </c>
      <c r="F5" s="42">
        <v>12251</v>
      </c>
      <c r="G5" s="42">
        <v>12251</v>
      </c>
      <c r="H5" s="42">
        <v>12251</v>
      </c>
      <c r="I5" s="42">
        <v>12251</v>
      </c>
      <c r="J5" s="42">
        <v>12251</v>
      </c>
      <c r="K5" s="42">
        <v>12251</v>
      </c>
      <c r="L5" s="42">
        <v>12251</v>
      </c>
      <c r="M5" s="42">
        <v>12251</v>
      </c>
      <c r="N5" s="42">
        <v>12251</v>
      </c>
      <c r="O5" s="43">
        <f t="shared" si="0"/>
        <v>147012</v>
      </c>
    </row>
    <row r="6" spans="1:15" s="34" customFormat="1" x14ac:dyDescent="0.3">
      <c r="A6" s="83"/>
      <c r="B6" s="38" t="s">
        <v>17</v>
      </c>
      <c r="C6" s="39">
        <v>50246</v>
      </c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40">
        <f t="shared" si="0"/>
        <v>50246</v>
      </c>
    </row>
    <row r="7" spans="1:15" s="34" customFormat="1" x14ac:dyDescent="0.3">
      <c r="A7" s="83"/>
      <c r="B7" s="38" t="s">
        <v>16</v>
      </c>
      <c r="C7" s="39">
        <v>45843</v>
      </c>
      <c r="D7" s="39">
        <v>45843</v>
      </c>
      <c r="E7" s="39">
        <v>45843</v>
      </c>
      <c r="F7" s="39">
        <v>45843</v>
      </c>
      <c r="G7" s="39">
        <v>45843</v>
      </c>
      <c r="H7" s="39">
        <v>45843</v>
      </c>
      <c r="I7" s="39">
        <v>45843</v>
      </c>
      <c r="J7" s="39">
        <v>45843</v>
      </c>
      <c r="K7" s="39">
        <v>45843</v>
      </c>
      <c r="L7" s="39">
        <v>45843</v>
      </c>
      <c r="M7" s="39">
        <v>45843</v>
      </c>
      <c r="N7" s="39">
        <v>45843</v>
      </c>
      <c r="O7" s="40">
        <f t="shared" si="0"/>
        <v>550116</v>
      </c>
    </row>
    <row r="8" spans="1:15" s="34" customFormat="1" x14ac:dyDescent="0.3">
      <c r="A8" s="83"/>
      <c r="B8" s="41" t="s">
        <v>18</v>
      </c>
      <c r="C8" s="42">
        <v>37060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3">
        <f>SUM(C8:N8)</f>
        <v>37060</v>
      </c>
    </row>
    <row r="9" spans="1:15" s="34" customFormat="1" x14ac:dyDescent="0.3">
      <c r="A9" s="83"/>
      <c r="B9" s="41" t="s">
        <v>16</v>
      </c>
      <c r="C9" s="42">
        <v>29249</v>
      </c>
      <c r="D9" s="42">
        <v>29249</v>
      </c>
      <c r="E9" s="42">
        <v>29249</v>
      </c>
      <c r="F9" s="42">
        <v>29249</v>
      </c>
      <c r="G9" s="42">
        <v>29249</v>
      </c>
      <c r="H9" s="42">
        <v>29249</v>
      </c>
      <c r="I9" s="42">
        <v>29249</v>
      </c>
      <c r="J9" s="42">
        <v>29249</v>
      </c>
      <c r="K9" s="42">
        <v>29249</v>
      </c>
      <c r="L9" s="42">
        <v>29249</v>
      </c>
      <c r="M9" s="42">
        <v>29249</v>
      </c>
      <c r="N9" s="42">
        <v>29249</v>
      </c>
      <c r="O9" s="43">
        <f t="shared" ref="O9:O18" si="1">SUM(C9:N9)</f>
        <v>350988</v>
      </c>
    </row>
    <row r="10" spans="1:15" s="34" customFormat="1" x14ac:dyDescent="0.3">
      <c r="A10" s="83"/>
      <c r="B10" s="38" t="s">
        <v>19</v>
      </c>
      <c r="C10" s="39">
        <v>4787</v>
      </c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>
        <f t="shared" si="1"/>
        <v>4787</v>
      </c>
    </row>
    <row r="11" spans="1:15" s="34" customFormat="1" x14ac:dyDescent="0.3">
      <c r="A11" s="83"/>
      <c r="B11" s="38" t="s">
        <v>16</v>
      </c>
      <c r="C11" s="39">
        <v>4645</v>
      </c>
      <c r="D11" s="39">
        <v>4645</v>
      </c>
      <c r="E11" s="39">
        <v>4645</v>
      </c>
      <c r="F11" s="39">
        <v>4645</v>
      </c>
      <c r="G11" s="39">
        <v>4645</v>
      </c>
      <c r="H11" s="39">
        <v>4645</v>
      </c>
      <c r="I11" s="39">
        <v>4645</v>
      </c>
      <c r="J11" s="39">
        <v>4645</v>
      </c>
      <c r="K11" s="39">
        <v>4645</v>
      </c>
      <c r="L11" s="39">
        <v>4645</v>
      </c>
      <c r="M11" s="39">
        <v>4645</v>
      </c>
      <c r="N11" s="39">
        <v>4645</v>
      </c>
      <c r="O11" s="40">
        <f t="shared" si="1"/>
        <v>55740</v>
      </c>
    </row>
    <row r="12" spans="1:15" s="34" customFormat="1" x14ac:dyDescent="0.3">
      <c r="A12" s="83"/>
      <c r="B12" s="41" t="s">
        <v>20</v>
      </c>
      <c r="C12" s="42">
        <v>6952</v>
      </c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3">
        <f t="shared" si="1"/>
        <v>6952</v>
      </c>
    </row>
    <row r="13" spans="1:15" s="34" customFormat="1" x14ac:dyDescent="0.3">
      <c r="A13" s="83"/>
      <c r="B13" s="41" t="s">
        <v>16</v>
      </c>
      <c r="C13" s="42">
        <v>6133</v>
      </c>
      <c r="D13" s="42">
        <v>6133</v>
      </c>
      <c r="E13" s="42">
        <v>6133</v>
      </c>
      <c r="F13" s="42">
        <v>6133</v>
      </c>
      <c r="G13" s="42">
        <v>6133</v>
      </c>
      <c r="H13" s="42">
        <v>6133</v>
      </c>
      <c r="I13" s="42">
        <v>6133</v>
      </c>
      <c r="J13" s="42">
        <v>6133</v>
      </c>
      <c r="K13" s="42">
        <v>6133</v>
      </c>
      <c r="L13" s="42">
        <v>6133</v>
      </c>
      <c r="M13" s="42">
        <v>6133</v>
      </c>
      <c r="N13" s="42">
        <v>6133</v>
      </c>
      <c r="O13" s="43">
        <f t="shared" si="1"/>
        <v>73596</v>
      </c>
    </row>
    <row r="14" spans="1:15" s="34" customFormat="1" x14ac:dyDescent="0.3">
      <c r="A14" s="83"/>
      <c r="B14" s="38" t="s">
        <v>21</v>
      </c>
      <c r="C14" s="39">
        <v>187915</v>
      </c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>
        <f t="shared" si="1"/>
        <v>187915</v>
      </c>
    </row>
    <row r="15" spans="1:15" s="34" customFormat="1" x14ac:dyDescent="0.3">
      <c r="A15" s="83"/>
      <c r="B15" s="38" t="s">
        <v>16</v>
      </c>
      <c r="C15" s="39">
        <v>158145</v>
      </c>
      <c r="D15" s="39">
        <v>158145</v>
      </c>
      <c r="E15" s="39">
        <v>158145</v>
      </c>
      <c r="F15" s="39">
        <v>158145</v>
      </c>
      <c r="G15" s="39">
        <v>158145</v>
      </c>
      <c r="H15" s="39">
        <v>158145</v>
      </c>
      <c r="I15" s="39">
        <v>158145</v>
      </c>
      <c r="J15" s="39">
        <v>158145</v>
      </c>
      <c r="K15" s="39">
        <v>158145</v>
      </c>
      <c r="L15" s="39">
        <v>158145</v>
      </c>
      <c r="M15" s="39">
        <v>158145</v>
      </c>
      <c r="N15" s="39">
        <v>158145</v>
      </c>
      <c r="O15" s="40">
        <f t="shared" si="1"/>
        <v>1897740</v>
      </c>
    </row>
    <row r="16" spans="1:15" s="34" customFormat="1" x14ac:dyDescent="0.3">
      <c r="A16" s="83"/>
      <c r="B16" s="41" t="s">
        <v>22</v>
      </c>
      <c r="C16" s="42">
        <v>23862</v>
      </c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3">
        <f t="shared" si="1"/>
        <v>23862</v>
      </c>
    </row>
    <row r="17" spans="1:15" s="34" customFormat="1" x14ac:dyDescent="0.3">
      <c r="A17" s="83"/>
      <c r="B17" s="41" t="s">
        <v>16</v>
      </c>
      <c r="C17" s="42">
        <v>14621</v>
      </c>
      <c r="D17" s="43">
        <v>14621</v>
      </c>
      <c r="E17" s="43">
        <v>14621</v>
      </c>
      <c r="F17" s="43">
        <v>14621</v>
      </c>
      <c r="G17" s="43">
        <v>14621</v>
      </c>
      <c r="H17" s="43">
        <v>14621</v>
      </c>
      <c r="I17" s="43">
        <v>14621</v>
      </c>
      <c r="J17" s="43">
        <v>14621</v>
      </c>
      <c r="K17" s="43">
        <v>14621</v>
      </c>
      <c r="L17" s="43">
        <v>14621</v>
      </c>
      <c r="M17" s="43">
        <v>14621</v>
      </c>
      <c r="N17" s="43">
        <v>14621</v>
      </c>
      <c r="O17" s="43">
        <f t="shared" si="1"/>
        <v>175452</v>
      </c>
    </row>
    <row r="18" spans="1:15" s="34" customFormat="1" x14ac:dyDescent="0.3">
      <c r="A18" s="83"/>
      <c r="B18" s="38" t="s">
        <v>23</v>
      </c>
      <c r="C18" s="39">
        <f>C4+C6+C8+C10+C12+C14+C16</f>
        <v>346616</v>
      </c>
      <c r="D18" s="39">
        <f t="shared" ref="D18:N18" si="2">D4+D6+D8+D10+D12+D14+D16</f>
        <v>0</v>
      </c>
      <c r="E18" s="39">
        <f t="shared" si="2"/>
        <v>0</v>
      </c>
      <c r="F18" s="39">
        <f t="shared" si="2"/>
        <v>0</v>
      </c>
      <c r="G18" s="39">
        <f t="shared" si="2"/>
        <v>0</v>
      </c>
      <c r="H18" s="39">
        <f t="shared" si="2"/>
        <v>0</v>
      </c>
      <c r="I18" s="39">
        <f t="shared" si="2"/>
        <v>0</v>
      </c>
      <c r="J18" s="39">
        <f t="shared" si="2"/>
        <v>0</v>
      </c>
      <c r="K18" s="39">
        <f t="shared" si="2"/>
        <v>0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40">
        <f t="shared" si="1"/>
        <v>346616</v>
      </c>
    </row>
  </sheetData>
  <mergeCells count="3">
    <mergeCell ref="A1:O1"/>
    <mergeCell ref="A3:B3"/>
    <mergeCell ref="A4:A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topLeftCell="A4" workbookViewId="0">
      <selection activeCell="C32" sqref="C3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5"/>
      <c r="B3" s="76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0" t="s">
        <v>25</v>
      </c>
      <c r="B4" s="76"/>
      <c r="C4" s="4">
        <v>12302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12302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33.06989247311828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5"/>
      <c r="B7" s="76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80" t="s">
        <v>27</v>
      </c>
      <c r="B8" s="76"/>
      <c r="C8" s="4">
        <v>11519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11519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7" t="s">
        <v>28</v>
      </c>
      <c r="B9" s="76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5"/>
      <c r="B11" s="76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2" t="s">
        <v>29</v>
      </c>
      <c r="B12" s="14" t="s">
        <v>30</v>
      </c>
      <c r="C12" s="4">
        <v>570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570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3"/>
      <c r="B13" s="15" t="s">
        <v>31</v>
      </c>
      <c r="C13" s="4">
        <v>8001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8001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3"/>
      <c r="B14" s="16" t="s">
        <v>32</v>
      </c>
      <c r="C14" s="4">
        <v>2700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2700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3"/>
      <c r="B15" s="17" t="s">
        <v>33</v>
      </c>
      <c r="C15" s="4">
        <v>355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355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3"/>
      <c r="B16" s="18" t="s">
        <v>34</v>
      </c>
      <c r="C16" s="4">
        <v>12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12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3"/>
      <c r="B17" s="19" t="s">
        <v>35</v>
      </c>
      <c r="C17" s="4">
        <v>664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664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4"/>
      <c r="B18" s="20" t="s">
        <v>36</v>
      </c>
      <c r="C18" s="5">
        <f t="shared" ref="C18:N18" si="4">SUM(C12:C17)</f>
        <v>12302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12302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2" t="s">
        <v>37</v>
      </c>
      <c r="B20" s="6" t="s">
        <v>30</v>
      </c>
      <c r="C20" s="21">
        <f t="shared" ref="C20:N20" si="5">C12/C18</f>
        <v>4.6333929442367097E-2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3"/>
      <c r="B21" s="6" t="s">
        <v>31</v>
      </c>
      <c r="C21" s="21">
        <f t="shared" ref="C21:N21" si="7">C13/C18</f>
        <v>0.65038205169891072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3"/>
      <c r="B22" s="6" t="s">
        <v>32</v>
      </c>
      <c r="C22" s="21">
        <f t="shared" ref="C22:N22" si="8">C14/C18</f>
        <v>0.21947650788489675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3"/>
      <c r="B23" s="6" t="s">
        <v>33</v>
      </c>
      <c r="C23" s="21">
        <f t="shared" ref="C23:N23" si="9">C15/C18</f>
        <v>2.8857096407088279E-2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3"/>
      <c r="B24" s="6" t="s">
        <v>34</v>
      </c>
      <c r="C24" s="21">
        <f t="shared" ref="C24:N24" si="10">C16/C18</f>
        <v>9.7545114615509671E-4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4"/>
      <c r="B25" s="6" t="s">
        <v>38</v>
      </c>
      <c r="C25" s="21">
        <f t="shared" ref="C25:N25" si="11">C17/C18</f>
        <v>5.3974963420582021E-2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75"/>
      <c r="B27" s="76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7">
        <v>9.479166666666667E-3</v>
      </c>
      <c r="D28" s="68">
        <v>0</v>
      </c>
      <c r="E28" s="68">
        <v>0</v>
      </c>
      <c r="F28" s="68">
        <v>0</v>
      </c>
      <c r="G28" s="68">
        <v>0</v>
      </c>
      <c r="H28" s="68">
        <v>0</v>
      </c>
      <c r="I28" s="68">
        <v>0</v>
      </c>
      <c r="J28" s="68">
        <v>0</v>
      </c>
      <c r="K28" s="68">
        <v>0</v>
      </c>
      <c r="L28" s="68">
        <v>0</v>
      </c>
      <c r="M28" s="68">
        <v>0</v>
      </c>
      <c r="N28" s="68">
        <v>0</v>
      </c>
      <c r="O28" s="67">
        <f>AVERAGE(C28:N28)</f>
        <v>7.8993055555555555E-4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9">
        <v>6.9444444444444441E-3</v>
      </c>
      <c r="D29" s="69">
        <v>6.9444444444444441E-3</v>
      </c>
      <c r="E29" s="69">
        <v>6.9444444444444441E-3</v>
      </c>
      <c r="F29" s="69">
        <v>6.9444444444444441E-3</v>
      </c>
      <c r="G29" s="69">
        <v>6.9444444444444441E-3</v>
      </c>
      <c r="H29" s="69">
        <v>6.9444444444444441E-3</v>
      </c>
      <c r="I29" s="69">
        <v>6.9444444444444441E-3</v>
      </c>
      <c r="J29" s="69">
        <v>6.9444444444444441E-3</v>
      </c>
      <c r="K29" s="69">
        <v>6.9444444444444397E-3</v>
      </c>
      <c r="L29" s="69">
        <v>6.9444444444444397E-3</v>
      </c>
      <c r="M29" s="69">
        <v>6.9444444444444441E-3</v>
      </c>
      <c r="N29" s="69">
        <v>6.9444444444444441E-3</v>
      </c>
      <c r="O29" s="70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75"/>
      <c r="B31" s="76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7">
        <v>2.7789351851851853E-2</v>
      </c>
      <c r="D32" s="68">
        <v>0</v>
      </c>
      <c r="E32" s="68">
        <v>0</v>
      </c>
      <c r="F32" s="68">
        <v>0</v>
      </c>
      <c r="G32" s="68">
        <v>0</v>
      </c>
      <c r="H32" s="68">
        <v>0</v>
      </c>
      <c r="I32" s="68">
        <v>0</v>
      </c>
      <c r="J32" s="68">
        <v>0</v>
      </c>
      <c r="K32" s="68">
        <v>0</v>
      </c>
      <c r="L32" s="68">
        <v>0</v>
      </c>
      <c r="M32" s="68">
        <v>0</v>
      </c>
      <c r="N32" s="68">
        <v>0</v>
      </c>
      <c r="O32" s="67">
        <f>AVERAGE(C32:N32)</f>
        <v>2.3157793209876544E-3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75"/>
      <c r="B34" s="76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7">
        <v>0.33327546296296295</v>
      </c>
      <c r="D35" s="68">
        <v>0</v>
      </c>
      <c r="E35" s="68">
        <v>0</v>
      </c>
      <c r="F35" s="68">
        <v>0</v>
      </c>
      <c r="G35" s="68">
        <v>0</v>
      </c>
      <c r="H35" s="68">
        <v>0</v>
      </c>
      <c r="I35" s="68">
        <v>0</v>
      </c>
      <c r="J35" s="68">
        <v>0</v>
      </c>
      <c r="K35" s="68">
        <v>0</v>
      </c>
      <c r="L35" s="68">
        <v>0</v>
      </c>
      <c r="M35" s="68">
        <v>0</v>
      </c>
      <c r="N35" s="68">
        <v>0</v>
      </c>
      <c r="O35" s="67">
        <f>AVERAGE(C35:N35)</f>
        <v>2.7772955246913578E-2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75"/>
      <c r="B37" s="76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7">
        <v>0.43723379629629627</v>
      </c>
      <c r="D38" s="68">
        <v>0</v>
      </c>
      <c r="E38" s="68">
        <v>0</v>
      </c>
      <c r="F38" s="68">
        <v>0</v>
      </c>
      <c r="G38" s="68">
        <v>0</v>
      </c>
      <c r="H38" s="68">
        <v>0</v>
      </c>
      <c r="I38" s="68">
        <v>0</v>
      </c>
      <c r="J38" s="68">
        <v>0</v>
      </c>
      <c r="K38" s="68">
        <v>0</v>
      </c>
      <c r="L38" s="68">
        <v>0</v>
      </c>
      <c r="M38" s="68">
        <v>0</v>
      </c>
      <c r="N38" s="68">
        <v>0</v>
      </c>
      <c r="O38" s="67">
        <f>AVERAGE(C38:N38)</f>
        <v>3.643614969135802E-2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75"/>
      <c r="B40" s="76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24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24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75"/>
      <c r="B43" s="76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72" t="s">
        <v>48</v>
      </c>
      <c r="B44" s="6" t="s">
        <v>49</v>
      </c>
      <c r="C44" s="4">
        <v>1975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1975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3"/>
      <c r="B45" s="6" t="s">
        <v>50</v>
      </c>
      <c r="C45" s="4">
        <v>1718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1718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3"/>
      <c r="B46" s="6" t="s">
        <v>51</v>
      </c>
      <c r="C46" s="4">
        <v>47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47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74"/>
      <c r="B47" s="6" t="s">
        <v>13</v>
      </c>
      <c r="C47" s="5">
        <f t="shared" ref="C47:N47" si="13">SUM(C44:C46)</f>
        <v>3740</v>
      </c>
      <c r="D47" s="5">
        <f t="shared" si="13"/>
        <v>0</v>
      </c>
      <c r="E47" s="5">
        <f t="shared" si="13"/>
        <v>0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3740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75"/>
      <c r="B49" s="76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72" t="s">
        <v>52</v>
      </c>
      <c r="B50" s="28" t="s">
        <v>53</v>
      </c>
      <c r="C50" s="25">
        <v>183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3"/>
      <c r="B51" s="28" t="s">
        <v>54</v>
      </c>
      <c r="C51" s="25">
        <v>914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914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3"/>
      <c r="B52" s="28" t="s">
        <v>55</v>
      </c>
      <c r="C52" s="25">
        <v>847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847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3"/>
      <c r="B53" s="28" t="s">
        <v>56</v>
      </c>
      <c r="C53" s="25">
        <v>706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706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3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3"/>
      <c r="B55" s="28" t="s">
        <v>58</v>
      </c>
      <c r="C55" s="25">
        <v>4754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4754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3"/>
      <c r="B56" s="28" t="s">
        <v>59</v>
      </c>
      <c r="C56" s="25">
        <v>1523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1523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3"/>
      <c r="B57" s="28" t="s">
        <v>60</v>
      </c>
      <c r="C57" s="25">
        <v>1060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1060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3"/>
      <c r="B58" s="28" t="s">
        <v>61</v>
      </c>
      <c r="C58" s="25">
        <v>1339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1339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74"/>
      <c r="B59" s="28" t="s">
        <v>13</v>
      </c>
      <c r="C59" s="25">
        <f t="shared" ref="C59:N59" si="15">SUM(C50:C58)</f>
        <v>12302</v>
      </c>
      <c r="D59" s="25">
        <f t="shared" si="15"/>
        <v>0</v>
      </c>
      <c r="E59" s="25">
        <f t="shared" si="15"/>
        <v>0</v>
      </c>
      <c r="F59" s="25">
        <f t="shared" si="15"/>
        <v>0</v>
      </c>
      <c r="G59" s="25">
        <f t="shared" si="15"/>
        <v>0</v>
      </c>
      <c r="H59" s="25">
        <f t="shared" si="15"/>
        <v>0</v>
      </c>
      <c r="I59" s="25">
        <f t="shared" si="15"/>
        <v>0</v>
      </c>
      <c r="J59" s="25">
        <f t="shared" si="15"/>
        <v>0</v>
      </c>
      <c r="K59" s="25">
        <f t="shared" si="15"/>
        <v>0</v>
      </c>
      <c r="L59" s="25">
        <f t="shared" si="15"/>
        <v>0</v>
      </c>
      <c r="M59" s="25">
        <f t="shared" si="15"/>
        <v>0</v>
      </c>
      <c r="N59" s="25">
        <f t="shared" si="15"/>
        <v>0</v>
      </c>
      <c r="O59" s="29">
        <f t="shared" si="14"/>
        <v>12302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75"/>
      <c r="B61" s="76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72" t="s">
        <v>62</v>
      </c>
      <c r="B62" s="28" t="s">
        <v>63</v>
      </c>
      <c r="C62" s="4">
        <v>12097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12097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3"/>
      <c r="B63" s="28" t="s">
        <v>64</v>
      </c>
      <c r="C63" s="4">
        <v>205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205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74"/>
      <c r="B64" s="28" t="s">
        <v>13</v>
      </c>
      <c r="C64" s="5">
        <f t="shared" ref="C64:N64" si="17">SUM(C62:C63)</f>
        <v>12302</v>
      </c>
      <c r="D64" s="5">
        <f t="shared" si="17"/>
        <v>0</v>
      </c>
      <c r="E64" s="5">
        <f t="shared" si="17"/>
        <v>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12302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75"/>
      <c r="B66" s="76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10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10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0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7"/>
    <mergeCell ref="A49:B49"/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workbookViewId="0">
      <selection activeCell="C28" sqref="C2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75" t="s">
        <v>67</v>
      </c>
      <c r="B3" s="76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80" t="s">
        <v>25</v>
      </c>
      <c r="B4" s="76"/>
      <c r="C4" s="4">
        <v>10782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10782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28.983870967741936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75"/>
      <c r="B7" s="76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80" t="s">
        <v>27</v>
      </c>
      <c r="B8" s="76"/>
      <c r="C8" s="4">
        <v>9582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9582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77" t="s">
        <v>28</v>
      </c>
      <c r="B9" s="76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75"/>
      <c r="B11" s="76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72" t="s">
        <v>29</v>
      </c>
      <c r="B12" s="14" t="s">
        <v>30</v>
      </c>
      <c r="C12" s="4">
        <v>404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404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73"/>
      <c r="B13" s="15" t="s">
        <v>31</v>
      </c>
      <c r="C13" s="4">
        <v>8050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8050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73"/>
      <c r="B14" s="16" t="s">
        <v>32</v>
      </c>
      <c r="C14" s="4">
        <v>1792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1792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73"/>
      <c r="B15" s="17" t="s">
        <v>33</v>
      </c>
      <c r="C15" s="4">
        <v>245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245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73"/>
      <c r="B16" s="18" t="s">
        <v>34</v>
      </c>
      <c r="C16" s="4">
        <v>60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60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73"/>
      <c r="B17" s="19" t="s">
        <v>35</v>
      </c>
      <c r="C17" s="4">
        <v>231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231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74"/>
      <c r="B18" s="20" t="s">
        <v>36</v>
      </c>
      <c r="C18" s="5">
        <f t="shared" ref="C18:N18" si="4">SUM(C12:C17)</f>
        <v>10782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10782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2"/>
      <c r="B19" s="32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2" t="s">
        <v>37</v>
      </c>
      <c r="B20" s="6" t="s">
        <v>30</v>
      </c>
      <c r="C20" s="21">
        <f t="shared" ref="C20:N20" si="5">C12/C18</f>
        <v>3.7469857169356337E-2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3"/>
      <c r="B21" s="6" t="s">
        <v>31</v>
      </c>
      <c r="C21" s="21">
        <f t="shared" ref="C21:N21" si="7">C13/C18</f>
        <v>0.74661472825078834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3"/>
      <c r="B22" s="6" t="s">
        <v>32</v>
      </c>
      <c r="C22" s="21">
        <f t="shared" ref="C22:N22" si="8">C14/C18</f>
        <v>0.16620293081061027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3"/>
      <c r="B23" s="6" t="s">
        <v>33</v>
      </c>
      <c r="C23" s="21">
        <f t="shared" ref="C23:N23" si="9">C15/C18</f>
        <v>2.2723056946763125E-2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3"/>
      <c r="B24" s="6" t="s">
        <v>34</v>
      </c>
      <c r="C24" s="21">
        <f t="shared" ref="C24:N24" si="10">C16/C18</f>
        <v>5.5648302726766831E-3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4"/>
      <c r="B25" s="6" t="s">
        <v>38</v>
      </c>
      <c r="C25" s="21">
        <f t="shared" ref="C25:N25" si="11">C17/C18</f>
        <v>2.142459654980523E-2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75"/>
      <c r="B27" s="76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7">
        <v>7.2569444444444443E-3</v>
      </c>
      <c r="D28" s="68">
        <v>0</v>
      </c>
      <c r="E28" s="68">
        <v>0</v>
      </c>
      <c r="F28" s="68">
        <v>0</v>
      </c>
      <c r="G28" s="68">
        <v>0</v>
      </c>
      <c r="H28" s="68">
        <v>0</v>
      </c>
      <c r="I28" s="68">
        <v>0</v>
      </c>
      <c r="J28" s="68">
        <v>0</v>
      </c>
      <c r="K28" s="68">
        <v>0</v>
      </c>
      <c r="L28" s="68">
        <v>0</v>
      </c>
      <c r="M28" s="68">
        <v>0</v>
      </c>
      <c r="N28" s="68">
        <v>0</v>
      </c>
      <c r="O28" s="67">
        <f>AVERAGE(C28:N28)</f>
        <v>6.047453703703704E-4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9">
        <v>6.9444444444444441E-3</v>
      </c>
      <c r="D29" s="69">
        <v>6.9444444444444441E-3</v>
      </c>
      <c r="E29" s="69">
        <v>6.9444444444444441E-3</v>
      </c>
      <c r="F29" s="69">
        <v>6.9444444444444441E-3</v>
      </c>
      <c r="G29" s="69">
        <v>6.9444444444444441E-3</v>
      </c>
      <c r="H29" s="69">
        <v>6.9444444444444441E-3</v>
      </c>
      <c r="I29" s="69">
        <v>6.9444444444444441E-3</v>
      </c>
      <c r="J29" s="69">
        <v>6.9444444444444441E-3</v>
      </c>
      <c r="K29" s="69">
        <v>6.9444444444444397E-3</v>
      </c>
      <c r="L29" s="69">
        <v>6.9444444444444397E-3</v>
      </c>
      <c r="M29" s="69">
        <v>6.9444444444444441E-3</v>
      </c>
      <c r="N29" s="69">
        <v>6.9444444444444441E-3</v>
      </c>
      <c r="O29" s="70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75"/>
      <c r="B31" s="76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7">
        <v>3.4594907407407408E-2</v>
      </c>
      <c r="D32" s="68">
        <v>0</v>
      </c>
      <c r="E32" s="68">
        <v>0</v>
      </c>
      <c r="F32" s="68">
        <v>0</v>
      </c>
      <c r="G32" s="68">
        <v>0</v>
      </c>
      <c r="H32" s="68">
        <v>0</v>
      </c>
      <c r="I32" s="68">
        <v>0</v>
      </c>
      <c r="J32" s="68">
        <v>0</v>
      </c>
      <c r="K32" s="68">
        <v>0</v>
      </c>
      <c r="L32" s="68">
        <v>0</v>
      </c>
      <c r="M32" s="68">
        <v>0</v>
      </c>
      <c r="N32" s="68">
        <v>0</v>
      </c>
      <c r="O32" s="67">
        <f>AVERAGE(C32:N32)</f>
        <v>2.8829089506172841E-3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75"/>
      <c r="B34" s="76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7">
        <v>0.31642361111111111</v>
      </c>
      <c r="D35" s="68">
        <v>0</v>
      </c>
      <c r="E35" s="68">
        <v>0</v>
      </c>
      <c r="F35" s="68">
        <v>0</v>
      </c>
      <c r="G35" s="68">
        <v>0</v>
      </c>
      <c r="H35" s="68">
        <v>0</v>
      </c>
      <c r="I35" s="68">
        <v>0</v>
      </c>
      <c r="J35" s="68">
        <v>0</v>
      </c>
      <c r="K35" s="68">
        <v>0</v>
      </c>
      <c r="L35" s="68">
        <v>0</v>
      </c>
      <c r="M35" s="68">
        <v>0</v>
      </c>
      <c r="N35" s="68">
        <v>0</v>
      </c>
      <c r="O35" s="67">
        <f>AVERAGE(C35:N35)</f>
        <v>2.6368634259259258E-2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75"/>
      <c r="B37" s="76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7">
        <v>6.9143518518518521E-2</v>
      </c>
      <c r="D38" s="68">
        <v>0</v>
      </c>
      <c r="E38" s="68">
        <v>0</v>
      </c>
      <c r="F38" s="68">
        <v>0</v>
      </c>
      <c r="G38" s="68">
        <v>0</v>
      </c>
      <c r="H38" s="68">
        <v>0</v>
      </c>
      <c r="I38" s="68">
        <v>0</v>
      </c>
      <c r="J38" s="68">
        <v>0</v>
      </c>
      <c r="K38" s="68">
        <v>0</v>
      </c>
      <c r="L38" s="68">
        <v>0</v>
      </c>
      <c r="M38" s="68">
        <v>0</v>
      </c>
      <c r="N38" s="68">
        <v>0</v>
      </c>
      <c r="O38" s="67">
        <f>AVERAGE(C38:N38)</f>
        <v>5.7619598765432101E-3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75"/>
      <c r="B40" s="76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30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30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75"/>
      <c r="B43" s="76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84" t="s">
        <v>48</v>
      </c>
      <c r="B44" s="6" t="s">
        <v>49</v>
      </c>
      <c r="C44" s="4">
        <v>1682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1682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3"/>
      <c r="B45" s="6" t="s">
        <v>50</v>
      </c>
      <c r="C45" s="4">
        <v>7448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7448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4"/>
      <c r="B46" s="6" t="s">
        <v>51</v>
      </c>
      <c r="C46" s="4">
        <v>161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161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4"/>
      <c r="B47" s="6" t="s">
        <v>13</v>
      </c>
      <c r="C47" s="5">
        <f t="shared" ref="C47" si="13">SUM(C44:C46)</f>
        <v>9291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5">
        <f t="shared" si="12"/>
        <v>9291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75"/>
      <c r="B49" s="76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84" t="s">
        <v>52</v>
      </c>
      <c r="B50" s="28" t="s">
        <v>53</v>
      </c>
      <c r="C50" s="25">
        <v>175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175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3"/>
      <c r="B51" s="28" t="s">
        <v>54</v>
      </c>
      <c r="C51" s="25">
        <v>833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833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3"/>
      <c r="B52" s="28" t="s">
        <v>55</v>
      </c>
      <c r="C52" s="25">
        <v>725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725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3"/>
      <c r="B53" s="28" t="s">
        <v>56</v>
      </c>
      <c r="C53" s="25">
        <v>565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565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3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3"/>
      <c r="B55" s="28" t="s">
        <v>58</v>
      </c>
      <c r="C55" s="25">
        <v>3935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3935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3"/>
      <c r="B56" s="28" t="s">
        <v>59</v>
      </c>
      <c r="C56" s="25">
        <v>1401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1401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3"/>
      <c r="B57" s="28" t="s">
        <v>60</v>
      </c>
      <c r="C57" s="25">
        <v>958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958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4"/>
      <c r="B58" s="28" t="s">
        <v>61</v>
      </c>
      <c r="C58" s="25">
        <v>1214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1214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4"/>
      <c r="B59" s="28" t="s">
        <v>13</v>
      </c>
      <c r="C59" s="25">
        <f t="shared" ref="C59" si="15">SUM(C50:C58)</f>
        <v>10782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29">
        <f t="shared" si="14"/>
        <v>10782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75"/>
      <c r="B61" s="76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84" t="s">
        <v>62</v>
      </c>
      <c r="B62" s="28" t="s">
        <v>63</v>
      </c>
      <c r="C62" s="4">
        <v>10490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10490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4"/>
      <c r="B63" s="28" t="s">
        <v>64</v>
      </c>
      <c r="C63" s="4">
        <v>292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292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4"/>
      <c r="B64" s="28" t="s">
        <v>13</v>
      </c>
      <c r="C64" s="5">
        <f t="shared" ref="C64" si="17">SUM(C62:C63)</f>
        <v>10782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5">
        <f t="shared" si="16"/>
        <v>10782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75"/>
      <c r="B66" s="76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7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7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6"/>
    <mergeCell ref="A49:B49"/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selection activeCell="C23" sqref="C23:C2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5"/>
      <c r="B3" s="76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0" t="s">
        <v>69</v>
      </c>
      <c r="B4" s="76"/>
      <c r="C4" s="4">
        <v>305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305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5">
        <f>AVERAGE(C5:N5)</f>
        <v>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5"/>
      <c r="B7" s="76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28" t="s">
        <v>13</v>
      </c>
      <c r="C8" s="29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27"/>
      <c r="B9" s="27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5"/>
      <c r="B10" s="76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28" t="s">
        <v>70</v>
      </c>
      <c r="C11" s="29">
        <v>198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 t="shared" ref="O11:O13" si="0">SUM(C11:N11)</f>
        <v>198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28" t="s">
        <v>72</v>
      </c>
      <c r="C12" s="29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si="0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28" t="s">
        <v>73</v>
      </c>
      <c r="C13" s="29">
        <v>93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93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5"/>
      <c r="B15" s="76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2" t="s">
        <v>48</v>
      </c>
      <c r="B16" s="6" t="s">
        <v>49</v>
      </c>
      <c r="C16" s="4">
        <v>538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ref="O16:O17" si="1">SUM(C16:N16)</f>
        <v>538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3"/>
      <c r="B17" s="6" t="s">
        <v>74</v>
      </c>
      <c r="C17" s="4">
        <v>123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1"/>
        <v>123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3"/>
      <c r="B18" s="6" t="s">
        <v>75</v>
      </c>
      <c r="C18" s="4">
        <v>229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3"/>
      <c r="B19" s="6" t="s">
        <v>51</v>
      </c>
      <c r="C19" s="4">
        <v>27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 t="shared" ref="O19:O20" si="2">SUM(C19:N19)</f>
        <v>27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4"/>
      <c r="B20" s="6" t="s">
        <v>13</v>
      </c>
      <c r="C20" s="5">
        <f t="shared" ref="C20:N20" si="3">SUM(C16:C19)</f>
        <v>917</v>
      </c>
      <c r="D20" s="5">
        <f t="shared" si="3"/>
        <v>0</v>
      </c>
      <c r="E20" s="5">
        <f t="shared" si="3"/>
        <v>0</v>
      </c>
      <c r="F20" s="5">
        <f t="shared" si="3"/>
        <v>0</v>
      </c>
      <c r="G20" s="5">
        <f t="shared" si="3"/>
        <v>0</v>
      </c>
      <c r="H20" s="5">
        <f t="shared" si="3"/>
        <v>0</v>
      </c>
      <c r="I20" s="5">
        <f t="shared" si="3"/>
        <v>0</v>
      </c>
      <c r="J20" s="5">
        <f t="shared" si="3"/>
        <v>0</v>
      </c>
      <c r="K20" s="5">
        <f t="shared" si="3"/>
        <v>0</v>
      </c>
      <c r="L20" s="5">
        <f t="shared" si="3"/>
        <v>0</v>
      </c>
      <c r="M20" s="5">
        <f t="shared" si="3"/>
        <v>0</v>
      </c>
      <c r="N20" s="5">
        <f t="shared" si="3"/>
        <v>0</v>
      </c>
      <c r="O20" s="5">
        <f t="shared" si="2"/>
        <v>917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5"/>
      <c r="B22" s="76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28" t="s">
        <v>76</v>
      </c>
      <c r="C23" s="29">
        <v>181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 t="shared" ref="O23:O24" si="4">SUM(C23:N23)</f>
        <v>181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28" t="s">
        <v>78</v>
      </c>
      <c r="C24" s="29">
        <v>14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 t="shared" si="4"/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28" t="s">
        <v>79</v>
      </c>
      <c r="C25" s="29">
        <v>13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28" t="s">
        <v>80</v>
      </c>
      <c r="C26" s="29">
        <v>116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116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75"/>
      <c r="B28" s="76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28" t="s">
        <v>81</v>
      </c>
      <c r="C29" s="29">
        <v>138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 t="shared" ref="O29:O30" si="5">SUM(C29:N29)</f>
        <v>138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28" t="s">
        <v>83</v>
      </c>
      <c r="C30" s="29">
        <v>2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 t="shared" si="5"/>
        <v>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28" t="s">
        <v>84</v>
      </c>
      <c r="C31" s="29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28" t="s">
        <v>85</v>
      </c>
      <c r="C32" s="29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topLeftCell="A7" workbookViewId="0">
      <selection activeCell="C22" sqref="C2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5"/>
      <c r="B3" s="76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4" t="s">
        <v>87</v>
      </c>
      <c r="B4" s="28" t="s">
        <v>88</v>
      </c>
      <c r="C4" s="29">
        <v>240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3"/>
      <c r="B5" s="28" t="s">
        <v>89</v>
      </c>
      <c r="C5" s="29">
        <v>663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3"/>
      <c r="B6" s="28" t="s">
        <v>90</v>
      </c>
      <c r="C6" s="29">
        <v>1097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3"/>
      <c r="B7" s="28" t="s">
        <v>91</v>
      </c>
      <c r="C7" s="29">
        <v>419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3"/>
      <c r="B8" s="28" t="s">
        <v>92</v>
      </c>
      <c r="C8" s="29">
        <v>206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206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3"/>
      <c r="B9" s="28" t="s">
        <v>93</v>
      </c>
      <c r="C9" s="29">
        <v>208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3"/>
      <c r="B10" s="28" t="s">
        <v>94</v>
      </c>
      <c r="C10" s="29">
        <v>1647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4"/>
      <c r="B11" s="28" t="s">
        <v>95</v>
      </c>
      <c r="C11" s="29">
        <v>281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>
        <f>SUM(C11:N11)</f>
        <v>281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7"/>
      <c r="B12" s="27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5"/>
      <c r="B13" s="76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84" t="s">
        <v>96</v>
      </c>
      <c r="B14" s="28" t="s">
        <v>97</v>
      </c>
      <c r="C14" s="29">
        <v>528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>
        <f>SUM(C14:N14)</f>
        <v>528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3"/>
      <c r="B15" s="28" t="s">
        <v>98</v>
      </c>
      <c r="C15" s="29">
        <v>123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3"/>
      <c r="B16" s="28" t="s">
        <v>99</v>
      </c>
      <c r="C16" s="29">
        <v>170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3"/>
      <c r="B17" s="28" t="s">
        <v>100</v>
      </c>
      <c r="C17" s="29">
        <v>95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3"/>
      <c r="B18" s="28" t="s">
        <v>101</v>
      </c>
      <c r="C18" s="29">
        <v>195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3"/>
      <c r="B19" s="28" t="s">
        <v>94</v>
      </c>
      <c r="C19" s="29">
        <v>0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3"/>
      <c r="B20" s="28" t="s">
        <v>95</v>
      </c>
      <c r="C20" s="29">
        <v>259</v>
      </c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4"/>
      <c r="B21" s="28" t="s">
        <v>102</v>
      </c>
      <c r="C21" s="29">
        <v>107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5"/>
      <c r="B23" s="76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84" t="s">
        <v>103</v>
      </c>
      <c r="B24" s="28" t="s">
        <v>94</v>
      </c>
      <c r="C24" s="29">
        <v>580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4"/>
      <c r="B25" s="28" t="s">
        <v>102</v>
      </c>
      <c r="C25" s="29">
        <v>290</v>
      </c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B17" sqref="B1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5"/>
      <c r="B3" s="76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4" t="s">
        <v>105</v>
      </c>
      <c r="B4" s="28" t="s">
        <v>106</v>
      </c>
      <c r="C4" s="29">
        <v>3512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3"/>
      <c r="B5" s="28" t="s">
        <v>102</v>
      </c>
      <c r="C5" s="29">
        <v>294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3"/>
      <c r="B6" s="28" t="s">
        <v>107</v>
      </c>
      <c r="C6" s="29">
        <v>41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4"/>
      <c r="B7" s="57" t="s">
        <v>95</v>
      </c>
      <c r="C7" s="29">
        <v>0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27"/>
      <c r="B8" s="27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5"/>
      <c r="B9" s="76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4" t="s">
        <v>108</v>
      </c>
      <c r="B10" s="28" t="s">
        <v>106</v>
      </c>
      <c r="C10" s="29">
        <v>421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3"/>
      <c r="B11" s="28" t="s">
        <v>102</v>
      </c>
      <c r="C11" s="29">
        <v>179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3"/>
      <c r="B12" s="28" t="s">
        <v>107</v>
      </c>
      <c r="C12" s="29">
        <v>163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4"/>
      <c r="B13" s="57" t="s">
        <v>95</v>
      </c>
      <c r="C13" s="29">
        <v>0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5"/>
      <c r="B15" s="76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3" t="s">
        <v>109</v>
      </c>
      <c r="B16" s="28" t="s">
        <v>110</v>
      </c>
      <c r="C16" s="29">
        <v>1090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C16" sqref="C1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5"/>
      <c r="B3" s="76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4" t="s">
        <v>111</v>
      </c>
      <c r="B4" s="28" t="s">
        <v>89</v>
      </c>
      <c r="C4" s="29">
        <v>12130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3"/>
      <c r="B5" s="28" t="s">
        <v>112</v>
      </c>
      <c r="C5" s="29">
        <v>1126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3"/>
      <c r="B6" s="57" t="s">
        <v>113</v>
      </c>
      <c r="C6" s="29">
        <v>0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3"/>
      <c r="B7" s="28" t="s">
        <v>114</v>
      </c>
      <c r="C7" s="29">
        <v>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3"/>
      <c r="B8" s="28" t="s">
        <v>115</v>
      </c>
      <c r="C8" s="29">
        <v>2311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2311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4"/>
      <c r="B9" s="28" t="s">
        <v>116</v>
      </c>
      <c r="C9" s="29">
        <v>506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27"/>
      <c r="B10" s="2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5"/>
      <c r="B11" s="76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84" t="s">
        <v>117</v>
      </c>
      <c r="B12" s="28" t="s">
        <v>118</v>
      </c>
      <c r="C12" s="29">
        <v>95779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3"/>
      <c r="B13" s="28" t="s">
        <v>119</v>
      </c>
      <c r="C13" s="29">
        <v>17582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3"/>
      <c r="B14" s="28" t="s">
        <v>120</v>
      </c>
      <c r="C14" s="29">
        <v>9696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4"/>
      <c r="B15" s="28" t="s">
        <v>114</v>
      </c>
      <c r="C15" s="29">
        <v>9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7"/>
      <c r="B16" s="27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tabSelected="1" workbookViewId="0">
      <selection activeCell="E27" sqref="E27"/>
    </sheetView>
  </sheetViews>
  <sheetFormatPr defaultRowHeight="14.4" x14ac:dyDescent="0.3"/>
  <cols>
    <col min="1" max="1" width="38" customWidth="1"/>
    <col min="2" max="2" width="41.6640625" bestFit="1" customWidth="1"/>
    <col min="3" max="14" width="12" customWidth="1"/>
    <col min="15" max="15" width="14" customWidth="1"/>
  </cols>
  <sheetData>
    <row r="2" spans="1:15" ht="19.2" customHeight="1" x14ac:dyDescent="0.3">
      <c r="A2" s="52" t="s">
        <v>131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</row>
    <row r="3" spans="1:15" ht="17.55" customHeight="1" x14ac:dyDescent="0.3">
      <c r="A3" s="44" t="s">
        <v>67</v>
      </c>
      <c r="B3" s="44" t="s">
        <v>132</v>
      </c>
      <c r="C3" s="44" t="s">
        <v>1</v>
      </c>
      <c r="D3" s="44" t="s">
        <v>2</v>
      </c>
      <c r="E3" s="44" t="s">
        <v>3</v>
      </c>
      <c r="F3" s="44" t="s">
        <v>4</v>
      </c>
      <c r="G3" s="44" t="s">
        <v>5</v>
      </c>
      <c r="H3" s="44" t="s">
        <v>6</v>
      </c>
      <c r="I3" s="44" t="s">
        <v>7</v>
      </c>
      <c r="J3" s="44" t="s">
        <v>8</v>
      </c>
      <c r="K3" s="44" t="s">
        <v>9</v>
      </c>
      <c r="L3" s="44" t="s">
        <v>10</v>
      </c>
      <c r="M3" s="44" t="s">
        <v>11</v>
      </c>
      <c r="N3" s="44" t="s">
        <v>12</v>
      </c>
      <c r="O3" s="44" t="s">
        <v>121</v>
      </c>
    </row>
    <row r="4" spans="1:15" x14ac:dyDescent="0.3">
      <c r="A4" s="56" t="s">
        <v>122</v>
      </c>
      <c r="B4" s="53" t="s">
        <v>122</v>
      </c>
      <c r="C4" s="45">
        <v>591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6">
        <f>IF(COUNTA(C4:N4)=0,"",SUM(C4:N4))</f>
        <v>591</v>
      </c>
    </row>
    <row r="5" spans="1:15" x14ac:dyDescent="0.3">
      <c r="A5" s="47"/>
      <c r="B5" s="54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7"/>
    </row>
    <row r="6" spans="1:15" x14ac:dyDescent="0.3">
      <c r="A6" s="56" t="s">
        <v>123</v>
      </c>
      <c r="B6" s="53" t="s">
        <v>123</v>
      </c>
      <c r="C6" s="45">
        <v>144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6">
        <f>IF(COUNTA(C6:N6)=0,"",SUM(C6:N6))</f>
        <v>144</v>
      </c>
    </row>
    <row r="7" spans="1:15" x14ac:dyDescent="0.3">
      <c r="A7" s="47"/>
      <c r="B7" s="54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7"/>
    </row>
    <row r="8" spans="1:15" x14ac:dyDescent="0.3">
      <c r="A8" s="56" t="s">
        <v>124</v>
      </c>
      <c r="B8" s="53" t="s">
        <v>124</v>
      </c>
      <c r="C8" s="45">
        <v>134</v>
      </c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6">
        <f>IF(COUNTA(C8:N8)=0,"",SUM(C8:N8))</f>
        <v>134</v>
      </c>
    </row>
    <row r="9" spans="1:15" x14ac:dyDescent="0.3">
      <c r="A9" s="47"/>
      <c r="B9" s="54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7"/>
    </row>
    <row r="10" spans="1:15" x14ac:dyDescent="0.3">
      <c r="A10" s="56" t="s">
        <v>125</v>
      </c>
      <c r="B10" s="53" t="s">
        <v>125</v>
      </c>
      <c r="C10" s="45">
        <v>4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6">
        <f>IF(COUNTA(C10:N10)=0,"",SUM(C10:N10))</f>
        <v>4</v>
      </c>
    </row>
    <row r="11" spans="1:15" x14ac:dyDescent="0.3">
      <c r="A11" s="47"/>
      <c r="B11" s="54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7"/>
    </row>
    <row r="12" spans="1:15" x14ac:dyDescent="0.3">
      <c r="A12" s="56" t="s">
        <v>126</v>
      </c>
      <c r="B12" s="53" t="s">
        <v>126</v>
      </c>
      <c r="C12" s="45">
        <v>5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6">
        <f>IF(COUNTA(C12:N12)=0,"",SUM(C12:N12))</f>
        <v>5</v>
      </c>
    </row>
    <row r="13" spans="1:15" x14ac:dyDescent="0.3">
      <c r="A13" s="47"/>
      <c r="B13" s="54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7"/>
    </row>
    <row r="14" spans="1:15" x14ac:dyDescent="0.3">
      <c r="A14" s="56" t="s">
        <v>127</v>
      </c>
      <c r="B14" s="53" t="s">
        <v>127</v>
      </c>
      <c r="C14" s="71">
        <v>7.7999999999999996E-3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6">
        <f>IF(COUNTA(C14:N14)=0,"",AVERAGE(C14:N14))</f>
        <v>7.7999999999999996E-3</v>
      </c>
    </row>
    <row r="15" spans="1:15" x14ac:dyDescent="0.3">
      <c r="A15" s="49" t="s">
        <v>28</v>
      </c>
      <c r="B15" s="55" t="s">
        <v>28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1"/>
    </row>
    <row r="16" spans="1:15" x14ac:dyDescent="0.3">
      <c r="A16" s="47"/>
      <c r="B16" s="54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7"/>
    </row>
    <row r="17" spans="1:15" x14ac:dyDescent="0.3">
      <c r="A17" s="56" t="s">
        <v>128</v>
      </c>
      <c r="B17" s="53" t="s">
        <v>128</v>
      </c>
      <c r="C17" s="71">
        <v>3.4599999999999999E-2</v>
      </c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6">
        <f>IF(COUNTA(C17:N17)=0,"",AVERAGE(C17:N17))</f>
        <v>3.4599999999999999E-2</v>
      </c>
    </row>
    <row r="18" spans="1:15" x14ac:dyDescent="0.3">
      <c r="A18" s="49" t="s">
        <v>28</v>
      </c>
      <c r="B18" s="55" t="s">
        <v>28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1"/>
    </row>
    <row r="19" spans="1:15" x14ac:dyDescent="0.3">
      <c r="A19" s="47"/>
      <c r="B19" s="54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7"/>
    </row>
    <row r="20" spans="1:15" x14ac:dyDescent="0.3">
      <c r="A20" s="56" t="s">
        <v>129</v>
      </c>
      <c r="B20" s="53" t="s">
        <v>129</v>
      </c>
      <c r="C20" s="45">
        <v>4</v>
      </c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6">
        <f>IF(COUNTA(C20:N20)=0,"",SUM(C20:N20))</f>
        <v>4</v>
      </c>
    </row>
    <row r="21" spans="1:15" x14ac:dyDescent="0.3">
      <c r="A21" s="47"/>
      <c r="B21" s="54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7"/>
    </row>
    <row r="22" spans="1:15" x14ac:dyDescent="0.3">
      <c r="A22" s="56" t="s">
        <v>130</v>
      </c>
      <c r="B22" s="53" t="s">
        <v>130</v>
      </c>
      <c r="C22" s="45">
        <v>0</v>
      </c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6">
        <f>IF(COUNTA(C22:N22)=0,"",SUM(C22:N22))</f>
        <v>0</v>
      </c>
    </row>
    <row r="23" spans="1:15" x14ac:dyDescent="0.3">
      <c r="A23" s="49" t="s">
        <v>28</v>
      </c>
      <c r="B23" s="55" t="s">
        <v>28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1"/>
    </row>
    <row r="24" spans="1:15" x14ac:dyDescent="0.3">
      <c r="A24" s="47"/>
      <c r="B24" s="54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16"/>
  <sheetViews>
    <sheetView topLeftCell="A2" workbookViewId="0">
      <selection activeCell="B4" sqref="B4:B13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3" width="15.6640625" bestFit="1" customWidth="1"/>
    <col min="4" max="5" width="8.44140625" bestFit="1" customWidth="1"/>
    <col min="6" max="6" width="9.554687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6.44140625" bestFit="1" customWidth="1"/>
  </cols>
  <sheetData>
    <row r="1" spans="1:15" ht="21" hidden="1" x14ac:dyDescent="0.3">
      <c r="A1" s="85"/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</row>
    <row r="2" spans="1:15" ht="37.799999999999997" customHeight="1" x14ac:dyDescent="0.3">
      <c r="A2" s="58" t="s">
        <v>133</v>
      </c>
      <c r="B2" s="58"/>
      <c r="C2" s="59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</row>
    <row r="3" spans="1:15" x14ac:dyDescent="0.3">
      <c r="A3" s="86"/>
      <c r="B3" s="86"/>
      <c r="C3" s="59" t="s">
        <v>1</v>
      </c>
      <c r="D3" s="60" t="s">
        <v>2</v>
      </c>
      <c r="E3" s="60" t="s">
        <v>3</v>
      </c>
      <c r="F3" s="60" t="s">
        <v>4</v>
      </c>
      <c r="G3" s="60" t="s">
        <v>5</v>
      </c>
      <c r="H3" s="60" t="s">
        <v>6</v>
      </c>
      <c r="I3" s="60" t="s">
        <v>7</v>
      </c>
      <c r="J3" s="60" t="s">
        <v>8</v>
      </c>
      <c r="K3" s="60" t="s">
        <v>9</v>
      </c>
      <c r="L3" s="60" t="s">
        <v>10</v>
      </c>
      <c r="M3" s="60" t="s">
        <v>11</v>
      </c>
      <c r="N3" s="60" t="s">
        <v>12</v>
      </c>
      <c r="O3" s="60" t="s">
        <v>13</v>
      </c>
    </row>
    <row r="4" spans="1:15" x14ac:dyDescent="0.3">
      <c r="A4" s="87" t="s">
        <v>134</v>
      </c>
      <c r="B4" s="63" t="s">
        <v>135</v>
      </c>
      <c r="C4" s="64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6">
        <f t="shared" ref="O4:O7" si="0">SUM(C4:N4)</f>
        <v>0</v>
      </c>
    </row>
    <row r="5" spans="1:15" x14ac:dyDescent="0.3">
      <c r="A5" s="87"/>
      <c r="B5" s="63" t="s">
        <v>136</v>
      </c>
      <c r="C5" s="64">
        <v>2000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6">
        <f t="shared" si="0"/>
        <v>2000</v>
      </c>
    </row>
    <row r="6" spans="1:15" x14ac:dyDescent="0.3">
      <c r="A6" s="87"/>
      <c r="B6" s="63" t="s">
        <v>137</v>
      </c>
      <c r="C6" s="64">
        <v>5200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6">
        <f t="shared" si="0"/>
        <v>5200</v>
      </c>
    </row>
    <row r="7" spans="1:15" x14ac:dyDescent="0.3">
      <c r="A7" s="87"/>
      <c r="B7" s="63" t="s">
        <v>138</v>
      </c>
      <c r="C7" s="64">
        <v>2632875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6">
        <f t="shared" si="0"/>
        <v>2632875</v>
      </c>
    </row>
    <row r="8" spans="1:15" x14ac:dyDescent="0.3">
      <c r="A8" s="87"/>
      <c r="B8" s="63" t="s">
        <v>139</v>
      </c>
      <c r="C8" s="64">
        <v>36000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6">
        <f>SUM(C8:N8)</f>
        <v>36000</v>
      </c>
    </row>
    <row r="9" spans="1:15" x14ac:dyDescent="0.3">
      <c r="A9" s="87"/>
      <c r="B9" s="63" t="s">
        <v>140</v>
      </c>
      <c r="C9" s="64">
        <v>31640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6">
        <f t="shared" ref="O9:O15" si="1">SUM(C9:N9)</f>
        <v>31640</v>
      </c>
    </row>
    <row r="10" spans="1:15" x14ac:dyDescent="0.3">
      <c r="A10" s="87"/>
      <c r="B10" s="63" t="s">
        <v>141</v>
      </c>
      <c r="C10" s="64">
        <v>20000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6">
        <f t="shared" si="1"/>
        <v>20000</v>
      </c>
    </row>
    <row r="11" spans="1:15" x14ac:dyDescent="0.3">
      <c r="A11" s="87"/>
      <c r="B11" s="63" t="s">
        <v>142</v>
      </c>
      <c r="C11" s="64">
        <v>0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6">
        <f t="shared" si="1"/>
        <v>0</v>
      </c>
    </row>
    <row r="12" spans="1:15" x14ac:dyDescent="0.3">
      <c r="A12" s="87"/>
      <c r="B12" s="63" t="s">
        <v>143</v>
      </c>
      <c r="C12" s="64">
        <v>3317.72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6">
        <f t="shared" si="1"/>
        <v>3317.72</v>
      </c>
    </row>
    <row r="13" spans="1:15" x14ac:dyDescent="0.3">
      <c r="A13" s="87"/>
      <c r="B13" s="63" t="s">
        <v>144</v>
      </c>
      <c r="C13" s="64">
        <v>8000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6">
        <f t="shared" si="1"/>
        <v>8000</v>
      </c>
    </row>
    <row r="14" spans="1:15" x14ac:dyDescent="0.3">
      <c r="A14" s="87"/>
      <c r="B14" s="63" t="s">
        <v>145</v>
      </c>
      <c r="C14" s="64">
        <v>200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6">
        <f t="shared" si="1"/>
        <v>200</v>
      </c>
    </row>
    <row r="15" spans="1:15" x14ac:dyDescent="0.3">
      <c r="A15" s="87"/>
      <c r="B15" s="63" t="s">
        <v>13</v>
      </c>
      <c r="C15" s="64">
        <f>SUM(C4:C14)</f>
        <v>2739232.72</v>
      </c>
      <c r="D15" s="65">
        <f t="shared" ref="D15:N15" si="2">SUM(D4:D14)</f>
        <v>0</v>
      </c>
      <c r="E15" s="65">
        <f t="shared" si="2"/>
        <v>0</v>
      </c>
      <c r="F15" s="65">
        <f t="shared" si="2"/>
        <v>0</v>
      </c>
      <c r="G15" s="65">
        <f t="shared" si="2"/>
        <v>0</v>
      </c>
      <c r="H15" s="65">
        <f t="shared" si="2"/>
        <v>0</v>
      </c>
      <c r="I15" s="65">
        <f t="shared" si="2"/>
        <v>0</v>
      </c>
      <c r="J15" s="65">
        <f t="shared" si="2"/>
        <v>0</v>
      </c>
      <c r="K15" s="65">
        <f t="shared" si="2"/>
        <v>0</v>
      </c>
      <c r="L15" s="65">
        <f t="shared" si="2"/>
        <v>0</v>
      </c>
      <c r="M15" s="65">
        <f t="shared" si="2"/>
        <v>0</v>
      </c>
      <c r="N15" s="65">
        <f t="shared" si="2"/>
        <v>0</v>
      </c>
      <c r="O15" s="66">
        <f t="shared" si="1"/>
        <v>2739232.72</v>
      </c>
    </row>
    <row r="16" spans="1:15" x14ac:dyDescent="0.3">
      <c r="A16" s="61"/>
      <c r="B16" s="61"/>
      <c r="C16" s="62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</row>
  </sheetData>
  <mergeCells count="3">
    <mergeCell ref="A1:O1"/>
    <mergeCell ref="A3:B3"/>
    <mergeCell ref="A4:A15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Financeiro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2026-04-16T16:28:33Z</dcterms:modified>
</cp:coreProperties>
</file>