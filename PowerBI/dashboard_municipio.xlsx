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252DFF8C-776B-4284-98E1-7A66B2E25718}" xr6:coauthVersionLast="47" xr6:coauthVersionMax="47" xr10:uidLastSave="{00000000-0000-0000-0000-000000000000}"/>
  <bookViews>
    <workbookView xWindow="-28920" yWindow="555" windowWidth="29040" windowHeight="15720" firstSheet="4" activeTab="8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17" i="11" l="1"/>
  <c r="O14" i="11"/>
  <c r="O15" i="11"/>
  <c r="C5" i="2"/>
  <c r="N17" i="11"/>
  <c r="M17" i="11"/>
  <c r="L17" i="11"/>
  <c r="K17" i="11"/>
  <c r="J17" i="11"/>
  <c r="I17" i="11"/>
  <c r="H17" i="11"/>
  <c r="G17" i="11"/>
  <c r="F17" i="11"/>
  <c r="E17" i="11"/>
  <c r="D17" i="11"/>
  <c r="O16" i="11"/>
  <c r="O13" i="11"/>
  <c r="O12" i="11"/>
  <c r="O11" i="11"/>
  <c r="O10" i="11"/>
  <c r="O9" i="11"/>
  <c r="O8" i="11"/>
  <c r="O7" i="11"/>
  <c r="O6" i="11"/>
  <c r="O5" i="11"/>
  <c r="O4" i="11"/>
  <c r="O17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<sst xmlns="http://schemas.openxmlformats.org/spreadsheetml/2006/main" count="786" uniqueCount="148">
  <si>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</si>
  <si>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</si>
  <si>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</si>
  <si>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</si>
  <si>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</si>
  <si>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</si>
  <si>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</si>
  <si>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</si>
  <si>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</si>
  <si>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</si>
  <si>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</si>
  <si>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</si>
  <si>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</si>
  <si>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</si>
  <si>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</si>
  <si>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</si>
  <si>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</si>
  <si>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</si>
  <si>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</si>
  <si>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</si>
  <si>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</si>
  <si>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</si>
  <si>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</si>
  <si>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</si>
  <si>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</si>
  <si>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</si>
  <si>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</si>
  <si>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</si>
  <si>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</si>
  <si>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</si>
  <si>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</si>
  <si>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</si>
  <si>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</si>
  <si>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</si>
  <si>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</si>
  <si>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</si>
  <si>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</si>
  <si>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</si>
  <si>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</si>
  <si>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</si>
  <si>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</si>
  <si>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</si>
  <si>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</si>
  <si>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</si>
  <si>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</si>
  <si>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</si>
  <si>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</si>
  <si>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</si>
  <si>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</si>
  <si>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</si>
  <si>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</si>
  <si>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</si>
  <si>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</si>
  <si>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</si>
  <si>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</si>
  <si>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</si>
  <si>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</si>
  <si>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</si>
  <si>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</si>
  <si>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</si>
  <si>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</si>
  <si>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</si>
  <si>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</si>
  <si>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</si>
  <si>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</si>
  <si>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</si>
  <si>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</si>
  <si>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</si>
  <si>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</si>
  <si>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</si>
  <si>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</si>
  <si>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</si>
  <si>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</si>
  <si>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</si>
  <si>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</si>
  <si>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</si>
  <si>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</si>
  <si>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</si>
  <si>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</si>
  <si>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</si>
  <si>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</si>
  <si>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</si>
  <si>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</si>
  <si>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</si>
  <si>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</si>
  <si>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</si>
  <si>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</si>
  <si>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</si>
  <si>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</si>
  <si>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</si>
  <si>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</si>
  <si>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</si>
  <si>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</si>
  <si>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</si>
  <si>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</si>
  <si>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</si>
  <si>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</si>
  <si>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</si>
  <si>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</si>
  <si>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</si>
  <si>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</si>
  <si>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</si>
  <si>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</si>
  <si>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</si>
  <si>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</si>
  <si>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</si>
  <si>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</si>
  <si>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</si>
  <si>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</si>
  <si>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</si>
  <si>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</si>
  <si>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</si>
  <si>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</si>
  <si>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</si>
  <si>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</si>
  <si>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</si>
  <si>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</si>
  <si>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</si>
  <si>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</si>
  <si>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</si>
  <si>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</si>
  <si>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</si>
  <si>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</si>
  <si>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</si>
  <si>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</si>
  <si>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</si>
  <si>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</si>
  <si>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</si>
  <si>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</si>
  <si>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</si>
  <si>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</si>
  <si>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</si>
  <si>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</si>
  <si>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</si>
  <si>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</si>
  <si>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</si>
  <si>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</si>
  <si>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</si>
  <si>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</si>
  <si>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</si>
  <si>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</si>
  <si>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</si>
  <si>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</si>
  <si>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</si>
  <si>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</si>
  <si>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</si>
  <si>
    <t>66.157.761 ANGELO MIGUEL DIAS CAMPOS</t>
  </si>
  <si>
    <t xml:space="preserve">nova empresa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</si>
</sst>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3" fillId="0" borderId="7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5" fillId="26" borderId="8" xfId="3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4" borderId="2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</cellXfs>
  <cellStyles count="4"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76"/>
      <c r="B3" s="76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77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77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77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77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77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77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77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77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77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77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77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77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77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77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77"/>
      <c r="B18" s="38" t="s">
        <v>23</v>
      </c>
      <c r="C18" s="39">
        <f>C4+C6+C8+C10+C12+C14+C16</f>
        <v>346616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4" workbookViewId="0">
      <selection activeCell="C32" sqref="C3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4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1"/>
      <c r="B3" s="8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25</v>
      </c>
      <c r="B4" s="82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1"/>
      <c r="B7" s="8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86" t="s">
        <v>27</v>
      </c>
      <c r="B8" s="82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3" t="s">
        <v>28</v>
      </c>
      <c r="B9" s="82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1"/>
      <c r="B11" s="8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8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9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9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9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9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9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80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8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9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9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9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9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0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1"/>
      <c r="B27" s="82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9.479166666666667E-3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1"/>
      <c r="B31" s="82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2.7789351851851853E-2</v>
      </c>
      <c r="D32" s="67">
        <v>0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1"/>
      <c r="B34" s="82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0.33327546296296295</v>
      </c>
      <c r="D35" s="67">
        <v>0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1"/>
      <c r="B37" s="82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0.43723379629629627</v>
      </c>
      <c r="D38" s="67">
        <v>0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1"/>
      <c r="B40" s="82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1"/>
      <c r="B43" s="82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8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9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9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80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1"/>
      <c r="B49" s="82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8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9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9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9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9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9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9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9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9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80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1"/>
      <c r="B61" s="82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8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9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80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1"/>
      <c r="B66" s="82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84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81" t="s">
        <v>67</v>
      </c>
      <c r="B3" s="8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86" t="s">
        <v>25</v>
      </c>
      <c r="B4" s="82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81"/>
      <c r="B7" s="8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86" t="s">
        <v>27</v>
      </c>
      <c r="B8" s="82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83" t="s">
        <v>28</v>
      </c>
      <c r="B9" s="82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81"/>
      <c r="B11" s="8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8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9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9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9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9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9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80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8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9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9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9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9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0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81"/>
      <c r="B27" s="82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6">
        <v>7.2569444444444443E-3</v>
      </c>
      <c r="D28" s="67">
        <v>0</v>
      </c>
      <c r="E28" s="67">
        <v>0</v>
      </c>
      <c r="F28" s="67">
        <v>0</v>
      </c>
      <c r="G28" s="67">
        <v>0</v>
      </c>
      <c r="H28" s="67">
        <v>0</v>
      </c>
      <c r="I28" s="67">
        <v>0</v>
      </c>
      <c r="J28" s="67">
        <v>0</v>
      </c>
      <c r="K28" s="67">
        <v>0</v>
      </c>
      <c r="L28" s="67">
        <v>0</v>
      </c>
      <c r="M28" s="67">
        <v>0</v>
      </c>
      <c r="N28" s="67">
        <v>0</v>
      </c>
      <c r="O28" s="66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8">
        <v>6.9444444444444441E-3</v>
      </c>
      <c r="D29" s="68">
        <v>6.9444444444444441E-3</v>
      </c>
      <c r="E29" s="68">
        <v>6.9444444444444441E-3</v>
      </c>
      <c r="F29" s="68">
        <v>6.9444444444444441E-3</v>
      </c>
      <c r="G29" s="68">
        <v>6.9444444444444441E-3</v>
      </c>
      <c r="H29" s="68">
        <v>6.9444444444444441E-3</v>
      </c>
      <c r="I29" s="68">
        <v>6.9444444444444441E-3</v>
      </c>
      <c r="J29" s="68">
        <v>6.9444444444444441E-3</v>
      </c>
      <c r="K29" s="68">
        <v>6.9444444444444397E-3</v>
      </c>
      <c r="L29" s="68">
        <v>6.9444444444444397E-3</v>
      </c>
      <c r="M29" s="68">
        <v>6.9444444444444441E-3</v>
      </c>
      <c r="N29" s="68">
        <v>6.9444444444444441E-3</v>
      </c>
      <c r="O29" s="69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81"/>
      <c r="B31" s="82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6">
        <v>3.4594907407407408E-2</v>
      </c>
      <c r="D32" s="67">
        <v>0</v>
      </c>
      <c r="E32" s="67">
        <v>0</v>
      </c>
      <c r="F32" s="67">
        <v>0</v>
      </c>
      <c r="G32" s="67">
        <v>0</v>
      </c>
      <c r="H32" s="67">
        <v>0</v>
      </c>
      <c r="I32" s="67">
        <v>0</v>
      </c>
      <c r="J32" s="67">
        <v>0</v>
      </c>
      <c r="K32" s="67">
        <v>0</v>
      </c>
      <c r="L32" s="67">
        <v>0</v>
      </c>
      <c r="M32" s="67">
        <v>0</v>
      </c>
      <c r="N32" s="67">
        <v>0</v>
      </c>
      <c r="O32" s="66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81"/>
      <c r="B34" s="82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6">
        <v>0.31642361111111111</v>
      </c>
      <c r="D35" s="67">
        <v>0</v>
      </c>
      <c r="E35" s="67">
        <v>0</v>
      </c>
      <c r="F35" s="67">
        <v>0</v>
      </c>
      <c r="G35" s="67">
        <v>0</v>
      </c>
      <c r="H35" s="67">
        <v>0</v>
      </c>
      <c r="I35" s="67">
        <v>0</v>
      </c>
      <c r="J35" s="67">
        <v>0</v>
      </c>
      <c r="K35" s="67">
        <v>0</v>
      </c>
      <c r="L35" s="67">
        <v>0</v>
      </c>
      <c r="M35" s="67">
        <v>0</v>
      </c>
      <c r="N35" s="67">
        <v>0</v>
      </c>
      <c r="O35" s="66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81"/>
      <c r="B37" s="82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6">
        <v>6.9143518518518521E-2</v>
      </c>
      <c r="D38" s="67">
        <v>0</v>
      </c>
      <c r="E38" s="67">
        <v>0</v>
      </c>
      <c r="F38" s="67">
        <v>0</v>
      </c>
      <c r="G38" s="67">
        <v>0</v>
      </c>
      <c r="H38" s="67">
        <v>0</v>
      </c>
      <c r="I38" s="67">
        <v>0</v>
      </c>
      <c r="J38" s="67">
        <v>0</v>
      </c>
      <c r="K38" s="67">
        <v>0</v>
      </c>
      <c r="L38" s="67">
        <v>0</v>
      </c>
      <c r="M38" s="67">
        <v>0</v>
      </c>
      <c r="N38" s="67">
        <v>0</v>
      </c>
      <c r="O38" s="66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81"/>
      <c r="B40" s="82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81"/>
      <c r="B43" s="82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7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9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80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81"/>
      <c r="B49" s="82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7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9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9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9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9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9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9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9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80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81"/>
      <c r="B61" s="82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7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80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81"/>
      <c r="B66" s="82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23" sqref="C23:C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4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1"/>
      <c r="B3" s="8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6" t="s">
        <v>69</v>
      </c>
      <c r="B4" s="82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1"/>
      <c r="B7" s="8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1"/>
      <c r="B10" s="82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1"/>
      <c r="B15" s="82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9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9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9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80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81"/>
      <c r="B22" s="82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81"/>
      <c r="B28" s="82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4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1"/>
      <c r="B3" s="8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7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9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9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9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9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9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9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0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1"/>
      <c r="B13" s="82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7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9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9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9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9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9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9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80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81"/>
      <c r="B23" s="82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7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80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4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1"/>
      <c r="B3" s="8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7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9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9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80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1"/>
      <c r="B9" s="82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7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9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9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0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1"/>
      <c r="B15" s="82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84"/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1"/>
      <c r="B3" s="8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7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9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9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9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9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80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1"/>
      <c r="B11" s="8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7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9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9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80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E27" sqref="E27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>
        <v>591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>
        <f>IF(COUNTA(C4:N4)=0,"",SUM(C4:N4))</f>
        <v>591</v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>
        <v>144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>
        <f>IF(COUNTA(C6:N6)=0,"",SUM(C6:N6))</f>
        <v>144</v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>
        <v>134</v>
      </c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>
        <f>IF(COUNTA(C8:N8)=0,"",SUM(C8:N8))</f>
        <v>134</v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>
        <v>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>
        <f>IF(COUNTA(C10:N10)=0,"",SUM(C10:N10))</f>
        <v>4</v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>
        <v>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>
        <f>IF(COUNTA(C12:N12)=0,"",SUM(C12:N12))</f>
        <v>5</v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70">
        <v>7.7999999999999996E-3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>
        <f>IF(COUNTA(C14:N14)=0,"",AVERAGE(C14:N14))</f>
        <v>7.7999999999999996E-3</v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70">
        <v>3.4599999999999999E-2</v>
      </c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>
        <f>IF(COUNTA(C17:N17)=0,"",AVERAGE(C17:N17))</f>
        <v>3.4599999999999999E-2</v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>
        <v>4</v>
      </c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>
        <f>IF(COUNTA(C20:N20)=0,"",SUM(C20:N20))</f>
        <v>4</v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>
        <v>0</v>
      </c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>
        <f>IF(COUNTA(C22:N22)=0,"",SUM(C22:N22))</f>
        <v>0</v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8"/>
  <sheetViews>
    <sheetView tabSelected="1" topLeftCell="A2" workbookViewId="0">
      <selection activeCell="C22" sqref="C22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5.664062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5.6640625" bestFit="1" customWidth="1"/>
  </cols>
  <sheetData>
    <row r="1" spans="1:15" ht="21" hidden="1" x14ac:dyDescent="0.3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73"/>
      <c r="B3" s="73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ht="17.399999999999999" customHeight="1" x14ac:dyDescent="0.3">
      <c r="A4" s="74" t="s">
        <v>134</v>
      </c>
      <c r="B4" s="63" t="s">
        <v>135</v>
      </c>
      <c r="C4" s="64">
        <v>0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71">
        <f t="shared" ref="O4:O7" si="0">SUM(C4:N4)</f>
        <v>0</v>
      </c>
    </row>
    <row r="5" spans="1:15" ht="17.399999999999999" customHeight="1" x14ac:dyDescent="0.3">
      <c r="A5" s="74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71">
        <f t="shared" si="0"/>
        <v>2000</v>
      </c>
    </row>
    <row r="6" spans="1:15" ht="17.399999999999999" customHeight="1" x14ac:dyDescent="0.3">
      <c r="A6" s="74"/>
      <c r="B6" s="63" t="s">
        <v>137</v>
      </c>
      <c r="C6" s="64">
        <v>5200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71">
        <f t="shared" si="0"/>
        <v>5200</v>
      </c>
    </row>
    <row r="7" spans="1:15" ht="17.399999999999999" customHeight="1" x14ac:dyDescent="0.3">
      <c r="A7" s="74"/>
      <c r="B7" s="63" t="s">
        <v>138</v>
      </c>
      <c r="C7" s="64">
        <v>2632875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71">
        <f t="shared" si="0"/>
        <v>2632875</v>
      </c>
    </row>
    <row r="8" spans="1:15" ht="17.399999999999999" customHeight="1" x14ac:dyDescent="0.3">
      <c r="A8" s="74"/>
      <c r="B8" s="63" t="s">
        <v>139</v>
      </c>
      <c r="C8" s="64">
        <v>36000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71">
        <f>SUM(C8:N8)</f>
        <v>36000</v>
      </c>
    </row>
    <row r="9" spans="1:15" ht="17.399999999999999" customHeight="1" x14ac:dyDescent="0.3">
      <c r="A9" s="74"/>
      <c r="B9" s="63" t="s">
        <v>140</v>
      </c>
      <c r="C9" s="64">
        <v>31640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71">
        <f t="shared" ref="O9:O17" si="1">SUM(C9:N9)</f>
        <v>31640</v>
      </c>
    </row>
    <row r="10" spans="1:15" ht="17.399999999999999" customHeight="1" x14ac:dyDescent="0.3">
      <c r="A10" s="74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71">
        <f t="shared" si="1"/>
        <v>20000</v>
      </c>
    </row>
    <row r="11" spans="1:15" ht="17.399999999999999" customHeight="1" x14ac:dyDescent="0.3">
      <c r="A11" s="74"/>
      <c r="B11" s="63" t="s">
        <v>142</v>
      </c>
      <c r="C11" s="64">
        <v>0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71">
        <f t="shared" si="1"/>
        <v>0</v>
      </c>
    </row>
    <row r="12" spans="1:15" ht="17.399999999999999" customHeight="1" x14ac:dyDescent="0.3">
      <c r="A12" s="74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71">
        <f t="shared" si="1"/>
        <v>3317.72</v>
      </c>
    </row>
    <row r="13" spans="1:15" ht="17.399999999999999" customHeight="1" x14ac:dyDescent="0.3">
      <c r="A13" s="74"/>
      <c r="B13" s="63" t="s">
        <v>144</v>
      </c>
      <c r="C13" s="64">
        <v>8000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71">
        <f t="shared" si="1"/>
        <v>8000</v>
      </c>
    </row>
    <row r="14" spans="1:15" ht="17.399999999999999" customHeight="1" x14ac:dyDescent="0.3">
      <c r="A14" s="74"/>
      <c r="B14" s="63" t="s">
        <v>147</v>
      </c>
      <c r="C14" s="64">
        <v>0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71">
        <f t="shared" si="1"/>
        <v>0</v>
      </c>
    </row>
    <row r="15" spans="1:15" ht="17.399999999999999" customHeight="1" x14ac:dyDescent="0.3">
      <c r="A15" s="74"/>
      <c r="B15" s="63" t="s">
        <v>146</v>
      </c>
      <c r="C15" s="64">
        <v>4500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71">
        <f t="shared" si="1"/>
        <v>4500</v>
      </c>
    </row>
    <row r="16" spans="1:15" ht="17.399999999999999" customHeight="1" x14ac:dyDescent="0.3">
      <c r="A16" s="74"/>
      <c r="B16" s="63" t="s">
        <v>145</v>
      </c>
      <c r="C16" s="64">
        <v>200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71">
        <f t="shared" si="1"/>
        <v>200</v>
      </c>
    </row>
    <row r="17" spans="1:15" ht="17.399999999999999" customHeight="1" x14ac:dyDescent="0.3">
      <c r="A17" s="74"/>
      <c r="B17" s="63" t="s">
        <v>13</v>
      </c>
      <c r="C17" s="64">
        <f>SUM(C4:C16)</f>
        <v>2743732.72</v>
      </c>
      <c r="D17" s="65">
        <f t="shared" ref="D17:N17" si="2">SUM(D4:D16)</f>
        <v>0</v>
      </c>
      <c r="E17" s="65">
        <f t="shared" si="2"/>
        <v>0</v>
      </c>
      <c r="F17" s="65">
        <f t="shared" si="2"/>
        <v>0</v>
      </c>
      <c r="G17" s="65">
        <f t="shared" si="2"/>
        <v>0</v>
      </c>
      <c r="H17" s="65">
        <f t="shared" si="2"/>
        <v>0</v>
      </c>
      <c r="I17" s="65">
        <f t="shared" si="2"/>
        <v>0</v>
      </c>
      <c r="J17" s="65">
        <f t="shared" si="2"/>
        <v>0</v>
      </c>
      <c r="K17" s="65">
        <f t="shared" si="2"/>
        <v>0</v>
      </c>
      <c r="L17" s="65">
        <f t="shared" si="2"/>
        <v>0</v>
      </c>
      <c r="M17" s="65">
        <f t="shared" si="2"/>
        <v>0</v>
      </c>
      <c r="N17" s="65">
        <f t="shared" si="2"/>
        <v>0</v>
      </c>
      <c r="O17" s="71">
        <f t="shared" si="1"/>
        <v>2743732.72</v>
      </c>
    </row>
    <row r="18" spans="1:15" x14ac:dyDescent="0.3">
      <c r="A18" s="61"/>
      <c r="B18" s="61"/>
      <c r="C18" s="62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</row>
  </sheetData>
  <mergeCells count="3">
    <mergeCell ref="A1:O1"/>
    <mergeCell ref="A3:B3"/>
    <mergeCell ref="A4:A1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2026-04-17T13:14:22Z</dcterms:modified>
</cp:coreProperties>
</file>