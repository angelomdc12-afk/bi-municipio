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8_{EC424A6E-C5EE-4E66-81C2-44B1876A5ED4}" xr6:coauthVersionLast="47" xr6:coauthVersionMax="47" xr10:uidLastSave="{00000000-0000-0000-0000-000000000000}"/>
  <bookViews>
    <workbookView xWindow="-28920" yWindow="555" windowWidth="29040" windowHeight="15720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Planilha1" sheetId="11" r:id="rId9"/>
  </sheets>
  <calcPr calcId="191029"/>
</workbook>
</file>

<file path=xl/calcChain.xml><?xml version="1.0" encoding="utf-8"?>
<calcChain xmlns="http://schemas.openxmlformats.org/spreadsheetml/2006/main">
  <c r="N15" i="11" l="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M25" i="3"/>
  <c r="L25" i="3"/>
  <c r="H25" i="3"/>
  <c r="G25" i="3"/>
  <c r="F25" i="3"/>
  <c r="E25" i="3"/>
  <c r="D25" i="3"/>
  <c r="I24" i="3"/>
  <c r="N23" i="3"/>
  <c r="I23" i="3"/>
  <c r="H23" i="3"/>
  <c r="G23" i="3"/>
  <c r="F23" i="3"/>
  <c r="N22" i="3"/>
  <c r="M22" i="3"/>
  <c r="L22" i="3"/>
  <c r="K22" i="3"/>
  <c r="G22" i="3"/>
  <c r="F22" i="3"/>
  <c r="E22" i="3"/>
  <c r="D22" i="3"/>
  <c r="I21" i="3"/>
  <c r="H21" i="3"/>
  <c r="N20" i="3"/>
  <c r="M20" i="3"/>
  <c r="I20" i="3"/>
  <c r="H20" i="3"/>
  <c r="G20" i="3"/>
  <c r="F20" i="3"/>
  <c r="E20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C5" i="2"/>
  <c r="O5" i="2" s="1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64" i="2" l="1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22" i="3" s="1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O21" i="3" s="1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O20" i="3" s="1"/>
  <c r="K20" i="3"/>
  <c r="D23" i="3"/>
  <c r="L23" i="3"/>
  <c r="G24" i="3"/>
  <c r="J25" i="3"/>
  <c r="O18" i="2"/>
  <c r="J24" i="3"/>
  <c r="N21" i="2"/>
  <c r="K24" i="3"/>
  <c r="G21" i="2"/>
  <c r="H21" i="2"/>
  <c r="N23" i="2"/>
  <c r="O21" i="2" l="1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<sst xmlns="http://schemas.openxmlformats.org/spreadsheetml/2006/main" count="784" uniqueCount="146">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</sst>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7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21" fontId="2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1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center" vertical="center" wrapText="1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B6D13EF8-1593-44AD-B7A9-3A9DF2CA94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workbookViewId="0">
      <selection activeCell="C17" sqref="C17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8" customFormat="1" ht="49.5" customHeight="1" x14ac:dyDescent="0.3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</row>
    <row r="2" spans="1:15" s="38" customFormat="1" x14ac:dyDescent="0.3">
      <c r="A2" s="39" t="s">
        <v>0</v>
      </c>
      <c r="B2" s="39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s="38" customFormat="1" x14ac:dyDescent="0.3">
      <c r="A3" s="62"/>
      <c r="B3" s="62"/>
      <c r="C3" s="41" t="s">
        <v>1</v>
      </c>
      <c r="D3" s="41" t="s">
        <v>2</v>
      </c>
      <c r="E3" s="41" t="s">
        <v>3</v>
      </c>
      <c r="F3" s="41" t="s">
        <v>4</v>
      </c>
      <c r="G3" s="41" t="s">
        <v>5</v>
      </c>
      <c r="H3" s="41" t="s">
        <v>6</v>
      </c>
      <c r="I3" s="41" t="s">
        <v>7</v>
      </c>
      <c r="J3" s="41" t="s">
        <v>8</v>
      </c>
      <c r="K3" s="41" t="s">
        <v>9</v>
      </c>
      <c r="L3" s="41" t="s">
        <v>10</v>
      </c>
      <c r="M3" s="41" t="s">
        <v>11</v>
      </c>
      <c r="N3" s="41" t="s">
        <v>12</v>
      </c>
      <c r="O3" s="41" t="s">
        <v>13</v>
      </c>
    </row>
    <row r="4" spans="1:15" s="38" customFormat="1" x14ac:dyDescent="0.3">
      <c r="A4" s="63" t="s">
        <v>14</v>
      </c>
      <c r="B4" s="45" t="s">
        <v>15</v>
      </c>
      <c r="C4" s="46">
        <v>35794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7">
        <f t="shared" ref="O4:O7" si="0">SUM(C4:N4)</f>
        <v>35794</v>
      </c>
    </row>
    <row r="5" spans="1:15" s="38" customFormat="1" x14ac:dyDescent="0.3">
      <c r="A5" s="63"/>
      <c r="B5" s="45" t="s">
        <v>16</v>
      </c>
      <c r="C5" s="46">
        <v>12251</v>
      </c>
      <c r="D5" s="46">
        <v>12251</v>
      </c>
      <c r="E5" s="46">
        <v>12251</v>
      </c>
      <c r="F5" s="46">
        <v>12251</v>
      </c>
      <c r="G5" s="46">
        <v>12251</v>
      </c>
      <c r="H5" s="46">
        <v>12251</v>
      </c>
      <c r="I5" s="46">
        <v>12251</v>
      </c>
      <c r="J5" s="46">
        <v>12251</v>
      </c>
      <c r="K5" s="46">
        <v>12251</v>
      </c>
      <c r="L5" s="46">
        <v>12251</v>
      </c>
      <c r="M5" s="46">
        <v>12251</v>
      </c>
      <c r="N5" s="46">
        <v>12251</v>
      </c>
      <c r="O5" s="47">
        <f t="shared" si="0"/>
        <v>147012</v>
      </c>
    </row>
    <row r="6" spans="1:15" s="38" customFormat="1" x14ac:dyDescent="0.3">
      <c r="A6" s="63"/>
      <c r="B6" s="42" t="s">
        <v>17</v>
      </c>
      <c r="C6" s="43">
        <v>50246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4">
        <f t="shared" si="0"/>
        <v>50246</v>
      </c>
    </row>
    <row r="7" spans="1:15" s="38" customFormat="1" x14ac:dyDescent="0.3">
      <c r="A7" s="63"/>
      <c r="B7" s="42" t="s">
        <v>16</v>
      </c>
      <c r="C7" s="43">
        <v>45843</v>
      </c>
      <c r="D7" s="43">
        <v>45843</v>
      </c>
      <c r="E7" s="43">
        <v>45843</v>
      </c>
      <c r="F7" s="43">
        <v>45843</v>
      </c>
      <c r="G7" s="43">
        <v>45843</v>
      </c>
      <c r="H7" s="43">
        <v>45843</v>
      </c>
      <c r="I7" s="43">
        <v>45843</v>
      </c>
      <c r="J7" s="43">
        <v>45843</v>
      </c>
      <c r="K7" s="43">
        <v>45843</v>
      </c>
      <c r="L7" s="43">
        <v>45843</v>
      </c>
      <c r="M7" s="43">
        <v>45843</v>
      </c>
      <c r="N7" s="43">
        <v>45843</v>
      </c>
      <c r="O7" s="44">
        <f t="shared" si="0"/>
        <v>550116</v>
      </c>
    </row>
    <row r="8" spans="1:15" s="38" customFormat="1" x14ac:dyDescent="0.3">
      <c r="A8" s="63"/>
      <c r="B8" s="45" t="s">
        <v>18</v>
      </c>
      <c r="C8" s="46">
        <v>37060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>
        <f>SUM(C8:N8)</f>
        <v>37060</v>
      </c>
    </row>
    <row r="9" spans="1:15" s="38" customFormat="1" x14ac:dyDescent="0.3">
      <c r="A9" s="63"/>
      <c r="B9" s="45" t="s">
        <v>16</v>
      </c>
      <c r="C9" s="46">
        <v>29249</v>
      </c>
      <c r="D9" s="46">
        <v>29249</v>
      </c>
      <c r="E9" s="46">
        <v>29249</v>
      </c>
      <c r="F9" s="46">
        <v>29249</v>
      </c>
      <c r="G9" s="46">
        <v>29249</v>
      </c>
      <c r="H9" s="46">
        <v>29249</v>
      </c>
      <c r="I9" s="46">
        <v>29249</v>
      </c>
      <c r="J9" s="46">
        <v>29249</v>
      </c>
      <c r="K9" s="46">
        <v>29249</v>
      </c>
      <c r="L9" s="46">
        <v>29249</v>
      </c>
      <c r="M9" s="46">
        <v>29249</v>
      </c>
      <c r="N9" s="46">
        <v>29249</v>
      </c>
      <c r="O9" s="47">
        <f t="shared" ref="O9:O18" si="1">SUM(C9:N9)</f>
        <v>350988</v>
      </c>
    </row>
    <row r="10" spans="1:15" s="38" customFormat="1" x14ac:dyDescent="0.3">
      <c r="A10" s="63"/>
      <c r="B10" s="42" t="s">
        <v>19</v>
      </c>
      <c r="C10" s="43">
        <v>4787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4">
        <f t="shared" si="1"/>
        <v>4787</v>
      </c>
    </row>
    <row r="11" spans="1:15" s="38" customFormat="1" x14ac:dyDescent="0.3">
      <c r="A11" s="63"/>
      <c r="B11" s="42" t="s">
        <v>16</v>
      </c>
      <c r="C11" s="43">
        <v>4645</v>
      </c>
      <c r="D11" s="43">
        <v>4645</v>
      </c>
      <c r="E11" s="43">
        <v>4645</v>
      </c>
      <c r="F11" s="43">
        <v>4645</v>
      </c>
      <c r="G11" s="43">
        <v>4645</v>
      </c>
      <c r="H11" s="43">
        <v>4645</v>
      </c>
      <c r="I11" s="43">
        <v>4645</v>
      </c>
      <c r="J11" s="43">
        <v>4645</v>
      </c>
      <c r="K11" s="43">
        <v>4645</v>
      </c>
      <c r="L11" s="43">
        <v>4645</v>
      </c>
      <c r="M11" s="43">
        <v>4645</v>
      </c>
      <c r="N11" s="43">
        <v>4645</v>
      </c>
      <c r="O11" s="44">
        <f t="shared" si="1"/>
        <v>55740</v>
      </c>
    </row>
    <row r="12" spans="1:15" s="38" customFormat="1" x14ac:dyDescent="0.3">
      <c r="A12" s="63"/>
      <c r="B12" s="45" t="s">
        <v>20</v>
      </c>
      <c r="C12" s="46">
        <v>6952</v>
      </c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>
        <f t="shared" si="1"/>
        <v>6952</v>
      </c>
    </row>
    <row r="13" spans="1:15" s="38" customFormat="1" x14ac:dyDescent="0.3">
      <c r="A13" s="63"/>
      <c r="B13" s="45" t="s">
        <v>16</v>
      </c>
      <c r="C13" s="46">
        <v>6133</v>
      </c>
      <c r="D13" s="46">
        <v>6133</v>
      </c>
      <c r="E13" s="46">
        <v>6133</v>
      </c>
      <c r="F13" s="46">
        <v>6133</v>
      </c>
      <c r="G13" s="46">
        <v>6133</v>
      </c>
      <c r="H13" s="46">
        <v>6133</v>
      </c>
      <c r="I13" s="46">
        <v>6133</v>
      </c>
      <c r="J13" s="46">
        <v>6133</v>
      </c>
      <c r="K13" s="46">
        <v>6133</v>
      </c>
      <c r="L13" s="46">
        <v>6133</v>
      </c>
      <c r="M13" s="46">
        <v>6133</v>
      </c>
      <c r="N13" s="46">
        <v>6133</v>
      </c>
      <c r="O13" s="47">
        <f t="shared" si="1"/>
        <v>73596</v>
      </c>
    </row>
    <row r="14" spans="1:15" s="38" customFormat="1" x14ac:dyDescent="0.3">
      <c r="A14" s="63"/>
      <c r="B14" s="42" t="s">
        <v>21</v>
      </c>
      <c r="C14" s="43">
        <v>187915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4">
        <f t="shared" si="1"/>
        <v>187915</v>
      </c>
    </row>
    <row r="15" spans="1:15" s="38" customFormat="1" x14ac:dyDescent="0.3">
      <c r="A15" s="63"/>
      <c r="B15" s="42" t="s">
        <v>16</v>
      </c>
      <c r="C15" s="43">
        <v>158145</v>
      </c>
      <c r="D15" s="43">
        <v>158145</v>
      </c>
      <c r="E15" s="43">
        <v>158145</v>
      </c>
      <c r="F15" s="43">
        <v>158145</v>
      </c>
      <c r="G15" s="43">
        <v>158145</v>
      </c>
      <c r="H15" s="43">
        <v>158145</v>
      </c>
      <c r="I15" s="43">
        <v>158145</v>
      </c>
      <c r="J15" s="43">
        <v>158145</v>
      </c>
      <c r="K15" s="43">
        <v>158145</v>
      </c>
      <c r="L15" s="43">
        <v>158145</v>
      </c>
      <c r="M15" s="43">
        <v>158145</v>
      </c>
      <c r="N15" s="43">
        <v>158145</v>
      </c>
      <c r="O15" s="44">
        <f t="shared" si="1"/>
        <v>1897740</v>
      </c>
    </row>
    <row r="16" spans="1:15" s="38" customFormat="1" x14ac:dyDescent="0.3">
      <c r="A16" s="63"/>
      <c r="B16" s="45" t="s">
        <v>22</v>
      </c>
      <c r="C16" s="46">
        <v>23862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>
        <f t="shared" si="1"/>
        <v>23862</v>
      </c>
    </row>
    <row r="17" spans="1:15" s="38" customFormat="1" x14ac:dyDescent="0.3">
      <c r="A17" s="63"/>
      <c r="B17" s="45" t="s">
        <v>16</v>
      </c>
      <c r="C17" s="46">
        <v>14621</v>
      </c>
      <c r="D17" s="47">
        <v>14621</v>
      </c>
      <c r="E17" s="47">
        <v>14621</v>
      </c>
      <c r="F17" s="47">
        <v>14621</v>
      </c>
      <c r="G17" s="47">
        <v>14621</v>
      </c>
      <c r="H17" s="47">
        <v>14621</v>
      </c>
      <c r="I17" s="47">
        <v>14621</v>
      </c>
      <c r="J17" s="47">
        <v>14621</v>
      </c>
      <c r="K17" s="47">
        <v>14621</v>
      </c>
      <c r="L17" s="47">
        <v>14621</v>
      </c>
      <c r="M17" s="47">
        <v>14621</v>
      </c>
      <c r="N17" s="47">
        <v>14621</v>
      </c>
      <c r="O17" s="47">
        <f t="shared" si="1"/>
        <v>175452</v>
      </c>
    </row>
    <row r="18" spans="1:15" s="38" customFormat="1" x14ac:dyDescent="0.3">
      <c r="A18" s="63"/>
      <c r="B18" s="42" t="s">
        <v>23</v>
      </c>
      <c r="C18" s="43">
        <f>C4+C6+C8+C10+C12+C14+C16</f>
        <v>346616</v>
      </c>
      <c r="D18" s="43">
        <f t="shared" ref="D18:N18" si="2">D4+D6+D8+D10+D12+D14+D16</f>
        <v>0</v>
      </c>
      <c r="E18" s="43">
        <f t="shared" si="2"/>
        <v>0</v>
      </c>
      <c r="F18" s="43">
        <f t="shared" si="2"/>
        <v>0</v>
      </c>
      <c r="G18" s="43">
        <f t="shared" si="2"/>
        <v>0</v>
      </c>
      <c r="H18" s="43">
        <f t="shared" si="2"/>
        <v>0</v>
      </c>
      <c r="I18" s="43">
        <f t="shared" si="2"/>
        <v>0</v>
      </c>
      <c r="J18" s="43">
        <f t="shared" si="2"/>
        <v>0</v>
      </c>
      <c r="K18" s="43">
        <f t="shared" si="2"/>
        <v>0</v>
      </c>
      <c r="L18" s="43">
        <f t="shared" si="2"/>
        <v>0</v>
      </c>
      <c r="M18" s="43">
        <f t="shared" si="2"/>
        <v>0</v>
      </c>
      <c r="N18" s="43">
        <f t="shared" si="2"/>
        <v>0</v>
      </c>
      <c r="O18" s="44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workbookViewId="0">
      <selection activeCell="D67" sqref="D67:N6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67"/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2" t="s">
        <v>25</v>
      </c>
      <c r="B4" s="68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67"/>
      <c r="B7" s="68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2" t="s">
        <v>27</v>
      </c>
      <c r="B8" s="68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69" t="s">
        <v>28</v>
      </c>
      <c r="B9" s="68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7"/>
      <c r="B11" s="68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4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5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65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65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65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65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66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64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65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65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5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5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6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67"/>
      <c r="B27" s="68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9.479166666666667E-3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23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7"/>
      <c r="B31" s="68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2.7789351851851853E-2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26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67"/>
      <c r="B34" s="68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1.3332754629629631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23">
        <f>AVERAGE(C35:N35)</f>
        <v>0.11110628858024692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67"/>
      <c r="B37" s="68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0.43723379629629627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23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67"/>
      <c r="B40" s="68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67"/>
      <c r="B43" s="68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64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65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65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66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67"/>
      <c r="B49" s="68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64" t="s">
        <v>52</v>
      </c>
      <c r="B50" s="32" t="s">
        <v>53</v>
      </c>
      <c r="C50" s="29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33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65"/>
      <c r="B51" s="32" t="s">
        <v>54</v>
      </c>
      <c r="C51" s="29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33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65"/>
      <c r="B52" s="32" t="s">
        <v>55</v>
      </c>
      <c r="C52" s="29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33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65"/>
      <c r="B53" s="32" t="s">
        <v>56</v>
      </c>
      <c r="C53" s="29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33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65"/>
      <c r="B54" s="32" t="s">
        <v>57</v>
      </c>
      <c r="C54" s="29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33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65"/>
      <c r="B55" s="32" t="s">
        <v>58</v>
      </c>
      <c r="C55" s="29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33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65"/>
      <c r="B56" s="32" t="s">
        <v>59</v>
      </c>
      <c r="C56" s="29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33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65"/>
      <c r="B57" s="32" t="s">
        <v>60</v>
      </c>
      <c r="C57" s="29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33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65"/>
      <c r="B58" s="32" t="s">
        <v>61</v>
      </c>
      <c r="C58" s="29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33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66"/>
      <c r="B59" s="32" t="s">
        <v>13</v>
      </c>
      <c r="C59" s="29">
        <f t="shared" ref="C59:N59" si="15">SUM(C50:C58)</f>
        <v>12302</v>
      </c>
      <c r="D59" s="29">
        <f t="shared" si="15"/>
        <v>0</v>
      </c>
      <c r="E59" s="29">
        <f t="shared" si="15"/>
        <v>0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67"/>
      <c r="B61" s="68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64" t="s">
        <v>62</v>
      </c>
      <c r="B62" s="32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65"/>
      <c r="B63" s="32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66"/>
      <c r="B64" s="32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67"/>
      <c r="B66" s="68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43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67" t="s">
        <v>67</v>
      </c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72" t="s">
        <v>25</v>
      </c>
      <c r="B4" s="68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67"/>
      <c r="B7" s="68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72" t="s">
        <v>27</v>
      </c>
      <c r="B8" s="68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69" t="s">
        <v>28</v>
      </c>
      <c r="B9" s="68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67"/>
      <c r="B11" s="68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64" t="s">
        <v>29</v>
      </c>
      <c r="B12" s="14" t="s">
        <v>30</v>
      </c>
      <c r="C12" s="4">
        <v>404</v>
      </c>
      <c r="D12" s="4">
        <v>34</v>
      </c>
      <c r="E12" s="4">
        <v>150</v>
      </c>
      <c r="F12" s="4"/>
      <c r="G12" s="4"/>
      <c r="H12" s="4"/>
      <c r="I12" s="4"/>
      <c r="J12" s="4"/>
      <c r="K12" s="4"/>
      <c r="L12" s="4"/>
      <c r="M12" s="4"/>
      <c r="N12" s="4"/>
      <c r="O12" s="5">
        <f t="shared" ref="O12:O18" si="3">SUM(C12:N12)</f>
        <v>588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65"/>
      <c r="B13" s="15" t="s">
        <v>31</v>
      </c>
      <c r="C13" s="4">
        <v>8050</v>
      </c>
      <c r="D13" s="4">
        <v>1240</v>
      </c>
      <c r="E13" s="4">
        <v>7580</v>
      </c>
      <c r="F13" s="4"/>
      <c r="G13" s="4"/>
      <c r="H13" s="4"/>
      <c r="I13" s="4"/>
      <c r="J13" s="4"/>
      <c r="K13" s="4"/>
      <c r="L13" s="4"/>
      <c r="M13" s="4"/>
      <c r="N13" s="4"/>
      <c r="O13" s="5">
        <f t="shared" si="3"/>
        <v>16870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65"/>
      <c r="B14" s="16" t="s">
        <v>32</v>
      </c>
      <c r="C14" s="4">
        <v>1792</v>
      </c>
      <c r="D14" s="4">
        <v>1000</v>
      </c>
      <c r="E14" s="4">
        <v>3400</v>
      </c>
      <c r="F14" s="4"/>
      <c r="G14" s="4"/>
      <c r="H14" s="4"/>
      <c r="I14" s="4"/>
      <c r="J14" s="4"/>
      <c r="K14" s="4"/>
      <c r="L14" s="4"/>
      <c r="M14" s="4"/>
      <c r="N14" s="4"/>
      <c r="O14" s="5">
        <f t="shared" si="3"/>
        <v>6192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65"/>
      <c r="B15" s="17" t="s">
        <v>33</v>
      </c>
      <c r="C15" s="4">
        <v>245</v>
      </c>
      <c r="D15" s="4">
        <v>800</v>
      </c>
      <c r="E15" s="4">
        <v>200</v>
      </c>
      <c r="F15" s="4"/>
      <c r="G15" s="4"/>
      <c r="H15" s="4"/>
      <c r="I15" s="4"/>
      <c r="J15" s="4"/>
      <c r="K15" s="4"/>
      <c r="L15" s="4"/>
      <c r="M15" s="4"/>
      <c r="N15" s="4"/>
      <c r="O15" s="5">
        <f t="shared" si="3"/>
        <v>1245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65"/>
      <c r="B16" s="18" t="s">
        <v>34</v>
      </c>
      <c r="C16" s="4">
        <v>60</v>
      </c>
      <c r="D16" s="4">
        <v>59</v>
      </c>
      <c r="E16" s="4">
        <v>94</v>
      </c>
      <c r="F16" s="4"/>
      <c r="G16" s="4"/>
      <c r="H16" s="4"/>
      <c r="I16" s="4"/>
      <c r="J16" s="4"/>
      <c r="K16" s="4"/>
      <c r="L16" s="4"/>
      <c r="M16" s="4"/>
      <c r="N16" s="4"/>
      <c r="O16" s="5">
        <f t="shared" si="3"/>
        <v>213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65"/>
      <c r="B17" s="19" t="s">
        <v>35</v>
      </c>
      <c r="C17" s="4">
        <v>231</v>
      </c>
      <c r="D17" s="4">
        <v>21</v>
      </c>
      <c r="E17" s="4">
        <v>23</v>
      </c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275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66"/>
      <c r="B18" s="20" t="s">
        <v>36</v>
      </c>
      <c r="C18" s="5">
        <f t="shared" ref="C18:N18" si="4">SUM(C12:C17)</f>
        <v>10782</v>
      </c>
      <c r="D18" s="5">
        <f t="shared" si="4"/>
        <v>3154</v>
      </c>
      <c r="E18" s="5">
        <f t="shared" si="4"/>
        <v>11447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25383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6"/>
      <c r="B19" s="36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64" t="s">
        <v>37</v>
      </c>
      <c r="B20" s="6" t="s">
        <v>30</v>
      </c>
      <c r="C20" s="21">
        <f t="shared" ref="C20:N20" si="5">C12/C18</f>
        <v>3.7469857169356337E-2</v>
      </c>
      <c r="D20" s="21">
        <f t="shared" si="5"/>
        <v>1.077996195307546E-2</v>
      </c>
      <c r="E20" s="21">
        <f t="shared" si="5"/>
        <v>1.3103870009609504E-2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65"/>
      <c r="B21" s="6" t="s">
        <v>31</v>
      </c>
      <c r="C21" s="21">
        <f t="shared" ref="C21:N21" si="7">C13/C18</f>
        <v>0.74661472825078834</v>
      </c>
      <c r="D21" s="21">
        <f t="shared" si="7"/>
        <v>0.39315155358275206</v>
      </c>
      <c r="E21" s="21">
        <f t="shared" si="7"/>
        <v>0.66218223115226693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65"/>
      <c r="B22" s="6" t="s">
        <v>32</v>
      </c>
      <c r="C22" s="21">
        <f t="shared" ref="C22:N22" si="8">C14/C18</f>
        <v>0.16620293081061027</v>
      </c>
      <c r="D22" s="21">
        <f t="shared" si="8"/>
        <v>0.31705770450221943</v>
      </c>
      <c r="E22" s="21">
        <f t="shared" si="8"/>
        <v>0.29702105355114877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5"/>
      <c r="B23" s="6" t="s">
        <v>33</v>
      </c>
      <c r="C23" s="21">
        <f t="shared" ref="C23:N23" si="9">C15/C18</f>
        <v>2.2723056946763125E-2</v>
      </c>
      <c r="D23" s="21">
        <f t="shared" si="9"/>
        <v>0.2536461636017755</v>
      </c>
      <c r="E23" s="21">
        <f t="shared" si="9"/>
        <v>1.747182667947934E-2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5"/>
      <c r="B24" s="6" t="s">
        <v>34</v>
      </c>
      <c r="C24" s="21">
        <f t="shared" ref="C24:N24" si="10">C16/C18</f>
        <v>5.5648302726766831E-3</v>
      </c>
      <c r="D24" s="21">
        <f t="shared" si="10"/>
        <v>1.8706404565630944E-2</v>
      </c>
      <c r="E24" s="21">
        <f t="shared" si="10"/>
        <v>8.2117585393552892E-3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6"/>
      <c r="B25" s="6" t="s">
        <v>38</v>
      </c>
      <c r="C25" s="21">
        <f t="shared" ref="C25:N25" si="11">C17/C18</f>
        <v>2.142459654980523E-2</v>
      </c>
      <c r="D25" s="21">
        <f t="shared" si="11"/>
        <v>6.6582117945466071E-3</v>
      </c>
      <c r="E25" s="21">
        <f t="shared" si="11"/>
        <v>2.0092600681401239E-3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67"/>
      <c r="B27" s="68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7.2569444444444443E-3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23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7"/>
      <c r="B31" s="68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3.4594907407407408E-2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26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67"/>
      <c r="B34" s="68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1.3164236111111112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23">
        <f>AVERAGE(C35:N35)</f>
        <v>0.1097019675925926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67"/>
      <c r="B37" s="68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6.9143518518518521E-2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23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67"/>
      <c r="B40" s="68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67"/>
      <c r="B43" s="68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3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65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66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8"/>
      <c r="B47" s="6" t="s">
        <v>13</v>
      </c>
      <c r="C47" s="5">
        <f t="shared" ref="C47:N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67"/>
      <c r="B49" s="68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73" t="s">
        <v>52</v>
      </c>
      <c r="B50" s="32" t="s">
        <v>53</v>
      </c>
      <c r="C50" s="29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33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65"/>
      <c r="B51" s="32" t="s">
        <v>54</v>
      </c>
      <c r="C51" s="29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33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65"/>
      <c r="B52" s="32" t="s">
        <v>55</v>
      </c>
      <c r="C52" s="29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33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65"/>
      <c r="B53" s="32" t="s">
        <v>56</v>
      </c>
      <c r="C53" s="29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33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65"/>
      <c r="B54" s="32" t="s">
        <v>57</v>
      </c>
      <c r="C54" s="29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33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65"/>
      <c r="B55" s="32" t="s">
        <v>58</v>
      </c>
      <c r="C55" s="29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33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65"/>
      <c r="B56" s="32" t="s">
        <v>59</v>
      </c>
      <c r="C56" s="29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33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65"/>
      <c r="B57" s="32" t="s">
        <v>60</v>
      </c>
      <c r="C57" s="29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33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66"/>
      <c r="B58" s="32" t="s">
        <v>61</v>
      </c>
      <c r="C58" s="29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33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8"/>
      <c r="B59" s="32" t="s">
        <v>13</v>
      </c>
      <c r="C59" s="29">
        <f t="shared" ref="C59:N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33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67"/>
      <c r="B61" s="68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3" t="s">
        <v>62</v>
      </c>
      <c r="B62" s="32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66"/>
      <c r="B63" s="32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8"/>
      <c r="B64" s="32" t="s">
        <v>13</v>
      </c>
      <c r="C64" s="5">
        <f t="shared" ref="C64:N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67"/>
      <c r="B66" s="68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O32" sqref="O3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67"/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2" t="s">
        <v>69</v>
      </c>
      <c r="B4" s="68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67"/>
      <c r="B7" s="68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32" t="s">
        <v>13</v>
      </c>
      <c r="C8" s="3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31"/>
      <c r="B9" s="3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67"/>
      <c r="B10" s="68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32" t="s">
        <v>70</v>
      </c>
      <c r="C11" s="33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32" t="s">
        <v>72</v>
      </c>
      <c r="C12" s="33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32" t="s">
        <v>73</v>
      </c>
      <c r="C13" s="33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67"/>
      <c r="B15" s="68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64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65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65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65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66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67"/>
      <c r="B22" s="68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32" t="s">
        <v>76</v>
      </c>
      <c r="C23" s="33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32" t="s">
        <v>78</v>
      </c>
      <c r="C24" s="33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32" t="s">
        <v>79</v>
      </c>
      <c r="C25" s="33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32" t="s">
        <v>80</v>
      </c>
      <c r="C26" s="33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67"/>
      <c r="B28" s="68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32" t="s">
        <v>81</v>
      </c>
      <c r="C29" s="33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32" t="s">
        <v>83</v>
      </c>
      <c r="C30" s="33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32" t="s">
        <v>84</v>
      </c>
      <c r="C31" s="33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32" t="s">
        <v>85</v>
      </c>
      <c r="C32" s="33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67"/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3" t="s">
        <v>87</v>
      </c>
      <c r="B4" s="32" t="s">
        <v>88</v>
      </c>
      <c r="C4" s="33">
        <v>240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5"/>
      <c r="B5" s="32" t="s">
        <v>89</v>
      </c>
      <c r="C5" s="33">
        <v>663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65"/>
      <c r="B6" s="32" t="s">
        <v>90</v>
      </c>
      <c r="C6" s="33">
        <v>1097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65"/>
      <c r="B7" s="32" t="s">
        <v>91</v>
      </c>
      <c r="C7" s="33">
        <v>419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5"/>
      <c r="B8" s="32" t="s">
        <v>92</v>
      </c>
      <c r="C8" s="33">
        <v>206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65"/>
      <c r="B9" s="32" t="s">
        <v>93</v>
      </c>
      <c r="C9" s="33">
        <v>208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65"/>
      <c r="B10" s="32" t="s">
        <v>94</v>
      </c>
      <c r="C10" s="33">
        <v>1647</v>
      </c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6"/>
      <c r="B11" s="32" t="s">
        <v>95</v>
      </c>
      <c r="C11" s="33">
        <v>281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31"/>
      <c r="B12" s="3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7"/>
      <c r="B13" s="68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3" t="s">
        <v>96</v>
      </c>
      <c r="B14" s="32" t="s">
        <v>97</v>
      </c>
      <c r="C14" s="33">
        <v>528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65"/>
      <c r="B15" s="32" t="s">
        <v>98</v>
      </c>
      <c r="C15" s="33">
        <v>123</v>
      </c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65"/>
      <c r="B16" s="32" t="s">
        <v>99</v>
      </c>
      <c r="C16" s="33">
        <v>170</v>
      </c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65"/>
      <c r="B17" s="32" t="s">
        <v>100</v>
      </c>
      <c r="C17" s="33">
        <v>95</v>
      </c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65"/>
      <c r="B18" s="32" t="s">
        <v>101</v>
      </c>
      <c r="C18" s="33">
        <v>195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65"/>
      <c r="B19" s="32" t="s">
        <v>94</v>
      </c>
      <c r="C19" s="33">
        <v>0</v>
      </c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65"/>
      <c r="B20" s="32" t="s">
        <v>95</v>
      </c>
      <c r="C20" s="33">
        <v>259</v>
      </c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66"/>
      <c r="B21" s="32" t="s">
        <v>102</v>
      </c>
      <c r="C21" s="33">
        <v>107</v>
      </c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7"/>
      <c r="B23" s="68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3" t="s">
        <v>103</v>
      </c>
      <c r="B24" s="32" t="s">
        <v>94</v>
      </c>
      <c r="C24" s="33">
        <v>580</v>
      </c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6"/>
      <c r="B25" s="32" t="s">
        <v>102</v>
      </c>
      <c r="C25" s="33">
        <v>290</v>
      </c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67"/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3" t="s">
        <v>105</v>
      </c>
      <c r="B4" s="32" t="s">
        <v>106</v>
      </c>
      <c r="C4" s="33">
        <v>3512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5"/>
      <c r="B5" s="32" t="s">
        <v>102</v>
      </c>
      <c r="C5" s="33">
        <v>294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65"/>
      <c r="B6" s="32" t="s">
        <v>107</v>
      </c>
      <c r="C6" s="33">
        <v>41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66"/>
      <c r="B7" s="74" t="s">
        <v>95</v>
      </c>
      <c r="C7" s="33">
        <v>0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31"/>
      <c r="B8" s="3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67"/>
      <c r="B9" s="68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3" t="s">
        <v>108</v>
      </c>
      <c r="B10" s="32" t="s">
        <v>106</v>
      </c>
      <c r="C10" s="33">
        <v>421</v>
      </c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5"/>
      <c r="B11" s="32" t="s">
        <v>102</v>
      </c>
      <c r="C11" s="33">
        <v>179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5"/>
      <c r="B12" s="32" t="s">
        <v>107</v>
      </c>
      <c r="C12" s="33">
        <v>163</v>
      </c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6"/>
      <c r="B13" s="74" t="s">
        <v>95</v>
      </c>
      <c r="C13" s="33">
        <v>0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67"/>
      <c r="B15" s="68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7" t="s">
        <v>109</v>
      </c>
      <c r="B16" s="32" t="s">
        <v>110</v>
      </c>
      <c r="C16" s="33">
        <v>1090</v>
      </c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67"/>
      <c r="B3" s="68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3" t="s">
        <v>111</v>
      </c>
      <c r="B4" s="32" t="s">
        <v>89</v>
      </c>
      <c r="C4" s="33">
        <v>12130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5"/>
      <c r="B5" s="32" t="s">
        <v>112</v>
      </c>
      <c r="C5" s="33">
        <v>1126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65"/>
      <c r="B6" s="74" t="s">
        <v>113</v>
      </c>
      <c r="C6" s="33">
        <v>0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65"/>
      <c r="B7" s="32" t="s">
        <v>114</v>
      </c>
      <c r="C7" s="33">
        <v>9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5"/>
      <c r="B8" s="32" t="s">
        <v>115</v>
      </c>
      <c r="C8" s="33">
        <v>2311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66"/>
      <c r="B9" s="32" t="s">
        <v>116</v>
      </c>
      <c r="C9" s="33">
        <v>506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31"/>
      <c r="B10" s="3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7"/>
      <c r="B11" s="68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3" t="s">
        <v>117</v>
      </c>
      <c r="B12" s="32" t="s">
        <v>118</v>
      </c>
      <c r="C12" s="33">
        <v>95779</v>
      </c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5"/>
      <c r="B13" s="32" t="s">
        <v>119</v>
      </c>
      <c r="C13" s="33">
        <v>17582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65"/>
      <c r="B14" s="32" t="s">
        <v>120</v>
      </c>
      <c r="C14" s="33">
        <v>9696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66"/>
      <c r="B15" s="32" t="s">
        <v>114</v>
      </c>
      <c r="C15" s="33">
        <v>9</v>
      </c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31"/>
      <c r="B16" s="3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C22" sqref="C22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6" t="s">
        <v>131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</row>
    <row r="3" spans="1:15" ht="17.55" customHeight="1" x14ac:dyDescent="0.3">
      <c r="A3" s="48" t="s">
        <v>67</v>
      </c>
      <c r="B3" s="48" t="s">
        <v>132</v>
      </c>
      <c r="C3" s="48" t="s">
        <v>1</v>
      </c>
      <c r="D3" s="48" t="s">
        <v>2</v>
      </c>
      <c r="E3" s="48" t="s">
        <v>3</v>
      </c>
      <c r="F3" s="48" t="s">
        <v>4</v>
      </c>
      <c r="G3" s="48" t="s">
        <v>5</v>
      </c>
      <c r="H3" s="48" t="s">
        <v>6</v>
      </c>
      <c r="I3" s="48" t="s">
        <v>7</v>
      </c>
      <c r="J3" s="48" t="s">
        <v>8</v>
      </c>
      <c r="K3" s="48" t="s">
        <v>9</v>
      </c>
      <c r="L3" s="48" t="s">
        <v>10</v>
      </c>
      <c r="M3" s="48" t="s">
        <v>11</v>
      </c>
      <c r="N3" s="48" t="s">
        <v>12</v>
      </c>
      <c r="O3" s="48" t="s">
        <v>121</v>
      </c>
    </row>
    <row r="4" spans="1:15" x14ac:dyDescent="0.3">
      <c r="A4" s="60" t="s">
        <v>122</v>
      </c>
      <c r="B4" s="57" t="s">
        <v>122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50" t="str">
        <f>IF(COUNTA(C4:N4)=0,"",SUM(C4:N4))</f>
        <v/>
      </c>
    </row>
    <row r="5" spans="1:15" x14ac:dyDescent="0.3">
      <c r="A5" s="51"/>
      <c r="B5" s="58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1"/>
    </row>
    <row r="6" spans="1:15" x14ac:dyDescent="0.3">
      <c r="A6" s="60" t="s">
        <v>123</v>
      </c>
      <c r="B6" s="57" t="s">
        <v>123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0" t="str">
        <f>IF(COUNTA(C6:N6)=0,"",SUM(C6:N6))</f>
        <v/>
      </c>
    </row>
    <row r="7" spans="1:15" x14ac:dyDescent="0.3">
      <c r="A7" s="51"/>
      <c r="B7" s="58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1"/>
    </row>
    <row r="8" spans="1:15" x14ac:dyDescent="0.3">
      <c r="A8" s="60" t="s">
        <v>124</v>
      </c>
      <c r="B8" s="57" t="s">
        <v>124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50" t="str">
        <f>IF(COUNTA(C8:N8)=0,"",SUM(C8:N8))</f>
        <v/>
      </c>
    </row>
    <row r="9" spans="1:15" x14ac:dyDescent="0.3">
      <c r="A9" s="51"/>
      <c r="B9" s="58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1"/>
    </row>
    <row r="10" spans="1:15" x14ac:dyDescent="0.3">
      <c r="A10" s="60" t="s">
        <v>125</v>
      </c>
      <c r="B10" s="57" t="s">
        <v>125</v>
      </c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0" t="str">
        <f>IF(COUNTA(C10:N10)=0,"",SUM(C10:N10))</f>
        <v/>
      </c>
    </row>
    <row r="11" spans="1:15" x14ac:dyDescent="0.3">
      <c r="A11" s="51"/>
      <c r="B11" s="58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1"/>
    </row>
    <row r="12" spans="1:15" x14ac:dyDescent="0.3">
      <c r="A12" s="60" t="s">
        <v>126</v>
      </c>
      <c r="B12" s="57" t="s">
        <v>126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0" t="str">
        <f>IF(COUNTA(C12:N12)=0,"",SUM(C12:N12))</f>
        <v/>
      </c>
    </row>
    <row r="13" spans="1:15" x14ac:dyDescent="0.3">
      <c r="A13" s="51"/>
      <c r="B13" s="58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1"/>
    </row>
    <row r="14" spans="1:15" x14ac:dyDescent="0.3">
      <c r="A14" s="60" t="s">
        <v>127</v>
      </c>
      <c r="B14" s="57" t="s">
        <v>127</v>
      </c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0" t="str">
        <f>IF(COUNTA(C14:N14)=0,"",AVERAGE(C14:N14))</f>
        <v/>
      </c>
    </row>
    <row r="15" spans="1:15" x14ac:dyDescent="0.3">
      <c r="A15" s="53" t="s">
        <v>28</v>
      </c>
      <c r="B15" s="59" t="s">
        <v>28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5"/>
    </row>
    <row r="16" spans="1:15" x14ac:dyDescent="0.3">
      <c r="A16" s="51"/>
      <c r="B16" s="5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1"/>
    </row>
    <row r="17" spans="1:15" x14ac:dyDescent="0.3">
      <c r="A17" s="60" t="s">
        <v>128</v>
      </c>
      <c r="B17" s="57" t="s">
        <v>128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0" t="str">
        <f>IF(COUNTA(C17:N17)=0,"",AVERAGE(C17:N17))</f>
        <v/>
      </c>
    </row>
    <row r="18" spans="1:15" x14ac:dyDescent="0.3">
      <c r="A18" s="53" t="s">
        <v>28</v>
      </c>
      <c r="B18" s="59" t="s">
        <v>28</v>
      </c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5"/>
    </row>
    <row r="19" spans="1:15" x14ac:dyDescent="0.3">
      <c r="A19" s="51"/>
      <c r="B19" s="5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1"/>
    </row>
    <row r="20" spans="1:15" x14ac:dyDescent="0.3">
      <c r="A20" s="60" t="s">
        <v>129</v>
      </c>
      <c r="B20" s="57" t="s">
        <v>129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0" t="str">
        <f>IF(COUNTA(C20:N20)=0,"",SUM(C20:N20))</f>
        <v/>
      </c>
    </row>
    <row r="21" spans="1:15" x14ac:dyDescent="0.3">
      <c r="A21" s="51"/>
      <c r="B21" s="58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1"/>
    </row>
    <row r="22" spans="1:15" x14ac:dyDescent="0.3">
      <c r="A22" s="60" t="s">
        <v>130</v>
      </c>
      <c r="B22" s="57" t="s">
        <v>130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0" t="str">
        <f>IF(COUNTA(C22:N22)=0,"",SUM(C22:N22))</f>
        <v/>
      </c>
    </row>
    <row r="23" spans="1:15" x14ac:dyDescent="0.3">
      <c r="A23" s="53" t="s">
        <v>28</v>
      </c>
      <c r="B23" s="59" t="s">
        <v>28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5"/>
    </row>
    <row r="24" spans="1:15" x14ac:dyDescent="0.3">
      <c r="A24" s="51"/>
      <c r="B24" s="58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opLeftCell="A2" workbookViewId="0">
      <selection activeCell="B23" sqref="B23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2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15" ht="37.799999999999997" customHeight="1" x14ac:dyDescent="0.3">
      <c r="A2" s="76" t="s">
        <v>133</v>
      </c>
      <c r="B2" s="76"/>
      <c r="C2" s="77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</row>
    <row r="3" spans="1:15" x14ac:dyDescent="0.3">
      <c r="A3" s="79"/>
      <c r="B3" s="79"/>
      <c r="C3" s="77" t="s">
        <v>1</v>
      </c>
      <c r="D3" s="78" t="s">
        <v>2</v>
      </c>
      <c r="E3" s="78" t="s">
        <v>3</v>
      </c>
      <c r="F3" s="78" t="s">
        <v>4</v>
      </c>
      <c r="G3" s="78" t="s">
        <v>5</v>
      </c>
      <c r="H3" s="78" t="s">
        <v>6</v>
      </c>
      <c r="I3" s="78" t="s">
        <v>7</v>
      </c>
      <c r="J3" s="78" t="s">
        <v>8</v>
      </c>
      <c r="K3" s="78" t="s">
        <v>9</v>
      </c>
      <c r="L3" s="78" t="s">
        <v>10</v>
      </c>
      <c r="M3" s="78" t="s">
        <v>11</v>
      </c>
      <c r="N3" s="78" t="s">
        <v>12</v>
      </c>
      <c r="O3" s="78" t="s">
        <v>13</v>
      </c>
    </row>
    <row r="4" spans="1:15" x14ac:dyDescent="0.3">
      <c r="A4" s="82" t="s">
        <v>134</v>
      </c>
      <c r="B4" s="83" t="s">
        <v>135</v>
      </c>
      <c r="C4" s="84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6">
        <f t="shared" ref="O4:O7" si="0">SUM(C4:N4)</f>
        <v>0</v>
      </c>
    </row>
    <row r="5" spans="1:15" x14ac:dyDescent="0.3">
      <c r="A5" s="82"/>
      <c r="B5" s="83" t="s">
        <v>136</v>
      </c>
      <c r="C5" s="84">
        <v>2000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6">
        <f t="shared" si="0"/>
        <v>2000</v>
      </c>
    </row>
    <row r="6" spans="1:15" x14ac:dyDescent="0.3">
      <c r="A6" s="82"/>
      <c r="B6" s="83" t="s">
        <v>137</v>
      </c>
      <c r="C6" s="84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6">
        <f t="shared" si="0"/>
        <v>0</v>
      </c>
    </row>
    <row r="7" spans="1:15" x14ac:dyDescent="0.3">
      <c r="A7" s="82"/>
      <c r="B7" s="83" t="s">
        <v>138</v>
      </c>
      <c r="C7" s="84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6">
        <f t="shared" si="0"/>
        <v>0</v>
      </c>
    </row>
    <row r="8" spans="1:15" x14ac:dyDescent="0.3">
      <c r="A8" s="82"/>
      <c r="B8" s="83" t="s">
        <v>139</v>
      </c>
      <c r="C8" s="84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6">
        <f>SUM(C8:N8)</f>
        <v>0</v>
      </c>
    </row>
    <row r="9" spans="1:15" x14ac:dyDescent="0.3">
      <c r="A9" s="82"/>
      <c r="B9" s="83" t="s">
        <v>140</v>
      </c>
      <c r="C9" s="84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6">
        <f t="shared" ref="O9:O15" si="1">SUM(C9:N9)</f>
        <v>0</v>
      </c>
    </row>
    <row r="10" spans="1:15" x14ac:dyDescent="0.3">
      <c r="A10" s="82"/>
      <c r="B10" s="83" t="s">
        <v>141</v>
      </c>
      <c r="C10" s="84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6">
        <f t="shared" si="1"/>
        <v>0</v>
      </c>
    </row>
    <row r="11" spans="1:15" x14ac:dyDescent="0.3">
      <c r="A11" s="82"/>
      <c r="B11" s="83" t="s">
        <v>142</v>
      </c>
      <c r="C11" s="84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6">
        <f t="shared" si="1"/>
        <v>0</v>
      </c>
    </row>
    <row r="12" spans="1:15" x14ac:dyDescent="0.3">
      <c r="A12" s="82"/>
      <c r="B12" s="83" t="s">
        <v>143</v>
      </c>
      <c r="C12" s="84">
        <v>3317.72</v>
      </c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>
        <f t="shared" si="1"/>
        <v>3317.72</v>
      </c>
    </row>
    <row r="13" spans="1:15" x14ac:dyDescent="0.3">
      <c r="A13" s="82"/>
      <c r="B13" s="83" t="s">
        <v>144</v>
      </c>
      <c r="C13" s="84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6">
        <f t="shared" si="1"/>
        <v>0</v>
      </c>
    </row>
    <row r="14" spans="1:15" x14ac:dyDescent="0.3">
      <c r="A14" s="82"/>
      <c r="B14" s="83" t="s">
        <v>145</v>
      </c>
      <c r="C14" s="84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6">
        <f t="shared" si="1"/>
        <v>0</v>
      </c>
    </row>
    <row r="15" spans="1:15" x14ac:dyDescent="0.3">
      <c r="A15" s="82"/>
      <c r="B15" s="83" t="s">
        <v>13</v>
      </c>
      <c r="C15" s="84">
        <f>SUM(C4:C14)</f>
        <v>5317.7199999999993</v>
      </c>
      <c r="D15" s="85">
        <f t="shared" ref="D15:N15" si="2">SUM(D4:D14)</f>
        <v>0</v>
      </c>
      <c r="E15" s="85">
        <f t="shared" si="2"/>
        <v>0</v>
      </c>
      <c r="F15" s="85">
        <f t="shared" si="2"/>
        <v>0</v>
      </c>
      <c r="G15" s="85">
        <f t="shared" si="2"/>
        <v>0</v>
      </c>
      <c r="H15" s="85">
        <f t="shared" si="2"/>
        <v>0</v>
      </c>
      <c r="I15" s="85">
        <f t="shared" si="2"/>
        <v>0</v>
      </c>
      <c r="J15" s="85">
        <f t="shared" si="2"/>
        <v>0</v>
      </c>
      <c r="K15" s="85">
        <f t="shared" si="2"/>
        <v>0</v>
      </c>
      <c r="L15" s="85">
        <f t="shared" si="2"/>
        <v>0</v>
      </c>
      <c r="M15" s="85">
        <f t="shared" si="2"/>
        <v>0</v>
      </c>
      <c r="N15" s="85">
        <f t="shared" si="2"/>
        <v>0</v>
      </c>
      <c r="O15" s="86">
        <f t="shared" si="1"/>
        <v>5317.7199999999993</v>
      </c>
    </row>
    <row r="16" spans="1:15" x14ac:dyDescent="0.3">
      <c r="A16" s="80"/>
      <c r="B16" s="80"/>
      <c r="C16" s="81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2026-04-06T18:00:17Z</dcterms:modified>
</cp:coreProperties>
</file>