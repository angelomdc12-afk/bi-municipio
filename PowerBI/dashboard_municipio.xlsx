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Inovar Soluções\Documents\PowerBI\"/>
    </mc:Choice>
  </mc:AlternateContent>
  <xr:revisionPtr revIDLastSave="0" documentId="13_ncr:1_{735E4415-7DF4-414C-B6EA-1A951E59285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ETAS DO PLANO DE TRABALHO" sheetId="1" r:id="rId1"/>
    <sheet name="INDICADORES UPA LUZIÂNIA" sheetId="2" r:id="rId2"/>
    <sheet name="INDICADORES UPA JARDIM INGÁ" sheetId="3" r:id="rId3"/>
    <sheet name="INDICADORES HMJI" sheetId="4" r:id="rId4"/>
    <sheet name="INDICADORES ATENÇÃO SECUNDÁRIA" sheetId="5" r:id="rId5"/>
    <sheet name="INDICADORES SAÚDE MENTAL" sheetId="6" r:id="rId6"/>
    <sheet name="INDICADORES ATENÇÃO PRIMÁRIA" sheetId="7" r:id="rId7"/>
    <sheet name="INDICADORES RH" sheetId="10" r:id="rId8"/>
    <sheet name="Financeiro" sheetId="11" r:id="rId9"/>
  </sheets>
  <calcPr calcId="191029"/>
</workbook>
</file>

<file path=xl/calcChain.xml><?xml version="1.0" encoding="utf-8"?>
<calcChain xmlns="http://schemas.openxmlformats.org/spreadsheetml/2006/main">
  <c r="C18" i="1" l="1"/>
  <c r="C17" i="11"/>
  <c r="O14" i="11"/>
  <c r="O15" i="11"/>
  <c r="C5" i="2"/>
  <c r="N17" i="11"/>
  <c r="M17" i="11"/>
  <c r="L17" i="11"/>
  <c r="K17" i="11"/>
  <c r="J17" i="11"/>
  <c r="I17" i="11"/>
  <c r="H17" i="11"/>
  <c r="G17" i="11"/>
  <c r="F17" i="11"/>
  <c r="E17" i="11"/>
  <c r="D17" i="11"/>
  <c r="O16" i="11"/>
  <c r="O13" i="11"/>
  <c r="O12" i="11"/>
  <c r="O11" i="11"/>
  <c r="O10" i="11"/>
  <c r="O9" i="11"/>
  <c r="O8" i="11"/>
  <c r="O7" i="11"/>
  <c r="O6" i="11"/>
  <c r="O5" i="11"/>
  <c r="O4" i="11"/>
  <c r="O17" i="11" l="1"/>
  <c r="C20" i="2"/>
  <c r="O22" i="10" l="1"/>
  <c r="O20" i="10"/>
  <c r="O17" i="10"/>
  <c r="O14" i="10"/>
  <c r="O12" i="10"/>
  <c r="O10" i="10"/>
  <c r="O8" i="10"/>
  <c r="O6" i="10"/>
  <c r="O4" i="10"/>
  <c r="O8" i="7"/>
  <c r="O14" i="5"/>
  <c r="O11" i="5"/>
  <c r="O8" i="5"/>
  <c r="O32" i="4"/>
  <c r="O30" i="4"/>
  <c r="O29" i="4"/>
  <c r="O26" i="4"/>
  <c r="O24" i="4"/>
  <c r="O23" i="4"/>
  <c r="N20" i="4"/>
  <c r="M20" i="4"/>
  <c r="L20" i="4"/>
  <c r="K20" i="4"/>
  <c r="J20" i="4"/>
  <c r="I20" i="4"/>
  <c r="H20" i="4"/>
  <c r="G20" i="4"/>
  <c r="F20" i="4"/>
  <c r="E20" i="4"/>
  <c r="D20" i="4"/>
  <c r="C20" i="4"/>
  <c r="O19" i="4"/>
  <c r="O17" i="4"/>
  <c r="O16" i="4"/>
  <c r="O13" i="4"/>
  <c r="O12" i="4"/>
  <c r="O11" i="4"/>
  <c r="O8" i="4"/>
  <c r="O5" i="4"/>
  <c r="O4" i="4"/>
  <c r="O67" i="3"/>
  <c r="C64" i="3"/>
  <c r="O64" i="3" s="1"/>
  <c r="O63" i="3"/>
  <c r="O62" i="3"/>
  <c r="C59" i="3"/>
  <c r="O58" i="3"/>
  <c r="O57" i="3"/>
  <c r="O56" i="3"/>
  <c r="O55" i="3"/>
  <c r="O54" i="3"/>
  <c r="O53" i="3"/>
  <c r="O52" i="3"/>
  <c r="O51" i="3"/>
  <c r="O50" i="3"/>
  <c r="C47" i="3"/>
  <c r="O46" i="3"/>
  <c r="O45" i="3"/>
  <c r="O44" i="3"/>
  <c r="O41" i="3"/>
  <c r="O38" i="3"/>
  <c r="O35" i="3"/>
  <c r="O32" i="3"/>
  <c r="O28" i="3"/>
  <c r="N18" i="3"/>
  <c r="N21" i="3" s="1"/>
  <c r="M18" i="3"/>
  <c r="M23" i="3" s="1"/>
  <c r="L18" i="3"/>
  <c r="L20" i="3" s="1"/>
  <c r="K18" i="3"/>
  <c r="K25" i="3" s="1"/>
  <c r="J18" i="3"/>
  <c r="J22" i="3" s="1"/>
  <c r="I18" i="3"/>
  <c r="I22" i="3" s="1"/>
  <c r="H18" i="3"/>
  <c r="H24" i="3" s="1"/>
  <c r="G18" i="3"/>
  <c r="G21" i="3" s="1"/>
  <c r="F18" i="3"/>
  <c r="F21" i="3" s="1"/>
  <c r="E18" i="3"/>
  <c r="E23" i="3" s="1"/>
  <c r="D18" i="3"/>
  <c r="D20" i="3" s="1"/>
  <c r="C18" i="3"/>
  <c r="C25" i="3" s="1"/>
  <c r="O17" i="3"/>
  <c r="O16" i="3"/>
  <c r="O15" i="3"/>
  <c r="O14" i="3"/>
  <c r="O13" i="3"/>
  <c r="O12" i="3"/>
  <c r="O9" i="3"/>
  <c r="O8" i="3"/>
  <c r="N5" i="3"/>
  <c r="M5" i="3"/>
  <c r="L5" i="3"/>
  <c r="K5" i="3"/>
  <c r="J5" i="3"/>
  <c r="I5" i="3"/>
  <c r="H5" i="3"/>
  <c r="G5" i="3"/>
  <c r="F5" i="3"/>
  <c r="E5" i="3"/>
  <c r="D5" i="3"/>
  <c r="C5" i="3"/>
  <c r="O4" i="3"/>
  <c r="O67" i="2"/>
  <c r="N64" i="2"/>
  <c r="M64" i="2"/>
  <c r="L64" i="2"/>
  <c r="K64" i="2"/>
  <c r="J64" i="2"/>
  <c r="I64" i="2"/>
  <c r="H64" i="2"/>
  <c r="G64" i="2"/>
  <c r="F64" i="2"/>
  <c r="E64" i="2"/>
  <c r="D64" i="2"/>
  <c r="C64" i="2"/>
  <c r="O63" i="2"/>
  <c r="O62" i="2"/>
  <c r="N59" i="2"/>
  <c r="M59" i="2"/>
  <c r="L59" i="2"/>
  <c r="K59" i="2"/>
  <c r="J59" i="2"/>
  <c r="I59" i="2"/>
  <c r="H59" i="2"/>
  <c r="G59" i="2"/>
  <c r="F59" i="2"/>
  <c r="E59" i="2"/>
  <c r="D59" i="2"/>
  <c r="C59" i="2"/>
  <c r="O58" i="2"/>
  <c r="O57" i="2"/>
  <c r="O56" i="2"/>
  <c r="O55" i="2"/>
  <c r="O54" i="2"/>
  <c r="O53" i="2"/>
  <c r="O52" i="2"/>
  <c r="O51" i="2"/>
  <c r="O50" i="2"/>
  <c r="N47" i="2"/>
  <c r="M47" i="2"/>
  <c r="L47" i="2"/>
  <c r="K47" i="2"/>
  <c r="J47" i="2"/>
  <c r="I47" i="2"/>
  <c r="H47" i="2"/>
  <c r="G47" i="2"/>
  <c r="F47" i="2"/>
  <c r="E47" i="2"/>
  <c r="D47" i="2"/>
  <c r="C47" i="2"/>
  <c r="O46" i="2"/>
  <c r="O45" i="2"/>
  <c r="O44" i="2"/>
  <c r="O41" i="2"/>
  <c r="O38" i="2"/>
  <c r="O35" i="2"/>
  <c r="O32" i="2"/>
  <c r="O28" i="2"/>
  <c r="N18" i="2"/>
  <c r="N22" i="2" s="1"/>
  <c r="M18" i="2"/>
  <c r="M22" i="2" s="1"/>
  <c r="L18" i="2"/>
  <c r="L24" i="2" s="1"/>
  <c r="K18" i="2"/>
  <c r="K21" i="2" s="1"/>
  <c r="J18" i="2"/>
  <c r="J21" i="2" s="1"/>
  <c r="I18" i="2"/>
  <c r="I23" i="2" s="1"/>
  <c r="H18" i="2"/>
  <c r="H20" i="2" s="1"/>
  <c r="G18" i="2"/>
  <c r="G25" i="2" s="1"/>
  <c r="F18" i="2"/>
  <c r="F22" i="2" s="1"/>
  <c r="E18" i="2"/>
  <c r="E22" i="2" s="1"/>
  <c r="D18" i="2"/>
  <c r="D24" i="2" s="1"/>
  <c r="C18" i="2"/>
  <c r="C21" i="2" s="1"/>
  <c r="O17" i="2"/>
  <c r="O16" i="2"/>
  <c r="O15" i="2"/>
  <c r="O14" i="2"/>
  <c r="O13" i="2"/>
  <c r="O12" i="2"/>
  <c r="O9" i="2"/>
  <c r="O8" i="2"/>
  <c r="N5" i="2"/>
  <c r="M5" i="2"/>
  <c r="L5" i="2"/>
  <c r="K5" i="2"/>
  <c r="J5" i="2"/>
  <c r="I5" i="2"/>
  <c r="H5" i="2"/>
  <c r="G5" i="2"/>
  <c r="F5" i="2"/>
  <c r="E5" i="2"/>
  <c r="D5" i="2"/>
  <c r="O5" i="2"/>
  <c r="O4" i="2"/>
  <c r="N18" i="1"/>
  <c r="M18" i="1"/>
  <c r="L18" i="1"/>
  <c r="K18" i="1"/>
  <c r="J18" i="1"/>
  <c r="I18" i="1"/>
  <c r="H18" i="1"/>
  <c r="G18" i="1"/>
  <c r="F18" i="1"/>
  <c r="E18" i="1"/>
  <c r="D18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M20" i="3" l="1"/>
  <c r="K22" i="3"/>
  <c r="N23" i="3"/>
  <c r="M25" i="3"/>
  <c r="N20" i="3"/>
  <c r="L22" i="3"/>
  <c r="I24" i="3"/>
  <c r="H21" i="3"/>
  <c r="M22" i="3"/>
  <c r="D25" i="3"/>
  <c r="E20" i="3"/>
  <c r="I21" i="3"/>
  <c r="N22" i="3"/>
  <c r="E25" i="3"/>
  <c r="O25" i="3" s="1"/>
  <c r="F20" i="3"/>
  <c r="D22" i="3"/>
  <c r="F23" i="3"/>
  <c r="F25" i="3"/>
  <c r="G20" i="3"/>
  <c r="E22" i="3"/>
  <c r="G23" i="3"/>
  <c r="G25" i="3"/>
  <c r="H20" i="3"/>
  <c r="F22" i="3"/>
  <c r="H23" i="3"/>
  <c r="H25" i="3"/>
  <c r="I20" i="3"/>
  <c r="G22" i="3"/>
  <c r="I23" i="3"/>
  <c r="L25" i="3"/>
  <c r="O64" i="2"/>
  <c r="O47" i="2"/>
  <c r="M21" i="2"/>
  <c r="G22" i="2"/>
  <c r="H22" i="2"/>
  <c r="M23" i="2"/>
  <c r="M24" i="2"/>
  <c r="D20" i="2"/>
  <c r="E21" i="2"/>
  <c r="D23" i="2"/>
  <c r="D25" i="2"/>
  <c r="L20" i="2"/>
  <c r="I22" i="2"/>
  <c r="D21" i="2"/>
  <c r="E20" i="2"/>
  <c r="L21" i="2"/>
  <c r="E23" i="2"/>
  <c r="H25" i="2"/>
  <c r="J23" i="2"/>
  <c r="I25" i="2"/>
  <c r="K23" i="2"/>
  <c r="J25" i="2"/>
  <c r="I20" i="2"/>
  <c r="J20" i="2"/>
  <c r="K20" i="2"/>
  <c r="L23" i="2"/>
  <c r="K25" i="2"/>
  <c r="L25" i="2"/>
  <c r="M20" i="2"/>
  <c r="J22" i="2"/>
  <c r="E24" i="2"/>
  <c r="K22" i="2"/>
  <c r="O20" i="4"/>
  <c r="O59" i="3"/>
  <c r="O47" i="3"/>
  <c r="C22" i="3"/>
  <c r="O5" i="3"/>
  <c r="O59" i="2"/>
  <c r="C23" i="2"/>
  <c r="C25" i="2"/>
  <c r="C22" i="2"/>
  <c r="N25" i="3"/>
  <c r="G24" i="2"/>
  <c r="J21" i="3"/>
  <c r="L24" i="3"/>
  <c r="F23" i="2"/>
  <c r="I24" i="2"/>
  <c r="D21" i="3"/>
  <c r="L21" i="3"/>
  <c r="F20" i="2"/>
  <c r="N20" i="2"/>
  <c r="I21" i="2"/>
  <c r="D22" i="2"/>
  <c r="L22" i="2"/>
  <c r="G23" i="2"/>
  <c r="J24" i="2"/>
  <c r="E25" i="2"/>
  <c r="M25" i="2"/>
  <c r="O18" i="3"/>
  <c r="J20" i="3"/>
  <c r="E21" i="3"/>
  <c r="M21" i="3"/>
  <c r="H22" i="3"/>
  <c r="C23" i="3"/>
  <c r="K23" i="3"/>
  <c r="F24" i="3"/>
  <c r="N24" i="3"/>
  <c r="I25" i="3"/>
  <c r="F24" i="2"/>
  <c r="N24" i="2"/>
  <c r="F21" i="2"/>
  <c r="C24" i="3"/>
  <c r="H24" i="2"/>
  <c r="C21" i="3"/>
  <c r="K21" i="3"/>
  <c r="D24" i="3"/>
  <c r="J23" i="3"/>
  <c r="E24" i="3"/>
  <c r="M24" i="3"/>
  <c r="G20" i="2"/>
  <c r="H23" i="2"/>
  <c r="C24" i="2"/>
  <c r="O24" i="2" s="1"/>
  <c r="K24" i="2"/>
  <c r="F25" i="2"/>
  <c r="N25" i="2"/>
  <c r="C20" i="3"/>
  <c r="K20" i="3"/>
  <c r="D23" i="3"/>
  <c r="L23" i="3"/>
  <c r="G24" i="3"/>
  <c r="J25" i="3"/>
  <c r="O18" i="2"/>
  <c r="J24" i="3"/>
  <c r="N21" i="2"/>
  <c r="K24" i="3"/>
  <c r="G21" i="2"/>
  <c r="H21" i="2"/>
  <c r="N23" i="2"/>
  <c r="O22" i="3" l="1"/>
  <c r="O20" i="3"/>
  <c r="O21" i="3"/>
  <c r="O21" i="2"/>
  <c r="O23" i="2"/>
  <c r="O20" i="2"/>
  <c r="O25" i="2"/>
  <c r="O22" i="2"/>
  <c r="O23" i="3"/>
  <c r="O24" i="3"/>
</calcChain>
</file>

<file path=xl/sharedStrings.xml><?xml version="1.0" encoding="utf-8"?>
<sst xmlns="http://schemas.openxmlformats.org/spreadsheetml/2006/main" count="786" uniqueCount="148">
  <si>
    <t>METAS</t>
  </si>
  <si>
    <t>MARÇO.26</t>
  </si>
  <si>
    <t>ABRIL.26</t>
  </si>
  <si>
    <t>MAIO.26</t>
  </si>
  <si>
    <t>JUNHO.26</t>
  </si>
  <si>
    <t>JULHO.26</t>
  </si>
  <si>
    <t>AGOSTO.26</t>
  </si>
  <si>
    <t>SETEMBRO.26</t>
  </si>
  <si>
    <t>OUTUBRO.26</t>
  </si>
  <si>
    <t>NOVEMBRO.26</t>
  </si>
  <si>
    <t>DEZEMBRO.26</t>
  </si>
  <si>
    <t>JANEIRO.27</t>
  </si>
  <si>
    <t>FEVEREIRO.27</t>
  </si>
  <si>
    <t>TOTAL</t>
  </si>
  <si>
    <t>METAS POR SUB-GRUPO PLANO DE TRABALHO</t>
  </si>
  <si>
    <t>AÇÕES COLETIVA</t>
  </si>
  <si>
    <t xml:space="preserve">META </t>
  </si>
  <si>
    <t>ATENÇÃO PRIMÁRIA</t>
  </si>
  <si>
    <t>ATENÇÃO ESPECIALIZADA</t>
  </si>
  <si>
    <t>MÉDICOS</t>
  </si>
  <si>
    <t>ODONTOLOGIA</t>
  </si>
  <si>
    <t>ENFERMAGEM</t>
  </si>
  <si>
    <t>EQUIPE MULTIDISCIPLINAR (EXCETO MÉDICOS)</t>
  </si>
  <si>
    <t xml:space="preserve">TOTAL GERAL </t>
  </si>
  <si>
    <t>UPA DE LUZIÂNIA - UPA II</t>
  </si>
  <si>
    <t>PACIENTES RECEPCIONADOS</t>
  </si>
  <si>
    <t>MÉDIA DIÁRIA</t>
  </si>
  <si>
    <t>ATENDIMENTOS MÉDICOS</t>
  </si>
  <si>
    <t>META</t>
  </si>
  <si>
    <t>ATENDIMENTOS POR CLASSIFICAÇÃO DE RISCO</t>
  </si>
  <si>
    <t>NÃO URGENTE (AZUL)</t>
  </si>
  <si>
    <t>POUCO URGENTE (VERDE)</t>
  </si>
  <si>
    <t>URGENTE (AMARELO)</t>
  </si>
  <si>
    <t>MUITO URGENTE (LARANJA)</t>
  </si>
  <si>
    <t>EMERGÊNCIA (VERMELHO)</t>
  </si>
  <si>
    <t>Não informado</t>
  </si>
  <si>
    <t>TOTAL DE ATENDIMENTOS POR CLASSIFICAÇÃO DE RISCO</t>
  </si>
  <si>
    <t>PERCENTUAL DE ATENDIMENTOS POR CLASSIFICAÇÃO DE RISCOS</t>
  </si>
  <si>
    <t>Não Informado</t>
  </si>
  <si>
    <t>TEMPO DE ESPERA PARA CLASSIFICAÇÃO DE RISCO</t>
  </si>
  <si>
    <t>MÉDIA GERAL</t>
  </si>
  <si>
    <t>TEMPO MÉDIO DE ESPERA DE ATENDIMENTO MÉDICO POR CLASSIFICAÇÃO DE RISCO</t>
  </si>
  <si>
    <t>TEMPO DE PERMANÊNCIA DE PACIENTES INTERNADOS</t>
  </si>
  <si>
    <t>TEMPO MÉDIO DE PERMANÊNCIA GERAL</t>
  </si>
  <si>
    <t>TEMPO DE PERMANÊNCIA DE PACIENTES SEM INTERNAÇÃO</t>
  </si>
  <si>
    <t>TEMPO MÉDIO DE PERMANÊNCIA ATENDIMENTOS DE PORTA</t>
  </si>
  <si>
    <t>TRANSFERÊNCIAS (REMOÇÕES)</t>
  </si>
  <si>
    <t>PERCENTUAL DE TRANSFERÊNCIAS PACIENTES INTERNADOS POR USA</t>
  </si>
  <si>
    <t>EXAMES INTERNOS</t>
  </si>
  <si>
    <t>RAIO-X</t>
  </si>
  <si>
    <t>PATOLOGIA CLINICA</t>
  </si>
  <si>
    <t>ELETROCARDIOGRAMA</t>
  </si>
  <si>
    <t xml:space="preserve">ATENDIMENTOS DIVIDIDOS POR FAIXA ETARIA </t>
  </si>
  <si>
    <t>&lt; 1 ANO</t>
  </si>
  <si>
    <t>1 - 4 ANOS</t>
  </si>
  <si>
    <t>5 - 9 ANOS</t>
  </si>
  <si>
    <t>10 - 14 ANOS</t>
  </si>
  <si>
    <t>15 - 19 ANOS</t>
  </si>
  <si>
    <t>20 - 39 ANOS</t>
  </si>
  <si>
    <t>40 - 49 ANOS</t>
  </si>
  <si>
    <t>50 - 59 ANOS</t>
  </si>
  <si>
    <t>60 OU MAIS</t>
  </si>
  <si>
    <t>ATENDIMENTOS DE  PACIENTES</t>
  </si>
  <si>
    <t>DA CIDADE</t>
  </si>
  <si>
    <t>DE OUTRAS CIDADES</t>
  </si>
  <si>
    <t>ÓBITOS</t>
  </si>
  <si>
    <t>UPA JARDIM INGÁ - UPA I</t>
  </si>
  <si>
    <t>INDICADOR</t>
  </si>
  <si>
    <t>HMJI</t>
  </si>
  <si>
    <t>PACIENTES CLÍNICOS ATENDIDOS</t>
  </si>
  <si>
    <t>CIRURGIA GERAL</t>
  </si>
  <si>
    <t>CONSULTAS ESPECIALIZADAS</t>
  </si>
  <si>
    <t>UROLOGIA</t>
  </si>
  <si>
    <t>GINECOLOGIA</t>
  </si>
  <si>
    <t>MAMOGRAFIAS</t>
  </si>
  <si>
    <t>ULTRASOM</t>
  </si>
  <si>
    <t>CIRURGIAS GRANDES</t>
  </si>
  <si>
    <t>PROCEDIMENTOS CIRÚRGICOS</t>
  </si>
  <si>
    <t>BIÓPSIAS</t>
  </si>
  <si>
    <t>VASECTOMIAS</t>
  </si>
  <si>
    <t>PEQUENAS CIRURGIAS</t>
  </si>
  <si>
    <t>RAQUIANESTESIA</t>
  </si>
  <si>
    <t>ANESTESIAS</t>
  </si>
  <si>
    <t>ANESTESIA GERAL</t>
  </si>
  <si>
    <t xml:space="preserve">BLOQUEIO </t>
  </si>
  <si>
    <t>ANESTESIA LOCAL</t>
  </si>
  <si>
    <t>ATENÇÃO SECUNDÁRIA</t>
  </si>
  <si>
    <t>CONSULTAS ESPECIALIZADAS (CAIS)</t>
  </si>
  <si>
    <t>DERMATOLOGICAS</t>
  </si>
  <si>
    <t>CLÍNICA MÉDICA</t>
  </si>
  <si>
    <t>ORTOPÉDICAS</t>
  </si>
  <si>
    <t>CARDIOLOGICAS</t>
  </si>
  <si>
    <t>UROLOGICAS</t>
  </si>
  <si>
    <t>OFTAMOLOGICAS</t>
  </si>
  <si>
    <t>FISIOTERAPIA</t>
  </si>
  <si>
    <t>NUTRIÇÃO</t>
  </si>
  <si>
    <t>CONSULTAS ESPECIALIZADAS (MATERNO INFANTIL)</t>
  </si>
  <si>
    <t>PEDIATRICAS</t>
  </si>
  <si>
    <t>NEUROPED</t>
  </si>
  <si>
    <t>GENICOLOGICAS</t>
  </si>
  <si>
    <t>GINECOLOGICAS ONCOLÓGICA</t>
  </si>
  <si>
    <t>ALTO RISCO</t>
  </si>
  <si>
    <t>PSICOLOGICA</t>
  </si>
  <si>
    <t>CONSULTAS ESPECIALIZADAS (FARMÁCIA CENTRAL)</t>
  </si>
  <si>
    <t>SAÚDE MENTAL</t>
  </si>
  <si>
    <t>CONSULTAS ESPECIALIZADAS (CAPS II)</t>
  </si>
  <si>
    <t>PSIQUIATRICA</t>
  </si>
  <si>
    <t>ASSISTENTE SOCIAL</t>
  </si>
  <si>
    <t>CONSULTAS ESPECIALIZADAS (CAPS AD III)</t>
  </si>
  <si>
    <t>CONSULTAS ESPECIALIZADAS (CLÍNICA PSICOLOGIA)</t>
  </si>
  <si>
    <t>CONSULTAS/TERAPIAS</t>
  </si>
  <si>
    <t>CONSULTAS MÉDICAS</t>
  </si>
  <si>
    <t>PRÉ-NATAL</t>
  </si>
  <si>
    <t>PRÉ-NATAL ALTO RISCO</t>
  </si>
  <si>
    <t>PUERPERAL</t>
  </si>
  <si>
    <t>RENOVAÇÕES DE RECEITAS</t>
  </si>
  <si>
    <t>CRESCIMENTO E DESENVOLVIMENTO</t>
  </si>
  <si>
    <t>NÍVEL SUPERIOR (EXCETO MÉDICO)</t>
  </si>
  <si>
    <t>ACOLHIMENTOS</t>
  </si>
  <si>
    <t>CURATIVOS</t>
  </si>
  <si>
    <t>CONSULTAS</t>
  </si>
  <si>
    <t>TOTAL/MÉDIA</t>
  </si>
  <si>
    <t>TOTAL DE COLABORADORES CLT</t>
  </si>
  <si>
    <t>TOTAL DE MÉDICOS</t>
  </si>
  <si>
    <t>TOTAL DE ENFERMAGEM</t>
  </si>
  <si>
    <t>ADMISSÕES</t>
  </si>
  <si>
    <t>DESLIGAMENTOS</t>
  </si>
  <si>
    <t>TAXA DE TURNOVER</t>
  </si>
  <si>
    <t>ABSENTEÍSMO</t>
  </si>
  <si>
    <t>AFASTAMENTOS</t>
  </si>
  <si>
    <t>ACIDENTES DE TRABALHO</t>
  </si>
  <si>
    <t>RH</t>
  </si>
  <si>
    <t>SÉRIE</t>
  </si>
  <si>
    <t>GASTOS PARCEIRO PATRIS</t>
  </si>
  <si>
    <t>GASTOS MENSAL CONTRATADOS</t>
  </si>
  <si>
    <t>SERVICOS DE ANESTESIOLOGIA DE LUZIANIA – SAL LTDA</t>
  </si>
  <si>
    <t>CLODOVIL CORREIA DE QUEIROZ MEI</t>
  </si>
  <si>
    <t>CORREIA &amp; CHADUD LTDA</t>
  </si>
  <si>
    <t>INTELLEXMED SERVIÇOS TECNOLÓGICOS E ESPECIALIZADOS LTDA</t>
  </si>
  <si>
    <t>ACF TREINAMENTOS ASSESSORIA E GESTÃO DE PESSOAS LTDA</t>
  </si>
  <si>
    <t>AUDIFOR CONSULTORES ASSOCIADOS SS LTDA</t>
  </si>
  <si>
    <t>INOVAR SOLUÇÕES ESTRATÉGICAS LTDA</t>
  </si>
  <si>
    <t>CASMARINHO MED LTDA</t>
  </si>
  <si>
    <t>NOVA CLINICA MEDICA &amp; DIAGNOSTICO LTDA</t>
  </si>
  <si>
    <t>D3 SOLUÇÕES LTDA</t>
  </si>
  <si>
    <t>OUTROS/PG AVULSO</t>
  </si>
  <si>
    <t>66.157.761 ANGELO MIGUEL DIAS CAMPOS</t>
  </si>
  <si>
    <t xml:space="preserve">nova empresa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</si>
</sst>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0.0"/>
    <numFmt numFmtId="165" formatCode="[$-F400]h:mm:ss\ AM/PM"/>
  </numFmts>
  <fonts count="17" x14ac:knownFonts="1">
    <font>
      <sz val="11"/>
      <color theme="1"/>
      <name val="Aptos Narrow"/>
    </font>
    <font>
      <sz val="16"/>
      <color theme="1"/>
      <name val="Aptos Narrow"/>
    </font>
    <font>
      <sz val="11"/>
      <color theme="1"/>
      <name val="Aptos Narrow"/>
    </font>
    <font>
      <b/>
      <sz val="11"/>
      <color theme="0"/>
      <name val="Aptos Narrow"/>
    </font>
    <font>
      <sz val="11"/>
      <name val="Aptos Narrow"/>
    </font>
    <font>
      <b/>
      <sz val="11"/>
      <color theme="1"/>
      <name val="Aptos Narrow"/>
    </font>
    <font>
      <b/>
      <sz val="11"/>
      <color theme="0"/>
      <name val="Aptos Narrow"/>
    </font>
    <font>
      <b/>
      <sz val="11"/>
      <color theme="1"/>
      <name val="Aptos Narrow"/>
    </font>
    <font>
      <sz val="16"/>
      <color theme="1"/>
      <name val="Aptos Narrow"/>
    </font>
    <font>
      <b/>
      <sz val="14"/>
      <color rgb="FFFFFFFF"/>
      <name val="Aptos Narrow"/>
    </font>
    <font>
      <b/>
      <sz val="11"/>
      <color rgb="FFFFFFFF"/>
      <name val="Aptos Narrow"/>
    </font>
    <font>
      <b/>
      <sz val="11"/>
      <color rgb="FF0F172A"/>
      <name val="Aptos Narrow"/>
    </font>
    <font>
      <b/>
      <sz val="11"/>
      <color rgb="FF1E3A8A"/>
      <name val="Aptos Narrow"/>
    </font>
    <font>
      <sz val="11"/>
      <color theme="1"/>
      <name val="Calibri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0F4861"/>
      </patternFill>
    </fill>
    <fill>
      <patternFill patternType="solid">
        <fgColor rgb="FFDBE9F7"/>
      </patternFill>
    </fill>
    <fill>
      <patternFill patternType="solid">
        <fgColor rgb="FFFFFF00"/>
      </patternFill>
    </fill>
    <fill>
      <patternFill patternType="solid">
        <fgColor rgb="FF002060"/>
      </patternFill>
    </fill>
    <fill>
      <patternFill patternType="solid">
        <fgColor rgb="FF00FF00"/>
      </patternFill>
    </fill>
    <fill>
      <patternFill patternType="solid">
        <fgColor rgb="FFDD5A09"/>
      </patternFill>
    </fill>
    <fill>
      <patternFill patternType="solid">
        <fgColor rgb="FFFF0000"/>
      </patternFill>
    </fill>
    <fill>
      <patternFill patternType="solid">
        <fgColor rgb="FFBFBFBF"/>
      </patternFill>
    </fill>
    <fill>
      <patternFill patternType="solid">
        <fgColor rgb="FFFFFF65"/>
      </patternFill>
    </fill>
    <fill>
      <patternFill patternType="solid">
        <fgColor theme="1"/>
      </patternFill>
    </fill>
    <fill>
      <patternFill patternType="solid">
        <fgColor theme="4" tint="-0.249977111117893"/>
        <bgColor indexed="65"/>
      </patternFill>
    </fill>
    <fill>
      <patternFill patternType="solid">
        <fgColor theme="3" tint="0.89996032593768116"/>
        <bgColor indexed="65"/>
      </patternFill>
    </fill>
    <fill>
      <patternFill patternType="solid">
        <fgColor theme="2" tint="-0.34998626667073579"/>
        <bgColor indexed="65"/>
      </patternFill>
    </fill>
    <fill>
      <patternFill patternType="solid">
        <fgColor rgb="FF0F172A"/>
      </patternFill>
    </fill>
    <fill>
      <patternFill patternType="solid">
        <fgColor rgb="FFE0F2FE"/>
      </patternFill>
    </fill>
    <fill>
      <patternFill patternType="solid">
        <fgColor rgb="FF0F6CBD"/>
      </patternFill>
    </fill>
    <fill>
      <patternFill patternType="solid">
        <fgColor rgb="FFDBEAFE"/>
      </patternFill>
    </fill>
    <fill>
      <patternFill patternType="solid">
        <fgColor rgb="FFF8FAFC"/>
      </patternFill>
    </fill>
    <fill>
      <patternFill patternType="solid">
        <fgColor rgb="FFFFF8DB"/>
      </patternFill>
    </fill>
    <fill>
      <patternFill patternType="solid">
        <fgColor rgb="FFEEF2FF"/>
      </patternFill>
    </fill>
    <fill>
      <patternFill patternType="solid">
        <fgColor rgb="FFFFFFFF"/>
      </patternFill>
    </fill>
    <fill>
      <patternFill patternType="solid">
        <fgColor rgb="FFBFDBFE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89999084444715716"/>
        <bgColor indexed="64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3" fillId="0" borderId="7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88">
    <xf numFmtId="0" fontId="0" fillId="0" borderId="0" xfId="0"/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3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3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3" fontId="2" fillId="4" borderId="1" xfId="0" applyNumberFormat="1" applyFont="1" applyFill="1" applyBorder="1" applyAlignment="1">
      <alignment horizontal="center" vertical="center"/>
    </xf>
    <xf numFmtId="3" fontId="5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0" fontId="5" fillId="0" borderId="0" xfId="0" applyNumberFormat="1" applyFont="1" applyAlignment="1">
      <alignment horizontal="center" vertical="center"/>
    </xf>
    <xf numFmtId="0" fontId="5" fillId="5" borderId="1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left" vertical="center" wrapText="1"/>
    </xf>
    <xf numFmtId="10" fontId="2" fillId="3" borderId="1" xfId="0" applyNumberFormat="1" applyFont="1" applyFill="1" applyBorder="1" applyAlignment="1">
      <alignment horizontal="center" vertical="center"/>
    </xf>
    <xf numFmtId="10" fontId="5" fillId="3" borderId="1" xfId="0" applyNumberFormat="1" applyFont="1" applyFill="1" applyBorder="1" applyAlignment="1">
      <alignment horizontal="center" vertical="center"/>
    </xf>
    <xf numFmtId="46" fontId="5" fillId="0" borderId="0" xfId="0" applyNumberFormat="1" applyFont="1" applyAlignment="1">
      <alignment horizontal="center" vertical="center"/>
    </xf>
    <xf numFmtId="0" fontId="5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12" borderId="0" xfId="0" applyFont="1" applyFill="1" applyAlignment="1">
      <alignment horizontal="center" vertical="center" wrapText="1"/>
    </xf>
    <xf numFmtId="0" fontId="6" fillId="12" borderId="0" xfId="0" applyFont="1" applyFill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left" vertical="center"/>
    </xf>
    <xf numFmtId="0" fontId="7" fillId="13" borderId="8" xfId="0" applyFont="1" applyFill="1" applyBorder="1" applyAlignment="1">
      <alignment horizontal="center" vertical="center"/>
    </xf>
    <xf numFmtId="3" fontId="7" fillId="13" borderId="8" xfId="0" applyNumberFormat="1" applyFont="1" applyFill="1" applyBorder="1" applyAlignment="1">
      <alignment horizontal="center" vertical="center"/>
    </xf>
    <xf numFmtId="0" fontId="7" fillId="14" borderId="8" xfId="0" applyFont="1" applyFill="1" applyBorder="1" applyAlignment="1">
      <alignment horizontal="left" vertical="center"/>
    </xf>
    <xf numFmtId="0" fontId="7" fillId="14" borderId="8" xfId="0" applyFont="1" applyFill="1" applyBorder="1" applyAlignment="1">
      <alignment horizontal="center" vertical="center"/>
    </xf>
    <xf numFmtId="3" fontId="7" fillId="14" borderId="8" xfId="0" applyNumberFormat="1" applyFont="1" applyFill="1" applyBorder="1" applyAlignment="1">
      <alignment horizontal="center" vertical="center"/>
    </xf>
    <xf numFmtId="0" fontId="10" fillId="17" borderId="8" xfId="0" applyFont="1" applyFill="1" applyBorder="1" applyAlignment="1">
      <alignment horizontal="center" vertical="center"/>
    </xf>
    <xf numFmtId="164" fontId="0" fillId="20" borderId="8" xfId="0" applyNumberFormat="1" applyFill="1" applyBorder="1" applyAlignment="1">
      <alignment wrapText="1"/>
    </xf>
    <xf numFmtId="164" fontId="5" fillId="21" borderId="8" xfId="0" applyNumberFormat="1" applyFont="1" applyFill="1" applyBorder="1" applyAlignment="1">
      <alignment wrapText="1"/>
    </xf>
    <xf numFmtId="0" fontId="5" fillId="22" borderId="8" xfId="0" applyFont="1" applyFill="1" applyBorder="1" applyAlignment="1">
      <alignment wrapText="1"/>
    </xf>
    <xf numFmtId="0" fontId="0" fillId="22" borderId="8" xfId="0" applyFill="1" applyBorder="1" applyAlignment="1">
      <alignment wrapText="1"/>
    </xf>
    <xf numFmtId="0" fontId="12" fillId="18" borderId="8" xfId="0" applyFont="1" applyFill="1" applyBorder="1" applyAlignment="1">
      <alignment wrapText="1"/>
    </xf>
    <xf numFmtId="164" fontId="12" fillId="16" borderId="8" xfId="0" applyNumberFormat="1" applyFont="1" applyFill="1" applyBorder="1" applyAlignment="1">
      <alignment wrapText="1"/>
    </xf>
    <xf numFmtId="164" fontId="12" fillId="23" borderId="8" xfId="0" applyNumberFormat="1" applyFont="1" applyFill="1" applyBorder="1" applyAlignment="1">
      <alignment wrapText="1"/>
    </xf>
    <xf numFmtId="0" fontId="9" fillId="15" borderId="0" xfId="0" applyFont="1" applyFill="1" applyAlignment="1">
      <alignment vertical="center"/>
    </xf>
    <xf numFmtId="0" fontId="11" fillId="19" borderId="8" xfId="0" applyFont="1" applyFill="1" applyBorder="1"/>
    <xf numFmtId="0" fontId="5" fillId="22" borderId="8" xfId="0" applyFont="1" applyFill="1" applyBorder="1"/>
    <xf numFmtId="0" fontId="12" fillId="18" borderId="8" xfId="0" applyFont="1" applyFill="1" applyBorder="1"/>
    <xf numFmtId="0" fontId="11" fillId="24" borderId="8" xfId="0" applyFont="1" applyFill="1" applyBorder="1" applyAlignment="1">
      <alignment wrapText="1"/>
    </xf>
    <xf numFmtId="0" fontId="5" fillId="24" borderId="1" xfId="0" applyFont="1" applyFill="1" applyBorder="1" applyAlignment="1">
      <alignment horizontal="left" vertical="center"/>
    </xf>
    <xf numFmtId="0" fontId="14" fillId="25" borderId="0" xfId="0" applyFont="1" applyFill="1" applyAlignment="1">
      <alignment horizontal="center" vertical="center" wrapText="1"/>
    </xf>
    <xf numFmtId="44" fontId="14" fillId="25" borderId="0" xfId="0" applyNumberFormat="1" applyFont="1" applyFill="1" applyAlignment="1">
      <alignment horizontal="center" vertical="center"/>
    </xf>
    <xf numFmtId="0" fontId="14" fillId="25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44" fontId="0" fillId="0" borderId="0" xfId="0" applyNumberFormat="1" applyAlignment="1">
      <alignment horizontal="center" vertical="center"/>
    </xf>
    <xf numFmtId="0" fontId="15" fillId="26" borderId="8" xfId="0" applyFont="1" applyFill="1" applyBorder="1" applyAlignment="1">
      <alignment horizontal="left" vertical="center"/>
    </xf>
    <xf numFmtId="44" fontId="15" fillId="26" borderId="8" xfId="0" applyNumberFormat="1" applyFont="1" applyFill="1" applyBorder="1" applyAlignment="1">
      <alignment horizontal="center" vertical="center"/>
    </xf>
    <xf numFmtId="0" fontId="15" fillId="26" borderId="8" xfId="0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165" fontId="2" fillId="4" borderId="1" xfId="0" applyNumberFormat="1" applyFont="1" applyFill="1" applyBorder="1" applyAlignment="1">
      <alignment horizontal="center" vertical="center"/>
    </xf>
    <xf numFmtId="165" fontId="5" fillId="4" borderId="1" xfId="0" applyNumberFormat="1" applyFont="1" applyFill="1" applyBorder="1" applyAlignment="1">
      <alignment horizontal="center" vertical="center"/>
    </xf>
    <xf numFmtId="10" fontId="0" fillId="20" borderId="8" xfId="2" applyNumberFormat="1" applyFont="1" applyFill="1" applyBorder="1" applyAlignment="1">
      <alignment wrapText="1"/>
    </xf>
    <xf numFmtId="44" fontId="15" fillId="26" borderId="8" xfId="3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4" fillId="0" borderId="3" xfId="0" applyFont="1" applyBorder="1"/>
    <xf numFmtId="0" fontId="1" fillId="0" borderId="0" xfId="0" applyFont="1" applyAlignment="1">
      <alignment horizontal="left" vertical="center" wrapText="1"/>
    </xf>
    <xf numFmtId="0" fontId="0" fillId="0" borderId="0" xfId="0"/>
    <xf numFmtId="0" fontId="5" fillId="3" borderId="2" xfId="0" applyFont="1" applyFill="1" applyBorder="1" applyAlignment="1">
      <alignment horizontal="left" vertical="center" wrapText="1"/>
    </xf>
    <xf numFmtId="0" fontId="5" fillId="3" borderId="4" xfId="0" applyFont="1" applyFill="1" applyBorder="1" applyAlignment="1">
      <alignment horizontal="left" vertical="center" wrapText="1"/>
    </xf>
    <xf numFmtId="0" fontId="4" fillId="0" borderId="5" xfId="0" applyFont="1" applyBorder="1"/>
    <xf numFmtId="0" fontId="4" fillId="0" borderId="6" xfId="0" applyFont="1" applyBorder="1"/>
    <xf numFmtId="0" fontId="8" fillId="0" borderId="0" xfId="0" applyFont="1" applyAlignment="1">
      <alignment horizontal="left" vertical="center" wrapText="1"/>
    </xf>
    <xf numFmtId="0" fontId="6" fillId="12" borderId="8" xfId="0" applyFont="1" applyFill="1" applyBorder="1" applyAlignment="1">
      <alignment horizontal="center" vertical="center" wrapText="1"/>
    </xf>
    <xf numFmtId="0" fontId="7" fillId="13" borderId="8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left" vertical="center" wrapText="1" indent="61"/>
    </xf>
    <xf numFmtId="0" fontId="14" fillId="25" borderId="0" xfId="0" applyFont="1" applyFill="1" applyAlignment="1">
      <alignment horizontal="center" vertical="center" wrapText="1"/>
    </xf>
    <xf numFmtId="0" fontId="15" fillId="26" borderId="8" xfId="0" applyFont="1" applyFill="1" applyBorder="1" applyAlignment="1">
      <alignment horizontal="center" vertical="center" wrapText="1"/>
    </xf>
  </cellXfs>
  <cellStyles count="4">
    <cellStyle name="Moeda" xfId="3" builtinId="4"/>
    <cellStyle name="Normal" xfId="0" builtinId="0"/>
    <cellStyle name="Normal 2" xfId="1" xr:uid="{B6D13EF8-1593-44AD-B7A9-3A9DF2CA949C}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2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1154430</xdr:colOff>
      <xdr:row>0</xdr:row>
      <xdr:rowOff>59055</xdr:rowOff>
    </xdr:from>
    <xdr:ext cx="1914525" cy="685800"/>
    <xdr:pic>
      <xdr:nvPicPr>
        <xdr:cNvPr id="4" name="/xl/media/image3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4.png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5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6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7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8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9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10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11.png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12.png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13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14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15.png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16.png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17.png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18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19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20.png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21.png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22.png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23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24.png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3BEF2D"/>
      </a:accent2>
      <a:accent3>
        <a:srgbClr val="FFFF00"/>
      </a:accent3>
      <a:accent4>
        <a:srgbClr val="FFC000"/>
      </a:accent4>
      <a:accent5>
        <a:srgbClr val="FF0000"/>
      </a:accent5>
      <a:accent6>
        <a:srgbClr val="BFBFBF"/>
      </a:accent6>
      <a:hlink>
        <a:srgbClr val="467886"/>
      </a:hlink>
      <a:folHlink>
        <a:srgbClr val="467886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8"/>
  <sheetViews>
    <sheetView tabSelected="1" workbookViewId="0">
      <selection activeCell="C19" sqref="C19"/>
    </sheetView>
  </sheetViews>
  <sheetFormatPr defaultRowHeight="14.4" x14ac:dyDescent="0.3"/>
  <cols>
    <col min="1" max="1" width="23.5546875" customWidth="1"/>
    <col min="2" max="2" width="40.5546875" customWidth="1"/>
    <col min="3" max="3" width="9.77734375" customWidth="1"/>
    <col min="4" max="4" width="8.33203125" customWidth="1"/>
    <col min="5" max="5" width="8" customWidth="1"/>
    <col min="6" max="6" width="9.44140625" customWidth="1"/>
    <col min="7" max="7" width="9" customWidth="1"/>
    <col min="8" max="8" width="10.6640625" customWidth="1"/>
    <col min="9" max="9" width="12.5546875" customWidth="1"/>
    <col min="10" max="10" width="11.77734375" customWidth="1"/>
    <col min="11" max="11" width="13.44140625" customWidth="1"/>
    <col min="12" max="12" width="12.77734375" customWidth="1"/>
    <col min="13" max="13" width="10.6640625" customWidth="1"/>
    <col min="14" max="14" width="12.77734375" customWidth="1"/>
    <col min="15" max="15" width="9.109375" customWidth="1"/>
  </cols>
  <sheetData>
    <row r="1" spans="1:15" s="34" customFormat="1" ht="49.5" customHeight="1" x14ac:dyDescent="0.3">
      <c r="A1" s="80"/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</row>
    <row r="2" spans="1:15" s="34" customFormat="1" x14ac:dyDescent="0.3">
      <c r="A2" s="35" t="s">
        <v>0</v>
      </c>
      <c r="B2" s="35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</row>
    <row r="3" spans="1:15" s="34" customFormat="1" x14ac:dyDescent="0.3">
      <c r="A3" s="81"/>
      <c r="B3" s="81"/>
      <c r="C3" s="37" t="s">
        <v>1</v>
      </c>
      <c r="D3" s="37" t="s">
        <v>2</v>
      </c>
      <c r="E3" s="37" t="s">
        <v>3</v>
      </c>
      <c r="F3" s="37" t="s">
        <v>4</v>
      </c>
      <c r="G3" s="37" t="s">
        <v>5</v>
      </c>
      <c r="H3" s="37" t="s">
        <v>6</v>
      </c>
      <c r="I3" s="37" t="s">
        <v>7</v>
      </c>
      <c r="J3" s="37" t="s">
        <v>8</v>
      </c>
      <c r="K3" s="37" t="s">
        <v>9</v>
      </c>
      <c r="L3" s="37" t="s">
        <v>10</v>
      </c>
      <c r="M3" s="37" t="s">
        <v>11</v>
      </c>
      <c r="N3" s="37" t="s">
        <v>12</v>
      </c>
      <c r="O3" s="37" t="s">
        <v>13</v>
      </c>
    </row>
    <row r="4" spans="1:15" s="34" customFormat="1" x14ac:dyDescent="0.3">
      <c r="A4" s="82" t="s">
        <v>14</v>
      </c>
      <c r="B4" s="41" t="s">
        <v>15</v>
      </c>
      <c r="C4" s="42">
        <v>35794</v>
      </c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3">
        <f t="shared" ref="O4:O7" si="0">SUM(C4:N4)</f>
        <v>35794</v>
      </c>
    </row>
    <row r="5" spans="1:15" s="34" customFormat="1" x14ac:dyDescent="0.3">
      <c r="A5" s="82"/>
      <c r="B5" s="41" t="s">
        <v>16</v>
      </c>
      <c r="C5" s="42">
        <v>12251</v>
      </c>
      <c r="D5" s="42">
        <v>12251</v>
      </c>
      <c r="E5" s="42">
        <v>12251</v>
      </c>
      <c r="F5" s="42">
        <v>12251</v>
      </c>
      <c r="G5" s="42">
        <v>12251</v>
      </c>
      <c r="H5" s="42">
        <v>12251</v>
      </c>
      <c r="I5" s="42">
        <v>12251</v>
      </c>
      <c r="J5" s="42">
        <v>12251</v>
      </c>
      <c r="K5" s="42">
        <v>12251</v>
      </c>
      <c r="L5" s="42">
        <v>12251</v>
      </c>
      <c r="M5" s="42">
        <v>12251</v>
      </c>
      <c r="N5" s="42">
        <v>12251</v>
      </c>
      <c r="O5" s="43">
        <f t="shared" si="0"/>
        <v>147012</v>
      </c>
    </row>
    <row r="6" spans="1:15" s="34" customFormat="1" x14ac:dyDescent="0.3">
      <c r="A6" s="82"/>
      <c r="B6" s="38" t="s">
        <v>17</v>
      </c>
      <c r="C6" s="39">
        <v>50246</v>
      </c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40">
        <f t="shared" si="0"/>
        <v>50246</v>
      </c>
    </row>
    <row r="7" spans="1:15" s="34" customFormat="1" x14ac:dyDescent="0.3">
      <c r="A7" s="82"/>
      <c r="B7" s="38" t="s">
        <v>16</v>
      </c>
      <c r="C7" s="39">
        <v>45843</v>
      </c>
      <c r="D7" s="39">
        <v>45843</v>
      </c>
      <c r="E7" s="39">
        <v>45843</v>
      </c>
      <c r="F7" s="39">
        <v>45843</v>
      </c>
      <c r="G7" s="39">
        <v>45843</v>
      </c>
      <c r="H7" s="39">
        <v>45843</v>
      </c>
      <c r="I7" s="39">
        <v>45843</v>
      </c>
      <c r="J7" s="39">
        <v>45843</v>
      </c>
      <c r="K7" s="39">
        <v>45843</v>
      </c>
      <c r="L7" s="39">
        <v>45843</v>
      </c>
      <c r="M7" s="39">
        <v>45843</v>
      </c>
      <c r="N7" s="39">
        <v>45843</v>
      </c>
      <c r="O7" s="40">
        <f t="shared" si="0"/>
        <v>550116</v>
      </c>
    </row>
    <row r="8" spans="1:15" s="34" customFormat="1" x14ac:dyDescent="0.3">
      <c r="A8" s="82"/>
      <c r="B8" s="41" t="s">
        <v>18</v>
      </c>
      <c r="C8" s="42">
        <v>37060</v>
      </c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3">
        <f>SUM(C8:N8)</f>
        <v>37060</v>
      </c>
    </row>
    <row r="9" spans="1:15" s="34" customFormat="1" x14ac:dyDescent="0.3">
      <c r="A9" s="82"/>
      <c r="B9" s="41" t="s">
        <v>16</v>
      </c>
      <c r="C9" s="42">
        <v>29249</v>
      </c>
      <c r="D9" s="42">
        <v>29249</v>
      </c>
      <c r="E9" s="42">
        <v>29249</v>
      </c>
      <c r="F9" s="42">
        <v>29249</v>
      </c>
      <c r="G9" s="42">
        <v>29249</v>
      </c>
      <c r="H9" s="42">
        <v>29249</v>
      </c>
      <c r="I9" s="42">
        <v>29249</v>
      </c>
      <c r="J9" s="42">
        <v>29249</v>
      </c>
      <c r="K9" s="42">
        <v>29249</v>
      </c>
      <c r="L9" s="42">
        <v>29249</v>
      </c>
      <c r="M9" s="42">
        <v>29249</v>
      </c>
      <c r="N9" s="42">
        <v>29249</v>
      </c>
      <c r="O9" s="43">
        <f t="shared" ref="O9:O18" si="1">SUM(C9:N9)</f>
        <v>350988</v>
      </c>
    </row>
    <row r="10" spans="1:15" s="34" customFormat="1" x14ac:dyDescent="0.3">
      <c r="A10" s="82"/>
      <c r="B10" s="38" t="s">
        <v>19</v>
      </c>
      <c r="C10" s="39">
        <v>4787</v>
      </c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40">
        <f t="shared" si="1"/>
        <v>4787</v>
      </c>
    </row>
    <row r="11" spans="1:15" s="34" customFormat="1" x14ac:dyDescent="0.3">
      <c r="A11" s="82"/>
      <c r="B11" s="38" t="s">
        <v>16</v>
      </c>
      <c r="C11" s="39">
        <v>4645</v>
      </c>
      <c r="D11" s="39">
        <v>4645</v>
      </c>
      <c r="E11" s="39">
        <v>4645</v>
      </c>
      <c r="F11" s="39">
        <v>4645</v>
      </c>
      <c r="G11" s="39">
        <v>4645</v>
      </c>
      <c r="H11" s="39">
        <v>4645</v>
      </c>
      <c r="I11" s="39">
        <v>4645</v>
      </c>
      <c r="J11" s="39">
        <v>4645</v>
      </c>
      <c r="K11" s="39">
        <v>4645</v>
      </c>
      <c r="L11" s="39">
        <v>4645</v>
      </c>
      <c r="M11" s="39">
        <v>4645</v>
      </c>
      <c r="N11" s="39">
        <v>4645</v>
      </c>
      <c r="O11" s="40">
        <f t="shared" si="1"/>
        <v>55740</v>
      </c>
    </row>
    <row r="12" spans="1:15" s="34" customFormat="1" x14ac:dyDescent="0.3">
      <c r="A12" s="82"/>
      <c r="B12" s="41" t="s">
        <v>20</v>
      </c>
      <c r="C12" s="42">
        <v>6952</v>
      </c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3">
        <f t="shared" si="1"/>
        <v>6952</v>
      </c>
    </row>
    <row r="13" spans="1:15" s="34" customFormat="1" x14ac:dyDescent="0.3">
      <c r="A13" s="82"/>
      <c r="B13" s="41" t="s">
        <v>16</v>
      </c>
      <c r="C13" s="42">
        <v>6133</v>
      </c>
      <c r="D13" s="42">
        <v>6133</v>
      </c>
      <c r="E13" s="42">
        <v>6133</v>
      </c>
      <c r="F13" s="42">
        <v>6133</v>
      </c>
      <c r="G13" s="42">
        <v>6133</v>
      </c>
      <c r="H13" s="42">
        <v>6133</v>
      </c>
      <c r="I13" s="42">
        <v>6133</v>
      </c>
      <c r="J13" s="42">
        <v>6133</v>
      </c>
      <c r="K13" s="42">
        <v>6133</v>
      </c>
      <c r="L13" s="42">
        <v>6133</v>
      </c>
      <c r="M13" s="42">
        <v>6133</v>
      </c>
      <c r="N13" s="42">
        <v>6133</v>
      </c>
      <c r="O13" s="43">
        <f t="shared" si="1"/>
        <v>73596</v>
      </c>
    </row>
    <row r="14" spans="1:15" s="34" customFormat="1" x14ac:dyDescent="0.3">
      <c r="A14" s="82"/>
      <c r="B14" s="38" t="s">
        <v>21</v>
      </c>
      <c r="C14" s="39">
        <v>187915</v>
      </c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40">
        <f t="shared" si="1"/>
        <v>187915</v>
      </c>
    </row>
    <row r="15" spans="1:15" s="34" customFormat="1" x14ac:dyDescent="0.3">
      <c r="A15" s="82"/>
      <c r="B15" s="38" t="s">
        <v>16</v>
      </c>
      <c r="C15" s="39">
        <v>158145</v>
      </c>
      <c r="D15" s="39">
        <v>158145</v>
      </c>
      <c r="E15" s="39">
        <v>158145</v>
      </c>
      <c r="F15" s="39">
        <v>158145</v>
      </c>
      <c r="G15" s="39">
        <v>158145</v>
      </c>
      <c r="H15" s="39">
        <v>158145</v>
      </c>
      <c r="I15" s="39">
        <v>158145</v>
      </c>
      <c r="J15" s="39">
        <v>158145</v>
      </c>
      <c r="K15" s="39">
        <v>158145</v>
      </c>
      <c r="L15" s="39">
        <v>158145</v>
      </c>
      <c r="M15" s="39">
        <v>158145</v>
      </c>
      <c r="N15" s="39">
        <v>158145</v>
      </c>
      <c r="O15" s="40">
        <f t="shared" si="1"/>
        <v>1897740</v>
      </c>
    </row>
    <row r="16" spans="1:15" s="34" customFormat="1" x14ac:dyDescent="0.3">
      <c r="A16" s="82"/>
      <c r="B16" s="41" t="s">
        <v>22</v>
      </c>
      <c r="C16" s="42">
        <v>23862</v>
      </c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3">
        <f t="shared" si="1"/>
        <v>23862</v>
      </c>
    </row>
    <row r="17" spans="1:15" s="34" customFormat="1" x14ac:dyDescent="0.3">
      <c r="A17" s="82"/>
      <c r="B17" s="41" t="s">
        <v>16</v>
      </c>
      <c r="C17" s="42">
        <v>14621</v>
      </c>
      <c r="D17" s="43">
        <v>14621</v>
      </c>
      <c r="E17" s="43">
        <v>14621</v>
      </c>
      <c r="F17" s="43">
        <v>14621</v>
      </c>
      <c r="G17" s="43">
        <v>14621</v>
      </c>
      <c r="H17" s="43">
        <v>14621</v>
      </c>
      <c r="I17" s="43">
        <v>14621</v>
      </c>
      <c r="J17" s="43">
        <v>14621</v>
      </c>
      <c r="K17" s="43">
        <v>14621</v>
      </c>
      <c r="L17" s="43">
        <v>14621</v>
      </c>
      <c r="M17" s="43">
        <v>14621</v>
      </c>
      <c r="N17" s="43">
        <v>14621</v>
      </c>
      <c r="O17" s="43">
        <f t="shared" si="1"/>
        <v>175452</v>
      </c>
    </row>
    <row r="18" spans="1:15" s="34" customFormat="1" x14ac:dyDescent="0.3">
      <c r="A18" s="82"/>
      <c r="B18" s="38" t="s">
        <v>23</v>
      </c>
      <c r="C18" s="39">
        <f>C4+C6+C8+C10+C12+C14+C16+1252</f>
        <v>347868</v>
      </c>
      <c r="D18" s="39">
        <f t="shared" ref="D18:N18" si="2">D4+D6+D8+D10+D12+D14+D16</f>
        <v>0</v>
      </c>
      <c r="E18" s="39">
        <f t="shared" si="2"/>
        <v>0</v>
      </c>
      <c r="F18" s="39">
        <f t="shared" si="2"/>
        <v>0</v>
      </c>
      <c r="G18" s="39">
        <f t="shared" si="2"/>
        <v>0</v>
      </c>
      <c r="H18" s="39">
        <f t="shared" si="2"/>
        <v>0</v>
      </c>
      <c r="I18" s="39">
        <f t="shared" si="2"/>
        <v>0</v>
      </c>
      <c r="J18" s="39">
        <f t="shared" si="2"/>
        <v>0</v>
      </c>
      <c r="K18" s="39">
        <f t="shared" si="2"/>
        <v>0</v>
      </c>
      <c r="L18" s="39">
        <f t="shared" si="2"/>
        <v>0</v>
      </c>
      <c r="M18" s="39">
        <f t="shared" si="2"/>
        <v>0</v>
      </c>
      <c r="N18" s="39">
        <f t="shared" si="2"/>
        <v>0</v>
      </c>
      <c r="O18" s="40">
        <f t="shared" si="1"/>
        <v>347868</v>
      </c>
    </row>
  </sheetData>
  <mergeCells count="3">
    <mergeCell ref="A1:O1"/>
    <mergeCell ref="A3:B3"/>
    <mergeCell ref="A4:A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33"/>
  <sheetViews>
    <sheetView showGridLines="0" topLeftCell="A4" workbookViewId="0">
      <selection activeCell="C32" sqref="C32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16" width="9.21875" customWidth="1"/>
    <col min="17" max="26" width="8.88671875" customWidth="1"/>
  </cols>
  <sheetData>
    <row r="1" spans="1:26" ht="61.5" customHeight="1" x14ac:dyDescent="0.3">
      <c r="A1" s="74"/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24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72"/>
      <c r="B3" s="73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76" t="s">
        <v>25</v>
      </c>
      <c r="B4" s="73"/>
      <c r="C4" s="4">
        <v>12302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5">
        <f>SUM(C4:N4)</f>
        <v>12302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6" t="s">
        <v>26</v>
      </c>
      <c r="B5" s="6"/>
      <c r="C5" s="4">
        <f>C4/31</f>
        <v>396.83870967741933</v>
      </c>
      <c r="D5" s="4">
        <f>D4/30</f>
        <v>0</v>
      </c>
      <c r="E5" s="4">
        <f>E4/31</f>
        <v>0</v>
      </c>
      <c r="F5" s="4">
        <f>F4/30</f>
        <v>0</v>
      </c>
      <c r="G5" s="4">
        <f t="shared" ref="G5:H5" si="0">G4/31</f>
        <v>0</v>
      </c>
      <c r="H5" s="4">
        <f t="shared" si="0"/>
        <v>0</v>
      </c>
      <c r="I5" s="4">
        <f>I4/30</f>
        <v>0</v>
      </c>
      <c r="J5" s="4">
        <f>J4/31</f>
        <v>0</v>
      </c>
      <c r="K5" s="4">
        <f>K4/30</f>
        <v>0</v>
      </c>
      <c r="L5" s="4">
        <f t="shared" ref="L5:M5" si="1">L4/31</f>
        <v>0</v>
      </c>
      <c r="M5" s="4">
        <f t="shared" si="1"/>
        <v>0</v>
      </c>
      <c r="N5" s="4">
        <f>N4/28</f>
        <v>0</v>
      </c>
      <c r="O5" s="5">
        <f>AVERAGE(C5:N5)</f>
        <v>33.06989247311828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72"/>
      <c r="B7" s="73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76" t="s">
        <v>27</v>
      </c>
      <c r="B8" s="73"/>
      <c r="C8" s="4">
        <v>11519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5">
        <f t="shared" ref="O8:O9" si="2">SUM(C8:N8)</f>
        <v>11519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83" t="s">
        <v>28</v>
      </c>
      <c r="B9" s="73"/>
      <c r="C9" s="10">
        <v>8000</v>
      </c>
      <c r="D9" s="10">
        <v>8000</v>
      </c>
      <c r="E9" s="10">
        <v>8000</v>
      </c>
      <c r="F9" s="10">
        <v>8000</v>
      </c>
      <c r="G9" s="10">
        <v>8000</v>
      </c>
      <c r="H9" s="10">
        <v>8000</v>
      </c>
      <c r="I9" s="10">
        <v>8000</v>
      </c>
      <c r="J9" s="10">
        <v>8000</v>
      </c>
      <c r="K9" s="10">
        <v>8000</v>
      </c>
      <c r="L9" s="10">
        <v>8000</v>
      </c>
      <c r="M9" s="10">
        <v>8000</v>
      </c>
      <c r="N9" s="10">
        <v>8000</v>
      </c>
      <c r="O9" s="11">
        <f t="shared" si="2"/>
        <v>96000</v>
      </c>
      <c r="P9" s="12"/>
      <c r="Q9" s="10"/>
      <c r="R9" s="12"/>
      <c r="S9" s="12"/>
      <c r="T9" s="12"/>
      <c r="U9" s="12"/>
      <c r="V9" s="12"/>
      <c r="W9" s="12"/>
      <c r="X9" s="12"/>
      <c r="Y9" s="12"/>
      <c r="Z9" s="12"/>
    </row>
    <row r="10" spans="1:26" ht="10.5" customHeight="1" x14ac:dyDescent="0.3">
      <c r="A10" s="7"/>
      <c r="B10" s="7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3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72"/>
      <c r="B11" s="73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77" t="s">
        <v>29</v>
      </c>
      <c r="B12" s="14" t="s">
        <v>30</v>
      </c>
      <c r="C12" s="4">
        <v>570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5">
        <f t="shared" ref="O12:O18" si="3">SUM(C12:N12)</f>
        <v>570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78"/>
      <c r="B13" s="15" t="s">
        <v>31</v>
      </c>
      <c r="C13" s="4">
        <v>8001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5">
        <f t="shared" si="3"/>
        <v>8001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78"/>
      <c r="B14" s="16" t="s">
        <v>32</v>
      </c>
      <c r="C14" s="4">
        <v>2700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5">
        <f t="shared" si="3"/>
        <v>2700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78"/>
      <c r="B15" s="17" t="s">
        <v>33</v>
      </c>
      <c r="C15" s="4">
        <v>355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5">
        <f t="shared" si="3"/>
        <v>355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78"/>
      <c r="B16" s="18" t="s">
        <v>34</v>
      </c>
      <c r="C16" s="4">
        <v>12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5">
        <f t="shared" si="3"/>
        <v>12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78"/>
      <c r="B17" s="19" t="s">
        <v>35</v>
      </c>
      <c r="C17" s="4">
        <v>664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5">
        <f t="shared" si="3"/>
        <v>664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79"/>
      <c r="B18" s="20" t="s">
        <v>36</v>
      </c>
      <c r="C18" s="5">
        <f t="shared" ref="C18:N18" si="4">SUM(C12:C17)</f>
        <v>12302</v>
      </c>
      <c r="D18" s="5">
        <f t="shared" si="4"/>
        <v>0</v>
      </c>
      <c r="E18" s="5">
        <f t="shared" si="4"/>
        <v>0</v>
      </c>
      <c r="F18" s="5">
        <f t="shared" si="4"/>
        <v>0</v>
      </c>
      <c r="G18" s="5">
        <f t="shared" si="4"/>
        <v>0</v>
      </c>
      <c r="H18" s="5">
        <f t="shared" si="4"/>
        <v>0</v>
      </c>
      <c r="I18" s="5">
        <f t="shared" si="4"/>
        <v>0</v>
      </c>
      <c r="J18" s="5">
        <f t="shared" si="4"/>
        <v>0</v>
      </c>
      <c r="K18" s="5">
        <f t="shared" si="4"/>
        <v>0</v>
      </c>
      <c r="L18" s="5">
        <f t="shared" si="4"/>
        <v>0</v>
      </c>
      <c r="M18" s="5">
        <f t="shared" si="4"/>
        <v>0</v>
      </c>
      <c r="N18" s="5">
        <f t="shared" si="4"/>
        <v>0</v>
      </c>
      <c r="O18" s="5">
        <f t="shared" si="3"/>
        <v>12302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0.5" customHeight="1" x14ac:dyDescent="0.3">
      <c r="A19" s="7"/>
      <c r="B19" s="7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9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77" t="s">
        <v>37</v>
      </c>
      <c r="B20" s="6" t="s">
        <v>30</v>
      </c>
      <c r="C20" s="21">
        <f t="shared" ref="C20:N20" si="5">C12/C18</f>
        <v>4.6333929442367097E-2</v>
      </c>
      <c r="D20" s="21" t="e">
        <f t="shared" si="5"/>
        <v>#DIV/0!</v>
      </c>
      <c r="E20" s="21" t="e">
        <f t="shared" si="5"/>
        <v>#DIV/0!</v>
      </c>
      <c r="F20" s="21" t="e">
        <f t="shared" si="5"/>
        <v>#DIV/0!</v>
      </c>
      <c r="G20" s="21" t="e">
        <f t="shared" si="5"/>
        <v>#DIV/0!</v>
      </c>
      <c r="H20" s="21" t="e">
        <f t="shared" si="5"/>
        <v>#DIV/0!</v>
      </c>
      <c r="I20" s="21" t="e">
        <f t="shared" si="5"/>
        <v>#DIV/0!</v>
      </c>
      <c r="J20" s="21" t="e">
        <f t="shared" si="5"/>
        <v>#DIV/0!</v>
      </c>
      <c r="K20" s="21" t="e">
        <f t="shared" si="5"/>
        <v>#DIV/0!</v>
      </c>
      <c r="L20" s="21" t="e">
        <f t="shared" si="5"/>
        <v>#DIV/0!</v>
      </c>
      <c r="M20" s="21" t="e">
        <f t="shared" si="5"/>
        <v>#DIV/0!</v>
      </c>
      <c r="N20" s="21" t="e">
        <f t="shared" si="5"/>
        <v>#DIV/0!</v>
      </c>
      <c r="O20" s="22" t="e">
        <f t="shared" ref="O20:O25" si="6">AVERAGE(C20:N20)</f>
        <v>#DIV/0!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78"/>
      <c r="B21" s="6" t="s">
        <v>31</v>
      </c>
      <c r="C21" s="21">
        <f t="shared" ref="C21:N21" si="7">C13/C18</f>
        <v>0.65038205169891072</v>
      </c>
      <c r="D21" s="21" t="e">
        <f t="shared" si="7"/>
        <v>#DIV/0!</v>
      </c>
      <c r="E21" s="21" t="e">
        <f t="shared" si="7"/>
        <v>#DIV/0!</v>
      </c>
      <c r="F21" s="21" t="e">
        <f t="shared" si="7"/>
        <v>#DIV/0!</v>
      </c>
      <c r="G21" s="21" t="e">
        <f t="shared" si="7"/>
        <v>#DIV/0!</v>
      </c>
      <c r="H21" s="21" t="e">
        <f t="shared" si="7"/>
        <v>#DIV/0!</v>
      </c>
      <c r="I21" s="21" t="e">
        <f t="shared" si="7"/>
        <v>#DIV/0!</v>
      </c>
      <c r="J21" s="21" t="e">
        <f t="shared" si="7"/>
        <v>#DIV/0!</v>
      </c>
      <c r="K21" s="21" t="e">
        <f t="shared" si="7"/>
        <v>#DIV/0!</v>
      </c>
      <c r="L21" s="21" t="e">
        <f t="shared" si="7"/>
        <v>#DIV/0!</v>
      </c>
      <c r="M21" s="21" t="e">
        <f t="shared" si="7"/>
        <v>#DIV/0!</v>
      </c>
      <c r="N21" s="21" t="e">
        <f t="shared" si="7"/>
        <v>#DIV/0!</v>
      </c>
      <c r="O21" s="22" t="e">
        <f t="shared" si="6"/>
        <v>#DIV/0!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78"/>
      <c r="B22" s="6" t="s">
        <v>32</v>
      </c>
      <c r="C22" s="21">
        <f t="shared" ref="C22:N22" si="8">C14/C18</f>
        <v>0.21947650788489675</v>
      </c>
      <c r="D22" s="21" t="e">
        <f t="shared" si="8"/>
        <v>#DIV/0!</v>
      </c>
      <c r="E22" s="21" t="e">
        <f t="shared" si="8"/>
        <v>#DIV/0!</v>
      </c>
      <c r="F22" s="21" t="e">
        <f t="shared" si="8"/>
        <v>#DIV/0!</v>
      </c>
      <c r="G22" s="21" t="e">
        <f t="shared" si="8"/>
        <v>#DIV/0!</v>
      </c>
      <c r="H22" s="21" t="e">
        <f t="shared" si="8"/>
        <v>#DIV/0!</v>
      </c>
      <c r="I22" s="21" t="e">
        <f t="shared" si="8"/>
        <v>#DIV/0!</v>
      </c>
      <c r="J22" s="21" t="e">
        <f t="shared" si="8"/>
        <v>#DIV/0!</v>
      </c>
      <c r="K22" s="21" t="e">
        <f t="shared" si="8"/>
        <v>#DIV/0!</v>
      </c>
      <c r="L22" s="21" t="e">
        <f t="shared" si="8"/>
        <v>#DIV/0!</v>
      </c>
      <c r="M22" s="21" t="e">
        <f t="shared" si="8"/>
        <v>#DIV/0!</v>
      </c>
      <c r="N22" s="21" t="e">
        <f t="shared" si="8"/>
        <v>#DIV/0!</v>
      </c>
      <c r="O22" s="22" t="e">
        <f t="shared" si="6"/>
        <v>#DIV/0!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78"/>
      <c r="B23" s="6" t="s">
        <v>33</v>
      </c>
      <c r="C23" s="21">
        <f t="shared" ref="C23:N23" si="9">C15/C18</f>
        <v>2.8857096407088279E-2</v>
      </c>
      <c r="D23" s="21" t="e">
        <f t="shared" si="9"/>
        <v>#DIV/0!</v>
      </c>
      <c r="E23" s="21" t="e">
        <f t="shared" si="9"/>
        <v>#DIV/0!</v>
      </c>
      <c r="F23" s="21" t="e">
        <f t="shared" si="9"/>
        <v>#DIV/0!</v>
      </c>
      <c r="G23" s="21" t="e">
        <f t="shared" si="9"/>
        <v>#DIV/0!</v>
      </c>
      <c r="H23" s="21" t="e">
        <f t="shared" si="9"/>
        <v>#DIV/0!</v>
      </c>
      <c r="I23" s="21" t="e">
        <f t="shared" si="9"/>
        <v>#DIV/0!</v>
      </c>
      <c r="J23" s="21" t="e">
        <f t="shared" si="9"/>
        <v>#DIV/0!</v>
      </c>
      <c r="K23" s="21" t="e">
        <f t="shared" si="9"/>
        <v>#DIV/0!</v>
      </c>
      <c r="L23" s="21" t="e">
        <f t="shared" si="9"/>
        <v>#DIV/0!</v>
      </c>
      <c r="M23" s="21" t="e">
        <f t="shared" si="9"/>
        <v>#DIV/0!</v>
      </c>
      <c r="N23" s="21" t="e">
        <f t="shared" si="9"/>
        <v>#DIV/0!</v>
      </c>
      <c r="O23" s="22" t="e">
        <f t="shared" si="6"/>
        <v>#DIV/0!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78"/>
      <c r="B24" s="6" t="s">
        <v>34</v>
      </c>
      <c r="C24" s="21">
        <f t="shared" ref="C24:N24" si="10">C16/C18</f>
        <v>9.7545114615509671E-4</v>
      </c>
      <c r="D24" s="21" t="e">
        <f t="shared" si="10"/>
        <v>#DIV/0!</v>
      </c>
      <c r="E24" s="21" t="e">
        <f t="shared" si="10"/>
        <v>#DIV/0!</v>
      </c>
      <c r="F24" s="21" t="e">
        <f t="shared" si="10"/>
        <v>#DIV/0!</v>
      </c>
      <c r="G24" s="21" t="e">
        <f t="shared" si="10"/>
        <v>#DIV/0!</v>
      </c>
      <c r="H24" s="21" t="e">
        <f t="shared" si="10"/>
        <v>#DIV/0!</v>
      </c>
      <c r="I24" s="21" t="e">
        <f t="shared" si="10"/>
        <v>#DIV/0!</v>
      </c>
      <c r="J24" s="21" t="e">
        <f t="shared" si="10"/>
        <v>#DIV/0!</v>
      </c>
      <c r="K24" s="21" t="e">
        <f t="shared" si="10"/>
        <v>#DIV/0!</v>
      </c>
      <c r="L24" s="21" t="e">
        <f t="shared" si="10"/>
        <v>#DIV/0!</v>
      </c>
      <c r="M24" s="21" t="e">
        <f t="shared" si="10"/>
        <v>#DIV/0!</v>
      </c>
      <c r="N24" s="21" t="e">
        <f t="shared" si="10"/>
        <v>#DIV/0!</v>
      </c>
      <c r="O24" s="22" t="e">
        <f t="shared" si="6"/>
        <v>#DIV/0!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79"/>
      <c r="B25" s="6" t="s">
        <v>38</v>
      </c>
      <c r="C25" s="21">
        <f t="shared" ref="C25:N25" si="11">C17/C18</f>
        <v>5.3974963420582021E-2</v>
      </c>
      <c r="D25" s="21" t="e">
        <f t="shared" si="11"/>
        <v>#DIV/0!</v>
      </c>
      <c r="E25" s="21" t="e">
        <f t="shared" si="11"/>
        <v>#DIV/0!</v>
      </c>
      <c r="F25" s="21" t="e">
        <f t="shared" si="11"/>
        <v>#DIV/0!</v>
      </c>
      <c r="G25" s="21" t="e">
        <f t="shared" si="11"/>
        <v>#DIV/0!</v>
      </c>
      <c r="H25" s="21" t="e">
        <f t="shared" si="11"/>
        <v>#DIV/0!</v>
      </c>
      <c r="I25" s="21" t="e">
        <f t="shared" si="11"/>
        <v>#DIV/0!</v>
      </c>
      <c r="J25" s="21" t="e">
        <f t="shared" si="11"/>
        <v>#DIV/0!</v>
      </c>
      <c r="K25" s="21" t="e">
        <f t="shared" si="11"/>
        <v>#DIV/0!</v>
      </c>
      <c r="L25" s="21" t="e">
        <f t="shared" si="11"/>
        <v>#DIV/0!</v>
      </c>
      <c r="M25" s="21" t="e">
        <f t="shared" si="11"/>
        <v>#DIV/0!</v>
      </c>
      <c r="N25" s="21" t="e">
        <f t="shared" si="11"/>
        <v>#DIV/0!</v>
      </c>
      <c r="O25" s="22" t="e">
        <f t="shared" si="6"/>
        <v>#DIV/0!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0.5" customHeight="1" x14ac:dyDescent="0.3">
      <c r="A26" s="7"/>
      <c r="B26" s="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9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72"/>
      <c r="B27" s="73"/>
      <c r="C27" s="3" t="s">
        <v>1</v>
      </c>
      <c r="D27" s="3" t="s">
        <v>2</v>
      </c>
      <c r="E27" s="3" t="s">
        <v>3</v>
      </c>
      <c r="F27" s="3" t="s">
        <v>4</v>
      </c>
      <c r="G27" s="3" t="s">
        <v>5</v>
      </c>
      <c r="H27" s="3" t="s">
        <v>6</v>
      </c>
      <c r="I27" s="3" t="s">
        <v>7</v>
      </c>
      <c r="J27" s="3" t="s">
        <v>8</v>
      </c>
      <c r="K27" s="3" t="s">
        <v>9</v>
      </c>
      <c r="L27" s="3" t="s">
        <v>10</v>
      </c>
      <c r="M27" s="3" t="s">
        <v>11</v>
      </c>
      <c r="N27" s="3" t="s">
        <v>12</v>
      </c>
      <c r="O27" s="3" t="s">
        <v>13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39" customHeight="1" x14ac:dyDescent="0.3">
      <c r="A28" s="6" t="s">
        <v>39</v>
      </c>
      <c r="B28" s="6" t="s">
        <v>40</v>
      </c>
      <c r="C28" s="66">
        <v>9.479166666666667E-3</v>
      </c>
      <c r="D28" s="67">
        <v>0</v>
      </c>
      <c r="E28" s="67">
        <v>0</v>
      </c>
      <c r="F28" s="67">
        <v>0</v>
      </c>
      <c r="G28" s="67">
        <v>0</v>
      </c>
      <c r="H28" s="67">
        <v>0</v>
      </c>
      <c r="I28" s="67">
        <v>0</v>
      </c>
      <c r="J28" s="67">
        <v>0</v>
      </c>
      <c r="K28" s="67">
        <v>0</v>
      </c>
      <c r="L28" s="67">
        <v>0</v>
      </c>
      <c r="M28" s="67">
        <v>0</v>
      </c>
      <c r="N28" s="67">
        <v>0</v>
      </c>
      <c r="O28" s="66">
        <f>AVERAGE(C28:N28)</f>
        <v>7.8993055555555555E-4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5" customHeight="1" x14ac:dyDescent="0.3">
      <c r="A29" s="16" t="s">
        <v>28</v>
      </c>
      <c r="B29" s="16"/>
      <c r="C29" s="68">
        <v>6.9444444444444441E-3</v>
      </c>
      <c r="D29" s="68">
        <v>6.9444444444444441E-3</v>
      </c>
      <c r="E29" s="68">
        <v>6.9444444444444441E-3</v>
      </c>
      <c r="F29" s="68">
        <v>6.9444444444444441E-3</v>
      </c>
      <c r="G29" s="68">
        <v>6.9444444444444441E-3</v>
      </c>
      <c r="H29" s="68">
        <v>6.9444444444444441E-3</v>
      </c>
      <c r="I29" s="68">
        <v>6.9444444444444441E-3</v>
      </c>
      <c r="J29" s="68">
        <v>6.9444444444444441E-3</v>
      </c>
      <c r="K29" s="68">
        <v>6.9444444444444397E-3</v>
      </c>
      <c r="L29" s="68">
        <v>6.9444444444444397E-3</v>
      </c>
      <c r="M29" s="68">
        <v>6.9444444444444441E-3</v>
      </c>
      <c r="N29" s="68">
        <v>6.9444444444444441E-3</v>
      </c>
      <c r="O29" s="69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0.5" customHeight="1" x14ac:dyDescent="0.3">
      <c r="A30" s="7"/>
      <c r="B30" s="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9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72"/>
      <c r="B31" s="73"/>
      <c r="C31" s="3" t="s">
        <v>1</v>
      </c>
      <c r="D31" s="3" t="s">
        <v>2</v>
      </c>
      <c r="E31" s="3" t="s">
        <v>3</v>
      </c>
      <c r="F31" s="3" t="s">
        <v>4</v>
      </c>
      <c r="G31" s="3" t="s">
        <v>5</v>
      </c>
      <c r="H31" s="3" t="s">
        <v>6</v>
      </c>
      <c r="I31" s="3" t="s">
        <v>7</v>
      </c>
      <c r="J31" s="3" t="s">
        <v>8</v>
      </c>
      <c r="K31" s="3" t="s">
        <v>9</v>
      </c>
      <c r="L31" s="3" t="s">
        <v>10</v>
      </c>
      <c r="M31" s="3" t="s">
        <v>11</v>
      </c>
      <c r="N31" s="3" t="s">
        <v>12</v>
      </c>
      <c r="O31" s="3" t="s">
        <v>13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7.25" customHeight="1" x14ac:dyDescent="0.3">
      <c r="A32" s="6" t="s">
        <v>41</v>
      </c>
      <c r="B32" s="6" t="s">
        <v>40</v>
      </c>
      <c r="C32" s="66">
        <v>2.7789351851851853E-2</v>
      </c>
      <c r="D32" s="67">
        <v>0</v>
      </c>
      <c r="E32" s="67">
        <v>0</v>
      </c>
      <c r="F32" s="67">
        <v>0</v>
      </c>
      <c r="G32" s="67">
        <v>0</v>
      </c>
      <c r="H32" s="67">
        <v>0</v>
      </c>
      <c r="I32" s="67">
        <v>0</v>
      </c>
      <c r="J32" s="67">
        <v>0</v>
      </c>
      <c r="K32" s="67">
        <v>0</v>
      </c>
      <c r="L32" s="67">
        <v>0</v>
      </c>
      <c r="M32" s="67">
        <v>0</v>
      </c>
      <c r="N32" s="67">
        <v>0</v>
      </c>
      <c r="O32" s="66">
        <f>AVERAGE(C32:N32)</f>
        <v>2.3157793209876544E-3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0.5" customHeight="1" x14ac:dyDescent="0.3">
      <c r="A33" s="7"/>
      <c r="B33" s="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9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72"/>
      <c r="B34" s="73"/>
      <c r="C34" s="3" t="s">
        <v>1</v>
      </c>
      <c r="D34" s="3" t="s">
        <v>2</v>
      </c>
      <c r="E34" s="3" t="s">
        <v>3</v>
      </c>
      <c r="F34" s="3" t="s">
        <v>4</v>
      </c>
      <c r="G34" s="3" t="s">
        <v>5</v>
      </c>
      <c r="H34" s="3" t="s">
        <v>6</v>
      </c>
      <c r="I34" s="3" t="s">
        <v>7</v>
      </c>
      <c r="J34" s="3" t="s">
        <v>8</v>
      </c>
      <c r="K34" s="3" t="s">
        <v>9</v>
      </c>
      <c r="L34" s="3" t="s">
        <v>10</v>
      </c>
      <c r="M34" s="3" t="s">
        <v>11</v>
      </c>
      <c r="N34" s="3" t="s">
        <v>12</v>
      </c>
      <c r="O34" s="3" t="s">
        <v>13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30" customHeight="1" x14ac:dyDescent="0.3">
      <c r="A35" s="6" t="s">
        <v>42</v>
      </c>
      <c r="B35" s="6" t="s">
        <v>43</v>
      </c>
      <c r="C35" s="66">
        <v>0.33327546296296295</v>
      </c>
      <c r="D35" s="67">
        <v>0</v>
      </c>
      <c r="E35" s="67">
        <v>0</v>
      </c>
      <c r="F35" s="67">
        <v>0</v>
      </c>
      <c r="G35" s="67">
        <v>0</v>
      </c>
      <c r="H35" s="67">
        <v>0</v>
      </c>
      <c r="I35" s="67">
        <v>0</v>
      </c>
      <c r="J35" s="67">
        <v>0</v>
      </c>
      <c r="K35" s="67">
        <v>0</v>
      </c>
      <c r="L35" s="67">
        <v>0</v>
      </c>
      <c r="M35" s="67">
        <v>0</v>
      </c>
      <c r="N35" s="67">
        <v>0</v>
      </c>
      <c r="O35" s="66">
        <f>AVERAGE(C35:N35)</f>
        <v>2.7772955246913578E-2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7"/>
      <c r="B36" s="7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72"/>
      <c r="B37" s="73"/>
      <c r="C37" s="3" t="s">
        <v>1</v>
      </c>
      <c r="D37" s="3" t="s">
        <v>2</v>
      </c>
      <c r="E37" s="3" t="s">
        <v>3</v>
      </c>
      <c r="F37" s="3" t="s">
        <v>4</v>
      </c>
      <c r="G37" s="3" t="s">
        <v>5</v>
      </c>
      <c r="H37" s="3" t="s">
        <v>6</v>
      </c>
      <c r="I37" s="3" t="s">
        <v>7</v>
      </c>
      <c r="J37" s="3" t="s">
        <v>8</v>
      </c>
      <c r="K37" s="3" t="s">
        <v>9</v>
      </c>
      <c r="L37" s="3" t="s">
        <v>10</v>
      </c>
      <c r="M37" s="3" t="s">
        <v>11</v>
      </c>
      <c r="N37" s="3" t="s">
        <v>12</v>
      </c>
      <c r="O37" s="3" t="s">
        <v>13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30" customHeight="1" x14ac:dyDescent="0.3">
      <c r="A38" s="6" t="s">
        <v>44</v>
      </c>
      <c r="B38" s="6" t="s">
        <v>45</v>
      </c>
      <c r="C38" s="66">
        <v>0.43723379629629627</v>
      </c>
      <c r="D38" s="67">
        <v>0</v>
      </c>
      <c r="E38" s="67">
        <v>0</v>
      </c>
      <c r="F38" s="67">
        <v>0</v>
      </c>
      <c r="G38" s="67">
        <v>0</v>
      </c>
      <c r="H38" s="67">
        <v>0</v>
      </c>
      <c r="I38" s="67">
        <v>0</v>
      </c>
      <c r="J38" s="67">
        <v>0</v>
      </c>
      <c r="K38" s="67">
        <v>0</v>
      </c>
      <c r="L38" s="67">
        <v>0</v>
      </c>
      <c r="M38" s="67">
        <v>0</v>
      </c>
      <c r="N38" s="67">
        <v>0</v>
      </c>
      <c r="O38" s="66">
        <f>AVERAGE(C38:N38)</f>
        <v>3.643614969135802E-2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0.5" customHeight="1" x14ac:dyDescent="0.3">
      <c r="A39" s="7"/>
      <c r="B39" s="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9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72"/>
      <c r="B40" s="73"/>
      <c r="C40" s="3" t="s">
        <v>1</v>
      </c>
      <c r="D40" s="3" t="s">
        <v>2</v>
      </c>
      <c r="E40" s="3" t="s">
        <v>3</v>
      </c>
      <c r="F40" s="3" t="s">
        <v>4</v>
      </c>
      <c r="G40" s="3" t="s">
        <v>5</v>
      </c>
      <c r="H40" s="3" t="s">
        <v>6</v>
      </c>
      <c r="I40" s="3" t="s">
        <v>7</v>
      </c>
      <c r="J40" s="3" t="s">
        <v>8</v>
      </c>
      <c r="K40" s="3" t="s">
        <v>9</v>
      </c>
      <c r="L40" s="3" t="s">
        <v>10</v>
      </c>
      <c r="M40" s="3" t="s">
        <v>11</v>
      </c>
      <c r="N40" s="3" t="s">
        <v>12</v>
      </c>
      <c r="O40" s="3" t="s">
        <v>13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4" t="s">
        <v>46</v>
      </c>
      <c r="B41" s="6" t="s">
        <v>47</v>
      </c>
      <c r="C41" s="25">
        <v>24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5">
        <f>SUM(C41:N41)</f>
        <v>24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0.5" customHeight="1" x14ac:dyDescent="0.3">
      <c r="A42" s="7"/>
      <c r="B42" s="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9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72"/>
      <c r="B43" s="73"/>
      <c r="C43" s="3" t="s">
        <v>1</v>
      </c>
      <c r="D43" s="3" t="s">
        <v>2</v>
      </c>
      <c r="E43" s="3" t="s">
        <v>3</v>
      </c>
      <c r="F43" s="3" t="s">
        <v>4</v>
      </c>
      <c r="G43" s="3" t="s">
        <v>5</v>
      </c>
      <c r="H43" s="3" t="s">
        <v>6</v>
      </c>
      <c r="I43" s="3" t="s">
        <v>7</v>
      </c>
      <c r="J43" s="3" t="s">
        <v>8</v>
      </c>
      <c r="K43" s="3" t="s">
        <v>9</v>
      </c>
      <c r="L43" s="3" t="s">
        <v>10</v>
      </c>
      <c r="M43" s="3" t="s">
        <v>11</v>
      </c>
      <c r="N43" s="3" t="s">
        <v>12</v>
      </c>
      <c r="O43" s="3" t="s">
        <v>13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77" t="s">
        <v>48</v>
      </c>
      <c r="B44" s="6" t="s">
        <v>49</v>
      </c>
      <c r="C44" s="4">
        <v>1975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5">
        <f t="shared" ref="O44:O47" si="12">SUM(C44:N44)</f>
        <v>1975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78"/>
      <c r="B45" s="6" t="s">
        <v>50</v>
      </c>
      <c r="C45" s="4">
        <v>1718</v>
      </c>
      <c r="D45" s="4">
        <v>0</v>
      </c>
      <c r="E45" s="4">
        <v>0</v>
      </c>
      <c r="F45" s="4">
        <v>0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5">
        <f t="shared" si="12"/>
        <v>1718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78"/>
      <c r="B46" s="6" t="s">
        <v>51</v>
      </c>
      <c r="C46" s="4">
        <v>47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5">
        <f t="shared" si="12"/>
        <v>47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79"/>
      <c r="B47" s="6" t="s">
        <v>13</v>
      </c>
      <c r="C47" s="5">
        <f t="shared" ref="C47:N47" si="13">SUM(C44:C46)</f>
        <v>3740</v>
      </c>
      <c r="D47" s="5">
        <f t="shared" si="13"/>
        <v>0</v>
      </c>
      <c r="E47" s="5">
        <f t="shared" si="13"/>
        <v>0</v>
      </c>
      <c r="F47" s="5">
        <f t="shared" si="13"/>
        <v>0</v>
      </c>
      <c r="G47" s="5">
        <f t="shared" si="13"/>
        <v>0</v>
      </c>
      <c r="H47" s="5">
        <f t="shared" si="13"/>
        <v>0</v>
      </c>
      <c r="I47" s="5">
        <f t="shared" si="13"/>
        <v>0</v>
      </c>
      <c r="J47" s="5">
        <f t="shared" si="13"/>
        <v>0</v>
      </c>
      <c r="K47" s="5">
        <f t="shared" si="13"/>
        <v>0</v>
      </c>
      <c r="L47" s="5">
        <f t="shared" si="13"/>
        <v>0</v>
      </c>
      <c r="M47" s="5">
        <f t="shared" si="13"/>
        <v>0</v>
      </c>
      <c r="N47" s="5">
        <f t="shared" si="13"/>
        <v>0</v>
      </c>
      <c r="O47" s="5">
        <f t="shared" si="12"/>
        <v>3740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0.5" customHeight="1" x14ac:dyDescent="0.3">
      <c r="A48" s="26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72"/>
      <c r="B49" s="73"/>
      <c r="C49" s="3" t="s">
        <v>1</v>
      </c>
      <c r="D49" s="3" t="s">
        <v>2</v>
      </c>
      <c r="E49" s="3" t="s">
        <v>3</v>
      </c>
      <c r="F49" s="3" t="s">
        <v>4</v>
      </c>
      <c r="G49" s="3" t="s">
        <v>5</v>
      </c>
      <c r="H49" s="3" t="s">
        <v>6</v>
      </c>
      <c r="I49" s="3" t="s">
        <v>7</v>
      </c>
      <c r="J49" s="3" t="s">
        <v>8</v>
      </c>
      <c r="K49" s="3" t="s">
        <v>9</v>
      </c>
      <c r="L49" s="3" t="s">
        <v>10</v>
      </c>
      <c r="M49" s="3" t="s">
        <v>11</v>
      </c>
      <c r="N49" s="3" t="s">
        <v>12</v>
      </c>
      <c r="O49" s="3" t="s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77" t="s">
        <v>52</v>
      </c>
      <c r="B50" s="28" t="s">
        <v>53</v>
      </c>
      <c r="C50" s="25">
        <v>183</v>
      </c>
      <c r="D50" s="4">
        <v>0</v>
      </c>
      <c r="E50" s="4">
        <v>0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29">
        <f t="shared" ref="O50:O59" si="14">SUM(C50:N50)</f>
        <v>183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78"/>
      <c r="B51" s="28" t="s">
        <v>54</v>
      </c>
      <c r="C51" s="25">
        <v>914</v>
      </c>
      <c r="D51" s="4">
        <v>0</v>
      </c>
      <c r="E51" s="4">
        <v>0</v>
      </c>
      <c r="F51" s="4">
        <v>0</v>
      </c>
      <c r="G51" s="4">
        <v>0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29">
        <f t="shared" si="14"/>
        <v>914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78"/>
      <c r="B52" s="28" t="s">
        <v>55</v>
      </c>
      <c r="C52" s="25">
        <v>847</v>
      </c>
      <c r="D52" s="4">
        <v>0</v>
      </c>
      <c r="E52" s="4">
        <v>0</v>
      </c>
      <c r="F52" s="4">
        <v>0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29">
        <f t="shared" si="14"/>
        <v>847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78"/>
      <c r="B53" s="28" t="s">
        <v>56</v>
      </c>
      <c r="C53" s="25">
        <v>706</v>
      </c>
      <c r="D53" s="4">
        <v>0</v>
      </c>
      <c r="E53" s="4">
        <v>0</v>
      </c>
      <c r="F53" s="4">
        <v>0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29">
        <f t="shared" si="14"/>
        <v>706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78"/>
      <c r="B54" s="28" t="s">
        <v>57</v>
      </c>
      <c r="C54" s="25">
        <v>976</v>
      </c>
      <c r="D54" s="4">
        <v>0</v>
      </c>
      <c r="E54" s="4">
        <v>0</v>
      </c>
      <c r="F54" s="4">
        <v>0</v>
      </c>
      <c r="G54" s="4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29">
        <f t="shared" si="14"/>
        <v>976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78"/>
      <c r="B55" s="28" t="s">
        <v>58</v>
      </c>
      <c r="C55" s="25">
        <v>4754</v>
      </c>
      <c r="D55" s="4">
        <v>0</v>
      </c>
      <c r="E55" s="4">
        <v>0</v>
      </c>
      <c r="F55" s="4">
        <v>0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29">
        <f t="shared" si="14"/>
        <v>4754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78"/>
      <c r="B56" s="28" t="s">
        <v>59</v>
      </c>
      <c r="C56" s="25">
        <v>1523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29">
        <f t="shared" si="14"/>
        <v>1523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78"/>
      <c r="B57" s="28" t="s">
        <v>60</v>
      </c>
      <c r="C57" s="25">
        <v>1060</v>
      </c>
      <c r="D57" s="4">
        <v>0</v>
      </c>
      <c r="E57" s="4">
        <v>0</v>
      </c>
      <c r="F57" s="4">
        <v>0</v>
      </c>
      <c r="G57" s="4">
        <v>0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29">
        <f t="shared" si="14"/>
        <v>1060</v>
      </c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78"/>
      <c r="B58" s="28" t="s">
        <v>61</v>
      </c>
      <c r="C58" s="25">
        <v>1339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29">
        <f t="shared" si="14"/>
        <v>1339</v>
      </c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79"/>
      <c r="B59" s="28" t="s">
        <v>13</v>
      </c>
      <c r="C59" s="25">
        <f t="shared" ref="C59:N59" si="15">SUM(C50:C58)</f>
        <v>12302</v>
      </c>
      <c r="D59" s="25">
        <f t="shared" si="15"/>
        <v>0</v>
      </c>
      <c r="E59" s="25">
        <f t="shared" si="15"/>
        <v>0</v>
      </c>
      <c r="F59" s="25">
        <f t="shared" si="15"/>
        <v>0</v>
      </c>
      <c r="G59" s="25">
        <f t="shared" si="15"/>
        <v>0</v>
      </c>
      <c r="H59" s="25">
        <f t="shared" si="15"/>
        <v>0</v>
      </c>
      <c r="I59" s="25">
        <f t="shared" si="15"/>
        <v>0</v>
      </c>
      <c r="J59" s="25">
        <f t="shared" si="15"/>
        <v>0</v>
      </c>
      <c r="K59" s="25">
        <f t="shared" si="15"/>
        <v>0</v>
      </c>
      <c r="L59" s="25">
        <f t="shared" si="15"/>
        <v>0</v>
      </c>
      <c r="M59" s="25">
        <f t="shared" si="15"/>
        <v>0</v>
      </c>
      <c r="N59" s="25">
        <f t="shared" si="15"/>
        <v>0</v>
      </c>
      <c r="O59" s="29">
        <f t="shared" si="14"/>
        <v>12302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1.25" customHeight="1" x14ac:dyDescent="0.3">
      <c r="A60" s="26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72"/>
      <c r="B61" s="73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3" t="s">
        <v>7</v>
      </c>
      <c r="J61" s="3" t="s">
        <v>8</v>
      </c>
      <c r="K61" s="3" t="s">
        <v>9</v>
      </c>
      <c r="L61" s="3" t="s">
        <v>10</v>
      </c>
      <c r="M61" s="3" t="s">
        <v>11</v>
      </c>
      <c r="N61" s="3" t="s">
        <v>12</v>
      </c>
      <c r="O61" s="3" t="s">
        <v>13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77" t="s">
        <v>62</v>
      </c>
      <c r="B62" s="28" t="s">
        <v>63</v>
      </c>
      <c r="C62" s="4">
        <v>12097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5">
        <f t="shared" ref="O62:O64" si="16">SUM(C62:N62)</f>
        <v>12097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78"/>
      <c r="B63" s="28" t="s">
        <v>64</v>
      </c>
      <c r="C63" s="4">
        <v>205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5">
        <f t="shared" si="16"/>
        <v>205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79"/>
      <c r="B64" s="28" t="s">
        <v>13</v>
      </c>
      <c r="C64" s="5">
        <f t="shared" ref="C64:N64" si="17">SUM(C62:C63)</f>
        <v>12302</v>
      </c>
      <c r="D64" s="5">
        <f t="shared" si="17"/>
        <v>0</v>
      </c>
      <c r="E64" s="5">
        <f t="shared" si="17"/>
        <v>0</v>
      </c>
      <c r="F64" s="5">
        <f t="shared" si="17"/>
        <v>0</v>
      </c>
      <c r="G64" s="5">
        <f t="shared" si="17"/>
        <v>0</v>
      </c>
      <c r="H64" s="5">
        <f t="shared" si="17"/>
        <v>0</v>
      </c>
      <c r="I64" s="5">
        <f t="shared" si="17"/>
        <v>0</v>
      </c>
      <c r="J64" s="5">
        <f t="shared" si="17"/>
        <v>0</v>
      </c>
      <c r="K64" s="5">
        <f t="shared" si="17"/>
        <v>0</v>
      </c>
      <c r="L64" s="5">
        <f t="shared" si="17"/>
        <v>0</v>
      </c>
      <c r="M64" s="5">
        <f t="shared" si="17"/>
        <v>0</v>
      </c>
      <c r="N64" s="5">
        <f t="shared" si="17"/>
        <v>0</v>
      </c>
      <c r="O64" s="5">
        <f t="shared" si="16"/>
        <v>12302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0.5" customHeight="1" x14ac:dyDescent="0.3">
      <c r="A65" s="26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72"/>
      <c r="B66" s="73"/>
      <c r="C66" s="3" t="s">
        <v>1</v>
      </c>
      <c r="D66" s="3" t="s">
        <v>2</v>
      </c>
      <c r="E66" s="3" t="s">
        <v>3</v>
      </c>
      <c r="F66" s="3" t="s">
        <v>4</v>
      </c>
      <c r="G66" s="3" t="s">
        <v>5</v>
      </c>
      <c r="H66" s="3" t="s">
        <v>6</v>
      </c>
      <c r="I66" s="3" t="s">
        <v>7</v>
      </c>
      <c r="J66" s="3" t="s">
        <v>8</v>
      </c>
      <c r="K66" s="3" t="s">
        <v>9</v>
      </c>
      <c r="L66" s="3" t="s">
        <v>10</v>
      </c>
      <c r="M66" s="3" t="s">
        <v>11</v>
      </c>
      <c r="N66" s="3" t="s">
        <v>12</v>
      </c>
      <c r="O66" s="3" t="s">
        <v>13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6" t="s">
        <v>65</v>
      </c>
      <c r="B67" s="28" t="s">
        <v>13</v>
      </c>
      <c r="C67" s="29">
        <v>10</v>
      </c>
      <c r="D67" s="4">
        <v>0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5">
        <f>SUM(C67:N67)</f>
        <v>10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0.5" customHeight="1" x14ac:dyDescent="0.3">
      <c r="A68" s="30"/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</sheetData>
  <mergeCells count="21">
    <mergeCell ref="A1:O1"/>
    <mergeCell ref="A3:B3"/>
    <mergeCell ref="A4:B4"/>
    <mergeCell ref="A7:B7"/>
    <mergeCell ref="A8:B8"/>
    <mergeCell ref="A9:B9"/>
    <mergeCell ref="A11:B11"/>
    <mergeCell ref="A43:B43"/>
    <mergeCell ref="A44:A47"/>
    <mergeCell ref="A49:B49"/>
    <mergeCell ref="A50:A59"/>
    <mergeCell ref="A61:B61"/>
    <mergeCell ref="A62:A64"/>
    <mergeCell ref="A66:B66"/>
    <mergeCell ref="A12:A18"/>
    <mergeCell ref="A20:A25"/>
    <mergeCell ref="A27:B27"/>
    <mergeCell ref="A31:B31"/>
    <mergeCell ref="A34:B34"/>
    <mergeCell ref="A37:B37"/>
    <mergeCell ref="A40:B40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32"/>
  <sheetViews>
    <sheetView showGridLines="0" workbookViewId="0">
      <selection activeCell="C28" sqref="C28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16" width="9.21875" customWidth="1"/>
    <col min="17" max="26" width="8.88671875" customWidth="1"/>
  </cols>
  <sheetData>
    <row r="1" spans="1:26" ht="61.5" customHeight="1" x14ac:dyDescent="0.3">
      <c r="A1" s="74"/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">
      <c r="A2" s="2" t="s">
        <v>66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3">
      <c r="A3" s="72" t="s">
        <v>67</v>
      </c>
      <c r="B3" s="73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3">
      <c r="A4" s="76" t="s">
        <v>25</v>
      </c>
      <c r="B4" s="73"/>
      <c r="C4" s="4">
        <v>10782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5">
        <f>SUM(C4:N4)</f>
        <v>10782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3">
      <c r="A5" s="6" t="s">
        <v>26</v>
      </c>
      <c r="B5" s="6"/>
      <c r="C5" s="4">
        <f>C4/31</f>
        <v>347.80645161290323</v>
      </c>
      <c r="D5" s="4">
        <f>D4/30</f>
        <v>0</v>
      </c>
      <c r="E5" s="4">
        <f>E4/31</f>
        <v>0</v>
      </c>
      <c r="F5" s="4">
        <f>F4/30</f>
        <v>0</v>
      </c>
      <c r="G5" s="4">
        <f t="shared" ref="G5:H5" si="0">G4/31</f>
        <v>0</v>
      </c>
      <c r="H5" s="4">
        <f t="shared" si="0"/>
        <v>0</v>
      </c>
      <c r="I5" s="4">
        <f>I4/30</f>
        <v>0</v>
      </c>
      <c r="J5" s="4">
        <f>J4/31</f>
        <v>0</v>
      </c>
      <c r="K5" s="4">
        <f>K4/30</f>
        <v>0</v>
      </c>
      <c r="L5" s="4">
        <f t="shared" ref="L5:M5" si="1">L4/31</f>
        <v>0</v>
      </c>
      <c r="M5" s="4">
        <f t="shared" si="1"/>
        <v>0</v>
      </c>
      <c r="N5" s="4">
        <f>N4/28</f>
        <v>0</v>
      </c>
      <c r="O5" s="5">
        <f>AVERAGE(C5:N5)</f>
        <v>28.983870967741936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3">
      <c r="A7" s="72"/>
      <c r="B7" s="73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3">
      <c r="A8" s="76" t="s">
        <v>27</v>
      </c>
      <c r="B8" s="73"/>
      <c r="C8" s="4">
        <v>9582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5">
        <f t="shared" ref="O8:O9" si="2">SUM(C8:N8)</f>
        <v>9582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3">
      <c r="A9" s="83" t="s">
        <v>28</v>
      </c>
      <c r="B9" s="73"/>
      <c r="C9" s="10">
        <v>8000</v>
      </c>
      <c r="D9" s="10">
        <v>8000</v>
      </c>
      <c r="E9" s="10">
        <v>8000</v>
      </c>
      <c r="F9" s="10">
        <v>8000</v>
      </c>
      <c r="G9" s="10">
        <v>8000</v>
      </c>
      <c r="H9" s="10">
        <v>8000</v>
      </c>
      <c r="I9" s="10">
        <v>8000</v>
      </c>
      <c r="J9" s="10">
        <v>8000</v>
      </c>
      <c r="K9" s="10">
        <v>8000</v>
      </c>
      <c r="L9" s="10">
        <v>8000</v>
      </c>
      <c r="M9" s="10">
        <v>8000</v>
      </c>
      <c r="N9" s="10">
        <v>8000</v>
      </c>
      <c r="O9" s="11">
        <f t="shared" si="2"/>
        <v>96000</v>
      </c>
      <c r="P9" s="12"/>
      <c r="Q9" s="10"/>
      <c r="R9" s="12"/>
      <c r="S9" s="12"/>
      <c r="T9" s="12"/>
      <c r="U9" s="12"/>
      <c r="V9" s="12"/>
      <c r="W9" s="12"/>
      <c r="X9" s="12"/>
      <c r="Y9" s="12"/>
      <c r="Z9" s="12"/>
    </row>
    <row r="10" spans="1:26" ht="10.5" customHeight="1" x14ac:dyDescent="0.3">
      <c r="A10" s="7"/>
      <c r="B10" s="7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3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3">
      <c r="A11" s="72"/>
      <c r="B11" s="73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3">
      <c r="A12" s="77" t="s">
        <v>29</v>
      </c>
      <c r="B12" s="14" t="s">
        <v>30</v>
      </c>
      <c r="C12" s="4">
        <v>404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5">
        <f t="shared" ref="O12:O18" si="3">SUM(C12:N12)</f>
        <v>404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3">
      <c r="A13" s="78"/>
      <c r="B13" s="15" t="s">
        <v>31</v>
      </c>
      <c r="C13" s="4">
        <v>8050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5">
        <f t="shared" si="3"/>
        <v>8050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3">
      <c r="A14" s="78"/>
      <c r="B14" s="16" t="s">
        <v>32</v>
      </c>
      <c r="C14" s="4">
        <v>1792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5">
        <f t="shared" si="3"/>
        <v>1792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3">
      <c r="A15" s="78"/>
      <c r="B15" s="17" t="s">
        <v>33</v>
      </c>
      <c r="C15" s="4">
        <v>245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5">
        <f t="shared" si="3"/>
        <v>245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3">
      <c r="A16" s="78"/>
      <c r="B16" s="18" t="s">
        <v>34</v>
      </c>
      <c r="C16" s="4">
        <v>60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5">
        <f t="shared" si="3"/>
        <v>60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3">
      <c r="A17" s="78"/>
      <c r="B17" s="19" t="s">
        <v>35</v>
      </c>
      <c r="C17" s="4">
        <v>231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5">
        <f t="shared" si="3"/>
        <v>231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3">
      <c r="A18" s="79"/>
      <c r="B18" s="20" t="s">
        <v>36</v>
      </c>
      <c r="C18" s="5">
        <f t="shared" ref="C18:N18" si="4">SUM(C12:C17)</f>
        <v>10782</v>
      </c>
      <c r="D18" s="5">
        <f t="shared" si="4"/>
        <v>0</v>
      </c>
      <c r="E18" s="5">
        <f t="shared" si="4"/>
        <v>0</v>
      </c>
      <c r="F18" s="5">
        <f t="shared" si="4"/>
        <v>0</v>
      </c>
      <c r="G18" s="5">
        <f t="shared" si="4"/>
        <v>0</v>
      </c>
      <c r="H18" s="5">
        <f t="shared" si="4"/>
        <v>0</v>
      </c>
      <c r="I18" s="5">
        <f t="shared" si="4"/>
        <v>0</v>
      </c>
      <c r="J18" s="5">
        <f t="shared" si="4"/>
        <v>0</v>
      </c>
      <c r="K18" s="5">
        <f t="shared" si="4"/>
        <v>0</v>
      </c>
      <c r="L18" s="5">
        <f t="shared" si="4"/>
        <v>0</v>
      </c>
      <c r="M18" s="5">
        <f t="shared" si="4"/>
        <v>0</v>
      </c>
      <c r="N18" s="5">
        <f t="shared" si="4"/>
        <v>0</v>
      </c>
      <c r="O18" s="5">
        <f t="shared" si="3"/>
        <v>10782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3">
      <c r="A19" s="32"/>
      <c r="B19" s="32"/>
      <c r="C19" s="3" t="s">
        <v>1</v>
      </c>
      <c r="D19" s="3" t="s">
        <v>2</v>
      </c>
      <c r="E19" s="3" t="s">
        <v>3</v>
      </c>
      <c r="F19" s="3" t="s">
        <v>4</v>
      </c>
      <c r="G19" s="3" t="s">
        <v>5</v>
      </c>
      <c r="H19" s="3" t="s">
        <v>6</v>
      </c>
      <c r="I19" s="3" t="s">
        <v>7</v>
      </c>
      <c r="J19" s="3" t="s">
        <v>8</v>
      </c>
      <c r="K19" s="3" t="s">
        <v>9</v>
      </c>
      <c r="L19" s="3" t="s">
        <v>10</v>
      </c>
      <c r="M19" s="3" t="s">
        <v>11</v>
      </c>
      <c r="N19" s="3" t="s">
        <v>12</v>
      </c>
      <c r="O19" s="3" t="s">
        <v>13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77" t="s">
        <v>37</v>
      </c>
      <c r="B20" s="6" t="s">
        <v>30</v>
      </c>
      <c r="C20" s="21">
        <f t="shared" ref="C20:N20" si="5">C12/C18</f>
        <v>3.7469857169356337E-2</v>
      </c>
      <c r="D20" s="21" t="e">
        <f t="shared" si="5"/>
        <v>#DIV/0!</v>
      </c>
      <c r="E20" s="21" t="e">
        <f t="shared" si="5"/>
        <v>#DIV/0!</v>
      </c>
      <c r="F20" s="21" t="e">
        <f t="shared" si="5"/>
        <v>#DIV/0!</v>
      </c>
      <c r="G20" s="21" t="e">
        <f t="shared" si="5"/>
        <v>#DIV/0!</v>
      </c>
      <c r="H20" s="21" t="e">
        <f t="shared" si="5"/>
        <v>#DIV/0!</v>
      </c>
      <c r="I20" s="21" t="e">
        <f t="shared" si="5"/>
        <v>#DIV/0!</v>
      </c>
      <c r="J20" s="21" t="e">
        <f t="shared" si="5"/>
        <v>#DIV/0!</v>
      </c>
      <c r="K20" s="21" t="e">
        <f t="shared" si="5"/>
        <v>#DIV/0!</v>
      </c>
      <c r="L20" s="21" t="e">
        <f t="shared" si="5"/>
        <v>#DIV/0!</v>
      </c>
      <c r="M20" s="21" t="e">
        <f t="shared" si="5"/>
        <v>#DIV/0!</v>
      </c>
      <c r="N20" s="21" t="e">
        <f t="shared" si="5"/>
        <v>#DIV/0!</v>
      </c>
      <c r="O20" s="22" t="e">
        <f t="shared" ref="O20:O25" si="6">AVERAGE(C20:N20)</f>
        <v>#DIV/0!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78"/>
      <c r="B21" s="6" t="s">
        <v>31</v>
      </c>
      <c r="C21" s="21">
        <f t="shared" ref="C21:N21" si="7">C13/C18</f>
        <v>0.74661472825078834</v>
      </c>
      <c r="D21" s="21" t="e">
        <f t="shared" si="7"/>
        <v>#DIV/0!</v>
      </c>
      <c r="E21" s="21" t="e">
        <f t="shared" si="7"/>
        <v>#DIV/0!</v>
      </c>
      <c r="F21" s="21" t="e">
        <f t="shared" si="7"/>
        <v>#DIV/0!</v>
      </c>
      <c r="G21" s="21" t="e">
        <f t="shared" si="7"/>
        <v>#DIV/0!</v>
      </c>
      <c r="H21" s="21" t="e">
        <f t="shared" si="7"/>
        <v>#DIV/0!</v>
      </c>
      <c r="I21" s="21" t="e">
        <f t="shared" si="7"/>
        <v>#DIV/0!</v>
      </c>
      <c r="J21" s="21" t="e">
        <f t="shared" si="7"/>
        <v>#DIV/0!</v>
      </c>
      <c r="K21" s="21" t="e">
        <f t="shared" si="7"/>
        <v>#DIV/0!</v>
      </c>
      <c r="L21" s="21" t="e">
        <f t="shared" si="7"/>
        <v>#DIV/0!</v>
      </c>
      <c r="M21" s="21" t="e">
        <f t="shared" si="7"/>
        <v>#DIV/0!</v>
      </c>
      <c r="N21" s="21" t="e">
        <f t="shared" si="7"/>
        <v>#DIV/0!</v>
      </c>
      <c r="O21" s="22" t="e">
        <f t="shared" si="6"/>
        <v>#DIV/0!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78"/>
      <c r="B22" s="6" t="s">
        <v>32</v>
      </c>
      <c r="C22" s="21">
        <f t="shared" ref="C22:N22" si="8">C14/C18</f>
        <v>0.16620293081061027</v>
      </c>
      <c r="D22" s="21" t="e">
        <f t="shared" si="8"/>
        <v>#DIV/0!</v>
      </c>
      <c r="E22" s="21" t="e">
        <f t="shared" si="8"/>
        <v>#DIV/0!</v>
      </c>
      <c r="F22" s="21" t="e">
        <f t="shared" si="8"/>
        <v>#DIV/0!</v>
      </c>
      <c r="G22" s="21" t="e">
        <f t="shared" si="8"/>
        <v>#DIV/0!</v>
      </c>
      <c r="H22" s="21" t="e">
        <f t="shared" si="8"/>
        <v>#DIV/0!</v>
      </c>
      <c r="I22" s="21" t="e">
        <f t="shared" si="8"/>
        <v>#DIV/0!</v>
      </c>
      <c r="J22" s="21" t="e">
        <f t="shared" si="8"/>
        <v>#DIV/0!</v>
      </c>
      <c r="K22" s="21" t="e">
        <f t="shared" si="8"/>
        <v>#DIV/0!</v>
      </c>
      <c r="L22" s="21" t="e">
        <f t="shared" si="8"/>
        <v>#DIV/0!</v>
      </c>
      <c r="M22" s="21" t="e">
        <f t="shared" si="8"/>
        <v>#DIV/0!</v>
      </c>
      <c r="N22" s="21" t="e">
        <f t="shared" si="8"/>
        <v>#DIV/0!</v>
      </c>
      <c r="O22" s="22" t="e">
        <f t="shared" si="6"/>
        <v>#DIV/0!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78"/>
      <c r="B23" s="6" t="s">
        <v>33</v>
      </c>
      <c r="C23" s="21">
        <f t="shared" ref="C23:N23" si="9">C15/C18</f>
        <v>2.2723056946763125E-2</v>
      </c>
      <c r="D23" s="21" t="e">
        <f t="shared" si="9"/>
        <v>#DIV/0!</v>
      </c>
      <c r="E23" s="21" t="e">
        <f t="shared" si="9"/>
        <v>#DIV/0!</v>
      </c>
      <c r="F23" s="21" t="e">
        <f t="shared" si="9"/>
        <v>#DIV/0!</v>
      </c>
      <c r="G23" s="21" t="e">
        <f t="shared" si="9"/>
        <v>#DIV/0!</v>
      </c>
      <c r="H23" s="21" t="e">
        <f t="shared" si="9"/>
        <v>#DIV/0!</v>
      </c>
      <c r="I23" s="21" t="e">
        <f t="shared" si="9"/>
        <v>#DIV/0!</v>
      </c>
      <c r="J23" s="21" t="e">
        <f t="shared" si="9"/>
        <v>#DIV/0!</v>
      </c>
      <c r="K23" s="21" t="e">
        <f t="shared" si="9"/>
        <v>#DIV/0!</v>
      </c>
      <c r="L23" s="21" t="e">
        <f t="shared" si="9"/>
        <v>#DIV/0!</v>
      </c>
      <c r="M23" s="21" t="e">
        <f t="shared" si="9"/>
        <v>#DIV/0!</v>
      </c>
      <c r="N23" s="21" t="e">
        <f t="shared" si="9"/>
        <v>#DIV/0!</v>
      </c>
      <c r="O23" s="22" t="e">
        <f t="shared" si="6"/>
        <v>#DIV/0!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78"/>
      <c r="B24" s="6" t="s">
        <v>34</v>
      </c>
      <c r="C24" s="21">
        <f t="shared" ref="C24:N24" si="10">C16/C18</f>
        <v>5.5648302726766831E-3</v>
      </c>
      <c r="D24" s="21" t="e">
        <f t="shared" si="10"/>
        <v>#DIV/0!</v>
      </c>
      <c r="E24" s="21" t="e">
        <f t="shared" si="10"/>
        <v>#DIV/0!</v>
      </c>
      <c r="F24" s="21" t="e">
        <f t="shared" si="10"/>
        <v>#DIV/0!</v>
      </c>
      <c r="G24" s="21" t="e">
        <f t="shared" si="10"/>
        <v>#DIV/0!</v>
      </c>
      <c r="H24" s="21" t="e">
        <f t="shared" si="10"/>
        <v>#DIV/0!</v>
      </c>
      <c r="I24" s="21" t="e">
        <f t="shared" si="10"/>
        <v>#DIV/0!</v>
      </c>
      <c r="J24" s="21" t="e">
        <f t="shared" si="10"/>
        <v>#DIV/0!</v>
      </c>
      <c r="K24" s="21" t="e">
        <f t="shared" si="10"/>
        <v>#DIV/0!</v>
      </c>
      <c r="L24" s="21" t="e">
        <f t="shared" si="10"/>
        <v>#DIV/0!</v>
      </c>
      <c r="M24" s="21" t="e">
        <f t="shared" si="10"/>
        <v>#DIV/0!</v>
      </c>
      <c r="N24" s="21" t="e">
        <f t="shared" si="10"/>
        <v>#DIV/0!</v>
      </c>
      <c r="O24" s="22" t="e">
        <f t="shared" si="6"/>
        <v>#DIV/0!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79"/>
      <c r="B25" s="6" t="s">
        <v>38</v>
      </c>
      <c r="C25" s="21">
        <f t="shared" ref="C25:N25" si="11">C17/C18</f>
        <v>2.142459654980523E-2</v>
      </c>
      <c r="D25" s="21" t="e">
        <f t="shared" si="11"/>
        <v>#DIV/0!</v>
      </c>
      <c r="E25" s="21" t="e">
        <f t="shared" si="11"/>
        <v>#DIV/0!</v>
      </c>
      <c r="F25" s="21" t="e">
        <f t="shared" si="11"/>
        <v>#DIV/0!</v>
      </c>
      <c r="G25" s="21" t="e">
        <f t="shared" si="11"/>
        <v>#DIV/0!</v>
      </c>
      <c r="H25" s="21" t="e">
        <f t="shared" si="11"/>
        <v>#DIV/0!</v>
      </c>
      <c r="I25" s="21" t="e">
        <f t="shared" si="11"/>
        <v>#DIV/0!</v>
      </c>
      <c r="J25" s="21" t="e">
        <f t="shared" si="11"/>
        <v>#DIV/0!</v>
      </c>
      <c r="K25" s="21" t="e">
        <f t="shared" si="11"/>
        <v>#DIV/0!</v>
      </c>
      <c r="L25" s="21" t="e">
        <f t="shared" si="11"/>
        <v>#DIV/0!</v>
      </c>
      <c r="M25" s="21" t="e">
        <f t="shared" si="11"/>
        <v>#DIV/0!</v>
      </c>
      <c r="N25" s="21" t="e">
        <f t="shared" si="11"/>
        <v>#DIV/0!</v>
      </c>
      <c r="O25" s="22" t="e">
        <f t="shared" si="6"/>
        <v>#DIV/0!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0.5" customHeight="1" x14ac:dyDescent="0.3">
      <c r="A26" s="7"/>
      <c r="B26" s="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9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72"/>
      <c r="B27" s="73"/>
      <c r="C27" s="3" t="s">
        <v>1</v>
      </c>
      <c r="D27" s="3" t="s">
        <v>2</v>
      </c>
      <c r="E27" s="3" t="s">
        <v>3</v>
      </c>
      <c r="F27" s="3" t="s">
        <v>4</v>
      </c>
      <c r="G27" s="3" t="s">
        <v>5</v>
      </c>
      <c r="H27" s="3" t="s">
        <v>6</v>
      </c>
      <c r="I27" s="3" t="s">
        <v>7</v>
      </c>
      <c r="J27" s="3" t="s">
        <v>8</v>
      </c>
      <c r="K27" s="3" t="s">
        <v>9</v>
      </c>
      <c r="L27" s="3" t="s">
        <v>10</v>
      </c>
      <c r="M27" s="3" t="s">
        <v>11</v>
      </c>
      <c r="N27" s="3" t="s">
        <v>12</v>
      </c>
      <c r="O27" s="3" t="s">
        <v>13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39" customHeight="1" x14ac:dyDescent="0.3">
      <c r="A28" s="6" t="s">
        <v>39</v>
      </c>
      <c r="B28" s="6" t="s">
        <v>40</v>
      </c>
      <c r="C28" s="66">
        <v>7.2569444444444443E-3</v>
      </c>
      <c r="D28" s="67">
        <v>0</v>
      </c>
      <c r="E28" s="67">
        <v>0</v>
      </c>
      <c r="F28" s="67">
        <v>0</v>
      </c>
      <c r="G28" s="67">
        <v>0</v>
      </c>
      <c r="H28" s="67">
        <v>0</v>
      </c>
      <c r="I28" s="67">
        <v>0</v>
      </c>
      <c r="J28" s="67">
        <v>0</v>
      </c>
      <c r="K28" s="67">
        <v>0</v>
      </c>
      <c r="L28" s="67">
        <v>0</v>
      </c>
      <c r="M28" s="67">
        <v>0</v>
      </c>
      <c r="N28" s="67">
        <v>0</v>
      </c>
      <c r="O28" s="66">
        <f>AVERAGE(C28:N28)</f>
        <v>6.047453703703704E-4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5" customHeight="1" x14ac:dyDescent="0.3">
      <c r="A29" s="16" t="s">
        <v>28</v>
      </c>
      <c r="B29" s="16"/>
      <c r="C29" s="68">
        <v>6.9444444444444441E-3</v>
      </c>
      <c r="D29" s="68">
        <v>6.9444444444444441E-3</v>
      </c>
      <c r="E29" s="68">
        <v>6.9444444444444441E-3</v>
      </c>
      <c r="F29" s="68">
        <v>6.9444444444444441E-3</v>
      </c>
      <c r="G29" s="68">
        <v>6.9444444444444441E-3</v>
      </c>
      <c r="H29" s="68">
        <v>6.9444444444444441E-3</v>
      </c>
      <c r="I29" s="68">
        <v>6.9444444444444441E-3</v>
      </c>
      <c r="J29" s="68">
        <v>6.9444444444444441E-3</v>
      </c>
      <c r="K29" s="68">
        <v>6.9444444444444397E-3</v>
      </c>
      <c r="L29" s="68">
        <v>6.9444444444444397E-3</v>
      </c>
      <c r="M29" s="68">
        <v>6.9444444444444441E-3</v>
      </c>
      <c r="N29" s="68">
        <v>6.9444444444444441E-3</v>
      </c>
      <c r="O29" s="69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0.5" customHeight="1" x14ac:dyDescent="0.3">
      <c r="A30" s="7"/>
      <c r="B30" s="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9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72"/>
      <c r="B31" s="73"/>
      <c r="C31" s="3" t="s">
        <v>1</v>
      </c>
      <c r="D31" s="3" t="s">
        <v>2</v>
      </c>
      <c r="E31" s="3" t="s">
        <v>3</v>
      </c>
      <c r="F31" s="3" t="s">
        <v>4</v>
      </c>
      <c r="G31" s="3" t="s">
        <v>5</v>
      </c>
      <c r="H31" s="3" t="s">
        <v>6</v>
      </c>
      <c r="I31" s="3" t="s">
        <v>7</v>
      </c>
      <c r="J31" s="3" t="s">
        <v>8</v>
      </c>
      <c r="K31" s="3" t="s">
        <v>9</v>
      </c>
      <c r="L31" s="3" t="s">
        <v>10</v>
      </c>
      <c r="M31" s="3" t="s">
        <v>11</v>
      </c>
      <c r="N31" s="3" t="s">
        <v>12</v>
      </c>
      <c r="O31" s="3" t="s">
        <v>13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7.25" customHeight="1" x14ac:dyDescent="0.3">
      <c r="A32" s="6" t="s">
        <v>41</v>
      </c>
      <c r="B32" s="6" t="s">
        <v>40</v>
      </c>
      <c r="C32" s="66">
        <v>3.4594907407407408E-2</v>
      </c>
      <c r="D32" s="67">
        <v>0</v>
      </c>
      <c r="E32" s="67">
        <v>0</v>
      </c>
      <c r="F32" s="67">
        <v>0</v>
      </c>
      <c r="G32" s="67">
        <v>0</v>
      </c>
      <c r="H32" s="67">
        <v>0</v>
      </c>
      <c r="I32" s="67">
        <v>0</v>
      </c>
      <c r="J32" s="67">
        <v>0</v>
      </c>
      <c r="K32" s="67">
        <v>0</v>
      </c>
      <c r="L32" s="67">
        <v>0</v>
      </c>
      <c r="M32" s="67">
        <v>0</v>
      </c>
      <c r="N32" s="67">
        <v>0</v>
      </c>
      <c r="O32" s="66">
        <f>AVERAGE(C32:N32)</f>
        <v>2.8829089506172841E-3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0.5" customHeight="1" x14ac:dyDescent="0.3">
      <c r="A33" s="7"/>
      <c r="B33" s="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9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72"/>
      <c r="B34" s="73"/>
      <c r="C34" s="3" t="s">
        <v>1</v>
      </c>
      <c r="D34" s="3" t="s">
        <v>2</v>
      </c>
      <c r="E34" s="3" t="s">
        <v>3</v>
      </c>
      <c r="F34" s="3" t="s">
        <v>4</v>
      </c>
      <c r="G34" s="3" t="s">
        <v>5</v>
      </c>
      <c r="H34" s="3" t="s">
        <v>6</v>
      </c>
      <c r="I34" s="3" t="s">
        <v>7</v>
      </c>
      <c r="J34" s="3" t="s">
        <v>8</v>
      </c>
      <c r="K34" s="3" t="s">
        <v>9</v>
      </c>
      <c r="L34" s="3" t="s">
        <v>10</v>
      </c>
      <c r="M34" s="3" t="s">
        <v>11</v>
      </c>
      <c r="N34" s="3" t="s">
        <v>12</v>
      </c>
      <c r="O34" s="3" t="s">
        <v>13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30" customHeight="1" x14ac:dyDescent="0.3">
      <c r="A35" s="6" t="s">
        <v>42</v>
      </c>
      <c r="B35" s="6" t="s">
        <v>43</v>
      </c>
      <c r="C35" s="66">
        <v>0.31642361111111111</v>
      </c>
      <c r="D35" s="67">
        <v>0</v>
      </c>
      <c r="E35" s="67">
        <v>0</v>
      </c>
      <c r="F35" s="67">
        <v>0</v>
      </c>
      <c r="G35" s="67">
        <v>0</v>
      </c>
      <c r="H35" s="67">
        <v>0</v>
      </c>
      <c r="I35" s="67">
        <v>0</v>
      </c>
      <c r="J35" s="67">
        <v>0</v>
      </c>
      <c r="K35" s="67">
        <v>0</v>
      </c>
      <c r="L35" s="67">
        <v>0</v>
      </c>
      <c r="M35" s="67">
        <v>0</v>
      </c>
      <c r="N35" s="67">
        <v>0</v>
      </c>
      <c r="O35" s="66">
        <f>AVERAGE(C35:N35)</f>
        <v>2.6368634259259258E-2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7"/>
      <c r="B36" s="7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72"/>
      <c r="B37" s="73"/>
      <c r="C37" s="3" t="s">
        <v>1</v>
      </c>
      <c r="D37" s="3" t="s">
        <v>2</v>
      </c>
      <c r="E37" s="3" t="s">
        <v>3</v>
      </c>
      <c r="F37" s="3" t="s">
        <v>4</v>
      </c>
      <c r="G37" s="3" t="s">
        <v>5</v>
      </c>
      <c r="H37" s="3" t="s">
        <v>6</v>
      </c>
      <c r="I37" s="3" t="s">
        <v>7</v>
      </c>
      <c r="J37" s="3" t="s">
        <v>8</v>
      </c>
      <c r="K37" s="3" t="s">
        <v>9</v>
      </c>
      <c r="L37" s="3" t="s">
        <v>10</v>
      </c>
      <c r="M37" s="3" t="s">
        <v>11</v>
      </c>
      <c r="N37" s="3" t="s">
        <v>12</v>
      </c>
      <c r="O37" s="3" t="s">
        <v>13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30" customHeight="1" x14ac:dyDescent="0.3">
      <c r="A38" s="6" t="s">
        <v>44</v>
      </c>
      <c r="B38" s="6" t="s">
        <v>45</v>
      </c>
      <c r="C38" s="66">
        <v>6.9143518518518521E-2</v>
      </c>
      <c r="D38" s="67">
        <v>0</v>
      </c>
      <c r="E38" s="67">
        <v>0</v>
      </c>
      <c r="F38" s="67">
        <v>0</v>
      </c>
      <c r="G38" s="67">
        <v>0</v>
      </c>
      <c r="H38" s="67">
        <v>0</v>
      </c>
      <c r="I38" s="67">
        <v>0</v>
      </c>
      <c r="J38" s="67">
        <v>0</v>
      </c>
      <c r="K38" s="67">
        <v>0</v>
      </c>
      <c r="L38" s="67">
        <v>0</v>
      </c>
      <c r="M38" s="67">
        <v>0</v>
      </c>
      <c r="N38" s="67">
        <v>0</v>
      </c>
      <c r="O38" s="66">
        <f>AVERAGE(C38:N38)</f>
        <v>5.7619598765432101E-3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0.5" customHeight="1" x14ac:dyDescent="0.3">
      <c r="A39" s="7"/>
      <c r="B39" s="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9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72"/>
      <c r="B40" s="73"/>
      <c r="C40" s="3" t="s">
        <v>1</v>
      </c>
      <c r="D40" s="3" t="s">
        <v>2</v>
      </c>
      <c r="E40" s="3" t="s">
        <v>3</v>
      </c>
      <c r="F40" s="3" t="s">
        <v>4</v>
      </c>
      <c r="G40" s="3" t="s">
        <v>5</v>
      </c>
      <c r="H40" s="3" t="s">
        <v>6</v>
      </c>
      <c r="I40" s="3" t="s">
        <v>7</v>
      </c>
      <c r="J40" s="3" t="s">
        <v>8</v>
      </c>
      <c r="K40" s="3" t="s">
        <v>9</v>
      </c>
      <c r="L40" s="3" t="s">
        <v>10</v>
      </c>
      <c r="M40" s="3" t="s">
        <v>11</v>
      </c>
      <c r="N40" s="3" t="s">
        <v>12</v>
      </c>
      <c r="O40" s="3" t="s">
        <v>13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4" t="s">
        <v>46</v>
      </c>
      <c r="B41" s="6" t="s">
        <v>47</v>
      </c>
      <c r="C41" s="25">
        <v>30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5">
        <f>SUM(C41:N41)</f>
        <v>30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0.5" customHeight="1" x14ac:dyDescent="0.3">
      <c r="A42" s="7"/>
      <c r="B42" s="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9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72"/>
      <c r="B43" s="73"/>
      <c r="C43" s="3" t="s">
        <v>1</v>
      </c>
      <c r="D43" s="3" t="s">
        <v>2</v>
      </c>
      <c r="E43" s="3" t="s">
        <v>3</v>
      </c>
      <c r="F43" s="3" t="s">
        <v>4</v>
      </c>
      <c r="G43" s="3" t="s">
        <v>5</v>
      </c>
      <c r="H43" s="3" t="s">
        <v>6</v>
      </c>
      <c r="I43" s="3" t="s">
        <v>7</v>
      </c>
      <c r="J43" s="3" t="s">
        <v>8</v>
      </c>
      <c r="K43" s="3" t="s">
        <v>9</v>
      </c>
      <c r="L43" s="3" t="s">
        <v>10</v>
      </c>
      <c r="M43" s="3" t="s">
        <v>11</v>
      </c>
      <c r="N43" s="3" t="s">
        <v>12</v>
      </c>
      <c r="O43" s="3" t="s">
        <v>13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84" t="s">
        <v>48</v>
      </c>
      <c r="B44" s="6" t="s">
        <v>49</v>
      </c>
      <c r="C44" s="4">
        <v>1682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5">
        <f t="shared" ref="O44:O47" si="12">SUM(C44:N44)</f>
        <v>1682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78"/>
      <c r="B45" s="6" t="s">
        <v>50</v>
      </c>
      <c r="C45" s="4">
        <v>7448</v>
      </c>
      <c r="D45" s="4">
        <v>0</v>
      </c>
      <c r="E45" s="4">
        <v>0</v>
      </c>
      <c r="F45" s="4">
        <v>0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5">
        <f t="shared" si="12"/>
        <v>7448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79"/>
      <c r="B46" s="6" t="s">
        <v>51</v>
      </c>
      <c r="C46" s="4">
        <v>161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5">
        <f t="shared" si="12"/>
        <v>161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4"/>
      <c r="B47" s="6" t="s">
        <v>13</v>
      </c>
      <c r="C47" s="5">
        <f t="shared" ref="C47" si="13">SUM(C44:C46)</f>
        <v>9291</v>
      </c>
      <c r="D47" s="4">
        <v>0</v>
      </c>
      <c r="E47" s="4">
        <v>0</v>
      </c>
      <c r="F47" s="4">
        <v>0</v>
      </c>
      <c r="G47" s="4">
        <v>0</v>
      </c>
      <c r="H47" s="4">
        <v>0</v>
      </c>
      <c r="I47" s="4">
        <v>0</v>
      </c>
      <c r="J47" s="4">
        <v>0</v>
      </c>
      <c r="K47" s="4">
        <v>0</v>
      </c>
      <c r="L47" s="4">
        <v>0</v>
      </c>
      <c r="M47" s="4">
        <v>0</v>
      </c>
      <c r="N47" s="4">
        <v>0</v>
      </c>
      <c r="O47" s="5">
        <f t="shared" si="12"/>
        <v>9291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0.5" customHeight="1" x14ac:dyDescent="0.3">
      <c r="A48" s="26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72"/>
      <c r="B49" s="73"/>
      <c r="C49" s="3" t="s">
        <v>1</v>
      </c>
      <c r="D49" s="3" t="s">
        <v>2</v>
      </c>
      <c r="E49" s="3" t="s">
        <v>3</v>
      </c>
      <c r="F49" s="3" t="s">
        <v>4</v>
      </c>
      <c r="G49" s="3" t="s">
        <v>5</v>
      </c>
      <c r="H49" s="3" t="s">
        <v>6</v>
      </c>
      <c r="I49" s="3" t="s">
        <v>7</v>
      </c>
      <c r="J49" s="3" t="s">
        <v>8</v>
      </c>
      <c r="K49" s="3" t="s">
        <v>9</v>
      </c>
      <c r="L49" s="3" t="s">
        <v>10</v>
      </c>
      <c r="M49" s="3" t="s">
        <v>11</v>
      </c>
      <c r="N49" s="3" t="s">
        <v>12</v>
      </c>
      <c r="O49" s="3" t="s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3">
      <c r="A50" s="84" t="s">
        <v>52</v>
      </c>
      <c r="B50" s="28" t="s">
        <v>53</v>
      </c>
      <c r="C50" s="25">
        <v>175</v>
      </c>
      <c r="D50" s="4">
        <v>0</v>
      </c>
      <c r="E50" s="4">
        <v>0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29">
        <f t="shared" ref="O50:O59" si="14">SUM(C50:N50)</f>
        <v>175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78"/>
      <c r="B51" s="28" t="s">
        <v>54</v>
      </c>
      <c r="C51" s="25">
        <v>833</v>
      </c>
      <c r="D51" s="4">
        <v>0</v>
      </c>
      <c r="E51" s="4">
        <v>0</v>
      </c>
      <c r="F51" s="4">
        <v>0</v>
      </c>
      <c r="G51" s="4">
        <v>0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29">
        <f t="shared" si="14"/>
        <v>833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78"/>
      <c r="B52" s="28" t="s">
        <v>55</v>
      </c>
      <c r="C52" s="25">
        <v>725</v>
      </c>
      <c r="D52" s="4">
        <v>0</v>
      </c>
      <c r="E52" s="4">
        <v>0</v>
      </c>
      <c r="F52" s="4">
        <v>0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29">
        <f t="shared" si="14"/>
        <v>725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78"/>
      <c r="B53" s="28" t="s">
        <v>56</v>
      </c>
      <c r="C53" s="25">
        <v>565</v>
      </c>
      <c r="D53" s="4">
        <v>0</v>
      </c>
      <c r="E53" s="4">
        <v>0</v>
      </c>
      <c r="F53" s="4">
        <v>0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29">
        <f t="shared" si="14"/>
        <v>565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78"/>
      <c r="B54" s="28" t="s">
        <v>57</v>
      </c>
      <c r="C54" s="25">
        <v>976</v>
      </c>
      <c r="D54" s="4">
        <v>0</v>
      </c>
      <c r="E54" s="4">
        <v>0</v>
      </c>
      <c r="F54" s="4">
        <v>0</v>
      </c>
      <c r="G54" s="4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29">
        <f t="shared" si="14"/>
        <v>976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78"/>
      <c r="B55" s="28" t="s">
        <v>58</v>
      </c>
      <c r="C55" s="25">
        <v>3935</v>
      </c>
      <c r="D55" s="4">
        <v>0</v>
      </c>
      <c r="E55" s="4">
        <v>0</v>
      </c>
      <c r="F55" s="4">
        <v>0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29">
        <f t="shared" si="14"/>
        <v>3935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78"/>
      <c r="B56" s="28" t="s">
        <v>59</v>
      </c>
      <c r="C56" s="25">
        <v>1401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29">
        <f t="shared" si="14"/>
        <v>1401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78"/>
      <c r="B57" s="28" t="s">
        <v>60</v>
      </c>
      <c r="C57" s="25">
        <v>958</v>
      </c>
      <c r="D57" s="4">
        <v>0</v>
      </c>
      <c r="E57" s="4">
        <v>0</v>
      </c>
      <c r="F57" s="4">
        <v>0</v>
      </c>
      <c r="G57" s="4">
        <v>0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29">
        <f t="shared" si="14"/>
        <v>958</v>
      </c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79"/>
      <c r="B58" s="28" t="s">
        <v>61</v>
      </c>
      <c r="C58" s="25">
        <v>1214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29">
        <f t="shared" si="14"/>
        <v>1214</v>
      </c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4"/>
      <c r="B59" s="28" t="s">
        <v>13</v>
      </c>
      <c r="C59" s="25">
        <f t="shared" ref="C59" si="15">SUM(C50:C58)</f>
        <v>10782</v>
      </c>
      <c r="D59" s="4">
        <v>0</v>
      </c>
      <c r="E59" s="4">
        <v>0</v>
      </c>
      <c r="F59" s="4">
        <v>0</v>
      </c>
      <c r="G59" s="4">
        <v>0</v>
      </c>
      <c r="H59" s="4">
        <v>0</v>
      </c>
      <c r="I59" s="4">
        <v>0</v>
      </c>
      <c r="J59" s="4">
        <v>0</v>
      </c>
      <c r="K59" s="4">
        <v>0</v>
      </c>
      <c r="L59" s="4">
        <v>0</v>
      </c>
      <c r="M59" s="4">
        <v>0</v>
      </c>
      <c r="N59" s="4">
        <v>0</v>
      </c>
      <c r="O59" s="29">
        <f t="shared" si="14"/>
        <v>10782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1.25" customHeight="1" x14ac:dyDescent="0.3">
      <c r="A60" s="26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72"/>
      <c r="B61" s="73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3" t="s">
        <v>7</v>
      </c>
      <c r="J61" s="3" t="s">
        <v>8</v>
      </c>
      <c r="K61" s="3" t="s">
        <v>9</v>
      </c>
      <c r="L61" s="3" t="s">
        <v>10</v>
      </c>
      <c r="M61" s="3" t="s">
        <v>11</v>
      </c>
      <c r="N61" s="3" t="s">
        <v>12</v>
      </c>
      <c r="O61" s="3" t="s">
        <v>13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84" t="s">
        <v>62</v>
      </c>
      <c r="B62" s="28" t="s">
        <v>63</v>
      </c>
      <c r="C62" s="4">
        <v>10490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5">
        <f t="shared" ref="O62:O64" si="16">SUM(C62:N62)</f>
        <v>10490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79"/>
      <c r="B63" s="28" t="s">
        <v>64</v>
      </c>
      <c r="C63" s="4">
        <v>292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5">
        <f t="shared" si="16"/>
        <v>292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4"/>
      <c r="B64" s="28" t="s">
        <v>13</v>
      </c>
      <c r="C64" s="5">
        <f t="shared" ref="C64" si="17">SUM(C62:C63)</f>
        <v>10782</v>
      </c>
      <c r="D64" s="4">
        <v>0</v>
      </c>
      <c r="E64" s="4">
        <v>0</v>
      </c>
      <c r="F64" s="4">
        <v>0</v>
      </c>
      <c r="G64" s="4">
        <v>0</v>
      </c>
      <c r="H64" s="4">
        <v>0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4">
        <v>0</v>
      </c>
      <c r="O64" s="5">
        <f t="shared" si="16"/>
        <v>10782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0.5" customHeight="1" x14ac:dyDescent="0.3">
      <c r="A65" s="26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72"/>
      <c r="B66" s="73"/>
      <c r="C66" s="3" t="s">
        <v>1</v>
      </c>
      <c r="D66" s="3" t="s">
        <v>2</v>
      </c>
      <c r="E66" s="3" t="s">
        <v>3</v>
      </c>
      <c r="F66" s="3" t="s">
        <v>4</v>
      </c>
      <c r="G66" s="3" t="s">
        <v>5</v>
      </c>
      <c r="H66" s="3" t="s">
        <v>6</v>
      </c>
      <c r="I66" s="3" t="s">
        <v>7</v>
      </c>
      <c r="J66" s="3" t="s">
        <v>8</v>
      </c>
      <c r="K66" s="3" t="s">
        <v>9</v>
      </c>
      <c r="L66" s="3" t="s">
        <v>10</v>
      </c>
      <c r="M66" s="3" t="s">
        <v>11</v>
      </c>
      <c r="N66" s="3" t="s">
        <v>12</v>
      </c>
      <c r="O66" s="3" t="s">
        <v>13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6" t="s">
        <v>65</v>
      </c>
      <c r="B67" s="28" t="s">
        <v>13</v>
      </c>
      <c r="C67" s="29">
        <v>7</v>
      </c>
      <c r="D67" s="4">
        <v>0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5">
        <f>SUM(C67:N67)</f>
        <v>7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</sheetData>
  <mergeCells count="21">
    <mergeCell ref="A1:O1"/>
    <mergeCell ref="A3:B3"/>
    <mergeCell ref="A4:B4"/>
    <mergeCell ref="A7:B7"/>
    <mergeCell ref="A8:B8"/>
    <mergeCell ref="A9:B9"/>
    <mergeCell ref="A11:B11"/>
    <mergeCell ref="A43:B43"/>
    <mergeCell ref="A44:A46"/>
    <mergeCell ref="A49:B49"/>
    <mergeCell ref="A50:A58"/>
    <mergeCell ref="A61:B61"/>
    <mergeCell ref="A62:A63"/>
    <mergeCell ref="A66:B66"/>
    <mergeCell ref="A12:A18"/>
    <mergeCell ref="A20:A25"/>
    <mergeCell ref="A27:B27"/>
    <mergeCell ref="A31:B31"/>
    <mergeCell ref="A34:B34"/>
    <mergeCell ref="A37:B37"/>
    <mergeCell ref="A40:B4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showGridLines="0" workbookViewId="0">
      <selection activeCell="C30" sqref="C30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74"/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68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72"/>
      <c r="B3" s="73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76" t="s">
        <v>69</v>
      </c>
      <c r="B4" s="73"/>
      <c r="C4" s="4">
        <v>305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5">
        <f>SUM(C4:N4)</f>
        <v>305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6" t="s">
        <v>26</v>
      </c>
      <c r="B5" s="6"/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5">
        <f>AVERAGE(C5:N5)</f>
        <v>0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72"/>
      <c r="B7" s="73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6" t="s">
        <v>65</v>
      </c>
      <c r="B8" s="28" t="s">
        <v>13</v>
      </c>
      <c r="C8" s="29">
        <v>5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5">
        <f>SUM(C8:N8)</f>
        <v>5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27"/>
      <c r="B9" s="27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72"/>
      <c r="B10" s="73"/>
      <c r="C10" s="3" t="s">
        <v>1</v>
      </c>
      <c r="D10" s="3" t="s">
        <v>2</v>
      </c>
      <c r="E10" s="3" t="s">
        <v>3</v>
      </c>
      <c r="F10" s="3" t="s">
        <v>4</v>
      </c>
      <c r="G10" s="3" t="s">
        <v>5</v>
      </c>
      <c r="H10" s="3" t="s">
        <v>6</v>
      </c>
      <c r="I10" s="3" t="s">
        <v>7</v>
      </c>
      <c r="J10" s="3" t="s">
        <v>8</v>
      </c>
      <c r="K10" s="3" t="s">
        <v>9</v>
      </c>
      <c r="L10" s="3" t="s">
        <v>10</v>
      </c>
      <c r="M10" s="3" t="s">
        <v>11</v>
      </c>
      <c r="N10" s="3" t="s">
        <v>12</v>
      </c>
      <c r="O10" s="3" t="s">
        <v>13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6"/>
      <c r="B11" s="28" t="s">
        <v>70</v>
      </c>
      <c r="C11" s="29">
        <v>198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5">
        <f t="shared" ref="O11:O13" si="0">SUM(C11:N11)</f>
        <v>198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6" t="s">
        <v>71</v>
      </c>
      <c r="B12" s="28" t="s">
        <v>72</v>
      </c>
      <c r="C12" s="29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5">
        <f t="shared" si="0"/>
        <v>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6"/>
      <c r="B13" s="28" t="s">
        <v>73</v>
      </c>
      <c r="C13" s="29">
        <v>93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5">
        <f t="shared" si="0"/>
        <v>93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27"/>
      <c r="B14" s="27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72"/>
      <c r="B15" s="73"/>
      <c r="C15" s="3" t="s">
        <v>1</v>
      </c>
      <c r="D15" s="3" t="s">
        <v>2</v>
      </c>
      <c r="E15" s="3" t="s">
        <v>3</v>
      </c>
      <c r="F15" s="3" t="s">
        <v>4</v>
      </c>
      <c r="G15" s="3" t="s">
        <v>5</v>
      </c>
      <c r="H15" s="3" t="s">
        <v>6</v>
      </c>
      <c r="I15" s="3" t="s">
        <v>7</v>
      </c>
      <c r="J15" s="3" t="s">
        <v>8</v>
      </c>
      <c r="K15" s="3" t="s">
        <v>9</v>
      </c>
      <c r="L15" s="3" t="s">
        <v>10</v>
      </c>
      <c r="M15" s="3" t="s">
        <v>11</v>
      </c>
      <c r="N15" s="3" t="s">
        <v>12</v>
      </c>
      <c r="O15" s="3" t="s">
        <v>13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77" t="s">
        <v>48</v>
      </c>
      <c r="B16" s="6" t="s">
        <v>49</v>
      </c>
      <c r="C16" s="4">
        <v>538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5">
        <f t="shared" ref="O16:O17" si="1">SUM(C16:N16)</f>
        <v>538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78"/>
      <c r="B17" s="6" t="s">
        <v>74</v>
      </c>
      <c r="C17" s="4">
        <v>123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5">
        <f t="shared" si="1"/>
        <v>123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78"/>
      <c r="B18" s="6" t="s">
        <v>75</v>
      </c>
      <c r="C18" s="4">
        <v>229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5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78"/>
      <c r="B19" s="6" t="s">
        <v>51</v>
      </c>
      <c r="C19" s="4">
        <v>27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5">
        <f t="shared" ref="O19:O20" si="2">SUM(C19:N19)</f>
        <v>27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79"/>
      <c r="B20" s="6" t="s">
        <v>13</v>
      </c>
      <c r="C20" s="5">
        <f t="shared" ref="C20:N20" si="3">SUM(C16:C19)</f>
        <v>917</v>
      </c>
      <c r="D20" s="5">
        <f t="shared" si="3"/>
        <v>0</v>
      </c>
      <c r="E20" s="5">
        <f t="shared" si="3"/>
        <v>0</v>
      </c>
      <c r="F20" s="5">
        <f t="shared" si="3"/>
        <v>0</v>
      </c>
      <c r="G20" s="5">
        <f t="shared" si="3"/>
        <v>0</v>
      </c>
      <c r="H20" s="5">
        <f t="shared" si="3"/>
        <v>0</v>
      </c>
      <c r="I20" s="5">
        <f t="shared" si="3"/>
        <v>0</v>
      </c>
      <c r="J20" s="5">
        <f t="shared" si="3"/>
        <v>0</v>
      </c>
      <c r="K20" s="5">
        <f t="shared" si="3"/>
        <v>0</v>
      </c>
      <c r="L20" s="5">
        <f t="shared" si="3"/>
        <v>0</v>
      </c>
      <c r="M20" s="5">
        <f t="shared" si="3"/>
        <v>0</v>
      </c>
      <c r="N20" s="5">
        <f t="shared" si="3"/>
        <v>0</v>
      </c>
      <c r="O20" s="5">
        <f t="shared" si="2"/>
        <v>917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27"/>
      <c r="B21" s="27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72"/>
      <c r="B22" s="73"/>
      <c r="C22" s="3" t="s">
        <v>1</v>
      </c>
      <c r="D22" s="3" t="s">
        <v>2</v>
      </c>
      <c r="E22" s="3" t="s">
        <v>3</v>
      </c>
      <c r="F22" s="3" t="s">
        <v>4</v>
      </c>
      <c r="G22" s="3" t="s">
        <v>5</v>
      </c>
      <c r="H22" s="3" t="s">
        <v>6</v>
      </c>
      <c r="I22" s="3" t="s">
        <v>7</v>
      </c>
      <c r="J22" s="3" t="s">
        <v>8</v>
      </c>
      <c r="K22" s="3" t="s">
        <v>9</v>
      </c>
      <c r="L22" s="3" t="s">
        <v>10</v>
      </c>
      <c r="M22" s="3" t="s">
        <v>11</v>
      </c>
      <c r="N22" s="3" t="s">
        <v>12</v>
      </c>
      <c r="O22" s="3" t="s">
        <v>13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6"/>
      <c r="B23" s="28" t="s">
        <v>76</v>
      </c>
      <c r="C23" s="29">
        <v>181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5">
        <f t="shared" ref="O23:O24" si="4">SUM(C23:N23)</f>
        <v>181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6" t="s">
        <v>77</v>
      </c>
      <c r="B24" s="28" t="s">
        <v>78</v>
      </c>
      <c r="C24" s="29">
        <v>14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5">
        <f t="shared" si="4"/>
        <v>14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6"/>
      <c r="B25" s="28" t="s">
        <v>79</v>
      </c>
      <c r="C25" s="29">
        <v>13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5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6"/>
      <c r="B26" s="28" t="s">
        <v>80</v>
      </c>
      <c r="C26" s="29">
        <v>116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5">
        <f>SUM(C26:N26)</f>
        <v>116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7"/>
      <c r="B27" s="27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72"/>
      <c r="B28" s="73"/>
      <c r="C28" s="3" t="s">
        <v>1</v>
      </c>
      <c r="D28" s="3" t="s">
        <v>2</v>
      </c>
      <c r="E28" s="3" t="s">
        <v>3</v>
      </c>
      <c r="F28" s="3" t="s">
        <v>4</v>
      </c>
      <c r="G28" s="3" t="s">
        <v>5</v>
      </c>
      <c r="H28" s="3" t="s">
        <v>6</v>
      </c>
      <c r="I28" s="3" t="s">
        <v>7</v>
      </c>
      <c r="J28" s="3" t="s">
        <v>8</v>
      </c>
      <c r="K28" s="3" t="s">
        <v>9</v>
      </c>
      <c r="L28" s="3" t="s">
        <v>10</v>
      </c>
      <c r="M28" s="3" t="s">
        <v>11</v>
      </c>
      <c r="N28" s="3" t="s">
        <v>12</v>
      </c>
      <c r="O28" s="3" t="s">
        <v>13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6"/>
      <c r="B29" s="28" t="s">
        <v>81</v>
      </c>
      <c r="C29" s="29">
        <v>153</v>
      </c>
      <c r="D29" s="4">
        <v>0</v>
      </c>
      <c r="E29" s="4">
        <v>0</v>
      </c>
      <c r="F29" s="4">
        <v>0</v>
      </c>
      <c r="G29" s="4">
        <v>0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5">
        <f t="shared" ref="O29:O30" si="5">SUM(C29:N29)</f>
        <v>153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6" t="s">
        <v>82</v>
      </c>
      <c r="B30" s="28" t="s">
        <v>83</v>
      </c>
      <c r="C30" s="29">
        <v>2</v>
      </c>
      <c r="D30" s="4">
        <v>0</v>
      </c>
      <c r="E30" s="4">
        <v>0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5">
        <f t="shared" si="5"/>
        <v>2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6"/>
      <c r="B31" s="28" t="s">
        <v>84</v>
      </c>
      <c r="C31" s="29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5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6"/>
      <c r="B32" s="28" t="s">
        <v>85</v>
      </c>
      <c r="C32" s="29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5">
        <f>SUM(C32:N32)</f>
        <v>0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7"/>
      <c r="B33" s="2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7"/>
      <c r="B34" s="27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7"/>
      <c r="B35" s="27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7"/>
      <c r="B36" s="27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7"/>
      <c r="B37" s="27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7"/>
      <c r="B38" s="27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7"/>
      <c r="B39" s="2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7"/>
      <c r="B40" s="27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7"/>
      <c r="B41" s="27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27"/>
      <c r="B42" s="2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27"/>
      <c r="B43" s="27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27"/>
      <c r="B44" s="27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27"/>
      <c r="B45" s="27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27"/>
      <c r="B46" s="27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7"/>
      <c r="B47" s="27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27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27"/>
      <c r="B49" s="27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27"/>
      <c r="B50" s="27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27"/>
      <c r="B51" s="27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27"/>
      <c r="B52" s="27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27"/>
      <c r="B53" s="27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27"/>
      <c r="B54" s="27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27"/>
      <c r="B55" s="27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27"/>
      <c r="B56" s="27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27"/>
      <c r="B57" s="27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27"/>
      <c r="B58" s="27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7"/>
      <c r="B59" s="27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27"/>
      <c r="B60" s="27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27"/>
      <c r="B61" s="27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27"/>
      <c r="B62" s="27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27"/>
      <c r="B63" s="27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7"/>
      <c r="B64" s="27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27"/>
      <c r="B65" s="27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27"/>
      <c r="B66" s="27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27"/>
      <c r="B67" s="27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27"/>
      <c r="B934" s="27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27"/>
      <c r="B935" s="27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27"/>
      <c r="B936" s="27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27"/>
      <c r="B937" s="27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27"/>
      <c r="B938" s="27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27"/>
      <c r="B939" s="27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27"/>
      <c r="B940" s="27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27"/>
      <c r="B941" s="27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27"/>
      <c r="B942" s="27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27"/>
      <c r="B943" s="27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27"/>
      <c r="B944" s="27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27"/>
      <c r="B945" s="27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27"/>
      <c r="B946" s="27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27"/>
      <c r="B947" s="27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27"/>
      <c r="B948" s="27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27"/>
      <c r="B949" s="27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27"/>
      <c r="B950" s="27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27"/>
      <c r="B951" s="27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27"/>
      <c r="B952" s="27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27"/>
      <c r="B953" s="27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27"/>
      <c r="B954" s="27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27"/>
      <c r="B955" s="27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27"/>
      <c r="B956" s="27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27"/>
      <c r="B957" s="27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27"/>
      <c r="B958" s="27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27"/>
      <c r="B959" s="27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27"/>
      <c r="B960" s="27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27"/>
      <c r="B961" s="27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27"/>
      <c r="B962" s="27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27"/>
      <c r="B963" s="27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27"/>
      <c r="B964" s="27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27"/>
      <c r="B965" s="27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27"/>
      <c r="B966" s="27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27"/>
      <c r="B967" s="27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27"/>
      <c r="B968" s="27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27"/>
      <c r="B969" s="27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27"/>
      <c r="B970" s="27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27"/>
      <c r="B971" s="27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27"/>
      <c r="B972" s="27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27"/>
      <c r="B973" s="27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27"/>
      <c r="B974" s="27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27"/>
      <c r="B975" s="27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27"/>
      <c r="B976" s="27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27"/>
      <c r="B977" s="27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27"/>
      <c r="B978" s="27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27"/>
      <c r="B979" s="27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27"/>
      <c r="B980" s="27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27"/>
      <c r="B981" s="27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27"/>
      <c r="B982" s="27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27"/>
      <c r="B983" s="27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27"/>
      <c r="B984" s="27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27"/>
      <c r="B985" s="27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27"/>
      <c r="B986" s="27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27"/>
      <c r="B987" s="27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27"/>
      <c r="B988" s="27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27"/>
      <c r="B989" s="27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27"/>
      <c r="B990" s="27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27"/>
      <c r="B991" s="27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27"/>
      <c r="B992" s="27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27"/>
      <c r="B993" s="27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27"/>
      <c r="B994" s="27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27"/>
      <c r="B995" s="27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27"/>
      <c r="B996" s="27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27"/>
      <c r="B997" s="27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27"/>
      <c r="B998" s="27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27"/>
      <c r="B999" s="27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27"/>
      <c r="B1000" s="27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9">
    <mergeCell ref="A22:B22"/>
    <mergeCell ref="A28:B28"/>
    <mergeCell ref="A1:O1"/>
    <mergeCell ref="A3:B3"/>
    <mergeCell ref="A4:B4"/>
    <mergeCell ref="A7:B7"/>
    <mergeCell ref="A10:B10"/>
    <mergeCell ref="A15:B15"/>
    <mergeCell ref="A16:A20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showGridLines="0" topLeftCell="A16" workbookViewId="0">
      <selection activeCell="C22" sqref="C22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74"/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86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72"/>
      <c r="B3" s="73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84" t="s">
        <v>87</v>
      </c>
      <c r="B4" s="28" t="s">
        <v>88</v>
      </c>
      <c r="C4" s="29">
        <v>240</v>
      </c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78"/>
      <c r="B5" s="28" t="s">
        <v>89</v>
      </c>
      <c r="C5" s="29">
        <v>663</v>
      </c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78"/>
      <c r="B6" s="28" t="s">
        <v>90</v>
      </c>
      <c r="C6" s="29">
        <v>1097</v>
      </c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78"/>
      <c r="B7" s="28" t="s">
        <v>91</v>
      </c>
      <c r="C7" s="29">
        <v>419</v>
      </c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78"/>
      <c r="B8" s="28" t="s">
        <v>92</v>
      </c>
      <c r="C8" s="29">
        <v>206</v>
      </c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5">
        <f>SUM(C8:N8)</f>
        <v>206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78"/>
      <c r="B9" s="28" t="s">
        <v>93</v>
      </c>
      <c r="C9" s="29">
        <v>208</v>
      </c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5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78"/>
      <c r="B10" s="28" t="s">
        <v>94</v>
      </c>
      <c r="C10" s="29">
        <v>1647</v>
      </c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5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79"/>
      <c r="B11" s="28" t="s">
        <v>95</v>
      </c>
      <c r="C11" s="29">
        <v>281</v>
      </c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5">
        <f>SUM(C11:N11)</f>
        <v>281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7"/>
      <c r="B12" s="27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72"/>
      <c r="B13" s="73"/>
      <c r="C13" s="3" t="s">
        <v>1</v>
      </c>
      <c r="D13" s="3" t="s">
        <v>2</v>
      </c>
      <c r="E13" s="3" t="s">
        <v>3</v>
      </c>
      <c r="F13" s="3" t="s">
        <v>4</v>
      </c>
      <c r="G13" s="3" t="s">
        <v>5</v>
      </c>
      <c r="H13" s="3" t="s">
        <v>6</v>
      </c>
      <c r="I13" s="3" t="s">
        <v>7</v>
      </c>
      <c r="J13" s="3" t="s">
        <v>8</v>
      </c>
      <c r="K13" s="3" t="s">
        <v>9</v>
      </c>
      <c r="L13" s="3" t="s">
        <v>10</v>
      </c>
      <c r="M13" s="3" t="s">
        <v>11</v>
      </c>
      <c r="N13" s="3" t="s">
        <v>12</v>
      </c>
      <c r="O13" s="3" t="s">
        <v>13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84" t="s">
        <v>96</v>
      </c>
      <c r="B14" s="28" t="s">
        <v>97</v>
      </c>
      <c r="C14" s="29">
        <v>528</v>
      </c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5">
        <f>SUM(C14:N14)</f>
        <v>528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78"/>
      <c r="B15" s="28" t="s">
        <v>98</v>
      </c>
      <c r="C15" s="29">
        <v>123</v>
      </c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5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78"/>
      <c r="B16" s="28" t="s">
        <v>99</v>
      </c>
      <c r="C16" s="29">
        <v>170</v>
      </c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5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78"/>
      <c r="B17" s="28" t="s">
        <v>100</v>
      </c>
      <c r="C17" s="29">
        <v>95</v>
      </c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5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78"/>
      <c r="B18" s="28" t="s">
        <v>101</v>
      </c>
      <c r="C18" s="29">
        <v>195</v>
      </c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5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78"/>
      <c r="B19" s="28" t="s">
        <v>94</v>
      </c>
      <c r="C19" s="29">
        <v>0</v>
      </c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5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78"/>
      <c r="B20" s="28" t="s">
        <v>95</v>
      </c>
      <c r="C20" s="29">
        <v>259</v>
      </c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5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79"/>
      <c r="B21" s="28" t="s">
        <v>102</v>
      </c>
      <c r="C21" s="29">
        <v>107</v>
      </c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5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27"/>
      <c r="B22" s="27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72"/>
      <c r="B23" s="73"/>
      <c r="C23" s="3" t="s">
        <v>1</v>
      </c>
      <c r="D23" s="3" t="s">
        <v>2</v>
      </c>
      <c r="E23" s="3" t="s">
        <v>3</v>
      </c>
      <c r="F23" s="3" t="s">
        <v>4</v>
      </c>
      <c r="G23" s="3" t="s">
        <v>5</v>
      </c>
      <c r="H23" s="3" t="s">
        <v>6</v>
      </c>
      <c r="I23" s="3" t="s">
        <v>7</v>
      </c>
      <c r="J23" s="3" t="s">
        <v>8</v>
      </c>
      <c r="K23" s="3" t="s">
        <v>9</v>
      </c>
      <c r="L23" s="3" t="s">
        <v>10</v>
      </c>
      <c r="M23" s="3" t="s">
        <v>11</v>
      </c>
      <c r="N23" s="3" t="s">
        <v>12</v>
      </c>
      <c r="O23" s="3" t="s">
        <v>13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84" t="s">
        <v>103</v>
      </c>
      <c r="B24" s="28" t="s">
        <v>94</v>
      </c>
      <c r="C24" s="29">
        <v>580</v>
      </c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5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79"/>
      <c r="B25" s="28" t="s">
        <v>102</v>
      </c>
      <c r="C25" s="29">
        <v>290</v>
      </c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5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27"/>
      <c r="B26" s="2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7"/>
      <c r="B27" s="27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27"/>
      <c r="B28" s="27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27"/>
      <c r="B29" s="27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27"/>
      <c r="B30" s="2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27"/>
      <c r="B31" s="27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27"/>
      <c r="B32" s="27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7"/>
      <c r="B33" s="2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7"/>
      <c r="B34" s="27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7"/>
      <c r="B35" s="27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7"/>
      <c r="B36" s="27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7"/>
      <c r="B37" s="27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7"/>
      <c r="B38" s="27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7"/>
      <c r="B39" s="2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7"/>
      <c r="B40" s="27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7"/>
      <c r="B41" s="27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27"/>
      <c r="B42" s="2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27"/>
      <c r="B43" s="27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27"/>
      <c r="B44" s="27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27"/>
      <c r="B45" s="27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27"/>
      <c r="B46" s="27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7"/>
      <c r="B47" s="27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27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27"/>
      <c r="B49" s="27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27"/>
      <c r="B50" s="27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27"/>
      <c r="B51" s="27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27"/>
      <c r="B52" s="27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27"/>
      <c r="B53" s="27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27"/>
      <c r="B54" s="27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27"/>
      <c r="B55" s="27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27"/>
      <c r="B56" s="27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27"/>
      <c r="B57" s="27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27"/>
      <c r="B58" s="27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7"/>
      <c r="B59" s="27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27"/>
      <c r="B60" s="27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27"/>
      <c r="B61" s="27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27"/>
      <c r="B62" s="27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27"/>
      <c r="B63" s="27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7"/>
      <c r="B64" s="27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27"/>
      <c r="B65" s="27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27"/>
      <c r="B66" s="27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27"/>
      <c r="B67" s="27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27"/>
      <c r="B934" s="27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27"/>
      <c r="B935" s="27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27"/>
      <c r="B936" s="27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27"/>
      <c r="B937" s="27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27"/>
      <c r="B938" s="27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27"/>
      <c r="B939" s="27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27"/>
      <c r="B940" s="27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27"/>
      <c r="B941" s="27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27"/>
      <c r="B942" s="27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27"/>
      <c r="B943" s="27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27"/>
      <c r="B944" s="27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27"/>
      <c r="B945" s="27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27"/>
      <c r="B946" s="27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27"/>
      <c r="B947" s="27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27"/>
      <c r="B948" s="27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27"/>
      <c r="B949" s="27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27"/>
      <c r="B950" s="27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27"/>
      <c r="B951" s="27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27"/>
      <c r="B952" s="27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27"/>
      <c r="B953" s="27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27"/>
      <c r="B954" s="27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27"/>
      <c r="B955" s="27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27"/>
      <c r="B956" s="27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27"/>
      <c r="B957" s="27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27"/>
      <c r="B958" s="27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27"/>
      <c r="B959" s="27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27"/>
      <c r="B960" s="27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27"/>
      <c r="B961" s="27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27"/>
      <c r="B962" s="27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27"/>
      <c r="B963" s="27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27"/>
      <c r="B964" s="27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27"/>
      <c r="B965" s="27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27"/>
      <c r="B966" s="27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27"/>
      <c r="B967" s="27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27"/>
      <c r="B968" s="27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27"/>
      <c r="B969" s="27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27"/>
      <c r="B970" s="27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27"/>
      <c r="B971" s="27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27"/>
      <c r="B972" s="27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27"/>
      <c r="B973" s="27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27"/>
      <c r="B974" s="27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27"/>
      <c r="B975" s="27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27"/>
      <c r="B976" s="27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27"/>
      <c r="B977" s="27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27"/>
      <c r="B978" s="27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27"/>
      <c r="B979" s="27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27"/>
      <c r="B980" s="27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27"/>
      <c r="B981" s="27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27"/>
      <c r="B982" s="27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27"/>
      <c r="B983" s="27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27"/>
      <c r="B984" s="27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27"/>
      <c r="B985" s="27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27"/>
      <c r="B986" s="27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27"/>
      <c r="B987" s="27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27"/>
      <c r="B988" s="27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27"/>
      <c r="B989" s="27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27"/>
      <c r="B990" s="27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27"/>
      <c r="B991" s="27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27"/>
      <c r="B992" s="27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27"/>
      <c r="B993" s="27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27"/>
      <c r="B994" s="27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27"/>
      <c r="B995" s="27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27"/>
      <c r="B996" s="27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27"/>
      <c r="B997" s="27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27"/>
      <c r="B998" s="27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27"/>
      <c r="B999" s="27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27"/>
      <c r="B1000" s="27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7">
    <mergeCell ref="A23:B23"/>
    <mergeCell ref="A24:A25"/>
    <mergeCell ref="A1:O1"/>
    <mergeCell ref="A3:B3"/>
    <mergeCell ref="A4:A11"/>
    <mergeCell ref="A13:B13"/>
    <mergeCell ref="A14:A2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showGridLines="0" workbookViewId="0">
      <selection activeCell="B17" sqref="B17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74"/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104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72"/>
      <c r="B3" s="73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84" t="s">
        <v>105</v>
      </c>
      <c r="B4" s="28" t="s">
        <v>106</v>
      </c>
      <c r="C4" s="29">
        <v>3512</v>
      </c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78"/>
      <c r="B5" s="28" t="s">
        <v>102</v>
      </c>
      <c r="C5" s="29">
        <v>294</v>
      </c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78"/>
      <c r="B6" s="28" t="s">
        <v>107</v>
      </c>
      <c r="C6" s="29">
        <v>41</v>
      </c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79"/>
      <c r="B7" s="57" t="s">
        <v>95</v>
      </c>
      <c r="C7" s="29">
        <v>0</v>
      </c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27"/>
      <c r="B8" s="27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72"/>
      <c r="B9" s="73"/>
      <c r="C9" s="3" t="s">
        <v>1</v>
      </c>
      <c r="D9" s="3" t="s">
        <v>2</v>
      </c>
      <c r="E9" s="3" t="s">
        <v>3</v>
      </c>
      <c r="F9" s="3" t="s">
        <v>4</v>
      </c>
      <c r="G9" s="3" t="s">
        <v>5</v>
      </c>
      <c r="H9" s="3" t="s">
        <v>6</v>
      </c>
      <c r="I9" s="3" t="s">
        <v>7</v>
      </c>
      <c r="J9" s="3" t="s">
        <v>8</v>
      </c>
      <c r="K9" s="3" t="s">
        <v>9</v>
      </c>
      <c r="L9" s="3" t="s">
        <v>10</v>
      </c>
      <c r="M9" s="3" t="s">
        <v>11</v>
      </c>
      <c r="N9" s="3" t="s">
        <v>12</v>
      </c>
      <c r="O9" s="3" t="s">
        <v>13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84" t="s">
        <v>108</v>
      </c>
      <c r="B10" s="28" t="s">
        <v>106</v>
      </c>
      <c r="C10" s="29">
        <v>421</v>
      </c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5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78"/>
      <c r="B11" s="28" t="s">
        <v>102</v>
      </c>
      <c r="C11" s="29">
        <v>179</v>
      </c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5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78"/>
      <c r="B12" s="28" t="s">
        <v>107</v>
      </c>
      <c r="C12" s="29">
        <v>163</v>
      </c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5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79"/>
      <c r="B13" s="57" t="s">
        <v>95</v>
      </c>
      <c r="C13" s="29">
        <v>0</v>
      </c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5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27"/>
      <c r="B14" s="27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72"/>
      <c r="B15" s="73"/>
      <c r="C15" s="3" t="s">
        <v>1</v>
      </c>
      <c r="D15" s="3" t="s">
        <v>2</v>
      </c>
      <c r="E15" s="3" t="s">
        <v>3</v>
      </c>
      <c r="F15" s="3" t="s">
        <v>4</v>
      </c>
      <c r="G15" s="3" t="s">
        <v>5</v>
      </c>
      <c r="H15" s="3" t="s">
        <v>6</v>
      </c>
      <c r="I15" s="3" t="s">
        <v>7</v>
      </c>
      <c r="J15" s="3" t="s">
        <v>8</v>
      </c>
      <c r="K15" s="3" t="s">
        <v>9</v>
      </c>
      <c r="L15" s="3" t="s">
        <v>10</v>
      </c>
      <c r="M15" s="3" t="s">
        <v>11</v>
      </c>
      <c r="N15" s="3" t="s">
        <v>12</v>
      </c>
      <c r="O15" s="3" t="s">
        <v>13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8.8" x14ac:dyDescent="0.3">
      <c r="A16" s="33" t="s">
        <v>109</v>
      </c>
      <c r="B16" s="28" t="s">
        <v>110</v>
      </c>
      <c r="C16" s="29">
        <v>1090</v>
      </c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5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27"/>
      <c r="B17" s="27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27"/>
      <c r="B18" s="27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27"/>
      <c r="B19" s="27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27"/>
      <c r="B20" s="27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27"/>
      <c r="B21" s="27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27"/>
      <c r="B22" s="27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27"/>
      <c r="B23" s="27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27"/>
      <c r="B24" s="27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27"/>
      <c r="B25" s="27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27"/>
      <c r="B26" s="2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7"/>
      <c r="B27" s="27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27"/>
      <c r="B28" s="27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27"/>
      <c r="B29" s="27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27"/>
      <c r="B30" s="2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27"/>
      <c r="B31" s="27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27"/>
      <c r="B32" s="27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7"/>
      <c r="B33" s="2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7"/>
      <c r="B34" s="27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7"/>
      <c r="B35" s="27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7"/>
      <c r="B36" s="27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7"/>
      <c r="B37" s="27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7"/>
      <c r="B38" s="27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7"/>
      <c r="B39" s="2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7"/>
      <c r="B40" s="27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7"/>
      <c r="B41" s="27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27"/>
      <c r="B42" s="2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27"/>
      <c r="B43" s="27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27"/>
      <c r="B44" s="27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27"/>
      <c r="B45" s="27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27"/>
      <c r="B46" s="27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7"/>
      <c r="B47" s="27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27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27"/>
      <c r="B49" s="27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27"/>
      <c r="B50" s="27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27"/>
      <c r="B51" s="27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27"/>
      <c r="B52" s="27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27"/>
      <c r="B53" s="27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27"/>
      <c r="B54" s="27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27"/>
      <c r="B55" s="27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27"/>
      <c r="B56" s="27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27"/>
      <c r="B57" s="27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27"/>
      <c r="B58" s="27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7"/>
      <c r="B59" s="27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27"/>
      <c r="B60" s="27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27"/>
      <c r="B61" s="27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27"/>
      <c r="B62" s="27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27"/>
      <c r="B63" s="27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7"/>
      <c r="B64" s="27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27"/>
      <c r="B65" s="27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27"/>
      <c r="B66" s="27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27"/>
      <c r="B67" s="27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27"/>
      <c r="B934" s="27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27"/>
      <c r="B935" s="27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27"/>
      <c r="B936" s="27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27"/>
      <c r="B937" s="27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27"/>
      <c r="B938" s="27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27"/>
      <c r="B939" s="27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27"/>
      <c r="B940" s="27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27"/>
      <c r="B941" s="27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27"/>
      <c r="B942" s="27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27"/>
      <c r="B943" s="27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27"/>
      <c r="B944" s="27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27"/>
      <c r="B945" s="27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27"/>
      <c r="B946" s="27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27"/>
      <c r="B947" s="27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27"/>
      <c r="B948" s="27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27"/>
      <c r="B949" s="27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27"/>
      <c r="B950" s="27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27"/>
      <c r="B951" s="27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27"/>
      <c r="B952" s="27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27"/>
      <c r="B953" s="27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27"/>
      <c r="B954" s="27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27"/>
      <c r="B955" s="27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27"/>
      <c r="B956" s="27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27"/>
      <c r="B957" s="27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27"/>
      <c r="B958" s="27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27"/>
      <c r="B959" s="27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27"/>
      <c r="B960" s="27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27"/>
      <c r="B961" s="27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27"/>
      <c r="B962" s="27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27"/>
      <c r="B963" s="27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27"/>
      <c r="B964" s="27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27"/>
      <c r="B965" s="27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27"/>
      <c r="B966" s="27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27"/>
      <c r="B967" s="27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27"/>
      <c r="B968" s="27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27"/>
      <c r="B969" s="27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27"/>
      <c r="B970" s="27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27"/>
      <c r="B971" s="27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27"/>
      <c r="B972" s="27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27"/>
      <c r="B973" s="27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27"/>
      <c r="B974" s="27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27"/>
      <c r="B975" s="27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27"/>
      <c r="B976" s="27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27"/>
      <c r="B977" s="27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27"/>
      <c r="B978" s="27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27"/>
      <c r="B979" s="27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27"/>
      <c r="B980" s="27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27"/>
      <c r="B981" s="27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27"/>
      <c r="B982" s="27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27"/>
      <c r="B983" s="27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27"/>
      <c r="B984" s="27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27"/>
      <c r="B985" s="27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27"/>
      <c r="B986" s="27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27"/>
      <c r="B987" s="27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27"/>
      <c r="B988" s="27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27"/>
      <c r="B989" s="27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27"/>
      <c r="B990" s="27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27"/>
      <c r="B991" s="27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27"/>
      <c r="B992" s="27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27"/>
      <c r="B993" s="27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27"/>
      <c r="B994" s="27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27"/>
      <c r="B995" s="27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27"/>
      <c r="B996" s="27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27"/>
      <c r="B997" s="27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27"/>
      <c r="B998" s="27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27"/>
      <c r="B999" s="27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27"/>
      <c r="B1000" s="27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5:B15"/>
    <mergeCell ref="A1:O1"/>
    <mergeCell ref="A3:B3"/>
    <mergeCell ref="A4:A7"/>
    <mergeCell ref="A9:B9"/>
    <mergeCell ref="A10:A1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showGridLines="0" workbookViewId="0">
      <selection activeCell="C16" sqref="C16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74"/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17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72"/>
      <c r="B3" s="73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84" t="s">
        <v>111</v>
      </c>
      <c r="B4" s="28" t="s">
        <v>89</v>
      </c>
      <c r="C4" s="29">
        <v>12130</v>
      </c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78"/>
      <c r="B5" s="28" t="s">
        <v>112</v>
      </c>
      <c r="C5" s="29">
        <v>1126</v>
      </c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78"/>
      <c r="B6" s="57" t="s">
        <v>113</v>
      </c>
      <c r="C6" s="29">
        <v>0</v>
      </c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78"/>
      <c r="B7" s="28" t="s">
        <v>114</v>
      </c>
      <c r="C7" s="29">
        <v>9</v>
      </c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78"/>
      <c r="B8" s="28" t="s">
        <v>115</v>
      </c>
      <c r="C8" s="29">
        <v>2311</v>
      </c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5">
        <f>SUM(C8:N8)</f>
        <v>2311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79"/>
      <c r="B9" s="28" t="s">
        <v>116</v>
      </c>
      <c r="C9" s="29">
        <v>506</v>
      </c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5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27"/>
      <c r="B10" s="27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72"/>
      <c r="B11" s="73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84" t="s">
        <v>117</v>
      </c>
      <c r="B12" s="28" t="s">
        <v>118</v>
      </c>
      <c r="C12" s="29">
        <v>95779</v>
      </c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5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78"/>
      <c r="B13" s="28" t="s">
        <v>119</v>
      </c>
      <c r="C13" s="29">
        <v>17582</v>
      </c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5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78"/>
      <c r="B14" s="28" t="s">
        <v>120</v>
      </c>
      <c r="C14" s="29">
        <v>9696</v>
      </c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5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79"/>
      <c r="B15" s="28" t="s">
        <v>114</v>
      </c>
      <c r="C15" s="29">
        <v>9</v>
      </c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5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7"/>
      <c r="B16" s="27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27"/>
      <c r="B17" s="27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27"/>
      <c r="B18" s="27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27"/>
      <c r="B19" s="27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27"/>
      <c r="B20" s="27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27"/>
      <c r="B21" s="27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27"/>
      <c r="B22" s="27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27"/>
      <c r="B23" s="27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27"/>
      <c r="B24" s="27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27"/>
      <c r="B25" s="27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27"/>
      <c r="B26" s="2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7"/>
      <c r="B27" s="27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27"/>
      <c r="B28" s="27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27"/>
      <c r="B29" s="27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27"/>
      <c r="B30" s="2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27"/>
      <c r="B31" s="27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27"/>
      <c r="B32" s="27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7"/>
      <c r="B33" s="2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7"/>
      <c r="B34" s="27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7"/>
      <c r="B35" s="27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7"/>
      <c r="B36" s="27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7"/>
      <c r="B37" s="27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7"/>
      <c r="B38" s="27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7"/>
      <c r="B39" s="2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7"/>
      <c r="B40" s="27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7"/>
      <c r="B41" s="27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27"/>
      <c r="B42" s="2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27"/>
      <c r="B43" s="27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27"/>
      <c r="B44" s="27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27"/>
      <c r="B45" s="27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27"/>
      <c r="B46" s="27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7"/>
      <c r="B47" s="27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27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27"/>
      <c r="B49" s="27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27"/>
      <c r="B50" s="27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27"/>
      <c r="B51" s="27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27"/>
      <c r="B52" s="27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27"/>
      <c r="B53" s="27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27"/>
      <c r="B54" s="27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27"/>
      <c r="B55" s="27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27"/>
      <c r="B56" s="27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27"/>
      <c r="B57" s="27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27"/>
      <c r="B58" s="27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7"/>
      <c r="B59" s="27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27"/>
      <c r="B60" s="27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27"/>
      <c r="B61" s="27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27"/>
      <c r="B62" s="27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27"/>
      <c r="B63" s="27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7"/>
      <c r="B64" s="27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27"/>
      <c r="B65" s="27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27"/>
      <c r="B66" s="27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27"/>
      <c r="B67" s="27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27"/>
      <c r="B934" s="27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27"/>
      <c r="B935" s="27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27"/>
      <c r="B936" s="27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27"/>
      <c r="B937" s="27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27"/>
      <c r="B938" s="27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27"/>
      <c r="B939" s="27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27"/>
      <c r="B940" s="27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27"/>
      <c r="B941" s="27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27"/>
      <c r="B942" s="27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27"/>
      <c r="B943" s="27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27"/>
      <c r="B944" s="27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27"/>
      <c r="B945" s="27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27"/>
      <c r="B946" s="27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27"/>
      <c r="B947" s="27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27"/>
      <c r="B948" s="27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27"/>
      <c r="B949" s="27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27"/>
      <c r="B950" s="27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27"/>
      <c r="B951" s="27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27"/>
      <c r="B952" s="27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27"/>
      <c r="B953" s="27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27"/>
      <c r="B954" s="27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27"/>
      <c r="B955" s="27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27"/>
      <c r="B956" s="27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27"/>
      <c r="B957" s="27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27"/>
      <c r="B958" s="27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27"/>
      <c r="B959" s="27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27"/>
      <c r="B960" s="27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27"/>
      <c r="B961" s="27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27"/>
      <c r="B962" s="27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27"/>
      <c r="B963" s="27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27"/>
      <c r="B964" s="27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27"/>
      <c r="B965" s="27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27"/>
      <c r="B966" s="27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27"/>
      <c r="B967" s="27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27"/>
      <c r="B968" s="27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27"/>
      <c r="B969" s="27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27"/>
      <c r="B970" s="27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27"/>
      <c r="B971" s="27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27"/>
      <c r="B972" s="27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27"/>
      <c r="B973" s="27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27"/>
      <c r="B974" s="27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27"/>
      <c r="B975" s="27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27"/>
      <c r="B976" s="27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27"/>
      <c r="B977" s="27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27"/>
      <c r="B978" s="27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27"/>
      <c r="B979" s="27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27"/>
      <c r="B980" s="27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27"/>
      <c r="B981" s="27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27"/>
      <c r="B982" s="27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27"/>
      <c r="B983" s="27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27"/>
      <c r="B984" s="27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27"/>
      <c r="B985" s="27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27"/>
      <c r="B986" s="27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27"/>
      <c r="B987" s="27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27"/>
      <c r="B988" s="27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27"/>
      <c r="B989" s="27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27"/>
      <c r="B990" s="27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27"/>
      <c r="B991" s="27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27"/>
      <c r="B992" s="27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27"/>
      <c r="B993" s="27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27"/>
      <c r="B994" s="27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27"/>
      <c r="B995" s="27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27"/>
      <c r="B996" s="27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27"/>
      <c r="B997" s="27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27"/>
      <c r="B998" s="27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27"/>
      <c r="B999" s="27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27"/>
      <c r="B1000" s="27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A1:O1"/>
    <mergeCell ref="A3:B3"/>
    <mergeCell ref="A4:A9"/>
    <mergeCell ref="A11:B11"/>
    <mergeCell ref="A12:A15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O24"/>
  <sheetViews>
    <sheetView workbookViewId="0">
      <selection activeCell="E27" sqref="E27"/>
    </sheetView>
  </sheetViews>
  <sheetFormatPr defaultRowHeight="14.4" x14ac:dyDescent="0.3"/>
  <cols>
    <col min="1" max="1" width="38" customWidth="1"/>
    <col min="2" max="2" width="41.6640625" bestFit="1" customWidth="1"/>
    <col min="3" max="14" width="12" customWidth="1"/>
    <col min="15" max="15" width="14" customWidth="1"/>
  </cols>
  <sheetData>
    <row r="2" spans="1:15" ht="19.2" customHeight="1" x14ac:dyDescent="0.3">
      <c r="A2" s="52" t="s">
        <v>131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</row>
    <row r="3" spans="1:15" ht="17.55" customHeight="1" x14ac:dyDescent="0.3">
      <c r="A3" s="44" t="s">
        <v>67</v>
      </c>
      <c r="B3" s="44" t="s">
        <v>132</v>
      </c>
      <c r="C3" s="44" t="s">
        <v>1</v>
      </c>
      <c r="D3" s="44" t="s">
        <v>2</v>
      </c>
      <c r="E3" s="44" t="s">
        <v>3</v>
      </c>
      <c r="F3" s="44" t="s">
        <v>4</v>
      </c>
      <c r="G3" s="44" t="s">
        <v>5</v>
      </c>
      <c r="H3" s="44" t="s">
        <v>6</v>
      </c>
      <c r="I3" s="44" t="s">
        <v>7</v>
      </c>
      <c r="J3" s="44" t="s">
        <v>8</v>
      </c>
      <c r="K3" s="44" t="s">
        <v>9</v>
      </c>
      <c r="L3" s="44" t="s">
        <v>10</v>
      </c>
      <c r="M3" s="44" t="s">
        <v>11</v>
      </c>
      <c r="N3" s="44" t="s">
        <v>12</v>
      </c>
      <c r="O3" s="44" t="s">
        <v>121</v>
      </c>
    </row>
    <row r="4" spans="1:15" x14ac:dyDescent="0.3">
      <c r="A4" s="56" t="s">
        <v>122</v>
      </c>
      <c r="B4" s="53" t="s">
        <v>122</v>
      </c>
      <c r="C4" s="45">
        <v>591</v>
      </c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6">
        <f>IF(COUNTA(C4:N4)=0,"",SUM(C4:N4))</f>
        <v>591</v>
      </c>
    </row>
    <row r="5" spans="1:15" x14ac:dyDescent="0.3">
      <c r="A5" s="47"/>
      <c r="B5" s="54"/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7"/>
    </row>
    <row r="6" spans="1:15" x14ac:dyDescent="0.3">
      <c r="A6" s="56" t="s">
        <v>123</v>
      </c>
      <c r="B6" s="53" t="s">
        <v>123</v>
      </c>
      <c r="C6" s="45">
        <v>144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6">
        <f>IF(COUNTA(C6:N6)=0,"",SUM(C6:N6))</f>
        <v>144</v>
      </c>
    </row>
    <row r="7" spans="1:15" x14ac:dyDescent="0.3">
      <c r="A7" s="47"/>
      <c r="B7" s="54"/>
      <c r="C7" s="48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7"/>
    </row>
    <row r="8" spans="1:15" x14ac:dyDescent="0.3">
      <c r="A8" s="56" t="s">
        <v>124</v>
      </c>
      <c r="B8" s="53" t="s">
        <v>124</v>
      </c>
      <c r="C8" s="45">
        <v>134</v>
      </c>
      <c r="D8" s="45"/>
      <c r="E8" s="45"/>
      <c r="F8" s="45"/>
      <c r="G8" s="45"/>
      <c r="H8" s="45"/>
      <c r="I8" s="45"/>
      <c r="J8" s="45"/>
      <c r="K8" s="45"/>
      <c r="L8" s="45"/>
      <c r="M8" s="45"/>
      <c r="N8" s="45"/>
      <c r="O8" s="46">
        <f>IF(COUNTA(C8:N8)=0,"",SUM(C8:N8))</f>
        <v>134</v>
      </c>
    </row>
    <row r="9" spans="1:15" x14ac:dyDescent="0.3">
      <c r="A9" s="47"/>
      <c r="B9" s="54"/>
      <c r="C9" s="48"/>
      <c r="D9" s="48"/>
      <c r="E9" s="48"/>
      <c r="F9" s="48"/>
      <c r="G9" s="48"/>
      <c r="H9" s="48"/>
      <c r="I9" s="48"/>
      <c r="J9" s="48"/>
      <c r="K9" s="48"/>
      <c r="L9" s="48"/>
      <c r="M9" s="48"/>
      <c r="N9" s="48"/>
      <c r="O9" s="47"/>
    </row>
    <row r="10" spans="1:15" x14ac:dyDescent="0.3">
      <c r="A10" s="56" t="s">
        <v>125</v>
      </c>
      <c r="B10" s="53" t="s">
        <v>125</v>
      </c>
      <c r="C10" s="45">
        <v>4</v>
      </c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6">
        <f>IF(COUNTA(C10:N10)=0,"",SUM(C10:N10))</f>
        <v>4</v>
      </c>
    </row>
    <row r="11" spans="1:15" x14ac:dyDescent="0.3">
      <c r="A11" s="47"/>
      <c r="B11" s="54"/>
      <c r="C11" s="48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7"/>
    </row>
    <row r="12" spans="1:15" x14ac:dyDescent="0.3">
      <c r="A12" s="56" t="s">
        <v>126</v>
      </c>
      <c r="B12" s="53" t="s">
        <v>126</v>
      </c>
      <c r="C12" s="45">
        <v>5</v>
      </c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6">
        <f>IF(COUNTA(C12:N12)=0,"",SUM(C12:N12))</f>
        <v>5</v>
      </c>
    </row>
    <row r="13" spans="1:15" x14ac:dyDescent="0.3">
      <c r="A13" s="47"/>
      <c r="B13" s="54"/>
      <c r="C13" s="48"/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7"/>
    </row>
    <row r="14" spans="1:15" x14ac:dyDescent="0.3">
      <c r="A14" s="56" t="s">
        <v>127</v>
      </c>
      <c r="B14" s="53" t="s">
        <v>127</v>
      </c>
      <c r="C14" s="70">
        <v>7.7999999999999996E-3</v>
      </c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6">
        <f>IF(COUNTA(C14:N14)=0,"",AVERAGE(C14:N14))</f>
        <v>7.7999999999999996E-3</v>
      </c>
    </row>
    <row r="15" spans="1:15" x14ac:dyDescent="0.3">
      <c r="A15" s="49" t="s">
        <v>28</v>
      </c>
      <c r="B15" s="55" t="s">
        <v>28</v>
      </c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1"/>
    </row>
    <row r="16" spans="1:15" x14ac:dyDescent="0.3">
      <c r="A16" s="47"/>
      <c r="B16" s="54"/>
      <c r="C16" s="48"/>
      <c r="D16" s="48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7"/>
    </row>
    <row r="17" spans="1:15" x14ac:dyDescent="0.3">
      <c r="A17" s="56" t="s">
        <v>128</v>
      </c>
      <c r="B17" s="53" t="s">
        <v>128</v>
      </c>
      <c r="C17" s="70">
        <v>3.4599999999999999E-2</v>
      </c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6">
        <f>IF(COUNTA(C17:N17)=0,"",AVERAGE(C17:N17))</f>
        <v>3.4599999999999999E-2</v>
      </c>
    </row>
    <row r="18" spans="1:15" x14ac:dyDescent="0.3">
      <c r="A18" s="49" t="s">
        <v>28</v>
      </c>
      <c r="B18" s="55" t="s">
        <v>28</v>
      </c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1"/>
    </row>
    <row r="19" spans="1:15" x14ac:dyDescent="0.3">
      <c r="A19" s="47"/>
      <c r="B19" s="54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7"/>
    </row>
    <row r="20" spans="1:15" x14ac:dyDescent="0.3">
      <c r="A20" s="56" t="s">
        <v>129</v>
      </c>
      <c r="B20" s="53" t="s">
        <v>129</v>
      </c>
      <c r="C20" s="45">
        <v>4</v>
      </c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6">
        <f>IF(COUNTA(C20:N20)=0,"",SUM(C20:N20))</f>
        <v>4</v>
      </c>
    </row>
    <row r="21" spans="1:15" x14ac:dyDescent="0.3">
      <c r="A21" s="47"/>
      <c r="B21" s="54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7"/>
    </row>
    <row r="22" spans="1:15" x14ac:dyDescent="0.3">
      <c r="A22" s="56" t="s">
        <v>130</v>
      </c>
      <c r="B22" s="53" t="s">
        <v>130</v>
      </c>
      <c r="C22" s="45">
        <v>0</v>
      </c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6">
        <f>IF(COUNTA(C22:N22)=0,"",SUM(C22:N22))</f>
        <v>0</v>
      </c>
    </row>
    <row r="23" spans="1:15" x14ac:dyDescent="0.3">
      <c r="A23" s="49" t="s">
        <v>28</v>
      </c>
      <c r="B23" s="55" t="s">
        <v>28</v>
      </c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1"/>
    </row>
    <row r="24" spans="1:15" x14ac:dyDescent="0.3">
      <c r="A24" s="47"/>
      <c r="B24" s="54"/>
      <c r="C24" s="48"/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73789-EAFD-46EB-96A3-B35731B74BFA}">
  <dimension ref="A1:O18"/>
  <sheetViews>
    <sheetView topLeftCell="A2" workbookViewId="0">
      <selection activeCell="C22" sqref="C22"/>
    </sheetView>
  </sheetViews>
  <sheetFormatPr defaultRowHeight="14.4" x14ac:dyDescent="0.3"/>
  <cols>
    <col min="1" max="1" width="29.6640625" bestFit="1" customWidth="1"/>
    <col min="2" max="2" width="57.6640625" bestFit="1" customWidth="1"/>
    <col min="3" max="3" width="15.6640625" bestFit="1" customWidth="1"/>
    <col min="4" max="5" width="8.44140625" bestFit="1" customWidth="1"/>
    <col min="6" max="6" width="9.5546875" bestFit="1" customWidth="1"/>
    <col min="7" max="7" width="9" bestFit="1" customWidth="1"/>
    <col min="8" max="8" width="10.77734375" bestFit="1" customWidth="1"/>
    <col min="9" max="9" width="12.88671875" bestFit="1" customWidth="1"/>
    <col min="10" max="10" width="12.21875" bestFit="1" customWidth="1"/>
    <col min="11" max="11" width="14" bestFit="1" customWidth="1"/>
    <col min="12" max="12" width="13.21875" bestFit="1" customWidth="1"/>
    <col min="13" max="13" width="10.77734375" bestFit="1" customWidth="1"/>
    <col min="14" max="14" width="12.88671875" bestFit="1" customWidth="1"/>
    <col min="15" max="15" width="15.6640625" bestFit="1" customWidth="1"/>
  </cols>
  <sheetData>
    <row r="1" spans="1:15" ht="21" hidden="1" x14ac:dyDescent="0.3">
      <c r="A1" s="85"/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</row>
    <row r="2" spans="1:15" ht="37.799999999999997" customHeight="1" x14ac:dyDescent="0.3">
      <c r="A2" s="58" t="s">
        <v>133</v>
      </c>
      <c r="B2" s="58"/>
      <c r="C2" s="59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</row>
    <row r="3" spans="1:15" x14ac:dyDescent="0.3">
      <c r="A3" s="86"/>
      <c r="B3" s="86"/>
      <c r="C3" s="59" t="s">
        <v>1</v>
      </c>
      <c r="D3" s="60" t="s">
        <v>2</v>
      </c>
      <c r="E3" s="60" t="s">
        <v>3</v>
      </c>
      <c r="F3" s="60" t="s">
        <v>4</v>
      </c>
      <c r="G3" s="60" t="s">
        <v>5</v>
      </c>
      <c r="H3" s="60" t="s">
        <v>6</v>
      </c>
      <c r="I3" s="60" t="s">
        <v>7</v>
      </c>
      <c r="J3" s="60" t="s">
        <v>8</v>
      </c>
      <c r="K3" s="60" t="s">
        <v>9</v>
      </c>
      <c r="L3" s="60" t="s">
        <v>10</v>
      </c>
      <c r="M3" s="60" t="s">
        <v>11</v>
      </c>
      <c r="N3" s="60" t="s">
        <v>12</v>
      </c>
      <c r="O3" s="60" t="s">
        <v>13</v>
      </c>
    </row>
    <row r="4" spans="1:15" ht="17.399999999999999" customHeight="1" x14ac:dyDescent="0.3">
      <c r="A4" s="87" t="s">
        <v>134</v>
      </c>
      <c r="B4" s="63" t="s">
        <v>135</v>
      </c>
      <c r="C4" s="64">
        <v>0</v>
      </c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71">
        <f t="shared" ref="O4:O7" si="0">SUM(C4:N4)</f>
        <v>0</v>
      </c>
    </row>
    <row r="5" spans="1:15" ht="17.399999999999999" customHeight="1" x14ac:dyDescent="0.3">
      <c r="A5" s="87"/>
      <c r="B5" s="63" t="s">
        <v>136</v>
      </c>
      <c r="C5" s="64">
        <v>2000</v>
      </c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71">
        <f t="shared" si="0"/>
        <v>2000</v>
      </c>
    </row>
    <row r="6" spans="1:15" ht="17.399999999999999" customHeight="1" x14ac:dyDescent="0.3">
      <c r="A6" s="87"/>
      <c r="B6" s="63" t="s">
        <v>137</v>
      </c>
      <c r="C6" s="64">
        <v>5200</v>
      </c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71">
        <f t="shared" si="0"/>
        <v>5200</v>
      </c>
    </row>
    <row r="7" spans="1:15" ht="17.399999999999999" customHeight="1" x14ac:dyDescent="0.3">
      <c r="A7" s="87"/>
      <c r="B7" s="63" t="s">
        <v>138</v>
      </c>
      <c r="C7" s="64">
        <v>2632875</v>
      </c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71">
        <f t="shared" si="0"/>
        <v>2632875</v>
      </c>
    </row>
    <row r="8" spans="1:15" ht="17.399999999999999" customHeight="1" x14ac:dyDescent="0.3">
      <c r="A8" s="87"/>
      <c r="B8" s="63" t="s">
        <v>139</v>
      </c>
      <c r="C8" s="64">
        <v>36000</v>
      </c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71">
        <f>SUM(C8:N8)</f>
        <v>36000</v>
      </c>
    </row>
    <row r="9" spans="1:15" ht="17.399999999999999" customHeight="1" x14ac:dyDescent="0.3">
      <c r="A9" s="87"/>
      <c r="B9" s="63" t="s">
        <v>140</v>
      </c>
      <c r="C9" s="64">
        <v>31640</v>
      </c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71">
        <f t="shared" ref="O9:O17" si="1">SUM(C9:N9)</f>
        <v>31640</v>
      </c>
    </row>
    <row r="10" spans="1:15" ht="17.399999999999999" customHeight="1" x14ac:dyDescent="0.3">
      <c r="A10" s="87"/>
      <c r="B10" s="63" t="s">
        <v>141</v>
      </c>
      <c r="C10" s="64">
        <v>20000</v>
      </c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71">
        <f t="shared" si="1"/>
        <v>20000</v>
      </c>
    </row>
    <row r="11" spans="1:15" ht="17.399999999999999" customHeight="1" x14ac:dyDescent="0.3">
      <c r="A11" s="87"/>
      <c r="B11" s="63" t="s">
        <v>142</v>
      </c>
      <c r="C11" s="64">
        <v>0</v>
      </c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71">
        <f t="shared" si="1"/>
        <v>0</v>
      </c>
    </row>
    <row r="12" spans="1:15" ht="17.399999999999999" customHeight="1" x14ac:dyDescent="0.3">
      <c r="A12" s="87"/>
      <c r="B12" s="63" t="s">
        <v>143</v>
      </c>
      <c r="C12" s="64">
        <v>3317.72</v>
      </c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71">
        <f t="shared" si="1"/>
        <v>3317.72</v>
      </c>
    </row>
    <row r="13" spans="1:15" ht="17.399999999999999" customHeight="1" x14ac:dyDescent="0.3">
      <c r="A13" s="87"/>
      <c r="B13" s="63" t="s">
        <v>144</v>
      </c>
      <c r="C13" s="64">
        <v>8000</v>
      </c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71">
        <f t="shared" si="1"/>
        <v>8000</v>
      </c>
    </row>
    <row r="14" spans="1:15" ht="17.399999999999999" customHeight="1" x14ac:dyDescent="0.3">
      <c r="A14" s="87"/>
      <c r="B14" s="63" t="s">
        <v>147</v>
      </c>
      <c r="C14" s="64">
        <v>0</v>
      </c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71">
        <f t="shared" si="1"/>
        <v>0</v>
      </c>
    </row>
    <row r="15" spans="1:15" ht="17.399999999999999" customHeight="1" x14ac:dyDescent="0.3">
      <c r="A15" s="87"/>
      <c r="B15" s="63" t="s">
        <v>146</v>
      </c>
      <c r="C15" s="64">
        <v>4500</v>
      </c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71">
        <f t="shared" si="1"/>
        <v>4500</v>
      </c>
    </row>
    <row r="16" spans="1:15" ht="17.399999999999999" customHeight="1" x14ac:dyDescent="0.3">
      <c r="A16" s="87"/>
      <c r="B16" s="63" t="s">
        <v>145</v>
      </c>
      <c r="C16" s="64">
        <v>200</v>
      </c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71">
        <f t="shared" si="1"/>
        <v>200</v>
      </c>
    </row>
    <row r="17" spans="1:15" ht="17.399999999999999" customHeight="1" x14ac:dyDescent="0.3">
      <c r="A17" s="87"/>
      <c r="B17" s="63" t="s">
        <v>13</v>
      </c>
      <c r="C17" s="64">
        <f>SUM(C4:C16)</f>
        <v>2743732.72</v>
      </c>
      <c r="D17" s="65">
        <f t="shared" ref="D17:N17" si="2">SUM(D4:D16)</f>
        <v>0</v>
      </c>
      <c r="E17" s="65">
        <f t="shared" si="2"/>
        <v>0</v>
      </c>
      <c r="F17" s="65">
        <f t="shared" si="2"/>
        <v>0</v>
      </c>
      <c r="G17" s="65">
        <f t="shared" si="2"/>
        <v>0</v>
      </c>
      <c r="H17" s="65">
        <f t="shared" si="2"/>
        <v>0</v>
      </c>
      <c r="I17" s="65">
        <f t="shared" si="2"/>
        <v>0</v>
      </c>
      <c r="J17" s="65">
        <f t="shared" si="2"/>
        <v>0</v>
      </c>
      <c r="K17" s="65">
        <f t="shared" si="2"/>
        <v>0</v>
      </c>
      <c r="L17" s="65">
        <f t="shared" si="2"/>
        <v>0</v>
      </c>
      <c r="M17" s="65">
        <f t="shared" si="2"/>
        <v>0</v>
      </c>
      <c r="N17" s="65">
        <f t="shared" si="2"/>
        <v>0</v>
      </c>
      <c r="O17" s="71">
        <f t="shared" si="1"/>
        <v>2743732.72</v>
      </c>
    </row>
    <row r="18" spans="1:15" x14ac:dyDescent="0.3">
      <c r="A18" s="61"/>
      <c r="B18" s="61"/>
      <c r="C18" s="62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</row>
  </sheetData>
  <mergeCells count="3">
    <mergeCell ref="A1:O1"/>
    <mergeCell ref="A3:B3"/>
    <mergeCell ref="A4:A17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METAS DO PLANO DE TRABALHO</vt:lpstr>
      <vt:lpstr>INDICADORES UPA LUZIÂNIA</vt:lpstr>
      <vt:lpstr>INDICADORES UPA JARDIM INGÁ</vt:lpstr>
      <vt:lpstr>INDICADORES HMJI</vt:lpstr>
      <vt:lpstr>INDICADORES ATENÇÃO SECUNDÁRIA</vt:lpstr>
      <vt:lpstr>INDICADORES SAÚDE MENTAL</vt:lpstr>
      <vt:lpstr>INDICADORES ATENÇÃO PRIMÁRIA</vt:lpstr>
      <vt:lpstr>INDICADORES RH</vt:lpstr>
      <vt:lpstr>Financeiro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Inovar Soluções</dc:creator>
  <cp:lastModifiedBy>angelo miguel</cp:lastModifiedBy>
  <dcterms:created xsi:type="dcterms:W3CDTF">2026-03-30T12:35:05Z</dcterms:created>
  <dcterms:modified xsi:type="dcterms:W3CDTF">2026-04-17T18:20:32Z</dcterms:modified>
</cp:coreProperties>
</file>