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69520E61-F473-4709-8536-246EE2D53BEB}" xr6:coauthVersionLast="47" xr6:coauthVersionMax="47" xr10:uidLastSave="{00000000-0000-0000-0000-000000000000}"/>
  <bookViews>
    <workbookView xWindow="-108" yWindow="-108" windowWidth="23256" windowHeight="12456" firstSheet="5" activeTab="8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</sheets>
  <calcPr calcId="191029"/>
</workbook>
</file>

<file path=xl/calcChain.xml><?xml version="1.0" encoding="utf-8"?>
<calcChain xmlns="http://schemas.openxmlformats.org/spreadsheetml/2006/main">
  <c r="C5" i="2" l="1"/>
  <c r="N15" i="11"/>
  <c r="M15" i="11"/>
  <c r="L15" i="11"/>
  <c r="K15" i="11"/>
  <c r="J15" i="11"/>
  <c r="I15" i="11"/>
  <c r="H15" i="11"/>
  <c r="G15" i="11"/>
  <c r="F15" i="11"/>
  <c r="E15" i="11"/>
  <c r="D15" i="11"/>
  <c r="C15" i="11"/>
  <c r="O15" i="11" s="1"/>
  <c r="O14" i="11"/>
  <c r="O13" i="11"/>
  <c r="O12" i="11"/>
  <c r="O11" i="11"/>
  <c r="O10" i="11"/>
  <c r="O9" i="11"/>
  <c r="O8" i="11"/>
  <c r="O7" i="11"/>
  <c r="O6" i="11"/>
  <c r="O5" i="11"/>
  <c r="O4" i="11"/>
  <c r="C20" i="2" l="1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<sst xmlns="http://schemas.openxmlformats.org/spreadsheetml/2006/main" count="784" uniqueCount="146">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</sst>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"/>
    <numFmt numFmtId="165" formatCode="[$-F400]h:mm:ss\ AM/PM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7"/>
    <xf numFmtId="9" fontId="2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3" fontId="15" fillId="26" borderId="8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10" fontId="0" fillId="20" borderId="8" xfId="2" applyNumberFormat="1" applyFont="1" applyFill="1" applyBorder="1" applyAlignment="1">
      <alignment wrapText="1"/>
    </xf>
  </cellXfs>
  <cellStyles count="3"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selection activeCell="B22" sqref="B22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74"/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75"/>
      <c r="B3" s="75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76" t="s">
        <v>14</v>
      </c>
      <c r="B4" s="41" t="s">
        <v>15</v>
      </c>
      <c r="C4" s="42">
        <v>35794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 t="shared" ref="O4:O7" si="0">SUM(C4:N4)</f>
        <v>35794</v>
      </c>
    </row>
    <row r="5" spans="1:15" s="34" customFormat="1" x14ac:dyDescent="0.3">
      <c r="A5" s="76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 t="shared" si="0"/>
        <v>147012</v>
      </c>
    </row>
    <row r="6" spans="1:15" s="34" customFormat="1" x14ac:dyDescent="0.3">
      <c r="A6" s="76"/>
      <c r="B6" s="38" t="s">
        <v>17</v>
      </c>
      <c r="C6" s="39">
        <v>50246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 t="shared" si="0"/>
        <v>50246</v>
      </c>
    </row>
    <row r="7" spans="1:15" s="34" customFormat="1" x14ac:dyDescent="0.3">
      <c r="A7" s="76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 t="shared" si="0"/>
        <v>550116</v>
      </c>
    </row>
    <row r="8" spans="1:15" s="34" customFormat="1" x14ac:dyDescent="0.3">
      <c r="A8" s="76"/>
      <c r="B8" s="41" t="s">
        <v>18</v>
      </c>
      <c r="C8" s="42">
        <v>37060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37060</v>
      </c>
    </row>
    <row r="9" spans="1:15" s="34" customFormat="1" x14ac:dyDescent="0.3">
      <c r="A9" s="76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1">SUM(C9:N9)</f>
        <v>350988</v>
      </c>
    </row>
    <row r="10" spans="1:15" s="34" customFormat="1" x14ac:dyDescent="0.3">
      <c r="A10" s="76"/>
      <c r="B10" s="38" t="s">
        <v>19</v>
      </c>
      <c r="C10" s="39">
        <v>4787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1"/>
        <v>4787</v>
      </c>
    </row>
    <row r="11" spans="1:15" s="34" customFormat="1" x14ac:dyDescent="0.3">
      <c r="A11" s="76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1"/>
        <v>55740</v>
      </c>
    </row>
    <row r="12" spans="1:15" s="34" customFormat="1" x14ac:dyDescent="0.3">
      <c r="A12" s="76"/>
      <c r="B12" s="41" t="s">
        <v>20</v>
      </c>
      <c r="C12" s="42">
        <v>6952</v>
      </c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1"/>
        <v>6952</v>
      </c>
    </row>
    <row r="13" spans="1:15" s="34" customFormat="1" x14ac:dyDescent="0.3">
      <c r="A13" s="76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1"/>
        <v>73596</v>
      </c>
    </row>
    <row r="14" spans="1:15" s="34" customFormat="1" x14ac:dyDescent="0.3">
      <c r="A14" s="76"/>
      <c r="B14" s="38" t="s">
        <v>21</v>
      </c>
      <c r="C14" s="39">
        <v>187915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1"/>
        <v>187915</v>
      </c>
    </row>
    <row r="15" spans="1:15" s="34" customFormat="1" x14ac:dyDescent="0.3">
      <c r="A15" s="76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1"/>
        <v>1897740</v>
      </c>
    </row>
    <row r="16" spans="1:15" s="34" customFormat="1" x14ac:dyDescent="0.3">
      <c r="A16" s="76"/>
      <c r="B16" s="41" t="s">
        <v>22</v>
      </c>
      <c r="C16" s="42">
        <v>23862</v>
      </c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1"/>
        <v>23862</v>
      </c>
    </row>
    <row r="17" spans="1:15" s="34" customFormat="1" x14ac:dyDescent="0.3">
      <c r="A17" s="76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1"/>
        <v>175452</v>
      </c>
    </row>
    <row r="18" spans="1:15" s="34" customFormat="1" x14ac:dyDescent="0.3">
      <c r="A18" s="76"/>
      <c r="B18" s="38" t="s">
        <v>23</v>
      </c>
      <c r="C18" s="39">
        <f>C4+C6+C8+C10+C12+C14+C16</f>
        <v>346616</v>
      </c>
      <c r="D18" s="39">
        <f t="shared" ref="D18:N18" si="2">D4+D6+D8+D10+D12+D14+D16</f>
        <v>0</v>
      </c>
      <c r="E18" s="39">
        <f t="shared" si="2"/>
        <v>0</v>
      </c>
      <c r="F18" s="39">
        <f t="shared" si="2"/>
        <v>0</v>
      </c>
      <c r="G18" s="39">
        <f t="shared" si="2"/>
        <v>0</v>
      </c>
      <c r="H18" s="39">
        <f t="shared" si="2"/>
        <v>0</v>
      </c>
      <c r="I18" s="39">
        <f t="shared" si="2"/>
        <v>0</v>
      </c>
      <c r="J18" s="39">
        <f t="shared" si="2"/>
        <v>0</v>
      </c>
      <c r="K18" s="39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40">
        <f t="shared" si="1"/>
        <v>346616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B19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5" t="s">
        <v>25</v>
      </c>
      <c r="B4" s="81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5" t="s">
        <v>27</v>
      </c>
      <c r="B8" s="81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2" t="s">
        <v>28</v>
      </c>
      <c r="B9" s="81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7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8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8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8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9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7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8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8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8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8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0"/>
      <c r="B27" s="81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7">
        <v>9.479166666666667E-3</v>
      </c>
      <c r="D28" s="68">
        <v>0</v>
      </c>
      <c r="E28" s="68">
        <v>0</v>
      </c>
      <c r="F28" s="68">
        <v>0</v>
      </c>
      <c r="G28" s="68">
        <v>0</v>
      </c>
      <c r="H28" s="68">
        <v>0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7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9">
        <v>6.9444444444444441E-3</v>
      </c>
      <c r="D29" s="69">
        <v>6.9444444444444441E-3</v>
      </c>
      <c r="E29" s="69">
        <v>6.9444444444444441E-3</v>
      </c>
      <c r="F29" s="69">
        <v>6.9444444444444441E-3</v>
      </c>
      <c r="G29" s="69">
        <v>6.9444444444444441E-3</v>
      </c>
      <c r="H29" s="69">
        <v>6.9444444444444441E-3</v>
      </c>
      <c r="I29" s="69">
        <v>6.9444444444444441E-3</v>
      </c>
      <c r="J29" s="69">
        <v>6.9444444444444441E-3</v>
      </c>
      <c r="K29" s="69">
        <v>6.9444444444444397E-3</v>
      </c>
      <c r="L29" s="69">
        <v>6.9444444444444397E-3</v>
      </c>
      <c r="M29" s="69">
        <v>6.9444444444444441E-3</v>
      </c>
      <c r="N29" s="69">
        <v>6.9444444444444441E-3</v>
      </c>
      <c r="O29" s="7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0"/>
      <c r="B31" s="8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7">
        <v>2.7789351851851853E-2</v>
      </c>
      <c r="D32" s="68">
        <v>0</v>
      </c>
      <c r="E32" s="68">
        <v>0</v>
      </c>
      <c r="F32" s="68">
        <v>0</v>
      </c>
      <c r="G32" s="68">
        <v>0</v>
      </c>
      <c r="H32" s="68">
        <v>0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7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0"/>
      <c r="B34" s="81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7">
        <v>0.33327546296296295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7">
        <f>AVERAGE(C35:N35)</f>
        <v>2.7772955246913578E-2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0"/>
      <c r="B37" s="81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7">
        <v>0.43723379629629627</v>
      </c>
      <c r="D38" s="68">
        <v>0</v>
      </c>
      <c r="E38" s="68">
        <v>0</v>
      </c>
      <c r="F38" s="68">
        <v>0</v>
      </c>
      <c r="G38" s="68">
        <v>0</v>
      </c>
      <c r="H38" s="68">
        <v>0</v>
      </c>
      <c r="I38" s="68">
        <v>0</v>
      </c>
      <c r="J38" s="68">
        <v>0</v>
      </c>
      <c r="K38" s="68">
        <v>0</v>
      </c>
      <c r="L38" s="68">
        <v>0</v>
      </c>
      <c r="M38" s="68">
        <v>0</v>
      </c>
      <c r="N38" s="68">
        <v>0</v>
      </c>
      <c r="O38" s="67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0"/>
      <c r="B40" s="81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0"/>
      <c r="B43" s="81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7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8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8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79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0"/>
      <c r="B49" s="81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77" t="s">
        <v>52</v>
      </c>
      <c r="B50" s="28" t="s">
        <v>53</v>
      </c>
      <c r="C50" s="25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8"/>
      <c r="B51" s="28" t="s">
        <v>54</v>
      </c>
      <c r="C51" s="25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8"/>
      <c r="B52" s="28" t="s">
        <v>55</v>
      </c>
      <c r="C52" s="25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8"/>
      <c r="B53" s="28" t="s">
        <v>56</v>
      </c>
      <c r="C53" s="25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8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8"/>
      <c r="B55" s="28" t="s">
        <v>58</v>
      </c>
      <c r="C55" s="25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8"/>
      <c r="B56" s="28" t="s">
        <v>59</v>
      </c>
      <c r="C56" s="25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8"/>
      <c r="B57" s="28" t="s">
        <v>60</v>
      </c>
      <c r="C57" s="25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8"/>
      <c r="B58" s="28" t="s">
        <v>61</v>
      </c>
      <c r="C58" s="25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79"/>
      <c r="B59" s="28" t="s">
        <v>13</v>
      </c>
      <c r="C59" s="25">
        <f t="shared" ref="C59:N59" si="15">SUM(C50:C58)</f>
        <v>12302</v>
      </c>
      <c r="D59" s="25">
        <f t="shared" si="15"/>
        <v>0</v>
      </c>
      <c r="E59" s="25">
        <f t="shared" si="15"/>
        <v>0</v>
      </c>
      <c r="F59" s="25">
        <f t="shared" si="15"/>
        <v>0</v>
      </c>
      <c r="G59" s="25">
        <f t="shared" si="15"/>
        <v>0</v>
      </c>
      <c r="H59" s="25">
        <f t="shared" si="15"/>
        <v>0</v>
      </c>
      <c r="I59" s="25">
        <f t="shared" si="15"/>
        <v>0</v>
      </c>
      <c r="J59" s="25">
        <f t="shared" si="15"/>
        <v>0</v>
      </c>
      <c r="K59" s="25">
        <f t="shared" si="15"/>
        <v>0</v>
      </c>
      <c r="L59" s="25">
        <f t="shared" si="15"/>
        <v>0</v>
      </c>
      <c r="M59" s="25">
        <f t="shared" si="15"/>
        <v>0</v>
      </c>
      <c r="N59" s="25">
        <f t="shared" si="15"/>
        <v>0</v>
      </c>
      <c r="O59" s="29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0"/>
      <c r="B61" s="81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7" t="s">
        <v>62</v>
      </c>
      <c r="B62" s="28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8"/>
      <c r="B63" s="28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79"/>
      <c r="B64" s="28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0"/>
      <c r="B66" s="81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opLeftCell="A23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80" t="s">
        <v>67</v>
      </c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85" t="s">
        <v>25</v>
      </c>
      <c r="B4" s="81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85" t="s">
        <v>27</v>
      </c>
      <c r="B8" s="81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82" t="s">
        <v>28</v>
      </c>
      <c r="B9" s="81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77" t="s">
        <v>29</v>
      </c>
      <c r="B12" s="14" t="s">
        <v>30</v>
      </c>
      <c r="C12" s="4">
        <v>404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404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78"/>
      <c r="B13" s="15" t="s">
        <v>31</v>
      </c>
      <c r="C13" s="4">
        <v>8050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8050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78"/>
      <c r="B14" s="16" t="s">
        <v>32</v>
      </c>
      <c r="C14" s="4">
        <v>1792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1792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78"/>
      <c r="B15" s="17" t="s">
        <v>33</v>
      </c>
      <c r="C15" s="4">
        <v>245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78"/>
      <c r="B16" s="18" t="s">
        <v>34</v>
      </c>
      <c r="C16" s="4">
        <v>60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78"/>
      <c r="B17" s="19" t="s">
        <v>35</v>
      </c>
      <c r="C17" s="4">
        <v>231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231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79"/>
      <c r="B18" s="20" t="s">
        <v>36</v>
      </c>
      <c r="C18" s="5">
        <f t="shared" ref="C18:N18" si="4">SUM(C12:C17)</f>
        <v>10782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10782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7" t="s">
        <v>37</v>
      </c>
      <c r="B20" s="6" t="s">
        <v>30</v>
      </c>
      <c r="C20" s="21">
        <f t="shared" ref="C20:N20" si="5">C12/C18</f>
        <v>3.7469857169356337E-2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8"/>
      <c r="B21" s="6" t="s">
        <v>31</v>
      </c>
      <c r="C21" s="21">
        <f t="shared" ref="C21:N21" si="7">C13/C18</f>
        <v>0.74661472825078834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8"/>
      <c r="B22" s="6" t="s">
        <v>32</v>
      </c>
      <c r="C22" s="21">
        <f t="shared" ref="C22:N22" si="8">C14/C18</f>
        <v>0.16620293081061027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8"/>
      <c r="B23" s="6" t="s">
        <v>33</v>
      </c>
      <c r="C23" s="21">
        <f t="shared" ref="C23:N23" si="9">C15/C18</f>
        <v>2.2723056946763125E-2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8"/>
      <c r="B24" s="6" t="s">
        <v>34</v>
      </c>
      <c r="C24" s="21">
        <f t="shared" ref="C24:N24" si="10">C16/C18</f>
        <v>5.5648302726766831E-3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6" t="s">
        <v>38</v>
      </c>
      <c r="C25" s="21">
        <f t="shared" ref="C25:N25" si="11">C17/C18</f>
        <v>2.142459654980523E-2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0"/>
      <c r="B27" s="81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7">
        <v>7.2569444444444443E-3</v>
      </c>
      <c r="D28" s="68">
        <v>0</v>
      </c>
      <c r="E28" s="68">
        <v>0</v>
      </c>
      <c r="F28" s="68">
        <v>0</v>
      </c>
      <c r="G28" s="68">
        <v>0</v>
      </c>
      <c r="H28" s="68">
        <v>0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7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9">
        <v>6.9444444444444441E-3</v>
      </c>
      <c r="D29" s="69">
        <v>6.9444444444444441E-3</v>
      </c>
      <c r="E29" s="69">
        <v>6.9444444444444441E-3</v>
      </c>
      <c r="F29" s="69">
        <v>6.9444444444444441E-3</v>
      </c>
      <c r="G29" s="69">
        <v>6.9444444444444441E-3</v>
      </c>
      <c r="H29" s="69">
        <v>6.9444444444444441E-3</v>
      </c>
      <c r="I29" s="69">
        <v>6.9444444444444441E-3</v>
      </c>
      <c r="J29" s="69">
        <v>6.9444444444444441E-3</v>
      </c>
      <c r="K29" s="69">
        <v>6.9444444444444397E-3</v>
      </c>
      <c r="L29" s="69">
        <v>6.9444444444444397E-3</v>
      </c>
      <c r="M29" s="69">
        <v>6.9444444444444441E-3</v>
      </c>
      <c r="N29" s="69">
        <v>6.9444444444444441E-3</v>
      </c>
      <c r="O29" s="7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0"/>
      <c r="B31" s="8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7">
        <v>3.4594907407407408E-2</v>
      </c>
      <c r="D32" s="68">
        <v>0</v>
      </c>
      <c r="E32" s="68">
        <v>0</v>
      </c>
      <c r="F32" s="68">
        <v>0</v>
      </c>
      <c r="G32" s="68">
        <v>0</v>
      </c>
      <c r="H32" s="68">
        <v>0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7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0"/>
      <c r="B34" s="81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7">
        <v>0.31642361111111111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7">
        <f>AVERAGE(C35:N35)</f>
        <v>2.6368634259259258E-2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0"/>
      <c r="B37" s="81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7">
        <v>6.9143518518518521E-2</v>
      </c>
      <c r="D38" s="68">
        <v>0</v>
      </c>
      <c r="E38" s="68">
        <v>0</v>
      </c>
      <c r="F38" s="68">
        <v>0</v>
      </c>
      <c r="G38" s="68">
        <v>0</v>
      </c>
      <c r="H38" s="68">
        <v>0</v>
      </c>
      <c r="I38" s="68">
        <v>0</v>
      </c>
      <c r="J38" s="68">
        <v>0</v>
      </c>
      <c r="K38" s="68">
        <v>0</v>
      </c>
      <c r="L38" s="68">
        <v>0</v>
      </c>
      <c r="M38" s="68">
        <v>0</v>
      </c>
      <c r="N38" s="68">
        <v>0</v>
      </c>
      <c r="O38" s="67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0"/>
      <c r="B40" s="81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0"/>
      <c r="B43" s="81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6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8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9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 t="shared" ref="C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0"/>
      <c r="B49" s="81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86" t="s">
        <v>52</v>
      </c>
      <c r="B50" s="28" t="s">
        <v>53</v>
      </c>
      <c r="C50" s="25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8"/>
      <c r="B51" s="28" t="s">
        <v>54</v>
      </c>
      <c r="C51" s="25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8"/>
      <c r="B52" s="28" t="s">
        <v>55</v>
      </c>
      <c r="C52" s="25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8"/>
      <c r="B53" s="28" t="s">
        <v>56</v>
      </c>
      <c r="C53" s="25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8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8"/>
      <c r="B55" s="28" t="s">
        <v>58</v>
      </c>
      <c r="C55" s="25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8"/>
      <c r="B56" s="28" t="s">
        <v>59</v>
      </c>
      <c r="C56" s="25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8"/>
      <c r="B57" s="28" t="s">
        <v>60</v>
      </c>
      <c r="C57" s="25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9"/>
      <c r="B58" s="28" t="s">
        <v>61</v>
      </c>
      <c r="C58" s="25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 t="shared" ref="C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29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0"/>
      <c r="B61" s="81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6" t="s">
        <v>62</v>
      </c>
      <c r="B62" s="28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9"/>
      <c r="B63" s="28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 t="shared" ref="C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0"/>
      <c r="B66" s="81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C23" sqref="C23:C2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5" t="s">
        <v>69</v>
      </c>
      <c r="B4" s="81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0"/>
      <c r="B10" s="81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0"/>
      <c r="B15" s="81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7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8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8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9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0"/>
      <c r="B22" s="81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80"/>
      <c r="B28" s="81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138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138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6" t="s">
        <v>87</v>
      </c>
      <c r="B4" s="28" t="s">
        <v>88</v>
      </c>
      <c r="C4" s="29">
        <v>240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89</v>
      </c>
      <c r="C5" s="29">
        <v>663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28" t="s">
        <v>90</v>
      </c>
      <c r="C6" s="29">
        <v>1097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8"/>
      <c r="B7" s="28" t="s">
        <v>91</v>
      </c>
      <c r="C7" s="29">
        <v>419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8"/>
      <c r="B8" s="28" t="s">
        <v>92</v>
      </c>
      <c r="C8" s="29">
        <v>206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8"/>
      <c r="B9" s="28" t="s">
        <v>93</v>
      </c>
      <c r="C9" s="29">
        <v>208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8"/>
      <c r="B10" s="28" t="s">
        <v>94</v>
      </c>
      <c r="C10" s="29">
        <v>1647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9"/>
      <c r="B11" s="28" t="s">
        <v>95</v>
      </c>
      <c r="C11" s="29">
        <v>281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0"/>
      <c r="B13" s="81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6" t="s">
        <v>96</v>
      </c>
      <c r="B14" s="28" t="s">
        <v>97</v>
      </c>
      <c r="C14" s="29">
        <v>528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8"/>
      <c r="B15" s="28" t="s">
        <v>98</v>
      </c>
      <c r="C15" s="29">
        <v>123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/>
      <c r="B16" s="28" t="s">
        <v>99</v>
      </c>
      <c r="C16" s="29">
        <v>170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28" t="s">
        <v>100</v>
      </c>
      <c r="C17" s="29">
        <v>95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8"/>
      <c r="B18" s="28" t="s">
        <v>101</v>
      </c>
      <c r="C18" s="29">
        <v>195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8"/>
      <c r="B19" s="28" t="s">
        <v>94</v>
      </c>
      <c r="C19" s="29">
        <v>0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8"/>
      <c r="B20" s="28" t="s">
        <v>95</v>
      </c>
      <c r="C20" s="29">
        <v>259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9"/>
      <c r="B21" s="28" t="s">
        <v>102</v>
      </c>
      <c r="C21" s="29">
        <v>107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0"/>
      <c r="B23" s="81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6" t="s">
        <v>103</v>
      </c>
      <c r="B24" s="28" t="s">
        <v>94</v>
      </c>
      <c r="C24" s="29">
        <v>580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28" t="s">
        <v>102</v>
      </c>
      <c r="C25" s="29">
        <v>290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6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9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0"/>
      <c r="B9" s="81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6" t="s">
        <v>108</v>
      </c>
      <c r="B10" s="28" t="s">
        <v>106</v>
      </c>
      <c r="C10" s="29">
        <v>421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8"/>
      <c r="B11" s="28" t="s">
        <v>102</v>
      </c>
      <c r="C11" s="29">
        <v>179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8"/>
      <c r="B12" s="28" t="s">
        <v>107</v>
      </c>
      <c r="C12" s="29">
        <v>163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9"/>
      <c r="B13" s="57" t="s">
        <v>95</v>
      </c>
      <c r="C13" s="29">
        <v>0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0"/>
      <c r="B15" s="81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6" t="s">
        <v>111</v>
      </c>
      <c r="B4" s="28" t="s">
        <v>89</v>
      </c>
      <c r="C4" s="29">
        <v>12130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112</v>
      </c>
      <c r="C5" s="29">
        <v>1126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57" t="s">
        <v>113</v>
      </c>
      <c r="C6" s="29">
        <v>0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8"/>
      <c r="B7" s="28" t="s">
        <v>114</v>
      </c>
      <c r="C7" s="29">
        <v>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8"/>
      <c r="B8" s="28" t="s">
        <v>115</v>
      </c>
      <c r="C8" s="29">
        <v>2311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9"/>
      <c r="B9" s="28" t="s">
        <v>116</v>
      </c>
      <c r="C9" s="29">
        <v>506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6" t="s">
        <v>117</v>
      </c>
      <c r="B12" s="28" t="s">
        <v>118</v>
      </c>
      <c r="C12" s="29">
        <v>95779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8"/>
      <c r="B13" s="28" t="s">
        <v>119</v>
      </c>
      <c r="C13" s="29">
        <v>17582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8"/>
      <c r="B14" s="28" t="s">
        <v>120</v>
      </c>
      <c r="C14" s="29">
        <v>9696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9"/>
      <c r="B15" s="28" t="s">
        <v>114</v>
      </c>
      <c r="C15" s="29">
        <v>9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C8" sqref="C8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>
        <v>579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>
        <f>IF(COUNTA(C4:N4)=0,"",SUM(C4:N4))</f>
        <v>579</v>
      </c>
    </row>
    <row r="5" spans="1:15" x14ac:dyDescent="0.3">
      <c r="A5" s="47"/>
      <c r="B5" s="54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>
        <v>144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6">
        <f>IF(COUNTA(C6:N6)=0,"",SUM(C6:N6))</f>
        <v>144</v>
      </c>
    </row>
    <row r="7" spans="1:15" x14ac:dyDescent="0.3">
      <c r="A7" s="47"/>
      <c r="B7" s="54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6" t="str">
        <f>IF(COUNTA(C8:N8)=0,"",SUM(C8:N8))</f>
        <v/>
      </c>
    </row>
    <row r="9" spans="1:15" x14ac:dyDescent="0.3">
      <c r="A9" s="47"/>
      <c r="B9" s="5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>
        <v>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>
        <f>IF(COUNTA(C10:N10)=0,"",SUM(C10:N10))</f>
        <v>4</v>
      </c>
    </row>
    <row r="11" spans="1:15" x14ac:dyDescent="0.3">
      <c r="A11" s="47"/>
      <c r="B11" s="54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>
        <v>5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>
        <f>IF(COUNTA(C12:N12)=0,"",SUM(C12:N12))</f>
        <v>5</v>
      </c>
    </row>
    <row r="13" spans="1:15" x14ac:dyDescent="0.3">
      <c r="A13" s="47"/>
      <c r="B13" s="54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87">
        <v>7.7999999999999996E-3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>
        <f>IF(COUNTA(C14:N14)=0,"",AVERAGE(C14:N14))</f>
        <v>7.7999999999999996E-3</v>
      </c>
    </row>
    <row r="15" spans="1:15" x14ac:dyDescent="0.3">
      <c r="A15" s="49" t="s">
        <v>28</v>
      </c>
      <c r="B15" s="55" t="s">
        <v>28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87">
        <v>3.4599999999999999E-2</v>
      </c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>
        <f>IF(COUNTA(C17:N17)=0,"",AVERAGE(C17:N17))</f>
        <v>3.4599999999999999E-2</v>
      </c>
    </row>
    <row r="18" spans="1:15" x14ac:dyDescent="0.3">
      <c r="A18" s="49" t="s">
        <v>28</v>
      </c>
      <c r="B18" s="55" t="s">
        <v>28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>
        <v>470</v>
      </c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>
        <f>IF(COUNTA(C20:N20)=0,"",SUM(C20:N20))</f>
        <v>470</v>
      </c>
    </row>
    <row r="21" spans="1:15" x14ac:dyDescent="0.3">
      <c r="A21" s="47"/>
      <c r="B21" s="54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>
        <v>0</v>
      </c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>
        <f>IF(COUNTA(C22:N22)=0,"",SUM(C22:N22))</f>
        <v>0</v>
      </c>
    </row>
    <row r="23" spans="1:15" x14ac:dyDescent="0.3">
      <c r="A23" s="49" t="s">
        <v>28</v>
      </c>
      <c r="B23" s="55" t="s">
        <v>28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6"/>
  <sheetViews>
    <sheetView tabSelected="1" topLeftCell="A2" workbookViewId="0">
      <selection activeCell="C10" sqref="C10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5.6640625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6.44140625" bestFit="1" customWidth="1"/>
  </cols>
  <sheetData>
    <row r="1" spans="1:15" ht="21" hidden="1" x14ac:dyDescent="0.3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72"/>
      <c r="B3" s="72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x14ac:dyDescent="0.3">
      <c r="A4" s="73" t="s">
        <v>134</v>
      </c>
      <c r="B4" s="63" t="s">
        <v>135</v>
      </c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6">
        <f t="shared" ref="O4:O7" si="0">SUM(C4:N4)</f>
        <v>0</v>
      </c>
    </row>
    <row r="5" spans="1:15" x14ac:dyDescent="0.3">
      <c r="A5" s="73"/>
      <c r="B5" s="63" t="s">
        <v>136</v>
      </c>
      <c r="C5" s="64">
        <v>2000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6">
        <f t="shared" si="0"/>
        <v>2000</v>
      </c>
    </row>
    <row r="6" spans="1:15" x14ac:dyDescent="0.3">
      <c r="A6" s="73"/>
      <c r="B6" s="63" t="s">
        <v>137</v>
      </c>
      <c r="C6" s="64">
        <v>5200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6">
        <f t="shared" si="0"/>
        <v>5200</v>
      </c>
    </row>
    <row r="7" spans="1:15" x14ac:dyDescent="0.3">
      <c r="A7" s="73"/>
      <c r="B7" s="63" t="s">
        <v>138</v>
      </c>
      <c r="C7" s="64">
        <v>2632875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6">
        <f t="shared" si="0"/>
        <v>2632875</v>
      </c>
    </row>
    <row r="8" spans="1:15" x14ac:dyDescent="0.3">
      <c r="A8" s="73"/>
      <c r="B8" s="63" t="s">
        <v>139</v>
      </c>
      <c r="C8" s="64">
        <v>36000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6">
        <f>SUM(C8:N8)</f>
        <v>36000</v>
      </c>
    </row>
    <row r="9" spans="1:15" x14ac:dyDescent="0.3">
      <c r="A9" s="73"/>
      <c r="B9" s="63" t="s">
        <v>140</v>
      </c>
      <c r="C9" s="64">
        <v>31640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6">
        <f t="shared" ref="O9:O15" si="1">SUM(C9:N9)</f>
        <v>31640</v>
      </c>
    </row>
    <row r="10" spans="1:15" x14ac:dyDescent="0.3">
      <c r="A10" s="73"/>
      <c r="B10" s="63" t="s">
        <v>141</v>
      </c>
      <c r="C10" s="64">
        <v>20000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6">
        <f t="shared" si="1"/>
        <v>20000</v>
      </c>
    </row>
    <row r="11" spans="1:15" x14ac:dyDescent="0.3">
      <c r="A11" s="73"/>
      <c r="B11" s="63" t="s">
        <v>142</v>
      </c>
      <c r="C11" s="64">
        <v>0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6">
        <f t="shared" si="1"/>
        <v>0</v>
      </c>
    </row>
    <row r="12" spans="1:15" x14ac:dyDescent="0.3">
      <c r="A12" s="73"/>
      <c r="B12" s="63" t="s">
        <v>143</v>
      </c>
      <c r="C12" s="64">
        <v>3317.72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6">
        <f t="shared" si="1"/>
        <v>3317.72</v>
      </c>
    </row>
    <row r="13" spans="1:15" x14ac:dyDescent="0.3">
      <c r="A13" s="73"/>
      <c r="B13" s="63" t="s">
        <v>144</v>
      </c>
      <c r="C13" s="64">
        <v>8000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6">
        <f t="shared" si="1"/>
        <v>8000</v>
      </c>
    </row>
    <row r="14" spans="1:15" x14ac:dyDescent="0.3">
      <c r="A14" s="73"/>
      <c r="B14" s="63" t="s">
        <v>145</v>
      </c>
      <c r="C14" s="64">
        <v>200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6">
        <f t="shared" si="1"/>
        <v>200</v>
      </c>
    </row>
    <row r="15" spans="1:15" x14ac:dyDescent="0.3">
      <c r="A15" s="73"/>
      <c r="B15" s="63" t="s">
        <v>13</v>
      </c>
      <c r="C15" s="64">
        <f>SUM(C4:C14)</f>
        <v>2739232.72</v>
      </c>
      <c r="D15" s="65">
        <f t="shared" ref="D15:N15" si="2">SUM(D4:D14)</f>
        <v>0</v>
      </c>
      <c r="E15" s="65">
        <f t="shared" si="2"/>
        <v>0</v>
      </c>
      <c r="F15" s="65">
        <f t="shared" si="2"/>
        <v>0</v>
      </c>
      <c r="G15" s="65">
        <f t="shared" si="2"/>
        <v>0</v>
      </c>
      <c r="H15" s="65">
        <f t="shared" si="2"/>
        <v>0</v>
      </c>
      <c r="I15" s="65">
        <f t="shared" si="2"/>
        <v>0</v>
      </c>
      <c r="J15" s="65">
        <f t="shared" si="2"/>
        <v>0</v>
      </c>
      <c r="K15" s="65">
        <f t="shared" si="2"/>
        <v>0</v>
      </c>
      <c r="L15" s="65">
        <f t="shared" si="2"/>
        <v>0</v>
      </c>
      <c r="M15" s="65">
        <f t="shared" si="2"/>
        <v>0</v>
      </c>
      <c r="N15" s="65">
        <f t="shared" si="2"/>
        <v>0</v>
      </c>
      <c r="O15" s="66">
        <f t="shared" si="1"/>
        <v>2739232.72</v>
      </c>
    </row>
    <row r="16" spans="1:15" x14ac:dyDescent="0.3">
      <c r="A16" s="61"/>
      <c r="B16" s="61"/>
      <c r="C16" s="62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</sheetData>
  <mergeCells count="3">
    <mergeCell ref="A1:O1"/>
    <mergeCell ref="A3:B3"/>
    <mergeCell ref="A4:A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2026-04-09T14:42:56Z</dcterms:modified>
</cp:coreProperties>
</file>