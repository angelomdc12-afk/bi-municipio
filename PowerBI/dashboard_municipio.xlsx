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33098A75-E31A-4041-83D8-8BA51F3E89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TAS DO PLANO DE TRABALHO" sheetId="9" r:id="rId1"/>
    <sheet name="INDICADORES UPA LUZIÂNIA" sheetId="1" r:id="rId2"/>
    <sheet name="INDICADORES UPA JARDIM INGÁ" sheetId="2" r:id="rId3"/>
    <sheet name="INDICADORES HMJI" sheetId="3" r:id="rId4"/>
    <sheet name="INDICADORES ATENÇÃO SECUNDÁRIA" sheetId="4" r:id="rId5"/>
    <sheet name="INDICADORES SAÚDE MENTAL" sheetId="5" r:id="rId6"/>
    <sheet name="INDICADORES ATENÇÃO PRIMÁRIA" sheetId="6" r:id="rId7"/>
    <sheet name="Planilha1" sheetId="7" state="hidden" r:id="rId8"/>
    <sheet name="1.TRIMESTRE" sheetId="8" state="hidden" r:id="rId9"/>
  </sheets>
  <externalReferences>
    <externalReference r:id="rId10"/>
  </externalReferences>
  <calcPr calcId="191029"/>
</workbook>
</file>

<file path=xl/calcChain.xml><?xml version="1.0" encoding="utf-8"?>
<calcChain xmlns="http://schemas.openxmlformats.org/spreadsheetml/2006/main">
  <c r="N18" i="9" l="1"/>
  <c r="M18" i="9"/>
  <c r="L18" i="9"/>
  <c r="O18" i="9" s="1"/>
  <c r="K18" i="9"/>
  <c r="J18" i="9"/>
  <c r="I18" i="9"/>
  <c r="H18" i="9"/>
  <c r="G18" i="9"/>
  <c r="F18" i="9"/>
  <c r="E18" i="9"/>
  <c r="D18" i="9"/>
  <c r="C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L105" i="8"/>
  <c r="L106" i="8" s="1"/>
  <c r="G48" i="8"/>
  <c r="F48" i="8"/>
  <c r="E48" i="8"/>
  <c r="D48" i="8"/>
  <c r="O44" i="8"/>
  <c r="H41" i="8"/>
  <c r="H40" i="8"/>
  <c r="H39" i="8"/>
  <c r="G38" i="8"/>
  <c r="F38" i="8"/>
  <c r="E38" i="8"/>
  <c r="H38" i="8" s="1"/>
  <c r="H37" i="8"/>
  <c r="H36" i="8"/>
  <c r="G36" i="8"/>
  <c r="F36" i="8"/>
  <c r="E36" i="8"/>
  <c r="H35" i="8"/>
  <c r="H34" i="8"/>
  <c r="H33" i="8"/>
  <c r="H32" i="8"/>
  <c r="H31" i="8"/>
  <c r="G30" i="8"/>
  <c r="F30" i="8"/>
  <c r="E30" i="8"/>
  <c r="H30" i="8" s="1"/>
  <c r="H29" i="8"/>
  <c r="G28" i="8"/>
  <c r="F28" i="8"/>
  <c r="E28" i="8"/>
  <c r="H28" i="8" s="1"/>
  <c r="H27" i="8"/>
  <c r="G26" i="8"/>
  <c r="F26" i="8"/>
  <c r="H26" i="8" s="1"/>
  <c r="E26" i="8"/>
  <c r="H25" i="8"/>
  <c r="H24" i="8"/>
  <c r="D24" i="8"/>
  <c r="H23" i="8"/>
  <c r="H22" i="8"/>
  <c r="G22" i="8"/>
  <c r="F22" i="8"/>
  <c r="E22" i="8"/>
  <c r="H21" i="8"/>
  <c r="G20" i="8"/>
  <c r="F20" i="8"/>
  <c r="E20" i="8"/>
  <c r="H20" i="8" s="1"/>
  <c r="H19" i="8"/>
  <c r="H18" i="8"/>
  <c r="G18" i="8"/>
  <c r="F18" i="8"/>
  <c r="E18" i="8"/>
  <c r="H17" i="8"/>
  <c r="G16" i="8"/>
  <c r="F16" i="8"/>
  <c r="E16" i="8"/>
  <c r="H16" i="8" s="1"/>
  <c r="H15" i="8"/>
  <c r="G14" i="8"/>
  <c r="F14" i="8"/>
  <c r="E14" i="8"/>
  <c r="H14" i="8" s="1"/>
  <c r="H13" i="8"/>
  <c r="H12" i="8"/>
  <c r="G12" i="8"/>
  <c r="F12" i="8"/>
  <c r="E12" i="8"/>
  <c r="H11" i="8"/>
  <c r="G10" i="8"/>
  <c r="F10" i="8"/>
  <c r="E10" i="8"/>
  <c r="H10" i="8" s="1"/>
  <c r="H9" i="8"/>
  <c r="H8" i="8"/>
  <c r="G8" i="8"/>
  <c r="F8" i="8"/>
  <c r="E8" i="8"/>
  <c r="H7" i="8"/>
  <c r="G6" i="8"/>
  <c r="F6" i="8"/>
  <c r="E6" i="8"/>
  <c r="H6" i="8" s="1"/>
  <c r="H5" i="8"/>
  <c r="G4" i="8"/>
  <c r="F4" i="8"/>
  <c r="E4" i="8"/>
  <c r="H4" i="8" s="1"/>
  <c r="J3" i="8"/>
  <c r="H3" i="8"/>
  <c r="H48" i="8" s="1"/>
  <c r="J2" i="8"/>
  <c r="G2" i="8"/>
  <c r="F2" i="8"/>
  <c r="E2" i="8"/>
  <c r="H2" i="8" s="1"/>
  <c r="O8" i="6"/>
  <c r="O14" i="4"/>
  <c r="O11" i="4"/>
  <c r="O8" i="4"/>
  <c r="O32" i="3"/>
  <c r="O30" i="3"/>
  <c r="O29" i="3"/>
  <c r="O26" i="3"/>
  <c r="O24" i="3"/>
  <c r="O23" i="3"/>
  <c r="N20" i="3"/>
  <c r="M20" i="3"/>
  <c r="L20" i="3"/>
  <c r="K20" i="3"/>
  <c r="J20" i="3"/>
  <c r="I20" i="3"/>
  <c r="H20" i="3"/>
  <c r="G20" i="3"/>
  <c r="F20" i="3"/>
  <c r="O20" i="3" s="1"/>
  <c r="E20" i="3"/>
  <c r="D20" i="3"/>
  <c r="C20" i="3"/>
  <c r="O19" i="3"/>
  <c r="O17" i="3"/>
  <c r="O16" i="3"/>
  <c r="O13" i="3"/>
  <c r="O12" i="3"/>
  <c r="O11" i="3"/>
  <c r="O8" i="3"/>
  <c r="N5" i="3"/>
  <c r="M5" i="3"/>
  <c r="L5" i="3"/>
  <c r="K5" i="3"/>
  <c r="J5" i="3"/>
  <c r="I5" i="3"/>
  <c r="H5" i="3"/>
  <c r="G5" i="3"/>
  <c r="F5" i="3"/>
  <c r="E5" i="3"/>
  <c r="D5" i="3"/>
  <c r="C5" i="3"/>
  <c r="O5" i="3" s="1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4" i="2" s="1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9" i="2" s="1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O47" i="2" s="1"/>
  <c r="E47" i="2"/>
  <c r="D47" i="2"/>
  <c r="C47" i="2"/>
  <c r="O46" i="2"/>
  <c r="O45" i="2"/>
  <c r="O44" i="2"/>
  <c r="O41" i="2"/>
  <c r="O38" i="2"/>
  <c r="O35" i="2"/>
  <c r="O32" i="2"/>
  <c r="O28" i="2"/>
  <c r="N25" i="2"/>
  <c r="M25" i="2"/>
  <c r="L25" i="2"/>
  <c r="K25" i="2"/>
  <c r="F25" i="2"/>
  <c r="E25" i="2"/>
  <c r="D25" i="2"/>
  <c r="C25" i="2"/>
  <c r="O25" i="2" s="1"/>
  <c r="N24" i="2"/>
  <c r="H24" i="2"/>
  <c r="F24" i="2"/>
  <c r="N23" i="2"/>
  <c r="M23" i="2"/>
  <c r="H23" i="2"/>
  <c r="G23" i="2"/>
  <c r="F23" i="2"/>
  <c r="E23" i="2"/>
  <c r="N22" i="2"/>
  <c r="M22" i="2"/>
  <c r="L22" i="2"/>
  <c r="K22" i="2"/>
  <c r="J22" i="2"/>
  <c r="H22" i="2"/>
  <c r="F22" i="2"/>
  <c r="E22" i="2"/>
  <c r="D22" i="2"/>
  <c r="C22" i="2"/>
  <c r="O22" i="2" s="1"/>
  <c r="H21" i="2"/>
  <c r="G21" i="2"/>
  <c r="N20" i="2"/>
  <c r="M20" i="2"/>
  <c r="L20" i="2"/>
  <c r="H20" i="2"/>
  <c r="G20" i="2"/>
  <c r="F20" i="2"/>
  <c r="E20" i="2"/>
  <c r="D20" i="2"/>
  <c r="N18" i="2"/>
  <c r="N21" i="2" s="1"/>
  <c r="M18" i="2"/>
  <c r="M24" i="2" s="1"/>
  <c r="L18" i="2"/>
  <c r="L21" i="2" s="1"/>
  <c r="K18" i="2"/>
  <c r="K21" i="2" s="1"/>
  <c r="J18" i="2"/>
  <c r="J23" i="2" s="1"/>
  <c r="I18" i="2"/>
  <c r="I20" i="2" s="1"/>
  <c r="H18" i="2"/>
  <c r="H25" i="2" s="1"/>
  <c r="G18" i="2"/>
  <c r="G22" i="2" s="1"/>
  <c r="F18" i="2"/>
  <c r="F21" i="2" s="1"/>
  <c r="E18" i="2"/>
  <c r="E24" i="2" s="1"/>
  <c r="D18" i="2"/>
  <c r="D21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O5" i="2" s="1"/>
  <c r="E5" i="2"/>
  <c r="D5" i="2"/>
  <c r="C5" i="2"/>
  <c r="O4" i="2"/>
  <c r="O67" i="1"/>
  <c r="N64" i="1"/>
  <c r="M64" i="1"/>
  <c r="L64" i="1"/>
  <c r="K64" i="1"/>
  <c r="J64" i="1"/>
  <c r="I64" i="1"/>
  <c r="H64" i="1"/>
  <c r="G64" i="1"/>
  <c r="F64" i="1"/>
  <c r="E64" i="1"/>
  <c r="O64" i="1" s="1"/>
  <c r="D64" i="1"/>
  <c r="C64" i="1"/>
  <c r="O63" i="1"/>
  <c r="O62" i="1"/>
  <c r="N59" i="1"/>
  <c r="M59" i="1"/>
  <c r="L59" i="1"/>
  <c r="K59" i="1"/>
  <c r="J59" i="1"/>
  <c r="I59" i="1"/>
  <c r="H59" i="1"/>
  <c r="G59" i="1"/>
  <c r="F59" i="1"/>
  <c r="E59" i="1"/>
  <c r="D59" i="1"/>
  <c r="O59" i="1" s="1"/>
  <c r="C59" i="1"/>
  <c r="O58" i="1"/>
  <c r="O57" i="1"/>
  <c r="O56" i="1"/>
  <c r="O55" i="1"/>
  <c r="O54" i="1"/>
  <c r="O53" i="1"/>
  <c r="O52" i="1"/>
  <c r="O51" i="1"/>
  <c r="O50" i="1"/>
  <c r="N47" i="1"/>
  <c r="M47" i="1"/>
  <c r="L47" i="1"/>
  <c r="K47" i="1"/>
  <c r="J47" i="1"/>
  <c r="I47" i="1"/>
  <c r="H47" i="1"/>
  <c r="G47" i="1"/>
  <c r="F47" i="1"/>
  <c r="E47" i="1"/>
  <c r="D47" i="1"/>
  <c r="C47" i="1"/>
  <c r="O47" i="1" s="1"/>
  <c r="O46" i="1"/>
  <c r="O45" i="1"/>
  <c r="O44" i="1"/>
  <c r="O41" i="1"/>
  <c r="O38" i="1"/>
  <c r="O35" i="1"/>
  <c r="O32" i="1"/>
  <c r="O28" i="1"/>
  <c r="J25" i="1"/>
  <c r="I25" i="1"/>
  <c r="H25" i="1"/>
  <c r="G25" i="1"/>
  <c r="L24" i="1"/>
  <c r="J24" i="1"/>
  <c r="D24" i="1"/>
  <c r="L23" i="1"/>
  <c r="K23" i="1"/>
  <c r="J23" i="1"/>
  <c r="I23" i="1"/>
  <c r="D23" i="1"/>
  <c r="C23" i="1"/>
  <c r="N22" i="1"/>
  <c r="L22" i="1"/>
  <c r="J22" i="1"/>
  <c r="I22" i="1"/>
  <c r="H22" i="1"/>
  <c r="G22" i="1"/>
  <c r="F22" i="1"/>
  <c r="D22" i="1"/>
  <c r="L21" i="1"/>
  <c r="K21" i="1"/>
  <c r="I21" i="1"/>
  <c r="D21" i="1"/>
  <c r="C21" i="1"/>
  <c r="L20" i="1"/>
  <c r="K20" i="1"/>
  <c r="J20" i="1"/>
  <c r="I20" i="1"/>
  <c r="H20" i="1"/>
  <c r="D20" i="1"/>
  <c r="C20" i="1"/>
  <c r="N18" i="1"/>
  <c r="N23" i="1" s="1"/>
  <c r="M18" i="1"/>
  <c r="M20" i="1" s="1"/>
  <c r="L18" i="1"/>
  <c r="L25" i="1" s="1"/>
  <c r="K18" i="1"/>
  <c r="K22" i="1" s="1"/>
  <c r="J18" i="1"/>
  <c r="J21" i="1" s="1"/>
  <c r="I18" i="1"/>
  <c r="I24" i="1" s="1"/>
  <c r="H18" i="1"/>
  <c r="H21" i="1" s="1"/>
  <c r="G18" i="1"/>
  <c r="G21" i="1" s="1"/>
  <c r="F18" i="1"/>
  <c r="F23" i="1" s="1"/>
  <c r="E18" i="1"/>
  <c r="E20" i="1" s="1"/>
  <c r="D18" i="1"/>
  <c r="D25" i="1" s="1"/>
  <c r="C18" i="1"/>
  <c r="C22" i="1" s="1"/>
  <c r="O17" i="1"/>
  <c r="O16" i="1"/>
  <c r="O15" i="1"/>
  <c r="O14" i="1"/>
  <c r="O13" i="1"/>
  <c r="O12" i="1"/>
  <c r="O9" i="1"/>
  <c r="O8" i="1"/>
  <c r="N5" i="1"/>
  <c r="M5" i="1"/>
  <c r="L5" i="1"/>
  <c r="K5" i="1"/>
  <c r="J5" i="1"/>
  <c r="I5" i="1"/>
  <c r="H5" i="1"/>
  <c r="G5" i="1"/>
  <c r="F5" i="1"/>
  <c r="E5" i="1"/>
  <c r="D5" i="1"/>
  <c r="C5" i="1"/>
  <c r="O5" i="1" s="1"/>
  <c r="O4" i="1"/>
  <c r="O23" i="1" l="1"/>
  <c r="O21" i="2"/>
  <c r="I24" i="2"/>
  <c r="E21" i="1"/>
  <c r="O21" i="1" s="1"/>
  <c r="F24" i="1"/>
  <c r="I21" i="2"/>
  <c r="F20" i="1"/>
  <c r="O20" i="1" s="1"/>
  <c r="N20" i="1"/>
  <c r="G23" i="1"/>
  <c r="E25" i="1"/>
  <c r="M25" i="1"/>
  <c r="O18" i="2"/>
  <c r="J20" i="2"/>
  <c r="E21" i="2"/>
  <c r="M21" i="2"/>
  <c r="C23" i="2"/>
  <c r="O23" i="2" s="1"/>
  <c r="K23" i="2"/>
  <c r="I25" i="2"/>
  <c r="G20" i="1"/>
  <c r="E22" i="1"/>
  <c r="O22" i="1" s="1"/>
  <c r="M22" i="1"/>
  <c r="H23" i="1"/>
  <c r="C24" i="1"/>
  <c r="K24" i="1"/>
  <c r="F25" i="1"/>
  <c r="N25" i="1"/>
  <c r="C20" i="2"/>
  <c r="O20" i="2" s="1"/>
  <c r="K20" i="2"/>
  <c r="I22" i="2"/>
  <c r="D23" i="2"/>
  <c r="L23" i="2"/>
  <c r="G24" i="2"/>
  <c r="J25" i="2"/>
  <c r="O18" i="1"/>
  <c r="F21" i="1"/>
  <c r="K24" i="2"/>
  <c r="E24" i="1"/>
  <c r="M24" i="1"/>
  <c r="M21" i="1"/>
  <c r="N24" i="1"/>
  <c r="J24" i="2"/>
  <c r="N21" i="1"/>
  <c r="G24" i="1"/>
  <c r="J21" i="2"/>
  <c r="C24" i="2"/>
  <c r="O24" i="2" s="1"/>
  <c r="E23" i="1"/>
  <c r="M23" i="1"/>
  <c r="H24" i="1"/>
  <c r="C25" i="1"/>
  <c r="K25" i="1"/>
  <c r="I23" i="2"/>
  <c r="D24" i="2"/>
  <c r="L24" i="2"/>
  <c r="G25" i="2"/>
  <c r="O25" i="1" l="1"/>
  <c r="O24" i="1"/>
</calcChain>
</file>

<file path=xl/sharedStrings.xml><?xml version="1.0" encoding="utf-8"?>
<sst xmlns="http://schemas.openxmlformats.org/spreadsheetml/2006/main" count="912" uniqueCount="227">
  <si>
    <t>UPA DE LUZIÂNIA - UPA II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</si>
  <si>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</si>
  <si>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</si>
  <si>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</si>
  <si>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</si>
  <si>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</si>
  <si>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</si>
  <si>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</si>
  <si>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</si>
  <si>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</si>
  <si>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</si>
  <si>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</si>
  <si>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</si>
  <si>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</si>
  <si>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</si>
  <si>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</si>
  <si>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</si>
  <si>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</si>
  <si>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</si>
  <si>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</si>
  <si>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</si>
  <si>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</si>
  <si>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</si>
  <si>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</si>
  <si>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</si>
  <si>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</si>
  <si>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</si>
  <si>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</si>
  <si>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</si>
  <si>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</si>
  <si>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</si>
  <si>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</si>
  <si>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</si>
  <si>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</si>
  <si>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</si>
  <si>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</si>
  <si>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</si>
  <si>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</si>
  <si>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</si>
  <si>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</si>
  <si>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</si>
  <si>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</si>
  <si>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</si>
  <si>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</si>
  <si>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</si>
  <si>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</si>
  <si>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</si>
  <si>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</si>
  <si>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</si>
  <si>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</si>
  <si>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</si>
  <si>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</si>
  <si>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</si>
  <si>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</si>
  <si>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</si>
  <si>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</si>
  <si>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</si>
  <si>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</si>
  <si>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</si>
  <si>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</si>
  <si>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</si>
  <si>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</si>
  <si>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</si>
  <si>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</si>
  <si>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</si>
  <si>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</si>
  <si>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</si>
  <si>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</si>
  <si>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</si>
  <si>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</si>
  <si>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</si>
  <si>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</si>
  <si>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</si>
  <si>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</si>
  <si>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</si>
  <si>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</si>
  <si>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</si>
  <si>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</si>
  <si>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</si>
  <si>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</si>
  <si>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</si>
  <si>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</si>
  <si>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</si>
  <si>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</si>
  <si>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</si>
  <si>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</si>
  <si>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</si>
  <si>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</si>
  <si>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</si>
  <si>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</si>
  <si>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</si>
  <si>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</si>
  <si>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</si>
  <si>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</si>
  <si>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</si>
  <si>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</si>
  <si>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</si>
  <si>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</si>
  <si>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</si>
  <si>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</si>
  <si>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ATENÇÃO PRIMÁRIA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</si>
  <si>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</si>
  <si>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</si>
  <si>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</si>
  <si>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</si>
  <si>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</si>
  <si>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</si>
  <si>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</si>
  <si>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</si>
  <si>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</si>
  <si>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</si>
  <si>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Análise Quantitativa do Trimestre</t>
  </si>
  <si>
    <t>MÊS</t>
  </si>
  <si>
    <t>Pontuação Atingida</t>
  </si>
  <si>
    <t>Meta</t>
  </si>
  <si>
    <t>ABRIL</t>
  </si>
  <si>
    <t>MAIO</t>
  </si>
  <si>
    <t>JUNHO</t>
  </si>
  <si>
    <t>Percentual de Desistência de Atendimento Médico</t>
  </si>
  <si>
    <t>Descrição</t>
  </si>
  <si>
    <t>Valor</t>
  </si>
  <si>
    <t>Consultas Realizadas no Trimestre</t>
  </si>
  <si>
    <t>Meta Trimestral</t>
  </si>
  <si>
    <t>Atendimento Assistência Social</t>
  </si>
  <si>
    <t>Quadro Geral</t>
  </si>
  <si>
    <t>Equipe Médica</t>
  </si>
  <si>
    <t>Total de Notificações</t>
  </si>
  <si>
    <t>Percentual de Preenchimento Correto</t>
  </si>
  <si>
    <t>Item</t>
  </si>
  <si>
    <t>Forma de avaliação / memória de cálculo</t>
  </si>
  <si>
    <t>JANEIRO</t>
  </si>
  <si>
    <t>FEVEREIRO</t>
  </si>
  <si>
    <t>MARÇO</t>
  </si>
  <si>
    <t>MÉDIA TRIMESTRAL</t>
  </si>
  <si>
    <t>Taxa de satisfação do usuário</t>
  </si>
  <si>
    <t>≥ 80%</t>
  </si>
  <si>
    <t>Consultas Realizadas</t>
  </si>
  <si>
    <t>Pontuação</t>
  </si>
  <si>
    <t>Taxa de usuários classificados como risco VERMELHO com tempo máximo de espera de 5 minutos para atendimento médico.</t>
  </si>
  <si>
    <t>≥ 95%</t>
  </si>
  <si>
    <t>Média no tempo de espera para atendimento médico no eixo VERMELHO</t>
  </si>
  <si>
    <t>≤ 5min</t>
  </si>
  <si>
    <t>Taxa de usuários classificados como risco LARANJA com tempo máximo de espera de 10 minutos para atendimento médico.</t>
  </si>
  <si>
    <t>≥ 85%</t>
  </si>
  <si>
    <t>Média no tempo de espera para atendimento médico no eixo LARANJA</t>
  </si>
  <si>
    <t>≤ 10min</t>
  </si>
  <si>
    <t>Taxa de usuários classificados como risco AMARELO com tempo máximo de espera de 60 minutos para atendimento médico.</t>
  </si>
  <si>
    <t>≥ 90%</t>
  </si>
  <si>
    <t>Média no tempo de espera para atendimento médico no eixo AMARELO</t>
  </si>
  <si>
    <t>≤ 60min</t>
  </si>
  <si>
    <t>Taxa de usuários classificados como risco VERDE com tempo máximo de espera de 120 minutos para atendimento médico.</t>
  </si>
  <si>
    <t>Média no tempo de espera para atendimento médico no eixo VERDE</t>
  </si>
  <si>
    <t>≤ 120min</t>
  </si>
  <si>
    <t>Taxa de usuários classificados como risco AZUL com tempo máximo de espera de 240 minutos para atendimento médico.</t>
  </si>
  <si>
    <t>Média no tempo de espera para atendimento médico no eixo AZUL</t>
  </si>
  <si>
    <t>≤ 240min</t>
  </si>
  <si>
    <t>Realizar 100% a Classificação de Risco dos pacientes que procuram atendimentos de urgência e emergência.</t>
  </si>
  <si>
    <t>Média no tempo de espera para Classificação de riscos</t>
  </si>
  <si>
    <t>Percentual de desistência de atendimento médico</t>
  </si>
  <si>
    <t>≤ 5%</t>
  </si>
  <si>
    <t>Número de Consultas Médicas mensais</t>
  </si>
  <si>
    <t>≥ 8.000</t>
  </si>
  <si>
    <t>Registro em CLM ou CLP</t>
  </si>
  <si>
    <t>Atendimento assistência social</t>
  </si>
  <si>
    <t>Capacitação quadro geral</t>
  </si>
  <si>
    <t>≥ 2 horas</t>
  </si>
  <si>
    <t>Capacitação equipe médica</t>
  </si>
  <si>
    <t>≥80%</t>
  </si>
  <si>
    <t>Reuniões das comissões implantadas</t>
  </si>
  <si>
    <t>Notificações compulsórias</t>
  </si>
  <si>
    <t>Preenchimento Correto SINAN</t>
  </si>
  <si>
    <t>Ok</t>
  </si>
  <si>
    <t>Relatório de transferências de pacientes</t>
  </si>
  <si>
    <t>Apresentação de relatório</t>
  </si>
  <si>
    <t>Garantir a rastreabilidade de todos os insumos e medicamentos prescritos para os pacientes da unidade.</t>
  </si>
  <si>
    <t>Sistema de Gestão</t>
  </si>
  <si>
    <t>Total</t>
  </si>
  <si>
    <t>COMISSÃO</t>
  </si>
  <si>
    <t>Data da Reunião Ref. Dez/24</t>
  </si>
  <si>
    <t>Data da Reunião Ref. Jan/25</t>
  </si>
  <si>
    <t>Data da Reunião Ref. Fev/25</t>
  </si>
  <si>
    <t>Análise e Revisão de Prontuários</t>
  </si>
  <si>
    <t>Controle de Infecção Pré-hospitalar</t>
  </si>
  <si>
    <t>Educação Permanente</t>
  </si>
  <si>
    <t>Farmácia e Terapêutica</t>
  </si>
  <si>
    <t>Gerenciamento de Resíduos e Perfurocortantes</t>
  </si>
  <si>
    <t>Padronização de Documentos</t>
  </si>
  <si>
    <t>Qualidade e Segurança do Paciente</t>
  </si>
  <si>
    <t>Revisão de Óbitos</t>
  </si>
  <si>
    <t>Ética Médica*</t>
  </si>
  <si>
    <t>Em fase de instituição</t>
  </si>
  <si>
    <t>Ética de Enfermagem*</t>
  </si>
  <si>
    <t>* Etapas para instauração das Comissões de Ética estão sendo executadas</t>
  </si>
  <si>
    <t>UNIDADE DE DESTINO</t>
  </si>
  <si>
    <t>QTD</t>
  </si>
  <si>
    <t xml:space="preserve">  PFP PENITENCIARIA FEMININA DO PARANA</t>
  </si>
  <si>
    <t xml:space="preserve">  PEP I PENITENCIARIA ESTADUAL DE PIRAQUARA</t>
  </si>
  <si>
    <t xml:space="preserve">  HOSPITAL DE CLINICAS</t>
  </si>
  <si>
    <t xml:space="preserve">  SAMU BRAVO - PIRAQUARA</t>
  </si>
  <si>
    <t xml:space="preserve">  HPM - HOSPITAL DA POLICIA MILITAR</t>
  </si>
  <si>
    <t xml:space="preserve">  HOSPITAL DO ROCIO CENTRAL ( VELHO)</t>
  </si>
  <si>
    <t xml:space="preserve">  HOSPITAL SAO VICENTE BATEL</t>
  </si>
  <si>
    <t xml:space="preserve">  HOSPITAL OSVALDO CRUZ</t>
  </si>
  <si>
    <t xml:space="preserve">  PCE PENITENCIARIA CENTRAL DO ESTADO</t>
  </si>
  <si>
    <t xml:space="preserve">  HOSPITAL REGIONAL DA LAPA DE SAO SE</t>
  </si>
  <si>
    <t xml:space="preserve">  HOSPITAL MUNICIPAL DE ARAUCARIA IND</t>
  </si>
  <si>
    <t xml:space="preserve">  HOSPITAL NOSSA SENHORA DO ROCIO</t>
  </si>
  <si>
    <t xml:space="preserve">  HOSPITAL ANGELINA CARON</t>
  </si>
  <si>
    <t xml:space="preserve">  HOSPITAL E MATERNIDADE DE PINHAIS</t>
  </si>
  <si>
    <t xml:space="preserve">  HOSPITAL SANTA CASA</t>
  </si>
  <si>
    <t xml:space="preserve">  HOSPITAL INFANTIL PEQUENO PRINCIPE</t>
  </si>
  <si>
    <t xml:space="preserve">  HEC HOSPITAL EVANGELICO DE CURITIBA</t>
  </si>
  <si>
    <t xml:space="preserve">  HMSJP - HOSPITAL MUNICIPAL SAO JOSE</t>
  </si>
  <si>
    <t xml:space="preserve">  UBS TREINAMENTO</t>
  </si>
  <si>
    <t xml:space="preserve">  HOSPITAL UNIVERSITARIO CAJURU</t>
  </si>
  <si>
    <t xml:space="preserve">  HOSPITAL UNIVERSITARIO EVANGELICO D</t>
  </si>
  <si>
    <t xml:space="preserve">  HOSPITAL DO TRABALHADOR</t>
  </si>
  <si>
    <t>METAS</t>
  </si>
  <si>
    <t>METAS POR SUB-GRUPO PLANO DE TRABALHO</t>
  </si>
  <si>
    <t>AÇÕES COLETIVA</t>
  </si>
  <si>
    <t xml:space="preserve">META 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</si>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</sst>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scheme val="minor"/>
    </font>
    <font>
      <sz val="16"/>
      <color theme="1"/>
      <name val="Aptos Narrow"/>
    </font>
    <font>
      <sz val="11"/>
      <color theme="1"/>
      <name val="Aptos Narrow"/>
    </font>
    <font>
      <b/>
      <sz val="11"/>
      <color theme="0"/>
      <name val="Aptos Narrow"/>
    </font>
    <font>
      <sz val="11"/>
      <name val="Aptos Narrow"/>
    </font>
    <font>
      <b/>
      <sz val="11"/>
      <color theme="1"/>
      <name val="Aptos Narrow"/>
    </font>
    <font>
      <sz val="11"/>
      <color theme="1"/>
      <name val="Aptos Narrow"/>
      <scheme val="minor"/>
    </font>
    <font>
      <b/>
      <sz val="10"/>
      <color theme="0"/>
      <name val="Times New Roman"/>
    </font>
    <font>
      <b/>
      <sz val="9"/>
      <color theme="1"/>
      <name val="Times New Roman"/>
    </font>
    <font>
      <sz val="11"/>
      <color theme="1"/>
      <name val="Times New Roman"/>
    </font>
    <font>
      <b/>
      <sz val="11"/>
      <color theme="0"/>
      <name val="Times New Roman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000000"/>
      <name val="Calibri"/>
    </font>
    <font>
      <sz val="10"/>
      <color rgb="FF000000"/>
      <name val="Arial"/>
    </font>
    <font>
      <sz val="7"/>
      <color rgb="FF000000"/>
      <name val="Arial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0F4861"/>
        <bgColor rgb="FF0F4861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002060"/>
      </patternFill>
    </fill>
    <fill>
      <patternFill patternType="solid">
        <fgColor rgb="FF00FF00"/>
        <bgColor rgb="FF00FF00"/>
      </patternFill>
    </fill>
    <fill>
      <patternFill patternType="solid">
        <fgColor rgb="FFDD5A09"/>
        <bgColor rgb="FFDD5A09"/>
      </patternFill>
    </fill>
    <fill>
      <patternFill patternType="solid">
        <fgColor rgb="FFFF0000"/>
        <bgColor rgb="FFFF0000"/>
      </patternFill>
    </fill>
    <fill>
      <patternFill patternType="solid">
        <fgColor rgb="FFBFBFBF"/>
        <bgColor rgb="FFBFBFBF"/>
      </patternFill>
    </fill>
    <fill>
      <patternFill patternType="solid">
        <fgColor rgb="FFFFFF65"/>
        <bgColor rgb="FFFFFF65"/>
      </patternFill>
    </fill>
    <fill>
      <patternFill patternType="solid">
        <fgColor theme="1"/>
        <bgColor theme="1"/>
      </patternFill>
    </fill>
    <fill>
      <patternFill patternType="solid">
        <fgColor rgb="FF4D94D8"/>
        <bgColor rgb="FF4D94D8"/>
      </patternFill>
    </fill>
    <fill>
      <patternFill patternType="solid">
        <fgColor rgb="FFEEF5FC"/>
        <bgColor rgb="FFEEF5FC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D3D3D3"/>
        <bgColor rgb="FFD3D3D3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34998626667073579"/>
        <bgColor indexed="64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AEABAB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3" borderId="1" xfId="0" applyNumberFormat="1" applyFont="1" applyFill="1" applyBorder="1" applyAlignment="1">
      <alignment horizontal="center" vertical="center"/>
    </xf>
    <xf numFmtId="21" fontId="2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1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/>
    <xf numFmtId="10" fontId="2" fillId="0" borderId="0" xfId="0" applyNumberFormat="1" applyFont="1"/>
    <xf numFmtId="9" fontId="2" fillId="0" borderId="0" xfId="0" applyNumberFormat="1" applyFont="1"/>
    <xf numFmtId="3" fontId="2" fillId="0" borderId="0" xfId="0" applyNumberFormat="1" applyFont="1"/>
    <xf numFmtId="21" fontId="2" fillId="3" borderId="1" xfId="0" applyNumberFormat="1" applyFont="1" applyFill="1" applyBorder="1" applyAlignment="1">
      <alignment horizontal="center" vertical="center"/>
    </xf>
    <xf numFmtId="21" fontId="2" fillId="0" borderId="0" xfId="0" applyNumberFormat="1" applyFont="1"/>
    <xf numFmtId="9" fontId="2" fillId="3" borderId="1" xfId="0" applyNumberFormat="1" applyFont="1" applyFill="1" applyBorder="1" applyAlignment="1">
      <alignment horizontal="center" vertical="center"/>
    </xf>
    <xf numFmtId="0" fontId="7" fillId="12" borderId="7" xfId="0" applyFont="1" applyFill="1" applyBorder="1" applyAlignment="1">
      <alignment horizontal="center" vertical="center" wrapText="1"/>
    </xf>
    <xf numFmtId="49" fontId="7" fillId="12" borderId="7" xfId="0" applyNumberFormat="1" applyFont="1" applyFill="1" applyBorder="1" applyAlignment="1">
      <alignment horizontal="center" vertical="center" wrapText="1"/>
    </xf>
    <xf numFmtId="22" fontId="7" fillId="12" borderId="7" xfId="0" applyNumberFormat="1" applyFont="1" applyFill="1" applyBorder="1" applyAlignment="1">
      <alignment horizontal="center" vertical="center" wrapText="1"/>
    </xf>
    <xf numFmtId="0" fontId="8" fillId="13" borderId="7" xfId="0" applyFont="1" applyFill="1" applyBorder="1" applyAlignment="1">
      <alignment horizontal="center" vertical="center" wrapText="1"/>
    </xf>
    <xf numFmtId="9" fontId="9" fillId="13" borderId="7" xfId="0" applyNumberFormat="1" applyFont="1" applyFill="1" applyBorder="1" applyAlignment="1">
      <alignment horizontal="center" vertical="center"/>
    </xf>
    <xf numFmtId="9" fontId="10" fillId="12" borderId="7" xfId="0" applyNumberFormat="1" applyFont="1" applyFill="1" applyBorder="1" applyAlignment="1">
      <alignment horizontal="center" vertical="center"/>
    </xf>
    <xf numFmtId="3" fontId="9" fillId="13" borderId="7" xfId="0" applyNumberFormat="1" applyFont="1" applyFill="1" applyBorder="1" applyAlignment="1">
      <alignment horizontal="center" vertical="center"/>
    </xf>
    <xf numFmtId="3" fontId="10" fillId="12" borderId="7" xfId="0" applyNumberFormat="1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 wrapText="1"/>
    </xf>
    <xf numFmtId="9" fontId="9" fillId="3" borderId="7" xfId="0" applyNumberFormat="1" applyFont="1" applyFill="1" applyBorder="1" applyAlignment="1">
      <alignment horizontal="center" vertical="center" wrapText="1"/>
    </xf>
    <xf numFmtId="3" fontId="9" fillId="3" borderId="7" xfId="0" applyNumberFormat="1" applyFont="1" applyFill="1" applyBorder="1" applyAlignment="1">
      <alignment horizontal="center" vertical="center" wrapText="1"/>
    </xf>
    <xf numFmtId="46" fontId="9" fillId="13" borderId="7" xfId="0" applyNumberFormat="1" applyFont="1" applyFill="1" applyBorder="1" applyAlignment="1">
      <alignment horizontal="center" vertical="center" wrapText="1"/>
    </xf>
    <xf numFmtId="46" fontId="10" fillId="12" borderId="7" xfId="0" applyNumberFormat="1" applyFont="1" applyFill="1" applyBorder="1" applyAlignment="1">
      <alignment horizontal="center" vertical="center"/>
    </xf>
    <xf numFmtId="3" fontId="9" fillId="13" borderId="7" xfId="0" applyNumberFormat="1" applyFont="1" applyFill="1" applyBorder="1" applyAlignment="1">
      <alignment horizontal="center" vertical="center" wrapText="1"/>
    </xf>
    <xf numFmtId="9" fontId="9" fillId="3" borderId="7" xfId="0" applyNumberFormat="1" applyFont="1" applyFill="1" applyBorder="1" applyAlignment="1">
      <alignment horizontal="center" vertical="center"/>
    </xf>
    <xf numFmtId="3" fontId="9" fillId="3" borderId="7" xfId="0" applyNumberFormat="1" applyFont="1" applyFill="1" applyBorder="1" applyAlignment="1">
      <alignment horizontal="center" vertical="center"/>
    </xf>
    <xf numFmtId="46" fontId="9" fillId="13" borderId="7" xfId="0" applyNumberFormat="1" applyFont="1" applyFill="1" applyBorder="1" applyAlignment="1">
      <alignment horizontal="center" vertical="center"/>
    </xf>
    <xf numFmtId="9" fontId="8" fillId="3" borderId="7" xfId="0" applyNumberFormat="1" applyFont="1" applyFill="1" applyBorder="1" applyAlignment="1">
      <alignment horizontal="center" vertical="center" wrapText="1"/>
    </xf>
    <xf numFmtId="0" fontId="9" fillId="13" borderId="7" xfId="0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10" fillId="12" borderId="7" xfId="0" applyNumberFormat="1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9" fontId="8" fillId="13" borderId="7" xfId="0" applyNumberFormat="1" applyFont="1" applyFill="1" applyBorder="1" applyAlignment="1">
      <alignment horizontal="center" vertical="center" wrapText="1"/>
    </xf>
    <xf numFmtId="9" fontId="9" fillId="13" borderId="7" xfId="0" applyNumberFormat="1" applyFont="1" applyFill="1" applyBorder="1" applyAlignment="1">
      <alignment horizontal="center" vertical="center" wrapText="1"/>
    </xf>
    <xf numFmtId="0" fontId="9" fillId="13" borderId="7" xfId="0" applyFont="1" applyFill="1" applyBorder="1" applyAlignment="1">
      <alignment horizontal="center" vertical="center" wrapText="1"/>
    </xf>
    <xf numFmtId="21" fontId="9" fillId="3" borderId="7" xfId="0" applyNumberFormat="1" applyFont="1" applyFill="1" applyBorder="1" applyAlignment="1">
      <alignment horizontal="center" vertical="center" wrapText="1"/>
    </xf>
    <xf numFmtId="21" fontId="10" fillId="12" borderId="7" xfId="0" applyNumberFormat="1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10" fillId="12" borderId="7" xfId="0" applyFont="1" applyFill="1" applyBorder="1" applyAlignment="1">
      <alignment horizontal="center" vertical="center"/>
    </xf>
    <xf numFmtId="0" fontId="10" fillId="12" borderId="7" xfId="0" applyFont="1" applyFill="1" applyBorder="1" applyAlignment="1">
      <alignment horizontal="center" vertical="center" wrapText="1"/>
    </xf>
    <xf numFmtId="3" fontId="10" fillId="12" borderId="7" xfId="0" applyNumberFormat="1" applyFont="1" applyFill="1" applyBorder="1" applyAlignment="1">
      <alignment horizontal="center" vertical="center" wrapText="1"/>
    </xf>
    <xf numFmtId="0" fontId="11" fillId="14" borderId="13" xfId="0" applyFont="1" applyFill="1" applyBorder="1" applyAlignment="1">
      <alignment horizontal="center" vertical="center"/>
    </xf>
    <xf numFmtId="0" fontId="11" fillId="14" borderId="13" xfId="0" applyFont="1" applyFill="1" applyBorder="1" applyAlignment="1">
      <alignment horizontal="center" vertical="center" wrapText="1"/>
    </xf>
    <xf numFmtId="0" fontId="12" fillId="15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16" xfId="0" applyFont="1" applyBorder="1" applyAlignment="1">
      <alignment vertical="center"/>
    </xf>
    <xf numFmtId="0" fontId="14" fillId="0" borderId="0" xfId="0" applyFont="1"/>
    <xf numFmtId="0" fontId="15" fillId="0" borderId="17" xfId="0" applyFont="1" applyBorder="1" applyAlignment="1">
      <alignment vertical="center"/>
    </xf>
    <xf numFmtId="0" fontId="15" fillId="0" borderId="17" xfId="0" applyFont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15" fillId="16" borderId="1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18" xfId="0" applyFont="1" applyBorder="1" applyAlignment="1">
      <alignment vertical="center"/>
    </xf>
    <xf numFmtId="0" fontId="15" fillId="0" borderId="18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5" fillId="4" borderId="2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5" fillId="3" borderId="2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4" fillId="0" borderId="11" xfId="0" applyFont="1" applyBorder="1"/>
    <xf numFmtId="0" fontId="8" fillId="13" borderId="10" xfId="0" applyFont="1" applyFill="1" applyBorder="1" applyAlignment="1">
      <alignment horizontal="center" vertical="center" wrapText="1"/>
    </xf>
    <xf numFmtId="0" fontId="7" fillId="12" borderId="8" xfId="0" applyFont="1" applyFill="1" applyBorder="1" applyAlignment="1">
      <alignment horizontal="center" vertical="center" wrapText="1"/>
    </xf>
    <xf numFmtId="0" fontId="4" fillId="0" borderId="9" xfId="0" applyFont="1" applyBorder="1"/>
    <xf numFmtId="0" fontId="13" fillId="0" borderId="16" xfId="0" applyFont="1" applyBorder="1" applyAlignment="1">
      <alignment horizontal="center" vertical="center"/>
    </xf>
    <xf numFmtId="0" fontId="4" fillId="0" borderId="16" xfId="0" applyFont="1" applyBorder="1"/>
    <xf numFmtId="0" fontId="13" fillId="0" borderId="14" xfId="0" applyFont="1" applyBorder="1" applyAlignment="1">
      <alignment horizontal="left" vertical="center"/>
    </xf>
    <xf numFmtId="0" fontId="4" fillId="0" borderId="14" xfId="0" applyFont="1" applyBorder="1"/>
    <xf numFmtId="0" fontId="10" fillId="12" borderId="8" xfId="0" applyFont="1" applyFill="1" applyBorder="1" applyAlignment="1">
      <alignment horizontal="center" vertical="center" wrapText="1"/>
    </xf>
    <xf numFmtId="0" fontId="4" fillId="0" borderId="12" xfId="0" applyFont="1" applyBorder="1"/>
    <xf numFmtId="0" fontId="12" fillId="0" borderId="14" xfId="0" applyFont="1" applyBorder="1" applyAlignment="1">
      <alignment horizontal="center" vertical="center" wrapText="1"/>
    </xf>
    <xf numFmtId="14" fontId="12" fillId="0" borderId="14" xfId="0" applyNumberFormat="1" applyFont="1" applyBorder="1" applyAlignment="1">
      <alignment horizontal="center" vertical="center"/>
    </xf>
    <xf numFmtId="17" fontId="12" fillId="0" borderId="14" xfId="0" applyNumberFormat="1" applyFont="1" applyBorder="1" applyAlignment="1">
      <alignment horizontal="center" vertical="center" wrapText="1"/>
    </xf>
    <xf numFmtId="0" fontId="13" fillId="15" borderId="2" xfId="0" applyFont="1" applyFill="1" applyBorder="1" applyAlignment="1">
      <alignment horizontal="center" vertical="center"/>
    </xf>
    <xf numFmtId="0" fontId="4" fillId="0" borderId="15" xfId="0" applyFont="1" applyBorder="1"/>
    <xf numFmtId="0" fontId="18" fillId="0" borderId="0" xfId="0" applyFont="1" applyAlignment="1">
      <alignment horizontal="left" vertical="center" wrapText="1" indent="61"/>
    </xf>
    <xf numFmtId="0" fontId="0" fillId="0" borderId="0" xfId="0" applyAlignment="1">
      <alignment horizontal="center" vertical="center"/>
    </xf>
    <xf numFmtId="0" fontId="16" fillId="17" borderId="0" xfId="0" applyFont="1" applyFill="1" applyAlignment="1">
      <alignment horizontal="center" vertical="center" wrapText="1"/>
    </xf>
    <xf numFmtId="0" fontId="16" fillId="17" borderId="0" xfId="0" applyFont="1" applyFill="1" applyAlignment="1">
      <alignment horizontal="center" vertical="center"/>
    </xf>
    <xf numFmtId="0" fontId="16" fillId="17" borderId="19" xfId="0" applyFont="1" applyFill="1" applyBorder="1" applyAlignment="1">
      <alignment horizontal="center" vertical="center" wrapText="1"/>
    </xf>
    <xf numFmtId="0" fontId="16" fillId="17" borderId="19" xfId="0" applyFont="1" applyFill="1" applyBorder="1" applyAlignment="1">
      <alignment horizontal="center" vertical="center"/>
    </xf>
    <xf numFmtId="0" fontId="17" fillId="18" borderId="19" xfId="0" applyFont="1" applyFill="1" applyBorder="1" applyAlignment="1">
      <alignment horizontal="center" vertical="center" wrapText="1"/>
    </xf>
    <xf numFmtId="0" fontId="17" fillId="18" borderId="19" xfId="0" applyFont="1" applyFill="1" applyBorder="1" applyAlignment="1">
      <alignment horizontal="left" vertical="center"/>
    </xf>
    <xf numFmtId="0" fontId="17" fillId="18" borderId="19" xfId="0" applyFont="1" applyFill="1" applyBorder="1" applyAlignment="1">
      <alignment horizontal="center" vertical="center"/>
    </xf>
    <xf numFmtId="3" fontId="17" fillId="18" borderId="19" xfId="0" applyNumberFormat="1" applyFont="1" applyFill="1" applyBorder="1" applyAlignment="1">
      <alignment horizontal="center" vertical="center"/>
    </xf>
    <xf numFmtId="0" fontId="17" fillId="19" borderId="19" xfId="0" applyFont="1" applyFill="1" applyBorder="1" applyAlignment="1">
      <alignment horizontal="left" vertical="center"/>
    </xf>
    <xf numFmtId="0" fontId="17" fillId="19" borderId="19" xfId="0" applyFont="1" applyFill="1" applyBorder="1" applyAlignment="1">
      <alignment horizontal="center" vertical="center"/>
    </xf>
    <xf numFmtId="3" fontId="17" fillId="19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Times New Roman"/>
              </a:defRPr>
            </a:pPr>
            <a:r>
              <a:rPr sz="1400" b="1" i="0">
                <a:solidFill>
                  <a:srgbClr val="757575"/>
                </a:solidFill>
                <a:latin typeface="Times New Roman"/>
              </a:rPr>
              <a:t>Análise Quantitativa do Trimestre - Abril a Junho/2025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Pontuação Atingida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Planilha1!$A$3:$A$5</c:f>
              <c:strCache>
                <c:ptCount val="3"/>
                <c:pt idx="0">
                  <c:v>ABRIL</c:v>
                </c:pt>
                <c:pt idx="1">
                  <c:v>MAIO</c:v>
                </c:pt>
                <c:pt idx="2">
                  <c:v>JUNHO</c:v>
                </c:pt>
              </c:strCache>
            </c:strRef>
          </c:cat>
          <c:val>
            <c:numRef>
              <c:f>Planilha1!$B$3:$B$5</c:f>
              <c:numCache>
                <c:formatCode>General</c:formatCode>
                <c:ptCount val="3"/>
                <c:pt idx="0">
                  <c:v>300</c:v>
                </c:pt>
                <c:pt idx="1">
                  <c:v>285</c:v>
                </c:pt>
                <c:pt idx="2">
                  <c:v>300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336-4270-BCA3-DB7EAF6B0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43885775"/>
        <c:axId val="1701705768"/>
      </c:barChart>
      <c:lineChart>
        <c:grouping val="standard"/>
        <c:varyColors val="0"/>
        <c:ser>
          <c:idx val="1"/>
          <c:order val="1"/>
          <c:tx>
            <c:v>Meta</c:v>
          </c:tx>
          <c:spPr>
            <a:ln w="28575" cmpd="sng">
              <a:solidFill>
                <a:srgbClr val="FF0000">
                  <a:alpha val="100000"/>
                </a:srgbClr>
              </a:solidFill>
              <a:prstDash val="dash"/>
            </a:ln>
          </c:spPr>
          <c:marker>
            <c:symbol val="none"/>
          </c:marker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1-E336-4270-BCA3-DB7EAF6B0C78}"/>
              </c:ext>
            </c:extLst>
          </c:dPt>
          <c:dLbls>
            <c:dLbl>
              <c:idx val="2"/>
              <c:spPr/>
              <c:txPr>
                <a:bodyPr/>
                <a:lstStyle/>
                <a:p>
                  <a:pPr lvl="0">
                    <a:defRPr sz="1200" b="1" i="0">
                      <a:solidFill>
                        <a:srgbClr val="FF0000"/>
                      </a:solidFill>
                      <a:latin typeface="Times New Roman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336-4270-BCA3-DB7EAF6B0C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Planilha1!$A$3:$A$5</c:f>
              <c:strCache>
                <c:ptCount val="3"/>
                <c:pt idx="0">
                  <c:v>ABRIL</c:v>
                </c:pt>
                <c:pt idx="1">
                  <c:v>MAIO</c:v>
                </c:pt>
                <c:pt idx="2">
                  <c:v>JUNHO</c:v>
                </c:pt>
              </c:strCache>
            </c:strRef>
          </c:cat>
          <c:val>
            <c:numRef>
              <c:f>Planilha1!$C$3:$C$5</c:f>
              <c:numCache>
                <c:formatCode>General</c:formatCode>
                <c:ptCount val="3"/>
                <c:pt idx="0">
                  <c:v>241</c:v>
                </c:pt>
                <c:pt idx="1">
                  <c:v>241</c:v>
                </c:pt>
                <c:pt idx="2">
                  <c:v>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6-4270-BCA3-DB7EAF6B0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3885775"/>
        <c:axId val="1701705768"/>
      </c:lineChart>
      <c:catAx>
        <c:axId val="843885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Times New Roman"/>
              </a:defRPr>
            </a:pPr>
            <a:endParaRPr lang="pt-BR"/>
          </a:p>
        </c:txPr>
        <c:crossAx val="1701705768"/>
        <c:crosses val="autoZero"/>
        <c:auto val="1"/>
        <c:lblAlgn val="ctr"/>
        <c:lblOffset val="100"/>
        <c:noMultiLvlLbl val="1"/>
      </c:catAx>
      <c:valAx>
        <c:axId val="170170576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843885775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1200" b="0" i="0">
              <a:solidFill>
                <a:srgbClr val="1A1A1A"/>
              </a:solidFill>
              <a:latin typeface="Times New Roman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Percentual de Desistência de Atendimento Médico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Planilha1!$B$10</c:f>
              <c:numCache>
                <c:formatCode>0.00%</c:formatCode>
                <c:ptCount val="1"/>
                <c:pt idx="0">
                  <c:v>5.4999999999999997E-3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81-4F32-9225-DFE91AEF04D7}"/>
            </c:ext>
          </c:extLst>
        </c:ser>
        <c:ser>
          <c:idx val="1"/>
          <c:order val="1"/>
          <c:tx>
            <c:v>Meta</c:v>
          </c:tx>
          <c:spPr>
            <a:solidFill>
              <a:srgbClr val="3BEF2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Planilha1!$B$11</c:f>
              <c:numCache>
                <c:formatCode>0%</c:formatCode>
                <c:ptCount val="1"/>
                <c:pt idx="0">
                  <c:v>0.05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A81-4F32-9225-DFE91AEF0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6347152"/>
        <c:axId val="2138663688"/>
      </c:barChart>
      <c:catAx>
        <c:axId val="79634715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138663688"/>
        <c:crosses val="autoZero"/>
        <c:auto val="1"/>
        <c:lblAlgn val="ctr"/>
        <c:lblOffset val="100"/>
        <c:noMultiLvlLbl val="1"/>
      </c:catAx>
      <c:valAx>
        <c:axId val="2138663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796347152"/>
        <c:crosses val="max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Times New Roman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Times New Roman"/>
              </a:defRPr>
            </a:pPr>
            <a:r>
              <a:rPr sz="1600" b="1" i="0">
                <a:solidFill>
                  <a:srgbClr val="757575"/>
                </a:solidFill>
                <a:latin typeface="Times New Roman"/>
              </a:rPr>
              <a:t>Consultas Realizadas no Trimestre x Meta Trimestral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Valor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Planilha1!$A$25:$A$26</c:f>
              <c:strCache>
                <c:ptCount val="2"/>
                <c:pt idx="0">
                  <c:v>Consultas Realizadas no Trimestre</c:v>
                </c:pt>
                <c:pt idx="1">
                  <c:v>Meta Trimestral</c:v>
                </c:pt>
              </c:strCache>
            </c:strRef>
          </c:cat>
          <c:val>
            <c:numRef>
              <c:f>Planilha1!$B$25:$B$26</c:f>
              <c:numCache>
                <c:formatCode>#,##0</c:formatCode>
                <c:ptCount val="2"/>
                <c:pt idx="0">
                  <c:v>36699</c:v>
                </c:pt>
                <c:pt idx="1">
                  <c:v>24000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1D5-4E90-A49B-D4F5BC2ED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1021855"/>
        <c:axId val="1438115559"/>
      </c:barChart>
      <c:catAx>
        <c:axId val="711021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Times New Roman"/>
              </a:defRPr>
            </a:pPr>
            <a:endParaRPr lang="pt-BR"/>
          </a:p>
        </c:txPr>
        <c:crossAx val="1438115559"/>
        <c:crosses val="autoZero"/>
        <c:auto val="1"/>
        <c:lblAlgn val="ctr"/>
        <c:lblOffset val="100"/>
        <c:noMultiLvlLbl val="1"/>
      </c:catAx>
      <c:valAx>
        <c:axId val="143811555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711021855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Atendimento Assistência Social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1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Planilha1!$B$30:$D$30</c:f>
              <c:strCache>
                <c:ptCount val="3"/>
                <c:pt idx="0">
                  <c:v>ABRIL</c:v>
                </c:pt>
                <c:pt idx="1">
                  <c:v>MAIO</c:v>
                </c:pt>
                <c:pt idx="2">
                  <c:v>JUNHO</c:v>
                </c:pt>
              </c:strCache>
            </c:strRef>
          </c:cat>
          <c:val>
            <c:numRef>
              <c:f>Planilha1!$B$31:$D$31</c:f>
              <c:numCache>
                <c:formatCode>General</c:formatCode>
                <c:ptCount val="3"/>
                <c:pt idx="0">
                  <c:v>378</c:v>
                </c:pt>
                <c:pt idx="1">
                  <c:v>501</c:v>
                </c:pt>
                <c:pt idx="2">
                  <c:v>445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FF9-4D31-B49E-9AD9F1845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162587"/>
        <c:axId val="1882436893"/>
      </c:barChart>
      <c:catAx>
        <c:axId val="16501625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Times New Roman"/>
              </a:defRPr>
            </a:pPr>
            <a:endParaRPr lang="pt-BR"/>
          </a:p>
        </c:txPr>
        <c:crossAx val="1882436893"/>
        <c:crosses val="autoZero"/>
        <c:auto val="1"/>
        <c:lblAlgn val="ctr"/>
        <c:lblOffset val="100"/>
        <c:noMultiLvlLbl val="1"/>
      </c:catAx>
      <c:valAx>
        <c:axId val="188243689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65016258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Quadro Geral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Planilha1!$B$33:$D$33</c:f>
              <c:strCache>
                <c:ptCount val="3"/>
                <c:pt idx="0">
                  <c:v>ABRIL</c:v>
                </c:pt>
                <c:pt idx="1">
                  <c:v>MAIO</c:v>
                </c:pt>
                <c:pt idx="2">
                  <c:v>JUNHO</c:v>
                </c:pt>
              </c:strCache>
            </c:strRef>
          </c:cat>
          <c:val>
            <c:numRef>
              <c:f>Planilha1!$B$34:$D$34</c:f>
              <c:numCache>
                <c:formatCode>h:mm:ss</c:formatCode>
                <c:ptCount val="3"/>
                <c:pt idx="0">
                  <c:v>0.13125000000000001</c:v>
                </c:pt>
                <c:pt idx="1">
                  <c:v>0.21074074074074073</c:v>
                </c:pt>
                <c:pt idx="2">
                  <c:v>0.13873842592592592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F21-41EE-BB42-8F20C11E7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5695242"/>
        <c:axId val="432773480"/>
      </c:barChart>
      <c:lineChart>
        <c:grouping val="standard"/>
        <c:varyColors val="0"/>
        <c:ser>
          <c:idx val="1"/>
          <c:order val="1"/>
          <c:tx>
            <c:v>Meta</c:v>
          </c:tx>
          <c:spPr>
            <a:ln w="28575" cmpd="sng">
              <a:solidFill>
                <a:srgbClr val="FF0000">
                  <a:alpha val="100000"/>
                </a:srgbClr>
              </a:solidFill>
              <a:prstDash val="dash"/>
            </a:ln>
          </c:spPr>
          <c:marker>
            <c:symbol val="none"/>
          </c:marker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1-BF21-41EE-BB42-8F20C11E722F}"/>
              </c:ext>
            </c:extLst>
          </c:dPt>
          <c:dLbls>
            <c:dLbl>
              <c:idx val="2"/>
              <c:spPr/>
              <c:txPr>
                <a:bodyPr/>
                <a:lstStyle/>
                <a:p>
                  <a:pPr lvl="0">
                    <a:defRPr sz="1200" b="1" i="0">
                      <a:solidFill>
                        <a:srgbClr val="FF0000"/>
                      </a:solidFill>
                      <a:latin typeface="Times New Roman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BF21-41EE-BB42-8F20C11E722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Planilha1!$B$33:$D$33</c:f>
              <c:strCache>
                <c:ptCount val="3"/>
                <c:pt idx="0">
                  <c:v>ABRIL</c:v>
                </c:pt>
                <c:pt idx="1">
                  <c:v>MAIO</c:v>
                </c:pt>
                <c:pt idx="2">
                  <c:v>JUNHO</c:v>
                </c:pt>
              </c:strCache>
            </c:strRef>
          </c:cat>
          <c:val>
            <c:numRef>
              <c:f>Planilha1!$B$35:$D$35</c:f>
              <c:numCache>
                <c:formatCode>h:mm:ss</c:formatCode>
                <c:ptCount val="3"/>
                <c:pt idx="0">
                  <c:v>8.3333333333333329E-2</c:v>
                </c:pt>
                <c:pt idx="1">
                  <c:v>8.3333333333333329E-2</c:v>
                </c:pt>
                <c:pt idx="2">
                  <c:v>8.3333333333333329E-2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21-41EE-BB42-8F20C11E7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5695242"/>
        <c:axId val="432773480"/>
      </c:lineChart>
      <c:catAx>
        <c:axId val="21356952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Times New Roman"/>
              </a:defRPr>
            </a:pPr>
            <a:endParaRPr lang="pt-BR"/>
          </a:p>
        </c:txPr>
        <c:crossAx val="432773480"/>
        <c:crosses val="autoZero"/>
        <c:auto val="1"/>
        <c:lblAlgn val="ctr"/>
        <c:lblOffset val="100"/>
        <c:noMultiLvlLbl val="1"/>
      </c:catAx>
      <c:valAx>
        <c:axId val="43277348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h:mm:ss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135695242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1200" b="0" i="0">
              <a:solidFill>
                <a:srgbClr val="1A1A1A"/>
              </a:solidFill>
              <a:latin typeface="Times New Roman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Times New Roman"/>
              </a:defRPr>
            </a:pPr>
            <a:r>
              <a:rPr sz="1400" b="1" i="0">
                <a:solidFill>
                  <a:srgbClr val="757575"/>
                </a:solidFill>
                <a:latin typeface="Times New Roman"/>
              </a:rPr>
              <a:t>Equipe Médica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Equipe Médica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Planilha1!$B$38:$D$38</c:f>
              <c:strCache>
                <c:ptCount val="3"/>
                <c:pt idx="0">
                  <c:v>ABRIL</c:v>
                </c:pt>
                <c:pt idx="1">
                  <c:v>MAIO</c:v>
                </c:pt>
                <c:pt idx="2">
                  <c:v>JUNHO</c:v>
                </c:pt>
              </c:strCache>
            </c:strRef>
          </c:cat>
          <c:val>
            <c:numRef>
              <c:f>Planilha1!$B$39:$D$39</c:f>
              <c:numCache>
                <c:formatCode>0%</c:formatCode>
                <c:ptCount val="3"/>
                <c:pt idx="0">
                  <c:v>0.88</c:v>
                </c:pt>
                <c:pt idx="1">
                  <c:v>0.81</c:v>
                </c:pt>
                <c:pt idx="2">
                  <c:v>0.96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D59-44C1-85D2-2B19BCD9D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4581667"/>
        <c:axId val="1874112342"/>
      </c:barChart>
      <c:lineChart>
        <c:grouping val="standard"/>
        <c:varyColors val="0"/>
        <c:ser>
          <c:idx val="1"/>
          <c:order val="1"/>
          <c:tx>
            <c:v>Meta</c:v>
          </c:tx>
          <c:spPr>
            <a:ln w="28575" cmpd="sng">
              <a:solidFill>
                <a:srgbClr val="FF0000">
                  <a:alpha val="100000"/>
                </a:srgbClr>
              </a:solidFill>
              <a:prstDash val="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1" i="0">
                    <a:solidFill>
                      <a:srgbClr val="FF0000"/>
                    </a:solidFill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Planilha1!$B$38:$D$38</c:f>
              <c:strCache>
                <c:ptCount val="3"/>
                <c:pt idx="0">
                  <c:v>ABRIL</c:v>
                </c:pt>
                <c:pt idx="1">
                  <c:v>MAIO</c:v>
                </c:pt>
                <c:pt idx="2">
                  <c:v>JUNHO</c:v>
                </c:pt>
              </c:strCache>
            </c:strRef>
          </c:cat>
          <c:val>
            <c:numRef>
              <c:f>Planilha1!$B$40:$D$40</c:f>
              <c:numCache>
                <c:formatCode>0%</c:formatCode>
                <c:ptCount val="3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9-44C1-85D2-2B19BCD9D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4581667"/>
        <c:axId val="1874112342"/>
      </c:lineChart>
      <c:catAx>
        <c:axId val="934581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Times New Roman"/>
              </a:defRPr>
            </a:pPr>
            <a:endParaRPr lang="pt-BR"/>
          </a:p>
        </c:txPr>
        <c:crossAx val="1874112342"/>
        <c:crosses val="autoZero"/>
        <c:auto val="1"/>
        <c:lblAlgn val="ctr"/>
        <c:lblOffset val="100"/>
        <c:noMultiLvlLbl val="1"/>
      </c:catAx>
      <c:valAx>
        <c:axId val="18741123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934581667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1200" b="0" i="0">
              <a:solidFill>
                <a:srgbClr val="1A1A1A"/>
              </a:solidFill>
              <a:latin typeface="Times New Roman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Total de Notificações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Planilha1!$B$42:$D$42</c:f>
              <c:strCache>
                <c:ptCount val="3"/>
                <c:pt idx="0">
                  <c:v>ABRIL</c:v>
                </c:pt>
                <c:pt idx="1">
                  <c:v>MAIO</c:v>
                </c:pt>
                <c:pt idx="2">
                  <c:v>JUNHO</c:v>
                </c:pt>
              </c:strCache>
            </c:strRef>
          </c:cat>
          <c:val>
            <c:numRef>
              <c:f>Planilha1!$B$43:$D$43</c:f>
              <c:numCache>
                <c:formatCode>General</c:formatCode>
                <c:ptCount val="3"/>
                <c:pt idx="0">
                  <c:v>455</c:v>
                </c:pt>
                <c:pt idx="1">
                  <c:v>396</c:v>
                </c:pt>
                <c:pt idx="2">
                  <c:v>320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F67-4F8C-8A76-DC2E2A235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6226751"/>
        <c:axId val="1978517080"/>
      </c:barChart>
      <c:lineChart>
        <c:grouping val="standard"/>
        <c:varyColors val="0"/>
        <c:ser>
          <c:idx val="1"/>
          <c:order val="1"/>
          <c:tx>
            <c:v>Percentual de Preenchimento Correto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Planilha1!$B$42:$D$42</c:f>
              <c:strCache>
                <c:ptCount val="3"/>
                <c:pt idx="0">
                  <c:v>ABRIL</c:v>
                </c:pt>
                <c:pt idx="1">
                  <c:v>MAIO</c:v>
                </c:pt>
                <c:pt idx="2">
                  <c:v>JUNHO</c:v>
                </c:pt>
              </c:strCache>
            </c:strRef>
          </c:cat>
          <c:val>
            <c:numRef>
              <c:f>Planilha1!$B$44:$D$44</c:f>
              <c:numCache>
                <c:formatCode>0%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67-4F8C-8A76-DC2E2A235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6226751"/>
        <c:axId val="1978517080"/>
      </c:lineChart>
      <c:catAx>
        <c:axId val="1096226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Times New Roman"/>
              </a:defRPr>
            </a:pPr>
            <a:endParaRPr lang="pt-BR"/>
          </a:p>
        </c:txPr>
        <c:crossAx val="1978517080"/>
        <c:crosses val="autoZero"/>
        <c:auto val="1"/>
        <c:lblAlgn val="ctr"/>
        <c:lblOffset val="100"/>
        <c:noMultiLvlLbl val="1"/>
      </c:catAx>
      <c:valAx>
        <c:axId val="197851708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Times New Roman"/>
              </a:defRPr>
            </a:pPr>
            <a:endParaRPr lang="pt-BR"/>
          </a:p>
        </c:txPr>
        <c:crossAx val="1096226751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1200" b="0" i="0">
              <a:solidFill>
                <a:srgbClr val="1A1A1A"/>
              </a:solidFill>
              <a:latin typeface="Times New Roman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Times New Roman"/>
              </a:defRPr>
            </a:pPr>
            <a:r>
              <a:rPr sz="1600" b="1" i="0">
                <a:solidFill>
                  <a:srgbClr val="757575"/>
                </a:solidFill>
                <a:latin typeface="Times New Roman"/>
              </a:rPr>
              <a:t>Análise Quantitativa do Trimestre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Pontuação Atingida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'1.TRIMESTRE'!$E$49:$G$49</c:f>
              <c:strCache>
                <c:ptCount val="3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</c:strCache>
            </c:strRef>
          </c:cat>
          <c:val>
            <c:numRef>
              <c:f>'1.TRIMESTRE'!$E$51:$G$51</c:f>
              <c:numCache>
                <c:formatCode>General</c:formatCode>
                <c:ptCount val="3"/>
                <c:pt idx="0">
                  <c:v>300</c:v>
                </c:pt>
                <c:pt idx="1">
                  <c:v>300</c:v>
                </c:pt>
                <c:pt idx="2">
                  <c:v>300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24B-4792-BC3E-1D70034B4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003538"/>
        <c:axId val="1518112187"/>
      </c:barChart>
      <c:lineChart>
        <c:grouping val="standard"/>
        <c:varyColors val="0"/>
        <c:ser>
          <c:idx val="1"/>
          <c:order val="1"/>
          <c:tx>
            <c:v>Meta</c:v>
          </c:tx>
          <c:spPr>
            <a:ln w="28575" cmpd="sng">
              <a:solidFill>
                <a:srgbClr val="FF0000">
                  <a:alpha val="100000"/>
                </a:srgbClr>
              </a:solidFill>
              <a:prstDash val="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>
                    <a:solidFill>
                      <a:srgbClr val="FF0000"/>
                    </a:solidFill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'1.TRIMESTRE'!$E$49:$G$49</c:f>
              <c:strCache>
                <c:ptCount val="3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</c:strCache>
            </c:strRef>
          </c:cat>
          <c:val>
            <c:numRef>
              <c:f>'1.TRIMESTRE'!$E$50:$G$50</c:f>
              <c:numCache>
                <c:formatCode>General</c:formatCode>
                <c:ptCount val="3"/>
                <c:pt idx="0">
                  <c:v>300</c:v>
                </c:pt>
                <c:pt idx="1">
                  <c:v>300</c:v>
                </c:pt>
                <c:pt idx="2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4B-4792-BC3E-1D70034B4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03538"/>
        <c:axId val="1518112187"/>
      </c:lineChart>
      <c:catAx>
        <c:axId val="440035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Times New Roman"/>
              </a:defRPr>
            </a:pPr>
            <a:endParaRPr lang="pt-BR"/>
          </a:p>
        </c:txPr>
        <c:crossAx val="1518112187"/>
        <c:crosses val="autoZero"/>
        <c:auto val="1"/>
        <c:lblAlgn val="ctr"/>
        <c:lblOffset val="100"/>
        <c:noMultiLvlLbl val="1"/>
      </c:catAx>
      <c:valAx>
        <c:axId val="15181121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44003538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1200" b="0" i="0">
              <a:solidFill>
                <a:srgbClr val="1A1A1A"/>
              </a:solidFill>
              <a:latin typeface="Times New Roman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3.0555555555555555E-2"/>
          <c:y val="4.0337367070040341E-2"/>
          <c:w val="0.93888888888888888"/>
          <c:h val="0.8574436446269299"/>
        </c:manualLayout>
      </c:layout>
      <c:barChart>
        <c:barDir val="bar"/>
        <c:grouping val="clustered"/>
        <c:varyColors val="1"/>
        <c:ser>
          <c:idx val="0"/>
          <c:order val="0"/>
          <c:tx>
            <c:v>Percentual de desistência de atendimento médico</c:v>
          </c:tx>
          <c:spPr>
            <a:solidFill>
              <a:srgbClr val="BFBFBF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6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'1.TRIMESTRE'!$B$28</c:f>
              <c:strCache>
                <c:ptCount val="1"/>
                <c:pt idx="0">
                  <c:v>Percentual de desistência de atendimento médico</c:v>
                </c:pt>
              </c:strCache>
            </c:strRef>
          </c:cat>
          <c:val>
            <c:numRef>
              <c:f>'1.TRIMESTRE'!$B$29</c:f>
              <c:numCache>
                <c:formatCode>General</c:formatCode>
                <c:ptCount val="1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2CD-4EFC-B11F-9036B90E9169}"/>
            </c:ext>
          </c:extLst>
        </c:ser>
        <c:ser>
          <c:idx val="1"/>
          <c:order val="1"/>
          <c:invertIfNegative val="1"/>
          <c:cat>
            <c:strRef>
              <c:f>'1.TRIMESTRE'!$B$28</c:f>
              <c:strCache>
                <c:ptCount val="1"/>
                <c:pt idx="0">
                  <c:v>Percentual de desistência de atendimento médico</c:v>
                </c:pt>
              </c:strCache>
            </c:strRef>
          </c:cat>
          <c:val>
            <c:numRef>
              <c:f>'1.TRIMESTRE'!$H$28</c:f>
              <c:numCache>
                <c:formatCode>0.00%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CD-4EFC-B11F-9036B90E9169}"/>
            </c:ext>
          </c:extLst>
        </c:ser>
        <c:ser>
          <c:idx val="2"/>
          <c:order val="2"/>
          <c:invertIfNegative val="1"/>
          <c:cat>
            <c:strRef>
              <c:f>'1.TRIMESTRE'!$B$28</c:f>
              <c:strCache>
                <c:ptCount val="1"/>
                <c:pt idx="0">
                  <c:v>Percentual de desistência de atendimento médico</c:v>
                </c:pt>
              </c:strCache>
            </c:strRef>
          </c:cat>
          <c:val>
            <c:numRef>
              <c:f>'1.TRIMESTRE'!$I$28</c:f>
              <c:numCache>
                <c:formatCode>0%</c:formatCode>
                <c:ptCount val="1"/>
                <c:pt idx="0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CD-4EFC-B11F-9036B90E91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8468075"/>
        <c:axId val="992906409"/>
      </c:barChart>
      <c:catAx>
        <c:axId val="67846807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992906409"/>
        <c:crosses val="autoZero"/>
        <c:auto val="1"/>
        <c:lblAlgn val="ctr"/>
        <c:lblOffset val="100"/>
        <c:noMultiLvlLbl val="1"/>
      </c:catAx>
      <c:valAx>
        <c:axId val="9929064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678468075"/>
        <c:crosses val="max"/>
        <c:crossBetween val="between"/>
      </c:valAx>
    </c:plotArea>
    <c:legend>
      <c:legendPos val="b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Times New Roman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Times New Roman"/>
              </a:defRPr>
            </a:pPr>
            <a:r>
              <a:rPr sz="1600" b="1" i="0">
                <a:solidFill>
                  <a:srgbClr val="757575"/>
                </a:solidFill>
                <a:latin typeface="Times New Roman"/>
              </a:rPr>
              <a:t>Consultas Realizas x Meta Trimestral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'1.TRIMESTRE'!$I$2:$I$3</c:f>
              <c:strCache>
                <c:ptCount val="2"/>
                <c:pt idx="0">
                  <c:v>Consultas Realizadas</c:v>
                </c:pt>
                <c:pt idx="1">
                  <c:v>Meta Trimestral</c:v>
                </c:pt>
              </c:strCache>
            </c:strRef>
          </c:cat>
          <c:val>
            <c:numRef>
              <c:f>'1.TRIMESTRE'!$J$2:$J$3</c:f>
              <c:numCache>
                <c:formatCode>#,##0</c:formatCode>
                <c:ptCount val="2"/>
                <c:pt idx="0">
                  <c:v>0</c:v>
                </c:pt>
                <c:pt idx="1">
                  <c:v>24000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665-477D-AE2D-432CF3A9F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0488683"/>
        <c:axId val="1095707604"/>
      </c:barChart>
      <c:catAx>
        <c:axId val="5104886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Times New Roman"/>
              </a:defRPr>
            </a:pPr>
            <a:endParaRPr lang="pt-BR"/>
          </a:p>
        </c:txPr>
        <c:crossAx val="1095707604"/>
        <c:crosses val="autoZero"/>
        <c:auto val="1"/>
        <c:lblAlgn val="ctr"/>
        <c:lblOffset val="100"/>
        <c:noMultiLvlLbl val="1"/>
      </c:catAx>
      <c:valAx>
        <c:axId val="109570760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51048868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Atendimento assistência social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'1.TRIMESTRE'!$L$43:$N$43</c:f>
              <c:strCache>
                <c:ptCount val="3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</c:strCache>
            </c:strRef>
          </c:cat>
          <c:val>
            <c:numRef>
              <c:f>'1.TRIMESTRE'!$L$44:$N$44</c:f>
              <c:numCache>
                <c:formatCode>General</c:formatCode>
                <c:ptCount val="3"/>
                <c:pt idx="0">
                  <c:v>256</c:v>
                </c:pt>
                <c:pt idx="1">
                  <c:v>338</c:v>
                </c:pt>
                <c:pt idx="2">
                  <c:v>508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1B0-42BD-9544-87DAC23EF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13504803"/>
        <c:axId val="914637777"/>
      </c:barChart>
      <c:catAx>
        <c:axId val="1713504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Times New Roman"/>
              </a:defRPr>
            </a:pPr>
            <a:endParaRPr lang="pt-BR"/>
          </a:p>
        </c:txPr>
        <c:crossAx val="914637777"/>
        <c:crosses val="autoZero"/>
        <c:auto val="1"/>
        <c:lblAlgn val="ctr"/>
        <c:lblOffset val="100"/>
        <c:noMultiLvlLbl val="1"/>
      </c:catAx>
      <c:valAx>
        <c:axId val="91463777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71350480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Times New Roman"/>
              </a:defRPr>
            </a:pPr>
            <a:r>
              <a:rPr sz="1600" b="1" i="0">
                <a:solidFill>
                  <a:srgbClr val="757575"/>
                </a:solidFill>
                <a:latin typeface="Times New Roman"/>
              </a:rPr>
              <a:t>Quadro Geral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Capacitação quadro geral</c:v>
          </c:tx>
          <c:spPr>
            <a:solidFill>
              <a:srgbClr val="FFFF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'1.TRIMESTRE'!$E$1:$G$1</c:f>
              <c:strCache>
                <c:ptCount val="3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</c:strCache>
            </c:strRef>
          </c:cat>
          <c:val>
            <c:numRef>
              <c:f>'1.TRIMESTRE'!$E$36:$G$36</c:f>
              <c:numCache>
                <c:formatCode>h:mm:ss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49C-40B5-BF61-F52AF568C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5013668"/>
        <c:axId val="372498099"/>
      </c:barChart>
      <c:catAx>
        <c:axId val="17650136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Times New Roman"/>
              </a:defRPr>
            </a:pPr>
            <a:endParaRPr lang="pt-BR"/>
          </a:p>
        </c:txPr>
        <c:crossAx val="372498099"/>
        <c:crosses val="autoZero"/>
        <c:auto val="1"/>
        <c:lblAlgn val="ctr"/>
        <c:lblOffset val="100"/>
        <c:noMultiLvlLbl val="1"/>
      </c:catAx>
      <c:valAx>
        <c:axId val="3724980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h:mm:ss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765013668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Times New Roman"/>
              </a:defRPr>
            </a:pPr>
            <a:r>
              <a:rPr sz="1600" b="1" i="0">
                <a:solidFill>
                  <a:srgbClr val="757575"/>
                </a:solidFill>
                <a:latin typeface="Times New Roman"/>
              </a:rPr>
              <a:t>Equipe Médica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Capacitação equipe médica</c:v>
          </c:tx>
          <c:spPr>
            <a:solidFill>
              <a:srgbClr val="FFFF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Times New Roman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'1.TRIMESTRE'!$E$1:$G$1</c:f>
              <c:strCache>
                <c:ptCount val="3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</c:strCache>
            </c:strRef>
          </c:cat>
          <c:val>
            <c:numRef>
              <c:f>'1.TRIMESTRE'!$E$38:$G$38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5AA-4352-8E4C-DDA5D5AE8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3627398"/>
        <c:axId val="449965874"/>
      </c:barChart>
      <c:catAx>
        <c:axId val="20336273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Times New Roman"/>
              </a:defRPr>
            </a:pPr>
            <a:endParaRPr lang="pt-BR"/>
          </a:p>
        </c:txPr>
        <c:crossAx val="449965874"/>
        <c:crosses val="autoZero"/>
        <c:auto val="1"/>
        <c:lblAlgn val="ctr"/>
        <c:lblOffset val="100"/>
        <c:noMultiLvlLbl val="1"/>
      </c:catAx>
      <c:valAx>
        <c:axId val="44996587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033627398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image2.png" descr="Logotipo&#10;&#10;O conteúdo gerado por IA pode estar incorreto.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image1.png" descr="Interface gráfica do usuário, Site&#10;&#10;O conteúdo gerado por IA pode estar incorreto.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364230" y="59055"/>
          <a:ext cx="19145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image4.png" descr="Logotipo&#10;&#10;O conteúdo gerado por IA pode estar incorreto.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image2.png" descr="Logotipo&#10;&#10;O conteúdo gerado por IA pode estar incorreto.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image1.png" descr="Interface gráfica do usuário, Site&#10;&#10;O conteúdo gerado por IA pode estar incorreto.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image4.png" descr="Logotipo&#10;&#10;O conteúdo gerado por IA pode estar incorreto.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image2.png" descr="Logotipo&#10;&#10;O conteúdo gerado por IA pode estar incorreto.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image1.png" descr="Interface gráfica do usuário, Site&#10;&#10;O conteúdo gerado por IA pode estar incorreto.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image4.png" descr="Logotipo&#10;&#10;O conteúdo gerado por IA pode estar incorreto.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image2.png" descr="Logotipo&#10;&#10;O conteúdo gerado por IA pode estar incorreto.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image1.png" descr="Interface gráfica do usuário, Site&#10;&#10;O conteúdo gerado por IA pode estar incorreto.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image4.png" descr="Logotipo&#10;&#10;O conteúdo gerado por IA pode estar incorreto.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image2.png" descr="Logotipo&#10;&#10;O conteúdo gerado por IA pode estar incorreto.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image1.png" descr="Interface gráfica do usuário, Site&#10;&#10;O conteúdo gerado por IA pode estar incorreto.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image4.png" descr="Logotipo&#10;&#10;O conteúdo gerado por IA pode estar incorreto.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image2.png" descr="Logotipo&#10;&#10;O conteúdo gerado por IA pode estar incorreto.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image1.png" descr="Interface gráfica do usuário, Site&#10;&#10;O conteúdo gerado por IA pode estar incorreto.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image4.png" descr="Logotipo&#10;&#10;O conteúdo gerado por IA pode estar incorreto.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66675</xdr:colOff>
      <xdr:row>9</xdr:row>
      <xdr:rowOff>57150</xdr:rowOff>
    </xdr:from>
    <xdr:ext cx="4905375" cy="30003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66675</xdr:colOff>
      <xdr:row>0</xdr:row>
      <xdr:rowOff>0</xdr:rowOff>
    </xdr:from>
    <xdr:ext cx="6953250" cy="1819275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3</xdr:col>
      <xdr:colOff>57150</xdr:colOff>
      <xdr:row>24</xdr:row>
      <xdr:rowOff>114300</xdr:rowOff>
    </xdr:from>
    <xdr:ext cx="4905375" cy="3000375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10</xdr:col>
      <xdr:colOff>447675</xdr:colOff>
      <xdr:row>9</xdr:row>
      <xdr:rowOff>57150</xdr:rowOff>
    </xdr:from>
    <xdr:ext cx="4953000" cy="3000375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12</xdr:col>
      <xdr:colOff>238125</xdr:colOff>
      <xdr:row>40</xdr:row>
      <xdr:rowOff>171450</xdr:rowOff>
    </xdr:from>
    <xdr:ext cx="4905375" cy="3000375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4</xdr:col>
      <xdr:colOff>476250</xdr:colOff>
      <xdr:row>40</xdr:row>
      <xdr:rowOff>171450</xdr:rowOff>
    </xdr:from>
    <xdr:ext cx="4953000" cy="3000375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10</xdr:col>
      <xdr:colOff>457200</xdr:colOff>
      <xdr:row>24</xdr:row>
      <xdr:rowOff>123825</xdr:rowOff>
    </xdr:from>
    <xdr:ext cx="4953000" cy="3000375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295275</xdr:colOff>
      <xdr:row>51</xdr:row>
      <xdr:rowOff>133350</xdr:rowOff>
    </xdr:from>
    <xdr:ext cx="7667625" cy="3819525"/>
    <xdr:graphicFrame macro="">
      <xdr:nvGraphicFramePr>
        <xdr:cNvPr id="8" name="Chart 8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9</xdr:col>
      <xdr:colOff>47625</xdr:colOff>
      <xdr:row>23</xdr:row>
      <xdr:rowOff>247650</xdr:rowOff>
    </xdr:from>
    <xdr:ext cx="10601325" cy="2952750"/>
    <xdr:graphicFrame macro="">
      <xdr:nvGraphicFramePr>
        <xdr:cNvPr id="9" name="Chart 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8</xdr:col>
      <xdr:colOff>428625</xdr:colOff>
      <xdr:row>4</xdr:row>
      <xdr:rowOff>104775</xdr:rowOff>
    </xdr:from>
    <xdr:ext cx="8991600" cy="2828925"/>
    <xdr:graphicFrame macro="">
      <xdr:nvGraphicFramePr>
        <xdr:cNvPr id="10" name="Chart 10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9</xdr:col>
      <xdr:colOff>66675</xdr:colOff>
      <xdr:row>38</xdr:row>
      <xdr:rowOff>171450</xdr:rowOff>
    </xdr:from>
    <xdr:ext cx="8943975" cy="2790825"/>
    <xdr:graphicFrame macro="">
      <xdr:nvGraphicFramePr>
        <xdr:cNvPr id="11" name="Chart 11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18</xdr:col>
      <xdr:colOff>0</xdr:colOff>
      <xdr:row>2</xdr:row>
      <xdr:rowOff>0</xdr:rowOff>
    </xdr:from>
    <xdr:ext cx="3619500" cy="2828925"/>
    <xdr:graphicFrame macro="">
      <xdr:nvGraphicFramePr>
        <xdr:cNvPr id="12" name="Chart 12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18</xdr:col>
      <xdr:colOff>0</xdr:colOff>
      <xdr:row>15</xdr:row>
      <xdr:rowOff>0</xdr:rowOff>
    </xdr:from>
    <xdr:ext cx="3629025" cy="2828925"/>
    <xdr:graphicFrame macro="">
      <xdr:nvGraphicFramePr>
        <xdr:cNvPr id="13" name="Chart 13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NDICADORES%20UPA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ADORES UPAS"/>
    </sheetNames>
    <sheetDataSet>
      <sheetData sheetId="0" refreshError="1"/>
    </sheetDataSet>
  </externalBook>
</externalLink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BA38-67A2-4DC7-BAF8-5475456431C9}">
  <dimension ref="A1:O18"/>
  <sheetViews>
    <sheetView tabSelected="1" workbookViewId="0">
      <selection activeCell="F23" sqref="F23"/>
    </sheetView>
  </sheetViews>
  <sheetFormatPr defaultRowHeight="14.4" x14ac:dyDescent="0.3"/>
  <cols>
    <col min="1" max="1" width="23.5546875" customWidth="1"/>
    <col min="2" max="2" width="40.5546875" bestFit="1" customWidth="1"/>
    <col min="3" max="3" width="9.77734375" bestFit="1" customWidth="1"/>
    <col min="4" max="4" width="8.33203125" bestFit="1" customWidth="1"/>
    <col min="5" max="5" width="8" bestFit="1" customWidth="1"/>
    <col min="6" max="6" width="9.44140625" bestFit="1" customWidth="1"/>
    <col min="7" max="7" width="9" bestFit="1" customWidth="1"/>
    <col min="8" max="8" width="10.6640625" bestFit="1" customWidth="1"/>
    <col min="9" max="9" width="12.5546875" bestFit="1" customWidth="1"/>
    <col min="10" max="10" width="11.77734375" bestFit="1" customWidth="1"/>
    <col min="11" max="11" width="13.44140625" bestFit="1" customWidth="1"/>
    <col min="12" max="12" width="12.77734375" bestFit="1" customWidth="1"/>
    <col min="13" max="13" width="10.6640625" bestFit="1" customWidth="1"/>
    <col min="14" max="14" width="12.77734375" bestFit="1" customWidth="1"/>
    <col min="15" max="15" width="9.109375" bestFit="1" customWidth="1"/>
  </cols>
  <sheetData>
    <row r="1" spans="1:15" s="117" customFormat="1" ht="61.95" customHeight="1" x14ac:dyDescent="0.3">
      <c r="A1" s="116"/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</row>
    <row r="2" spans="1:15" s="117" customFormat="1" x14ac:dyDescent="0.3">
      <c r="A2" s="118" t="s">
        <v>217</v>
      </c>
      <c r="B2" s="118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</row>
    <row r="3" spans="1:15" s="117" customFormat="1" x14ac:dyDescent="0.3">
      <c r="A3" s="120"/>
      <c r="B3" s="120"/>
      <c r="C3" s="121" t="s">
        <v>1</v>
      </c>
      <c r="D3" s="121" t="s">
        <v>2</v>
      </c>
      <c r="E3" s="121" t="s">
        <v>3</v>
      </c>
      <c r="F3" s="121" t="s">
        <v>4</v>
      </c>
      <c r="G3" s="121" t="s">
        <v>5</v>
      </c>
      <c r="H3" s="121" t="s">
        <v>6</v>
      </c>
      <c r="I3" s="121" t="s">
        <v>7</v>
      </c>
      <c r="J3" s="121" t="s">
        <v>8</v>
      </c>
      <c r="K3" s="121" t="s">
        <v>9</v>
      </c>
      <c r="L3" s="121" t="s">
        <v>10</v>
      </c>
      <c r="M3" s="121" t="s">
        <v>11</v>
      </c>
      <c r="N3" s="121" t="s">
        <v>12</v>
      </c>
      <c r="O3" s="121" t="s">
        <v>13</v>
      </c>
    </row>
    <row r="4" spans="1:15" s="117" customFormat="1" x14ac:dyDescent="0.3">
      <c r="A4" s="122" t="s">
        <v>218</v>
      </c>
      <c r="B4" s="126" t="s">
        <v>219</v>
      </c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8">
        <f t="shared" ref="O4:O7" si="0">SUM(C4:N4)</f>
        <v>0</v>
      </c>
    </row>
    <row r="5" spans="1:15" s="117" customFormat="1" x14ac:dyDescent="0.3">
      <c r="A5" s="122"/>
      <c r="B5" s="126" t="s">
        <v>220</v>
      </c>
      <c r="C5" s="127">
        <v>12251</v>
      </c>
      <c r="D5" s="127">
        <v>12251</v>
      </c>
      <c r="E5" s="127">
        <v>12251</v>
      </c>
      <c r="F5" s="127">
        <v>12251</v>
      </c>
      <c r="G5" s="127">
        <v>12251</v>
      </c>
      <c r="H5" s="127">
        <v>12251</v>
      </c>
      <c r="I5" s="127">
        <v>12251</v>
      </c>
      <c r="J5" s="127">
        <v>12251</v>
      </c>
      <c r="K5" s="127">
        <v>12251</v>
      </c>
      <c r="L5" s="127">
        <v>12251</v>
      </c>
      <c r="M5" s="127">
        <v>12251</v>
      </c>
      <c r="N5" s="127">
        <v>12251</v>
      </c>
      <c r="O5" s="128">
        <f t="shared" si="0"/>
        <v>147012</v>
      </c>
    </row>
    <row r="6" spans="1:15" s="117" customFormat="1" x14ac:dyDescent="0.3">
      <c r="A6" s="122"/>
      <c r="B6" s="123" t="s">
        <v>100</v>
      </c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124"/>
      <c r="O6" s="125">
        <f t="shared" si="0"/>
        <v>0</v>
      </c>
    </row>
    <row r="7" spans="1:15" s="117" customFormat="1" x14ac:dyDescent="0.3">
      <c r="A7" s="122"/>
      <c r="B7" s="123" t="s">
        <v>220</v>
      </c>
      <c r="C7" s="124">
        <v>45843</v>
      </c>
      <c r="D7" s="124">
        <v>45843</v>
      </c>
      <c r="E7" s="124">
        <v>45843</v>
      </c>
      <c r="F7" s="124">
        <v>45843</v>
      </c>
      <c r="G7" s="124">
        <v>45843</v>
      </c>
      <c r="H7" s="124">
        <v>45843</v>
      </c>
      <c r="I7" s="124">
        <v>45843</v>
      </c>
      <c r="J7" s="124">
        <v>45843</v>
      </c>
      <c r="K7" s="124">
        <v>45843</v>
      </c>
      <c r="L7" s="124">
        <v>45843</v>
      </c>
      <c r="M7" s="124">
        <v>45843</v>
      </c>
      <c r="N7" s="124">
        <v>45843</v>
      </c>
      <c r="O7" s="125">
        <f t="shared" si="0"/>
        <v>550116</v>
      </c>
    </row>
    <row r="8" spans="1:15" s="117" customFormat="1" x14ac:dyDescent="0.3">
      <c r="A8" s="122"/>
      <c r="B8" s="126" t="s">
        <v>221</v>
      </c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8">
        <f>SUM(C8:N8)</f>
        <v>0</v>
      </c>
    </row>
    <row r="9" spans="1:15" s="117" customFormat="1" x14ac:dyDescent="0.3">
      <c r="A9" s="122"/>
      <c r="B9" s="126" t="s">
        <v>220</v>
      </c>
      <c r="C9" s="127">
        <v>29249</v>
      </c>
      <c r="D9" s="127">
        <v>29249</v>
      </c>
      <c r="E9" s="127">
        <v>29249</v>
      </c>
      <c r="F9" s="127">
        <v>29249</v>
      </c>
      <c r="G9" s="127">
        <v>29249</v>
      </c>
      <c r="H9" s="127">
        <v>29249</v>
      </c>
      <c r="I9" s="127">
        <v>29249</v>
      </c>
      <c r="J9" s="127">
        <v>29249</v>
      </c>
      <c r="K9" s="127">
        <v>29249</v>
      </c>
      <c r="L9" s="127">
        <v>29249</v>
      </c>
      <c r="M9" s="127">
        <v>29249</v>
      </c>
      <c r="N9" s="127">
        <v>29249</v>
      </c>
      <c r="O9" s="128">
        <f t="shared" ref="O9:O18" si="1">SUM(C9:N9)</f>
        <v>350988</v>
      </c>
    </row>
    <row r="10" spans="1:15" s="117" customFormat="1" x14ac:dyDescent="0.3">
      <c r="A10" s="122"/>
      <c r="B10" s="123" t="s">
        <v>222</v>
      </c>
      <c r="C10" s="124"/>
      <c r="D10" s="124"/>
      <c r="E10" s="124"/>
      <c r="F10" s="124"/>
      <c r="G10" s="124"/>
      <c r="H10" s="124"/>
      <c r="I10" s="124"/>
      <c r="J10" s="124"/>
      <c r="K10" s="124"/>
      <c r="L10" s="124"/>
      <c r="M10" s="124"/>
      <c r="N10" s="124"/>
      <c r="O10" s="125">
        <f t="shared" si="1"/>
        <v>0</v>
      </c>
    </row>
    <row r="11" spans="1:15" s="117" customFormat="1" x14ac:dyDescent="0.3">
      <c r="A11" s="122"/>
      <c r="B11" s="123" t="s">
        <v>220</v>
      </c>
      <c r="C11" s="124">
        <v>4645</v>
      </c>
      <c r="D11" s="124">
        <v>4645</v>
      </c>
      <c r="E11" s="124">
        <v>4645</v>
      </c>
      <c r="F11" s="124">
        <v>4645</v>
      </c>
      <c r="G11" s="124">
        <v>4645</v>
      </c>
      <c r="H11" s="124">
        <v>4645</v>
      </c>
      <c r="I11" s="124">
        <v>4645</v>
      </c>
      <c r="J11" s="124">
        <v>4645</v>
      </c>
      <c r="K11" s="124">
        <v>4645</v>
      </c>
      <c r="L11" s="124">
        <v>4645</v>
      </c>
      <c r="M11" s="124">
        <v>4645</v>
      </c>
      <c r="N11" s="124">
        <v>4645</v>
      </c>
      <c r="O11" s="125">
        <f t="shared" si="1"/>
        <v>55740</v>
      </c>
    </row>
    <row r="12" spans="1:15" s="117" customFormat="1" x14ac:dyDescent="0.3">
      <c r="A12" s="122"/>
      <c r="B12" s="126" t="s">
        <v>223</v>
      </c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8">
        <f t="shared" si="1"/>
        <v>0</v>
      </c>
    </row>
    <row r="13" spans="1:15" s="117" customFormat="1" x14ac:dyDescent="0.3">
      <c r="A13" s="122"/>
      <c r="B13" s="126" t="s">
        <v>220</v>
      </c>
      <c r="C13" s="127">
        <v>6133</v>
      </c>
      <c r="D13" s="127">
        <v>6133</v>
      </c>
      <c r="E13" s="127">
        <v>6133</v>
      </c>
      <c r="F13" s="127">
        <v>6133</v>
      </c>
      <c r="G13" s="127">
        <v>6133</v>
      </c>
      <c r="H13" s="127">
        <v>6133</v>
      </c>
      <c r="I13" s="127">
        <v>6133</v>
      </c>
      <c r="J13" s="127">
        <v>6133</v>
      </c>
      <c r="K13" s="127">
        <v>6133</v>
      </c>
      <c r="L13" s="127">
        <v>6133</v>
      </c>
      <c r="M13" s="127">
        <v>6133</v>
      </c>
      <c r="N13" s="127">
        <v>6133</v>
      </c>
      <c r="O13" s="128">
        <f t="shared" si="1"/>
        <v>73596</v>
      </c>
    </row>
    <row r="14" spans="1:15" s="117" customFormat="1" x14ac:dyDescent="0.3">
      <c r="A14" s="122"/>
      <c r="B14" s="123" t="s">
        <v>224</v>
      </c>
      <c r="C14" s="124"/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5">
        <f t="shared" si="1"/>
        <v>0</v>
      </c>
    </row>
    <row r="15" spans="1:15" s="117" customFormat="1" x14ac:dyDescent="0.3">
      <c r="A15" s="122"/>
      <c r="B15" s="123" t="s">
        <v>220</v>
      </c>
      <c r="C15" s="124">
        <v>158145</v>
      </c>
      <c r="D15" s="124">
        <v>158145</v>
      </c>
      <c r="E15" s="124">
        <v>158145</v>
      </c>
      <c r="F15" s="124">
        <v>158145</v>
      </c>
      <c r="G15" s="124">
        <v>158145</v>
      </c>
      <c r="H15" s="124">
        <v>158145</v>
      </c>
      <c r="I15" s="124">
        <v>158145</v>
      </c>
      <c r="J15" s="124">
        <v>158145</v>
      </c>
      <c r="K15" s="124">
        <v>158145</v>
      </c>
      <c r="L15" s="124">
        <v>158145</v>
      </c>
      <c r="M15" s="124">
        <v>158145</v>
      </c>
      <c r="N15" s="124">
        <v>158145</v>
      </c>
      <c r="O15" s="125">
        <f t="shared" si="1"/>
        <v>1897740</v>
      </c>
    </row>
    <row r="16" spans="1:15" s="117" customFormat="1" x14ac:dyDescent="0.3">
      <c r="A16" s="122"/>
      <c r="B16" s="126" t="s">
        <v>225</v>
      </c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8">
        <f t="shared" si="1"/>
        <v>0</v>
      </c>
    </row>
    <row r="17" spans="1:15" s="117" customFormat="1" x14ac:dyDescent="0.3">
      <c r="A17" s="122"/>
      <c r="B17" s="126" t="s">
        <v>220</v>
      </c>
      <c r="C17" s="127">
        <v>14621</v>
      </c>
      <c r="D17" s="128">
        <v>14621</v>
      </c>
      <c r="E17" s="128">
        <v>14621</v>
      </c>
      <c r="F17" s="128">
        <v>14621</v>
      </c>
      <c r="G17" s="128">
        <v>14621</v>
      </c>
      <c r="H17" s="128">
        <v>14621</v>
      </c>
      <c r="I17" s="128">
        <v>14621</v>
      </c>
      <c r="J17" s="128">
        <v>14621</v>
      </c>
      <c r="K17" s="128">
        <v>14621</v>
      </c>
      <c r="L17" s="128">
        <v>14621</v>
      </c>
      <c r="M17" s="128">
        <v>14621</v>
      </c>
      <c r="N17" s="128">
        <v>14621</v>
      </c>
      <c r="O17" s="128">
        <f t="shared" si="1"/>
        <v>175452</v>
      </c>
    </row>
    <row r="18" spans="1:15" s="117" customFormat="1" x14ac:dyDescent="0.3">
      <c r="A18" s="122"/>
      <c r="B18" s="123" t="s">
        <v>226</v>
      </c>
      <c r="C18" s="124">
        <f>C4+C6+C8+C10+C12+C14+C16</f>
        <v>0</v>
      </c>
      <c r="D18" s="124">
        <f t="shared" ref="D18:N18" si="2">D4+D6+D8+D10+D12+D14+D16</f>
        <v>0</v>
      </c>
      <c r="E18" s="124">
        <f t="shared" si="2"/>
        <v>0</v>
      </c>
      <c r="F18" s="124">
        <f t="shared" si="2"/>
        <v>0</v>
      </c>
      <c r="G18" s="124">
        <f t="shared" si="2"/>
        <v>0</v>
      </c>
      <c r="H18" s="124">
        <f t="shared" si="2"/>
        <v>0</v>
      </c>
      <c r="I18" s="124">
        <f t="shared" si="2"/>
        <v>0</v>
      </c>
      <c r="J18" s="124">
        <f t="shared" si="2"/>
        <v>0</v>
      </c>
      <c r="K18" s="124">
        <f t="shared" si="2"/>
        <v>0</v>
      </c>
      <c r="L18" s="124">
        <f t="shared" si="2"/>
        <v>0</v>
      </c>
      <c r="M18" s="124">
        <f t="shared" si="2"/>
        <v>0</v>
      </c>
      <c r="N18" s="124">
        <f t="shared" si="2"/>
        <v>0</v>
      </c>
      <c r="O18" s="125">
        <f t="shared" si="1"/>
        <v>0</v>
      </c>
    </row>
  </sheetData>
  <mergeCells count="3">
    <mergeCell ref="A1:O1"/>
    <mergeCell ref="A3:B3"/>
    <mergeCell ref="A4:A18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33"/>
  <sheetViews>
    <sheetView showGridLines="0" workbookViewId="0">
      <selection activeCell="B10" sqref="B10"/>
    </sheetView>
  </sheetViews>
  <sheetFormatPr defaultColWidth="12.6640625" defaultRowHeight="15" customHeight="1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96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 x14ac:dyDescent="0.3">
      <c r="A2" s="2" t="s">
        <v>0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 x14ac:dyDescent="0.3">
      <c r="A3" s="93"/>
      <c r="B3" s="9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4" x14ac:dyDescent="0.3">
      <c r="A4" s="98" t="s">
        <v>14</v>
      </c>
      <c r="B4" s="94"/>
      <c r="C4" s="4">
        <v>8880</v>
      </c>
      <c r="D4" s="4">
        <v>12340</v>
      </c>
      <c r="E4" s="4">
        <v>5400</v>
      </c>
      <c r="F4" s="4"/>
      <c r="G4" s="4"/>
      <c r="H4" s="4"/>
      <c r="I4" s="4"/>
      <c r="J4" s="4"/>
      <c r="K4" s="4"/>
      <c r="L4" s="4"/>
      <c r="M4" s="4"/>
      <c r="N4" s="4"/>
      <c r="O4" s="5">
        <f>SUM(C4:N4)</f>
        <v>26620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 x14ac:dyDescent="0.3">
      <c r="A5" s="6" t="s">
        <v>15</v>
      </c>
      <c r="B5" s="6"/>
      <c r="C5" s="4">
        <f>C4/31</f>
        <v>286.45161290322579</v>
      </c>
      <c r="D5" s="4">
        <f>D4/30</f>
        <v>411.33333333333331</v>
      </c>
      <c r="E5" s="4">
        <f>E4/31</f>
        <v>174.19354838709677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72.664874551971323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4" x14ac:dyDescent="0.3">
      <c r="A7" s="93"/>
      <c r="B7" s="94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4" x14ac:dyDescent="0.3">
      <c r="A8" s="98" t="s">
        <v>16</v>
      </c>
      <c r="B8" s="94"/>
      <c r="C8" s="4">
        <v>12000</v>
      </c>
      <c r="D8" s="4">
        <v>9400</v>
      </c>
      <c r="E8" s="4">
        <v>10500</v>
      </c>
      <c r="F8" s="4">
        <v>12800</v>
      </c>
      <c r="G8" s="4"/>
      <c r="H8" s="4"/>
      <c r="I8" s="4"/>
      <c r="J8" s="4"/>
      <c r="K8" s="4"/>
      <c r="L8" s="4"/>
      <c r="M8" s="4"/>
      <c r="N8" s="4"/>
      <c r="O8" s="5">
        <f t="shared" ref="O8:O9" si="2">SUM(C8:N8)</f>
        <v>44700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 x14ac:dyDescent="0.3">
      <c r="A9" s="95" t="s">
        <v>17</v>
      </c>
      <c r="B9" s="94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 x14ac:dyDescent="0.3">
      <c r="A11" s="93"/>
      <c r="B11" s="94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 x14ac:dyDescent="0.3">
      <c r="A12" s="90" t="s">
        <v>18</v>
      </c>
      <c r="B12" s="14" t="s">
        <v>19</v>
      </c>
      <c r="C12" s="4">
        <v>300</v>
      </c>
      <c r="D12" s="4">
        <v>34</v>
      </c>
      <c r="E12" s="4">
        <v>150</v>
      </c>
      <c r="F12" s="4"/>
      <c r="G12" s="4"/>
      <c r="H12" s="4"/>
      <c r="I12" s="4"/>
      <c r="J12" s="4"/>
      <c r="K12" s="4"/>
      <c r="L12" s="4"/>
      <c r="M12" s="4"/>
      <c r="N12" s="4"/>
      <c r="O12" s="5">
        <f t="shared" ref="O12:O18" si="3">SUM(C12:N12)</f>
        <v>484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 x14ac:dyDescent="0.3">
      <c r="A13" s="91"/>
      <c r="B13" s="15" t="s">
        <v>20</v>
      </c>
      <c r="C13" s="4">
        <v>96</v>
      </c>
      <c r="D13" s="4">
        <v>1240</v>
      </c>
      <c r="E13" s="4">
        <v>7580</v>
      </c>
      <c r="F13" s="4"/>
      <c r="G13" s="4"/>
      <c r="H13" s="4"/>
      <c r="I13" s="4"/>
      <c r="J13" s="4"/>
      <c r="K13" s="4"/>
      <c r="L13" s="4"/>
      <c r="M13" s="4"/>
      <c r="N13" s="4"/>
      <c r="O13" s="5">
        <f t="shared" si="3"/>
        <v>8916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 x14ac:dyDescent="0.3">
      <c r="A14" s="91"/>
      <c r="B14" s="16" t="s">
        <v>21</v>
      </c>
      <c r="C14" s="4">
        <v>84</v>
      </c>
      <c r="D14" s="4">
        <v>1000</v>
      </c>
      <c r="E14" s="4">
        <v>3400</v>
      </c>
      <c r="F14" s="4"/>
      <c r="G14" s="4"/>
      <c r="H14" s="4"/>
      <c r="I14" s="4"/>
      <c r="J14" s="4"/>
      <c r="K14" s="4"/>
      <c r="L14" s="4"/>
      <c r="M14" s="4"/>
      <c r="N14" s="4"/>
      <c r="O14" s="5">
        <f t="shared" si="3"/>
        <v>4484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 x14ac:dyDescent="0.3">
      <c r="A15" s="91"/>
      <c r="B15" s="17" t="s">
        <v>22</v>
      </c>
      <c r="C15" s="4">
        <v>16</v>
      </c>
      <c r="D15" s="4">
        <v>800</v>
      </c>
      <c r="E15" s="4">
        <v>200</v>
      </c>
      <c r="F15" s="4"/>
      <c r="G15" s="4"/>
      <c r="H15" s="4"/>
      <c r="I15" s="4"/>
      <c r="J15" s="4"/>
      <c r="K15" s="4"/>
      <c r="L15" s="4"/>
      <c r="M15" s="4"/>
      <c r="N15" s="4"/>
      <c r="O15" s="5">
        <f t="shared" si="3"/>
        <v>1016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 x14ac:dyDescent="0.3">
      <c r="A16" s="91"/>
      <c r="B16" s="18" t="s">
        <v>23</v>
      </c>
      <c r="C16" s="4">
        <v>25</v>
      </c>
      <c r="D16" s="4">
        <v>59</v>
      </c>
      <c r="E16" s="4">
        <v>94</v>
      </c>
      <c r="F16" s="4"/>
      <c r="G16" s="4"/>
      <c r="H16" s="4"/>
      <c r="I16" s="4"/>
      <c r="J16" s="4"/>
      <c r="K16" s="4"/>
      <c r="L16" s="4"/>
      <c r="M16" s="4"/>
      <c r="N16" s="4"/>
      <c r="O16" s="5">
        <f t="shared" si="3"/>
        <v>178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 x14ac:dyDescent="0.3">
      <c r="A17" s="91"/>
      <c r="B17" s="19" t="s">
        <v>24</v>
      </c>
      <c r="C17" s="4">
        <v>31</v>
      </c>
      <c r="D17" s="4">
        <v>21</v>
      </c>
      <c r="E17" s="4">
        <v>23</v>
      </c>
      <c r="F17" s="4"/>
      <c r="G17" s="4"/>
      <c r="H17" s="4"/>
      <c r="I17" s="4"/>
      <c r="J17" s="4"/>
      <c r="K17" s="4"/>
      <c r="L17" s="4"/>
      <c r="M17" s="4"/>
      <c r="N17" s="4"/>
      <c r="O17" s="5">
        <f t="shared" si="3"/>
        <v>75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 x14ac:dyDescent="0.3">
      <c r="A18" s="92"/>
      <c r="B18" s="20" t="s">
        <v>25</v>
      </c>
      <c r="C18" s="5">
        <f t="shared" ref="C18:N18" si="4">SUM(C12:C17)</f>
        <v>552</v>
      </c>
      <c r="D18" s="5">
        <f t="shared" si="4"/>
        <v>3154</v>
      </c>
      <c r="E18" s="5">
        <f t="shared" si="4"/>
        <v>11447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15153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90" t="s">
        <v>26</v>
      </c>
      <c r="B20" s="6" t="s">
        <v>19</v>
      </c>
      <c r="C20" s="21">
        <f t="shared" ref="C20:N20" si="5">C12/C18</f>
        <v>0.54347826086956519</v>
      </c>
      <c r="D20" s="21">
        <f t="shared" si="5"/>
        <v>1.077996195307546E-2</v>
      </c>
      <c r="E20" s="21">
        <f t="shared" si="5"/>
        <v>1.3103870009609504E-2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91"/>
      <c r="B21" s="6" t="s">
        <v>20</v>
      </c>
      <c r="C21" s="21">
        <f t="shared" ref="C21:N21" si="7">C13/C18</f>
        <v>0.17391304347826086</v>
      </c>
      <c r="D21" s="21">
        <f t="shared" si="7"/>
        <v>0.39315155358275206</v>
      </c>
      <c r="E21" s="21">
        <f t="shared" si="7"/>
        <v>0.66218223115226693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91"/>
      <c r="B22" s="6" t="s">
        <v>21</v>
      </c>
      <c r="C22" s="21">
        <f t="shared" ref="C22:N22" si="8">C14/C18</f>
        <v>0.15217391304347827</v>
      </c>
      <c r="D22" s="21">
        <f t="shared" si="8"/>
        <v>0.31705770450221943</v>
      </c>
      <c r="E22" s="21">
        <f t="shared" si="8"/>
        <v>0.29702105355114877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91"/>
      <c r="B23" s="6" t="s">
        <v>22</v>
      </c>
      <c r="C23" s="21">
        <f t="shared" ref="C23:N23" si="9">C15/C18</f>
        <v>2.8985507246376812E-2</v>
      </c>
      <c r="D23" s="21">
        <f t="shared" si="9"/>
        <v>0.2536461636017755</v>
      </c>
      <c r="E23" s="21">
        <f t="shared" si="9"/>
        <v>1.747182667947934E-2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91"/>
      <c r="B24" s="6" t="s">
        <v>23</v>
      </c>
      <c r="C24" s="21">
        <f t="shared" ref="C24:N24" si="10">C16/C18</f>
        <v>4.5289855072463768E-2</v>
      </c>
      <c r="D24" s="21">
        <f t="shared" si="10"/>
        <v>1.8706404565630944E-2</v>
      </c>
      <c r="E24" s="21">
        <f t="shared" si="10"/>
        <v>8.2117585393552892E-3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92"/>
      <c r="B25" s="6" t="s">
        <v>27</v>
      </c>
      <c r="C25" s="21">
        <f t="shared" ref="C25:N25" si="11">C17/C18</f>
        <v>5.6159420289855072E-2</v>
      </c>
      <c r="D25" s="21">
        <f t="shared" si="11"/>
        <v>6.6582117945466071E-3</v>
      </c>
      <c r="E25" s="21">
        <f t="shared" si="11"/>
        <v>2.0092600681401239E-3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93"/>
      <c r="B27" s="94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28</v>
      </c>
      <c r="B28" s="6" t="s">
        <v>29</v>
      </c>
      <c r="C28" s="23">
        <v>6.2500000000000003E-3</v>
      </c>
      <c r="D28" s="23">
        <v>8.3333333333333332E-3</v>
      </c>
      <c r="E28" s="23">
        <v>7.6388888888888886E-3</v>
      </c>
      <c r="F28" s="23"/>
      <c r="G28" s="23"/>
      <c r="H28" s="23"/>
      <c r="I28" s="23"/>
      <c r="J28" s="23"/>
      <c r="K28" s="23"/>
      <c r="L28" s="23"/>
      <c r="M28" s="23"/>
      <c r="N28" s="23"/>
      <c r="O28" s="23">
        <f>AVERAGE(C28:N28)</f>
        <v>7.4074074074074077E-3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17</v>
      </c>
      <c r="B29" s="16"/>
      <c r="C29" s="24">
        <v>6.9444444444444441E-3</v>
      </c>
      <c r="D29" s="24">
        <v>6.9444444444444441E-3</v>
      </c>
      <c r="E29" s="24">
        <v>6.9444444444444441E-3</v>
      </c>
      <c r="F29" s="24">
        <v>6.9444444444444441E-3</v>
      </c>
      <c r="G29" s="24">
        <v>6.9444444444444441E-3</v>
      </c>
      <c r="H29" s="24">
        <v>6.9444444444444441E-3</v>
      </c>
      <c r="I29" s="24">
        <v>6.9444444444444441E-3</v>
      </c>
      <c r="J29" s="24">
        <v>6.9444444444444441E-3</v>
      </c>
      <c r="K29" s="24">
        <v>6.9444444444444397E-3</v>
      </c>
      <c r="L29" s="24">
        <v>6.9444444444444397E-3</v>
      </c>
      <c r="M29" s="24">
        <v>6.9444444444444441E-3</v>
      </c>
      <c r="N29" s="24">
        <v>6.9444444444444441E-3</v>
      </c>
      <c r="O29" s="25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93"/>
      <c r="B31" s="94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30</v>
      </c>
      <c r="B32" s="6" t="s">
        <v>29</v>
      </c>
      <c r="C32" s="23">
        <v>4.0972222222222222E-2</v>
      </c>
      <c r="D32" s="23">
        <v>1.3888888888888888E-2</v>
      </c>
      <c r="E32" s="23">
        <v>9.0277777777777769E-3</v>
      </c>
      <c r="F32" s="26"/>
      <c r="G32" s="26"/>
      <c r="H32" s="26"/>
      <c r="I32" s="26"/>
      <c r="J32" s="26"/>
      <c r="K32" s="26"/>
      <c r="L32" s="26"/>
      <c r="M32" s="26"/>
      <c r="N32" s="26"/>
      <c r="O32" s="26">
        <f>AVERAGE(C32:N32)</f>
        <v>2.1296296296296296E-2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93"/>
      <c r="B34" s="94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31</v>
      </c>
      <c r="B35" s="6" t="s">
        <v>32</v>
      </c>
      <c r="C35" s="23">
        <v>1.2084722222222222</v>
      </c>
      <c r="D35" s="23">
        <v>1.1854166666666666</v>
      </c>
      <c r="E35" s="23">
        <v>0.95833333333333337</v>
      </c>
      <c r="F35" s="23"/>
      <c r="G35" s="23"/>
      <c r="H35" s="23"/>
      <c r="I35" s="23"/>
      <c r="J35" s="23"/>
      <c r="K35" s="23"/>
      <c r="L35" s="23"/>
      <c r="M35" s="23"/>
      <c r="N35" s="23"/>
      <c r="O35" s="23">
        <f>AVERAGE(C35:N35)</f>
        <v>1.1174074074074074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93"/>
      <c r="B37" s="94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33</v>
      </c>
      <c r="B38" s="6" t="s">
        <v>34</v>
      </c>
      <c r="C38" s="23">
        <v>6.5972222222222224E-2</v>
      </c>
      <c r="D38" s="23">
        <v>8.611111111111111E-2</v>
      </c>
      <c r="E38" s="23">
        <v>0.12777777777777777</v>
      </c>
      <c r="F38" s="23"/>
      <c r="G38" s="23"/>
      <c r="H38" s="23"/>
      <c r="I38" s="23"/>
      <c r="J38" s="23"/>
      <c r="K38" s="23"/>
      <c r="L38" s="23"/>
      <c r="M38" s="23"/>
      <c r="N38" s="23"/>
      <c r="O38" s="23">
        <f>AVERAGE(C38:N38)</f>
        <v>9.3287037037037043E-2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93"/>
      <c r="B40" s="94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8" t="s">
        <v>35</v>
      </c>
      <c r="B41" s="6" t="s">
        <v>36</v>
      </c>
      <c r="C41" s="29">
        <v>64</v>
      </c>
      <c r="D41" s="29">
        <v>12</v>
      </c>
      <c r="E41" s="29">
        <v>23</v>
      </c>
      <c r="F41" s="29"/>
      <c r="G41" s="29"/>
      <c r="H41" s="29"/>
      <c r="I41" s="29"/>
      <c r="J41" s="29"/>
      <c r="K41" s="29"/>
      <c r="L41" s="29"/>
      <c r="M41" s="29"/>
      <c r="N41" s="29"/>
      <c r="O41" s="5">
        <f>SUM(C41:N41)</f>
        <v>99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93"/>
      <c r="B43" s="94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90" t="s">
        <v>37</v>
      </c>
      <c r="B44" s="6" t="s">
        <v>38</v>
      </c>
      <c r="C44" s="4">
        <v>1200</v>
      </c>
      <c r="D44" s="4">
        <v>1350</v>
      </c>
      <c r="E44" s="4">
        <v>100</v>
      </c>
      <c r="F44" s="4"/>
      <c r="G44" s="4"/>
      <c r="H44" s="4"/>
      <c r="I44" s="4"/>
      <c r="J44" s="4"/>
      <c r="K44" s="4"/>
      <c r="L44" s="4"/>
      <c r="M44" s="4"/>
      <c r="N44" s="4"/>
      <c r="O44" s="5">
        <f t="shared" ref="O44:O47" si="12">SUM(C44:N44)</f>
        <v>2650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91"/>
      <c r="B45" s="6" t="s">
        <v>39</v>
      </c>
      <c r="C45" s="4">
        <v>340</v>
      </c>
      <c r="D45" s="4">
        <v>845</v>
      </c>
      <c r="E45" s="4">
        <v>201</v>
      </c>
      <c r="F45" s="4"/>
      <c r="G45" s="4"/>
      <c r="H45" s="4"/>
      <c r="I45" s="4"/>
      <c r="J45" s="4"/>
      <c r="K45" s="4"/>
      <c r="L45" s="4"/>
      <c r="M45" s="4"/>
      <c r="N45" s="4"/>
      <c r="O45" s="5">
        <f t="shared" si="12"/>
        <v>1386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91"/>
      <c r="B46" s="6" t="s">
        <v>40</v>
      </c>
      <c r="C46" s="4">
        <v>152</v>
      </c>
      <c r="D46" s="4">
        <v>94</v>
      </c>
      <c r="E46" s="4">
        <v>90</v>
      </c>
      <c r="F46" s="4"/>
      <c r="G46" s="4"/>
      <c r="H46" s="4"/>
      <c r="I46" s="4"/>
      <c r="J46" s="4"/>
      <c r="K46" s="4"/>
      <c r="L46" s="4"/>
      <c r="M46" s="4"/>
      <c r="N46" s="4"/>
      <c r="O46" s="5">
        <f t="shared" si="12"/>
        <v>336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92"/>
      <c r="B47" s="6" t="s">
        <v>13</v>
      </c>
      <c r="C47" s="5">
        <f t="shared" ref="C47:N47" si="13">SUM(C44:C46)</f>
        <v>1692</v>
      </c>
      <c r="D47" s="5">
        <f t="shared" si="13"/>
        <v>2289</v>
      </c>
      <c r="E47" s="5">
        <f t="shared" si="13"/>
        <v>391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4372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30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93"/>
      <c r="B49" s="94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90" t="s">
        <v>41</v>
      </c>
      <c r="B50" s="32" t="s">
        <v>42</v>
      </c>
      <c r="C50" s="29">
        <v>245</v>
      </c>
      <c r="D50" s="29">
        <v>2626</v>
      </c>
      <c r="E50" s="29">
        <v>312</v>
      </c>
      <c r="F50" s="29"/>
      <c r="G50" s="29"/>
      <c r="H50" s="29"/>
      <c r="I50" s="29"/>
      <c r="J50" s="29"/>
      <c r="K50" s="29"/>
      <c r="L50" s="29"/>
      <c r="M50" s="29"/>
      <c r="N50" s="29"/>
      <c r="O50" s="33">
        <f t="shared" ref="O50:O59" si="14">SUM(C50:N50)</f>
        <v>3183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91"/>
      <c r="B51" s="32" t="s">
        <v>43</v>
      </c>
      <c r="C51" s="29">
        <v>84</v>
      </c>
      <c r="D51" s="29">
        <v>3434</v>
      </c>
      <c r="E51" s="29">
        <v>29</v>
      </c>
      <c r="F51" s="29"/>
      <c r="G51" s="29"/>
      <c r="H51" s="29"/>
      <c r="I51" s="29"/>
      <c r="J51" s="29"/>
      <c r="K51" s="29"/>
      <c r="L51" s="29"/>
      <c r="M51" s="29"/>
      <c r="N51" s="29"/>
      <c r="O51" s="33">
        <f t="shared" si="14"/>
        <v>3547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91"/>
      <c r="B52" s="32" t="s">
        <v>44</v>
      </c>
      <c r="C52" s="29">
        <v>96</v>
      </c>
      <c r="D52" s="29">
        <v>4252</v>
      </c>
      <c r="E52" s="29">
        <v>31</v>
      </c>
      <c r="F52" s="29"/>
      <c r="G52" s="29"/>
      <c r="H52" s="29"/>
      <c r="I52" s="29"/>
      <c r="J52" s="29"/>
      <c r="K52" s="29"/>
      <c r="L52" s="29"/>
      <c r="M52" s="29"/>
      <c r="N52" s="29"/>
      <c r="O52" s="33">
        <f t="shared" si="14"/>
        <v>4379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91"/>
      <c r="B53" s="32" t="s">
        <v>45</v>
      </c>
      <c r="C53" s="29">
        <v>1220</v>
      </c>
      <c r="D53" s="29">
        <v>102</v>
      </c>
      <c r="E53" s="29">
        <v>42</v>
      </c>
      <c r="F53" s="29"/>
      <c r="G53" s="29"/>
      <c r="H53" s="29"/>
      <c r="I53" s="29"/>
      <c r="J53" s="29"/>
      <c r="K53" s="29"/>
      <c r="L53" s="29"/>
      <c r="M53" s="29"/>
      <c r="N53" s="29"/>
      <c r="O53" s="33">
        <f t="shared" si="14"/>
        <v>1364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91"/>
      <c r="B54" s="32" t="s">
        <v>46</v>
      </c>
      <c r="C54" s="29">
        <v>100</v>
      </c>
      <c r="D54" s="29">
        <v>999</v>
      </c>
      <c r="E54" s="29">
        <v>99</v>
      </c>
      <c r="F54" s="29"/>
      <c r="G54" s="29"/>
      <c r="H54" s="29"/>
      <c r="I54" s="29"/>
      <c r="J54" s="29"/>
      <c r="K54" s="29"/>
      <c r="L54" s="29"/>
      <c r="M54" s="29"/>
      <c r="N54" s="29"/>
      <c r="O54" s="33">
        <f t="shared" si="14"/>
        <v>1198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91"/>
      <c r="B55" s="32" t="s">
        <v>47</v>
      </c>
      <c r="C55" s="29">
        <v>3000</v>
      </c>
      <c r="D55" s="29">
        <v>122</v>
      </c>
      <c r="E55" s="29">
        <v>4555</v>
      </c>
      <c r="F55" s="29"/>
      <c r="G55" s="29"/>
      <c r="H55" s="29"/>
      <c r="I55" s="29"/>
      <c r="J55" s="29"/>
      <c r="K55" s="29"/>
      <c r="L55" s="29"/>
      <c r="M55" s="29"/>
      <c r="N55" s="29"/>
      <c r="O55" s="33">
        <f t="shared" si="14"/>
        <v>7677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91"/>
      <c r="B56" s="32" t="s">
        <v>48</v>
      </c>
      <c r="C56" s="29">
        <v>450</v>
      </c>
      <c r="D56" s="29">
        <v>354</v>
      </c>
      <c r="E56" s="29">
        <v>8444</v>
      </c>
      <c r="F56" s="29"/>
      <c r="G56" s="29"/>
      <c r="H56" s="29"/>
      <c r="I56" s="29"/>
      <c r="J56" s="29"/>
      <c r="K56" s="29"/>
      <c r="L56" s="29"/>
      <c r="M56" s="29"/>
      <c r="N56" s="29"/>
      <c r="O56" s="33">
        <f t="shared" si="14"/>
        <v>9248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91"/>
      <c r="B57" s="32" t="s">
        <v>49</v>
      </c>
      <c r="C57" s="29">
        <v>99</v>
      </c>
      <c r="D57" s="29">
        <v>140</v>
      </c>
      <c r="E57" s="29">
        <v>2</v>
      </c>
      <c r="F57" s="29"/>
      <c r="G57" s="29"/>
      <c r="H57" s="29"/>
      <c r="I57" s="29"/>
      <c r="J57" s="29"/>
      <c r="K57" s="29"/>
      <c r="L57" s="29"/>
      <c r="M57" s="29"/>
      <c r="N57" s="29"/>
      <c r="O57" s="33">
        <f t="shared" si="14"/>
        <v>241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91"/>
      <c r="B58" s="32" t="s">
        <v>50</v>
      </c>
      <c r="C58" s="29">
        <v>135</v>
      </c>
      <c r="D58" s="29">
        <v>92</v>
      </c>
      <c r="E58" s="29">
        <v>1</v>
      </c>
      <c r="F58" s="29"/>
      <c r="G58" s="29"/>
      <c r="H58" s="29"/>
      <c r="I58" s="29"/>
      <c r="J58" s="29"/>
      <c r="K58" s="29"/>
      <c r="L58" s="29"/>
      <c r="M58" s="29"/>
      <c r="N58" s="29"/>
      <c r="O58" s="33">
        <f t="shared" si="14"/>
        <v>228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92"/>
      <c r="B59" s="32" t="s">
        <v>13</v>
      </c>
      <c r="C59" s="29">
        <f t="shared" ref="C59:N59" si="15">SUM(C50:C58)</f>
        <v>5429</v>
      </c>
      <c r="D59" s="29">
        <f t="shared" si="15"/>
        <v>12121</v>
      </c>
      <c r="E59" s="29">
        <f t="shared" si="15"/>
        <v>13515</v>
      </c>
      <c r="F59" s="29">
        <f t="shared" si="15"/>
        <v>0</v>
      </c>
      <c r="G59" s="29">
        <f t="shared" si="15"/>
        <v>0</v>
      </c>
      <c r="H59" s="29">
        <f t="shared" si="15"/>
        <v>0</v>
      </c>
      <c r="I59" s="29">
        <f t="shared" si="15"/>
        <v>0</v>
      </c>
      <c r="J59" s="29">
        <f t="shared" si="15"/>
        <v>0</v>
      </c>
      <c r="K59" s="29">
        <f t="shared" si="15"/>
        <v>0</v>
      </c>
      <c r="L59" s="29">
        <f t="shared" si="15"/>
        <v>0</v>
      </c>
      <c r="M59" s="29">
        <f t="shared" si="15"/>
        <v>0</v>
      </c>
      <c r="N59" s="29">
        <f t="shared" si="15"/>
        <v>0</v>
      </c>
      <c r="O59" s="33">
        <f t="shared" si="14"/>
        <v>31065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30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93"/>
      <c r="B61" s="9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90" t="s">
        <v>51</v>
      </c>
      <c r="B62" s="32" t="s">
        <v>52</v>
      </c>
      <c r="C62" s="4">
        <v>4550</v>
      </c>
      <c r="D62" s="4">
        <v>4500</v>
      </c>
      <c r="E62" s="4">
        <v>7240</v>
      </c>
      <c r="F62" s="4"/>
      <c r="G62" s="4"/>
      <c r="H62" s="4"/>
      <c r="I62" s="4"/>
      <c r="J62" s="4"/>
      <c r="K62" s="4"/>
      <c r="L62" s="4"/>
      <c r="M62" s="4"/>
      <c r="N62" s="4"/>
      <c r="O62" s="5">
        <f t="shared" ref="O62:O64" si="16">SUM(C62:N62)</f>
        <v>16290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91"/>
      <c r="B63" s="32" t="s">
        <v>53</v>
      </c>
      <c r="C63" s="4">
        <v>1250</v>
      </c>
      <c r="D63" s="4">
        <v>1235</v>
      </c>
      <c r="E63" s="4">
        <v>3330</v>
      </c>
      <c r="F63" s="4"/>
      <c r="G63" s="4"/>
      <c r="H63" s="4"/>
      <c r="I63" s="4"/>
      <c r="J63" s="4"/>
      <c r="K63" s="4"/>
      <c r="L63" s="4"/>
      <c r="M63" s="4"/>
      <c r="N63" s="4"/>
      <c r="O63" s="5">
        <f t="shared" si="16"/>
        <v>5815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92"/>
      <c r="B64" s="32" t="s">
        <v>13</v>
      </c>
      <c r="C64" s="5">
        <f t="shared" ref="C64:N64" si="17">SUM(C62:C63)</f>
        <v>5800</v>
      </c>
      <c r="D64" s="5">
        <f t="shared" si="17"/>
        <v>5735</v>
      </c>
      <c r="E64" s="5">
        <f t="shared" si="17"/>
        <v>10570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22105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30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93"/>
      <c r="B66" s="94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54</v>
      </c>
      <c r="B67" s="32" t="s">
        <v>13</v>
      </c>
      <c r="C67" s="33">
        <v>10</v>
      </c>
      <c r="D67" s="33">
        <v>12</v>
      </c>
      <c r="E67" s="33">
        <v>9</v>
      </c>
      <c r="F67" s="33">
        <v>5</v>
      </c>
      <c r="G67" s="33"/>
      <c r="H67" s="33"/>
      <c r="I67" s="33"/>
      <c r="J67" s="33"/>
      <c r="K67" s="33"/>
      <c r="L67" s="33"/>
      <c r="M67" s="33"/>
      <c r="N67" s="33"/>
      <c r="O67" s="5">
        <f>SUM(C67:N67)</f>
        <v>36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4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7"/>
    <mergeCell ref="A49:B49"/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511811024" right="0.511811024" top="0.78740157499999996" bottom="0.78740157499999996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2"/>
  <sheetViews>
    <sheetView showGridLines="0" workbookViewId="0"/>
  </sheetViews>
  <sheetFormatPr defaultColWidth="12.6640625" defaultRowHeight="15" customHeight="1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96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55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93" t="s">
        <v>56</v>
      </c>
      <c r="B3" s="9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98" t="s">
        <v>14</v>
      </c>
      <c r="B4" s="94"/>
      <c r="C4" s="4">
        <v>8880</v>
      </c>
      <c r="D4" s="4">
        <v>12340</v>
      </c>
      <c r="E4" s="4">
        <v>5400</v>
      </c>
      <c r="F4" s="4"/>
      <c r="G4" s="4"/>
      <c r="H4" s="4"/>
      <c r="I4" s="4"/>
      <c r="J4" s="4"/>
      <c r="K4" s="4"/>
      <c r="L4" s="4"/>
      <c r="M4" s="4"/>
      <c r="N4" s="4"/>
      <c r="O4" s="5">
        <f>SUM(C4:N4)</f>
        <v>26620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15</v>
      </c>
      <c r="B5" s="6"/>
      <c r="C5" s="4">
        <f>C4/31</f>
        <v>286.45161290322579</v>
      </c>
      <c r="D5" s="4">
        <f>D4/30</f>
        <v>411.33333333333331</v>
      </c>
      <c r="E5" s="4">
        <f>E4/31</f>
        <v>174.19354838709677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72.664874551971323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93"/>
      <c r="B7" s="94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98" t="s">
        <v>16</v>
      </c>
      <c r="B8" s="94"/>
      <c r="C8" s="4">
        <v>12000</v>
      </c>
      <c r="D8" s="4">
        <v>9400</v>
      </c>
      <c r="E8" s="4">
        <v>10500</v>
      </c>
      <c r="F8" s="4">
        <v>12800</v>
      </c>
      <c r="G8" s="4"/>
      <c r="H8" s="4"/>
      <c r="I8" s="4"/>
      <c r="J8" s="4"/>
      <c r="K8" s="4"/>
      <c r="L8" s="4"/>
      <c r="M8" s="4"/>
      <c r="N8" s="4"/>
      <c r="O8" s="5">
        <f t="shared" ref="O8:O9" si="2">SUM(C8:N8)</f>
        <v>44700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95" t="s">
        <v>17</v>
      </c>
      <c r="B9" s="94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93"/>
      <c r="B11" s="94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90" t="s">
        <v>18</v>
      </c>
      <c r="B12" s="14" t="s">
        <v>19</v>
      </c>
      <c r="C12" s="4">
        <v>300</v>
      </c>
      <c r="D12" s="4">
        <v>34</v>
      </c>
      <c r="E12" s="4">
        <v>150</v>
      </c>
      <c r="F12" s="4"/>
      <c r="G12" s="4"/>
      <c r="H12" s="4"/>
      <c r="I12" s="4"/>
      <c r="J12" s="4"/>
      <c r="K12" s="4"/>
      <c r="L12" s="4"/>
      <c r="M12" s="4"/>
      <c r="N12" s="4"/>
      <c r="O12" s="5">
        <f t="shared" ref="O12:O18" si="3">SUM(C12:N12)</f>
        <v>484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91"/>
      <c r="B13" s="15" t="s">
        <v>20</v>
      </c>
      <c r="C13" s="4">
        <v>96</v>
      </c>
      <c r="D13" s="4">
        <v>1240</v>
      </c>
      <c r="E13" s="4">
        <v>7580</v>
      </c>
      <c r="F13" s="4"/>
      <c r="G13" s="4"/>
      <c r="H13" s="4"/>
      <c r="I13" s="4"/>
      <c r="J13" s="4"/>
      <c r="K13" s="4"/>
      <c r="L13" s="4"/>
      <c r="M13" s="4"/>
      <c r="N13" s="4"/>
      <c r="O13" s="5">
        <f t="shared" si="3"/>
        <v>8916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91"/>
      <c r="B14" s="16" t="s">
        <v>21</v>
      </c>
      <c r="C14" s="4">
        <v>84</v>
      </c>
      <c r="D14" s="4">
        <v>1000</v>
      </c>
      <c r="E14" s="4">
        <v>3400</v>
      </c>
      <c r="F14" s="4"/>
      <c r="G14" s="4"/>
      <c r="H14" s="4"/>
      <c r="I14" s="4"/>
      <c r="J14" s="4"/>
      <c r="K14" s="4"/>
      <c r="L14" s="4"/>
      <c r="M14" s="4"/>
      <c r="N14" s="4"/>
      <c r="O14" s="5">
        <f t="shared" si="3"/>
        <v>4484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91"/>
      <c r="B15" s="17" t="s">
        <v>22</v>
      </c>
      <c r="C15" s="4">
        <v>16</v>
      </c>
      <c r="D15" s="4">
        <v>800</v>
      </c>
      <c r="E15" s="4">
        <v>200</v>
      </c>
      <c r="F15" s="4"/>
      <c r="G15" s="4"/>
      <c r="H15" s="4"/>
      <c r="I15" s="4"/>
      <c r="J15" s="4"/>
      <c r="K15" s="4"/>
      <c r="L15" s="4"/>
      <c r="M15" s="4"/>
      <c r="N15" s="4"/>
      <c r="O15" s="5">
        <f t="shared" si="3"/>
        <v>1016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91"/>
      <c r="B16" s="18" t="s">
        <v>23</v>
      </c>
      <c r="C16" s="4">
        <v>25</v>
      </c>
      <c r="D16" s="4">
        <v>59</v>
      </c>
      <c r="E16" s="4">
        <v>94</v>
      </c>
      <c r="F16" s="4"/>
      <c r="G16" s="4"/>
      <c r="H16" s="4"/>
      <c r="I16" s="4"/>
      <c r="J16" s="4"/>
      <c r="K16" s="4"/>
      <c r="L16" s="4"/>
      <c r="M16" s="4"/>
      <c r="N16" s="4"/>
      <c r="O16" s="5">
        <f t="shared" si="3"/>
        <v>178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91"/>
      <c r="B17" s="19" t="s">
        <v>24</v>
      </c>
      <c r="C17" s="4">
        <v>31</v>
      </c>
      <c r="D17" s="4">
        <v>21</v>
      </c>
      <c r="E17" s="4">
        <v>23</v>
      </c>
      <c r="F17" s="4"/>
      <c r="G17" s="4"/>
      <c r="H17" s="4"/>
      <c r="I17" s="4"/>
      <c r="J17" s="4"/>
      <c r="K17" s="4"/>
      <c r="L17" s="4"/>
      <c r="M17" s="4"/>
      <c r="N17" s="4"/>
      <c r="O17" s="5">
        <f t="shared" si="3"/>
        <v>75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92"/>
      <c r="B18" s="20" t="s">
        <v>25</v>
      </c>
      <c r="C18" s="5">
        <f t="shared" ref="C18:N18" si="4">SUM(C12:C17)</f>
        <v>552</v>
      </c>
      <c r="D18" s="5">
        <f t="shared" si="4"/>
        <v>3154</v>
      </c>
      <c r="E18" s="5">
        <f t="shared" si="4"/>
        <v>11447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15153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6"/>
      <c r="B19" s="36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90" t="s">
        <v>26</v>
      </c>
      <c r="B20" s="6" t="s">
        <v>19</v>
      </c>
      <c r="C20" s="21">
        <f t="shared" ref="C20:N20" si="5">C12/C18</f>
        <v>0.54347826086956519</v>
      </c>
      <c r="D20" s="21">
        <f t="shared" si="5"/>
        <v>1.077996195307546E-2</v>
      </c>
      <c r="E20" s="21">
        <f t="shared" si="5"/>
        <v>1.3103870009609504E-2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91"/>
      <c r="B21" s="6" t="s">
        <v>20</v>
      </c>
      <c r="C21" s="21">
        <f t="shared" ref="C21:N21" si="7">C13/C18</f>
        <v>0.17391304347826086</v>
      </c>
      <c r="D21" s="21">
        <f t="shared" si="7"/>
        <v>0.39315155358275206</v>
      </c>
      <c r="E21" s="21">
        <f t="shared" si="7"/>
        <v>0.66218223115226693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91"/>
      <c r="B22" s="6" t="s">
        <v>21</v>
      </c>
      <c r="C22" s="21">
        <f t="shared" ref="C22:N22" si="8">C14/C18</f>
        <v>0.15217391304347827</v>
      </c>
      <c r="D22" s="21">
        <f t="shared" si="8"/>
        <v>0.31705770450221943</v>
      </c>
      <c r="E22" s="21">
        <f t="shared" si="8"/>
        <v>0.29702105355114877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91"/>
      <c r="B23" s="6" t="s">
        <v>22</v>
      </c>
      <c r="C23" s="21">
        <f t="shared" ref="C23:N23" si="9">C15/C18</f>
        <v>2.8985507246376812E-2</v>
      </c>
      <c r="D23" s="21">
        <f t="shared" si="9"/>
        <v>0.2536461636017755</v>
      </c>
      <c r="E23" s="21">
        <f t="shared" si="9"/>
        <v>1.747182667947934E-2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91"/>
      <c r="B24" s="6" t="s">
        <v>23</v>
      </c>
      <c r="C24" s="21">
        <f t="shared" ref="C24:N24" si="10">C16/C18</f>
        <v>4.5289855072463768E-2</v>
      </c>
      <c r="D24" s="21">
        <f t="shared" si="10"/>
        <v>1.8706404565630944E-2</v>
      </c>
      <c r="E24" s="21">
        <f t="shared" si="10"/>
        <v>8.2117585393552892E-3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92"/>
      <c r="B25" s="6" t="s">
        <v>27</v>
      </c>
      <c r="C25" s="21">
        <f t="shared" ref="C25:N25" si="11">C17/C18</f>
        <v>5.6159420289855072E-2</v>
      </c>
      <c r="D25" s="21">
        <f t="shared" si="11"/>
        <v>6.6582117945466071E-3</v>
      </c>
      <c r="E25" s="21">
        <f t="shared" si="11"/>
        <v>2.0092600681401239E-3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93"/>
      <c r="B27" s="94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28</v>
      </c>
      <c r="B28" s="6" t="s">
        <v>29</v>
      </c>
      <c r="C28" s="23">
        <v>6.2500000000000003E-3</v>
      </c>
      <c r="D28" s="23">
        <v>8.3333333333333332E-3</v>
      </c>
      <c r="E28" s="23">
        <v>7.6388888888888886E-3</v>
      </c>
      <c r="F28" s="23"/>
      <c r="G28" s="23"/>
      <c r="H28" s="23"/>
      <c r="I28" s="23"/>
      <c r="J28" s="23"/>
      <c r="K28" s="23"/>
      <c r="L28" s="23"/>
      <c r="M28" s="23"/>
      <c r="N28" s="23"/>
      <c r="O28" s="23">
        <f>AVERAGE(C28:N28)</f>
        <v>7.4074074074074077E-3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17</v>
      </c>
      <c r="B29" s="16"/>
      <c r="C29" s="24">
        <v>6.9444444444444441E-3</v>
      </c>
      <c r="D29" s="24">
        <v>6.9444444444444441E-3</v>
      </c>
      <c r="E29" s="24">
        <v>6.9444444444444441E-3</v>
      </c>
      <c r="F29" s="24">
        <v>6.9444444444444441E-3</v>
      </c>
      <c r="G29" s="24">
        <v>6.9444444444444441E-3</v>
      </c>
      <c r="H29" s="24">
        <v>6.9444444444444441E-3</v>
      </c>
      <c r="I29" s="24">
        <v>6.9444444444444441E-3</v>
      </c>
      <c r="J29" s="24">
        <v>6.9444444444444441E-3</v>
      </c>
      <c r="K29" s="24">
        <v>6.9444444444444397E-3</v>
      </c>
      <c r="L29" s="24">
        <v>6.9444444444444397E-3</v>
      </c>
      <c r="M29" s="24">
        <v>6.9444444444444441E-3</v>
      </c>
      <c r="N29" s="24">
        <v>6.9444444444444441E-3</v>
      </c>
      <c r="O29" s="25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93"/>
      <c r="B31" s="94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30</v>
      </c>
      <c r="B32" s="6" t="s">
        <v>29</v>
      </c>
      <c r="C32" s="23">
        <v>4.0972222222222222E-2</v>
      </c>
      <c r="D32" s="23">
        <v>1.3888888888888888E-2</v>
      </c>
      <c r="E32" s="23">
        <v>9.0277777777777769E-3</v>
      </c>
      <c r="F32" s="26"/>
      <c r="G32" s="26"/>
      <c r="H32" s="26"/>
      <c r="I32" s="26"/>
      <c r="J32" s="26"/>
      <c r="K32" s="26"/>
      <c r="L32" s="26"/>
      <c r="M32" s="26"/>
      <c r="N32" s="26"/>
      <c r="O32" s="26">
        <f>AVERAGE(C32:N32)</f>
        <v>2.1296296296296296E-2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93"/>
      <c r="B34" s="94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31</v>
      </c>
      <c r="B35" s="6" t="s">
        <v>32</v>
      </c>
      <c r="C35" s="23">
        <v>1.2084722222222222</v>
      </c>
      <c r="D35" s="23">
        <v>1.1854166666666666</v>
      </c>
      <c r="E35" s="23">
        <v>0.95833333333333337</v>
      </c>
      <c r="F35" s="23"/>
      <c r="G35" s="23"/>
      <c r="H35" s="23"/>
      <c r="I35" s="23"/>
      <c r="J35" s="23"/>
      <c r="K35" s="23"/>
      <c r="L35" s="23"/>
      <c r="M35" s="23"/>
      <c r="N35" s="23"/>
      <c r="O35" s="23">
        <f>AVERAGE(C35:N35)</f>
        <v>1.1174074074074074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93"/>
      <c r="B37" s="94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33</v>
      </c>
      <c r="B38" s="6" t="s">
        <v>34</v>
      </c>
      <c r="C38" s="23">
        <v>6.5972222222222224E-2</v>
      </c>
      <c r="D38" s="23">
        <v>8.611111111111111E-2</v>
      </c>
      <c r="E38" s="23">
        <v>0.12777777777777777</v>
      </c>
      <c r="F38" s="23"/>
      <c r="G38" s="23"/>
      <c r="H38" s="23"/>
      <c r="I38" s="23"/>
      <c r="J38" s="23"/>
      <c r="K38" s="23"/>
      <c r="L38" s="23"/>
      <c r="M38" s="23"/>
      <c r="N38" s="23"/>
      <c r="O38" s="23">
        <f>AVERAGE(C38:N38)</f>
        <v>9.3287037037037043E-2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93"/>
      <c r="B40" s="94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8" t="s">
        <v>35</v>
      </c>
      <c r="B41" s="6" t="s">
        <v>36</v>
      </c>
      <c r="C41" s="29">
        <v>64</v>
      </c>
      <c r="D41" s="29">
        <v>12</v>
      </c>
      <c r="E41" s="29">
        <v>23</v>
      </c>
      <c r="F41" s="29"/>
      <c r="G41" s="29"/>
      <c r="H41" s="29"/>
      <c r="I41" s="29"/>
      <c r="J41" s="29"/>
      <c r="K41" s="29"/>
      <c r="L41" s="29"/>
      <c r="M41" s="29"/>
      <c r="N41" s="29"/>
      <c r="O41" s="5">
        <f>SUM(C41:N41)</f>
        <v>99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93"/>
      <c r="B43" s="94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99" t="s">
        <v>37</v>
      </c>
      <c r="B44" s="6" t="s">
        <v>38</v>
      </c>
      <c r="C44" s="4">
        <v>1200</v>
      </c>
      <c r="D44" s="4">
        <v>1350</v>
      </c>
      <c r="E44" s="4">
        <v>100</v>
      </c>
      <c r="F44" s="4"/>
      <c r="G44" s="4"/>
      <c r="H44" s="4"/>
      <c r="I44" s="4"/>
      <c r="J44" s="4"/>
      <c r="K44" s="4"/>
      <c r="L44" s="4"/>
      <c r="M44" s="4"/>
      <c r="N44" s="4"/>
      <c r="O44" s="5">
        <f t="shared" ref="O44:O47" si="12">SUM(C44:N44)</f>
        <v>2650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91"/>
      <c r="B45" s="6" t="s">
        <v>39</v>
      </c>
      <c r="C45" s="4">
        <v>340</v>
      </c>
      <c r="D45" s="4">
        <v>845</v>
      </c>
      <c r="E45" s="4">
        <v>201</v>
      </c>
      <c r="F45" s="4"/>
      <c r="G45" s="4"/>
      <c r="H45" s="4"/>
      <c r="I45" s="4"/>
      <c r="J45" s="4"/>
      <c r="K45" s="4"/>
      <c r="L45" s="4"/>
      <c r="M45" s="4"/>
      <c r="N45" s="4"/>
      <c r="O45" s="5">
        <f t="shared" si="12"/>
        <v>1386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92"/>
      <c r="B46" s="6" t="s">
        <v>40</v>
      </c>
      <c r="C46" s="4">
        <v>152</v>
      </c>
      <c r="D46" s="4">
        <v>94</v>
      </c>
      <c r="E46" s="4">
        <v>90</v>
      </c>
      <c r="F46" s="4"/>
      <c r="G46" s="4"/>
      <c r="H46" s="4"/>
      <c r="I46" s="4"/>
      <c r="J46" s="4"/>
      <c r="K46" s="4"/>
      <c r="L46" s="4"/>
      <c r="M46" s="4"/>
      <c r="N46" s="4"/>
      <c r="O46" s="5">
        <f t="shared" si="12"/>
        <v>336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8"/>
      <c r="B47" s="6" t="s">
        <v>13</v>
      </c>
      <c r="C47" s="5">
        <f t="shared" ref="C47:N47" si="13">SUM(C44:C46)</f>
        <v>1692</v>
      </c>
      <c r="D47" s="5">
        <f t="shared" si="13"/>
        <v>2289</v>
      </c>
      <c r="E47" s="5">
        <f t="shared" si="13"/>
        <v>391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4372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30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93"/>
      <c r="B49" s="94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99" t="s">
        <v>41</v>
      </c>
      <c r="B50" s="32" t="s">
        <v>42</v>
      </c>
      <c r="C50" s="29">
        <v>245</v>
      </c>
      <c r="D50" s="29">
        <v>2626</v>
      </c>
      <c r="E50" s="29">
        <v>312</v>
      </c>
      <c r="F50" s="29"/>
      <c r="G50" s="29"/>
      <c r="H50" s="29"/>
      <c r="I50" s="29"/>
      <c r="J50" s="29"/>
      <c r="K50" s="29"/>
      <c r="L50" s="29"/>
      <c r="M50" s="29"/>
      <c r="N50" s="29"/>
      <c r="O50" s="33">
        <f t="shared" ref="O50:O59" si="14">SUM(C50:N50)</f>
        <v>3183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91"/>
      <c r="B51" s="32" t="s">
        <v>43</v>
      </c>
      <c r="C51" s="29">
        <v>84</v>
      </c>
      <c r="D51" s="29">
        <v>3434</v>
      </c>
      <c r="E51" s="29">
        <v>29</v>
      </c>
      <c r="F51" s="29"/>
      <c r="G51" s="29"/>
      <c r="H51" s="29"/>
      <c r="I51" s="29"/>
      <c r="J51" s="29"/>
      <c r="K51" s="29"/>
      <c r="L51" s="29"/>
      <c r="M51" s="29"/>
      <c r="N51" s="29"/>
      <c r="O51" s="33">
        <f t="shared" si="14"/>
        <v>3547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91"/>
      <c r="B52" s="32" t="s">
        <v>44</v>
      </c>
      <c r="C52" s="29">
        <v>96</v>
      </c>
      <c r="D52" s="29">
        <v>4252</v>
      </c>
      <c r="E52" s="29">
        <v>31</v>
      </c>
      <c r="F52" s="29"/>
      <c r="G52" s="29"/>
      <c r="H52" s="29"/>
      <c r="I52" s="29"/>
      <c r="J52" s="29"/>
      <c r="K52" s="29"/>
      <c r="L52" s="29"/>
      <c r="M52" s="29"/>
      <c r="N52" s="29"/>
      <c r="O52" s="33">
        <f t="shared" si="14"/>
        <v>4379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91"/>
      <c r="B53" s="32" t="s">
        <v>45</v>
      </c>
      <c r="C53" s="29">
        <v>1220</v>
      </c>
      <c r="D53" s="29">
        <v>102</v>
      </c>
      <c r="E53" s="29">
        <v>42</v>
      </c>
      <c r="F53" s="29"/>
      <c r="G53" s="29"/>
      <c r="H53" s="29"/>
      <c r="I53" s="29"/>
      <c r="J53" s="29"/>
      <c r="K53" s="29"/>
      <c r="L53" s="29"/>
      <c r="M53" s="29"/>
      <c r="N53" s="29"/>
      <c r="O53" s="33">
        <f t="shared" si="14"/>
        <v>1364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91"/>
      <c r="B54" s="32" t="s">
        <v>46</v>
      </c>
      <c r="C54" s="29">
        <v>100</v>
      </c>
      <c r="D54" s="29">
        <v>999</v>
      </c>
      <c r="E54" s="29">
        <v>99</v>
      </c>
      <c r="F54" s="29"/>
      <c r="G54" s="29"/>
      <c r="H54" s="29"/>
      <c r="I54" s="29"/>
      <c r="J54" s="29"/>
      <c r="K54" s="29"/>
      <c r="L54" s="29"/>
      <c r="M54" s="29"/>
      <c r="N54" s="29"/>
      <c r="O54" s="33">
        <f t="shared" si="14"/>
        <v>1198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91"/>
      <c r="B55" s="32" t="s">
        <v>47</v>
      </c>
      <c r="C55" s="29">
        <v>3000</v>
      </c>
      <c r="D55" s="29">
        <v>122</v>
      </c>
      <c r="E55" s="29">
        <v>4555</v>
      </c>
      <c r="F55" s="29"/>
      <c r="G55" s="29"/>
      <c r="H55" s="29"/>
      <c r="I55" s="29"/>
      <c r="J55" s="29"/>
      <c r="K55" s="29"/>
      <c r="L55" s="29"/>
      <c r="M55" s="29"/>
      <c r="N55" s="29"/>
      <c r="O55" s="33">
        <f t="shared" si="14"/>
        <v>7677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91"/>
      <c r="B56" s="32" t="s">
        <v>48</v>
      </c>
      <c r="C56" s="29">
        <v>450</v>
      </c>
      <c r="D56" s="29">
        <v>354</v>
      </c>
      <c r="E56" s="29">
        <v>8444</v>
      </c>
      <c r="F56" s="29"/>
      <c r="G56" s="29"/>
      <c r="H56" s="29"/>
      <c r="I56" s="29"/>
      <c r="J56" s="29"/>
      <c r="K56" s="29"/>
      <c r="L56" s="29"/>
      <c r="M56" s="29"/>
      <c r="N56" s="29"/>
      <c r="O56" s="33">
        <f t="shared" si="14"/>
        <v>9248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91"/>
      <c r="B57" s="32" t="s">
        <v>49</v>
      </c>
      <c r="C57" s="29">
        <v>99</v>
      </c>
      <c r="D57" s="29">
        <v>140</v>
      </c>
      <c r="E57" s="29">
        <v>2</v>
      </c>
      <c r="F57" s="29"/>
      <c r="G57" s="29"/>
      <c r="H57" s="29"/>
      <c r="I57" s="29"/>
      <c r="J57" s="29"/>
      <c r="K57" s="29"/>
      <c r="L57" s="29"/>
      <c r="M57" s="29"/>
      <c r="N57" s="29"/>
      <c r="O57" s="33">
        <f t="shared" si="14"/>
        <v>241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92"/>
      <c r="B58" s="32" t="s">
        <v>50</v>
      </c>
      <c r="C58" s="29">
        <v>135</v>
      </c>
      <c r="D58" s="29">
        <v>92</v>
      </c>
      <c r="E58" s="29">
        <v>1</v>
      </c>
      <c r="F58" s="29"/>
      <c r="G58" s="29"/>
      <c r="H58" s="29"/>
      <c r="I58" s="29"/>
      <c r="J58" s="29"/>
      <c r="K58" s="29"/>
      <c r="L58" s="29"/>
      <c r="M58" s="29"/>
      <c r="N58" s="29"/>
      <c r="O58" s="33">
        <f t="shared" si="14"/>
        <v>228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8"/>
      <c r="B59" s="32" t="s">
        <v>13</v>
      </c>
      <c r="C59" s="29">
        <f t="shared" ref="C59:N59" si="15">SUM(C50:C58)</f>
        <v>5429</v>
      </c>
      <c r="D59" s="29">
        <f t="shared" si="15"/>
        <v>12121</v>
      </c>
      <c r="E59" s="29">
        <f t="shared" si="15"/>
        <v>13515</v>
      </c>
      <c r="F59" s="29">
        <f t="shared" si="15"/>
        <v>0</v>
      </c>
      <c r="G59" s="29">
        <f t="shared" si="15"/>
        <v>0</v>
      </c>
      <c r="H59" s="29">
        <f t="shared" si="15"/>
        <v>0</v>
      </c>
      <c r="I59" s="29">
        <f t="shared" si="15"/>
        <v>0</v>
      </c>
      <c r="J59" s="29">
        <f t="shared" si="15"/>
        <v>0</v>
      </c>
      <c r="K59" s="29">
        <f t="shared" si="15"/>
        <v>0</v>
      </c>
      <c r="L59" s="29">
        <f t="shared" si="15"/>
        <v>0</v>
      </c>
      <c r="M59" s="29">
        <f t="shared" si="15"/>
        <v>0</v>
      </c>
      <c r="N59" s="29">
        <f t="shared" si="15"/>
        <v>0</v>
      </c>
      <c r="O59" s="33">
        <f t="shared" si="14"/>
        <v>31065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30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93"/>
      <c r="B61" s="9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99" t="s">
        <v>51</v>
      </c>
      <c r="B62" s="32" t="s">
        <v>52</v>
      </c>
      <c r="C62" s="4">
        <v>4550</v>
      </c>
      <c r="D62" s="4">
        <v>4500</v>
      </c>
      <c r="E62" s="4">
        <v>7240</v>
      </c>
      <c r="F62" s="4"/>
      <c r="G62" s="4"/>
      <c r="H62" s="4"/>
      <c r="I62" s="4"/>
      <c r="J62" s="4"/>
      <c r="K62" s="4"/>
      <c r="L62" s="4"/>
      <c r="M62" s="4"/>
      <c r="N62" s="4"/>
      <c r="O62" s="5">
        <f t="shared" ref="O62:O64" si="16">SUM(C62:N62)</f>
        <v>16290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92"/>
      <c r="B63" s="32" t="s">
        <v>53</v>
      </c>
      <c r="C63" s="4">
        <v>1250</v>
      </c>
      <c r="D63" s="4">
        <v>1235</v>
      </c>
      <c r="E63" s="4">
        <v>3330</v>
      </c>
      <c r="F63" s="4"/>
      <c r="G63" s="4"/>
      <c r="H63" s="4"/>
      <c r="I63" s="4"/>
      <c r="J63" s="4"/>
      <c r="K63" s="4"/>
      <c r="L63" s="4"/>
      <c r="M63" s="4"/>
      <c r="N63" s="4"/>
      <c r="O63" s="5">
        <f t="shared" si="16"/>
        <v>5815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8"/>
      <c r="B64" s="32" t="s">
        <v>13</v>
      </c>
      <c r="C64" s="5">
        <f t="shared" ref="C64:N64" si="17">SUM(C62:C63)</f>
        <v>5800</v>
      </c>
      <c r="D64" s="5">
        <f t="shared" si="17"/>
        <v>5735</v>
      </c>
      <c r="E64" s="5">
        <f t="shared" si="17"/>
        <v>10570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22105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30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93"/>
      <c r="B66" s="94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54</v>
      </c>
      <c r="B67" s="32" t="s">
        <v>13</v>
      </c>
      <c r="C67" s="33">
        <v>10</v>
      </c>
      <c r="D67" s="33">
        <v>12</v>
      </c>
      <c r="E67" s="33">
        <v>9</v>
      </c>
      <c r="F67" s="33">
        <v>5</v>
      </c>
      <c r="G67" s="33"/>
      <c r="H67" s="33"/>
      <c r="I67" s="33"/>
      <c r="J67" s="33"/>
      <c r="K67" s="33"/>
      <c r="L67" s="33"/>
      <c r="M67" s="33"/>
      <c r="N67" s="33"/>
      <c r="O67" s="5">
        <f>SUM(C67:N67)</f>
        <v>36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6"/>
    <mergeCell ref="A49:B49"/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511811024" right="0.511811024" top="0.78740157499999996" bottom="0.78740157499999996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workbookViewId="0"/>
  </sheetViews>
  <sheetFormatPr defaultColWidth="12.6640625" defaultRowHeight="15" customHeight="1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96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 x14ac:dyDescent="0.3">
      <c r="A2" s="2" t="s">
        <v>57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 x14ac:dyDescent="0.3">
      <c r="A3" s="93"/>
      <c r="B3" s="9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4" x14ac:dyDescent="0.3">
      <c r="A4" s="98" t="s">
        <v>58</v>
      </c>
      <c r="B4" s="94"/>
      <c r="C4" s="4">
        <v>954</v>
      </c>
      <c r="D4" s="4">
        <v>32</v>
      </c>
      <c r="E4" s="4">
        <v>32</v>
      </c>
      <c r="F4" s="4"/>
      <c r="G4" s="4"/>
      <c r="H4" s="4"/>
      <c r="I4" s="4"/>
      <c r="J4" s="4"/>
      <c r="K4" s="4"/>
      <c r="L4" s="4"/>
      <c r="M4" s="4"/>
      <c r="N4" s="4"/>
      <c r="O4" s="5">
        <f>SUM(C4:N4)</f>
        <v>1018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 x14ac:dyDescent="0.3">
      <c r="A5" s="6" t="s">
        <v>15</v>
      </c>
      <c r="B5" s="6"/>
      <c r="C5" s="4">
        <f>C4/31</f>
        <v>30.774193548387096</v>
      </c>
      <c r="D5" s="4">
        <f>D4/30</f>
        <v>1.0666666666666667</v>
      </c>
      <c r="E5" s="4">
        <f>E4/31</f>
        <v>1.032258064516129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2.739426523297491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4" x14ac:dyDescent="0.3">
      <c r="A7" s="93"/>
      <c r="B7" s="94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4" x14ac:dyDescent="0.3">
      <c r="A8" s="6" t="s">
        <v>54</v>
      </c>
      <c r="B8" s="32" t="s">
        <v>13</v>
      </c>
      <c r="C8" s="33">
        <v>10</v>
      </c>
      <c r="D8" s="33">
        <v>12</v>
      </c>
      <c r="E8" s="33">
        <v>9</v>
      </c>
      <c r="F8" s="33">
        <v>5</v>
      </c>
      <c r="G8" s="33"/>
      <c r="H8" s="33"/>
      <c r="I8" s="33"/>
      <c r="J8" s="33"/>
      <c r="K8" s="33"/>
      <c r="L8" s="33"/>
      <c r="M8" s="33"/>
      <c r="N8" s="33"/>
      <c r="O8" s="5">
        <f>SUM(C8:N8)</f>
        <v>36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 x14ac:dyDescent="0.3">
      <c r="A9" s="31"/>
      <c r="B9" s="3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" x14ac:dyDescent="0.3">
      <c r="A10" s="93"/>
      <c r="B10" s="94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 x14ac:dyDescent="0.3">
      <c r="A11" s="6"/>
      <c r="B11" s="32" t="s">
        <v>59</v>
      </c>
      <c r="C11" s="33">
        <v>10</v>
      </c>
      <c r="D11" s="33">
        <v>12</v>
      </c>
      <c r="E11" s="33">
        <v>9</v>
      </c>
      <c r="F11" s="33">
        <v>5</v>
      </c>
      <c r="G11" s="33"/>
      <c r="H11" s="33"/>
      <c r="I11" s="33"/>
      <c r="J11" s="33"/>
      <c r="K11" s="33"/>
      <c r="L11" s="33"/>
      <c r="M11" s="33"/>
      <c r="N11" s="33"/>
      <c r="O11" s="5">
        <f t="shared" ref="O11:O13" si="2">SUM(C11:N11)</f>
        <v>36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 x14ac:dyDescent="0.3">
      <c r="A12" s="6" t="s">
        <v>60</v>
      </c>
      <c r="B12" s="32" t="s">
        <v>61</v>
      </c>
      <c r="C12" s="33">
        <v>10</v>
      </c>
      <c r="D12" s="33">
        <v>12</v>
      </c>
      <c r="E12" s="33">
        <v>9</v>
      </c>
      <c r="F12" s="33">
        <v>5</v>
      </c>
      <c r="G12" s="33"/>
      <c r="H12" s="33"/>
      <c r="I12" s="33"/>
      <c r="J12" s="33"/>
      <c r="K12" s="33"/>
      <c r="L12" s="33"/>
      <c r="M12" s="33"/>
      <c r="N12" s="33"/>
      <c r="O12" s="5">
        <f t="shared" si="2"/>
        <v>36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 x14ac:dyDescent="0.3">
      <c r="A13" s="6"/>
      <c r="B13" s="32" t="s">
        <v>62</v>
      </c>
      <c r="C13" s="33">
        <v>10</v>
      </c>
      <c r="D13" s="33">
        <v>12</v>
      </c>
      <c r="E13" s="33">
        <v>9</v>
      </c>
      <c r="F13" s="33">
        <v>5</v>
      </c>
      <c r="G13" s="33"/>
      <c r="H13" s="33"/>
      <c r="I13" s="33"/>
      <c r="J13" s="33"/>
      <c r="K13" s="33"/>
      <c r="L13" s="33"/>
      <c r="M13" s="33"/>
      <c r="N13" s="33"/>
      <c r="O13" s="5">
        <f t="shared" si="2"/>
        <v>36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 x14ac:dyDescent="0.3">
      <c r="A14" s="31"/>
      <c r="B14" s="3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 x14ac:dyDescent="0.3">
      <c r="A15" s="93"/>
      <c r="B15" s="94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 x14ac:dyDescent="0.3">
      <c r="A16" s="90" t="s">
        <v>37</v>
      </c>
      <c r="B16" s="6" t="s">
        <v>38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5">
        <f t="shared" ref="O16:O17" si="3">SUM(C16:N16)</f>
        <v>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 x14ac:dyDescent="0.3">
      <c r="A17" s="91"/>
      <c r="B17" s="6" t="s">
        <v>63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5">
        <f t="shared" si="3"/>
        <v>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 x14ac:dyDescent="0.3">
      <c r="A18" s="91"/>
      <c r="B18" s="6" t="s">
        <v>64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 x14ac:dyDescent="0.3">
      <c r="A19" s="91"/>
      <c r="B19" s="6" t="s">
        <v>40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5">
        <f t="shared" ref="O19:O20" si="4">SUM(C19:N19)</f>
        <v>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 x14ac:dyDescent="0.3">
      <c r="A20" s="92"/>
      <c r="B20" s="6" t="s">
        <v>13</v>
      </c>
      <c r="C20" s="5">
        <f t="shared" ref="C20:N20" si="5">SUM(C16:C19)</f>
        <v>0</v>
      </c>
      <c r="D20" s="5">
        <f t="shared" si="5"/>
        <v>0</v>
      </c>
      <c r="E20" s="5">
        <f t="shared" si="5"/>
        <v>0</v>
      </c>
      <c r="F20" s="5">
        <f t="shared" si="5"/>
        <v>0</v>
      </c>
      <c r="G20" s="5">
        <f t="shared" si="5"/>
        <v>0</v>
      </c>
      <c r="H20" s="5">
        <f t="shared" si="5"/>
        <v>0</v>
      </c>
      <c r="I20" s="5">
        <f t="shared" si="5"/>
        <v>0</v>
      </c>
      <c r="J20" s="5">
        <f t="shared" si="5"/>
        <v>0</v>
      </c>
      <c r="K20" s="5">
        <f t="shared" si="5"/>
        <v>0</v>
      </c>
      <c r="L20" s="5">
        <f t="shared" si="5"/>
        <v>0</v>
      </c>
      <c r="M20" s="5">
        <f t="shared" si="5"/>
        <v>0</v>
      </c>
      <c r="N20" s="5">
        <f t="shared" si="5"/>
        <v>0</v>
      </c>
      <c r="O20" s="5">
        <f t="shared" si="4"/>
        <v>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31"/>
      <c r="B21" s="3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93"/>
      <c r="B22" s="94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32" t="s">
        <v>65</v>
      </c>
      <c r="C23" s="33">
        <v>10</v>
      </c>
      <c r="D23" s="33">
        <v>12</v>
      </c>
      <c r="E23" s="33">
        <v>9</v>
      </c>
      <c r="F23" s="33">
        <v>5</v>
      </c>
      <c r="G23" s="33"/>
      <c r="H23" s="33"/>
      <c r="I23" s="33"/>
      <c r="J23" s="33"/>
      <c r="K23" s="33"/>
      <c r="L23" s="33"/>
      <c r="M23" s="33"/>
      <c r="N23" s="33"/>
      <c r="O23" s="5">
        <f t="shared" ref="O23:O24" si="6">SUM(C23:N23)</f>
        <v>36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66</v>
      </c>
      <c r="B24" s="32" t="s">
        <v>67</v>
      </c>
      <c r="C24" s="33">
        <v>10</v>
      </c>
      <c r="D24" s="33">
        <v>12</v>
      </c>
      <c r="E24" s="33">
        <v>9</v>
      </c>
      <c r="F24" s="33">
        <v>5</v>
      </c>
      <c r="G24" s="33"/>
      <c r="H24" s="33"/>
      <c r="I24" s="33"/>
      <c r="J24" s="33"/>
      <c r="K24" s="33"/>
      <c r="L24" s="33"/>
      <c r="M24" s="33"/>
      <c r="N24" s="33"/>
      <c r="O24" s="5">
        <f t="shared" si="6"/>
        <v>36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32" t="s">
        <v>68</v>
      </c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32" t="s">
        <v>69</v>
      </c>
      <c r="C26" s="33">
        <v>10</v>
      </c>
      <c r="D26" s="33">
        <v>12</v>
      </c>
      <c r="E26" s="33">
        <v>9</v>
      </c>
      <c r="F26" s="33">
        <v>5</v>
      </c>
      <c r="G26" s="33"/>
      <c r="H26" s="33"/>
      <c r="I26" s="33"/>
      <c r="J26" s="33"/>
      <c r="K26" s="33"/>
      <c r="L26" s="33"/>
      <c r="M26" s="33"/>
      <c r="N26" s="33"/>
      <c r="O26" s="5">
        <f>SUM(C26:N26)</f>
        <v>36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93"/>
      <c r="B28" s="94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32" t="s">
        <v>70</v>
      </c>
      <c r="C29" s="33">
        <v>10</v>
      </c>
      <c r="D29" s="33">
        <v>12</v>
      </c>
      <c r="E29" s="33">
        <v>9</v>
      </c>
      <c r="F29" s="33">
        <v>5</v>
      </c>
      <c r="G29" s="33"/>
      <c r="H29" s="33"/>
      <c r="I29" s="33"/>
      <c r="J29" s="33"/>
      <c r="K29" s="33"/>
      <c r="L29" s="33"/>
      <c r="M29" s="33"/>
      <c r="N29" s="33"/>
      <c r="O29" s="5">
        <f t="shared" ref="O29:O30" si="7">SUM(C29:N29)</f>
        <v>36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71</v>
      </c>
      <c r="B30" s="32" t="s">
        <v>72</v>
      </c>
      <c r="C30" s="33">
        <v>10</v>
      </c>
      <c r="D30" s="33">
        <v>12</v>
      </c>
      <c r="E30" s="33">
        <v>9</v>
      </c>
      <c r="F30" s="33">
        <v>5</v>
      </c>
      <c r="G30" s="33"/>
      <c r="H30" s="33"/>
      <c r="I30" s="33"/>
      <c r="J30" s="33"/>
      <c r="K30" s="33"/>
      <c r="L30" s="33"/>
      <c r="M30" s="33"/>
      <c r="N30" s="33"/>
      <c r="O30" s="5">
        <f t="shared" si="7"/>
        <v>36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32" t="s">
        <v>73</v>
      </c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32" t="s">
        <v>74</v>
      </c>
      <c r="C32" s="33">
        <v>10</v>
      </c>
      <c r="D32" s="33">
        <v>12</v>
      </c>
      <c r="E32" s="33">
        <v>9</v>
      </c>
      <c r="F32" s="33">
        <v>5</v>
      </c>
      <c r="G32" s="33"/>
      <c r="H32" s="33"/>
      <c r="I32" s="33"/>
      <c r="J32" s="33"/>
      <c r="K32" s="33"/>
      <c r="L32" s="33"/>
      <c r="M32" s="33"/>
      <c r="N32" s="33"/>
      <c r="O32" s="5">
        <f>SUM(C32:N32)</f>
        <v>36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511811024" right="0.511811024" top="0.78740157499999996" bottom="0.78740157499999996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2.6640625" defaultRowHeight="15" customHeight="1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96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 x14ac:dyDescent="0.3">
      <c r="A2" s="2" t="s">
        <v>75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 x14ac:dyDescent="0.3">
      <c r="A3" s="93"/>
      <c r="B3" s="9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4" x14ac:dyDescent="0.3">
      <c r="A4" s="99" t="s">
        <v>76</v>
      </c>
      <c r="B4" s="32" t="s">
        <v>77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 x14ac:dyDescent="0.3">
      <c r="A5" s="91"/>
      <c r="B5" s="32" t="s">
        <v>78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4" x14ac:dyDescent="0.3">
      <c r="A6" s="91"/>
      <c r="B6" s="32" t="s">
        <v>79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4" x14ac:dyDescent="0.3">
      <c r="A7" s="91"/>
      <c r="B7" s="32" t="s">
        <v>80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4" x14ac:dyDescent="0.3">
      <c r="A8" s="91"/>
      <c r="B8" s="32" t="s">
        <v>81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5">
        <f>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 x14ac:dyDescent="0.3">
      <c r="A9" s="91"/>
      <c r="B9" s="32" t="s">
        <v>82</v>
      </c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" x14ac:dyDescent="0.3">
      <c r="A10" s="91"/>
      <c r="B10" s="32" t="s">
        <v>83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 x14ac:dyDescent="0.3">
      <c r="A11" s="92"/>
      <c r="B11" s="32" t="s">
        <v>84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5">
        <f>SUM(C11:N11)</f>
        <v>0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 x14ac:dyDescent="0.3">
      <c r="A12" s="31"/>
      <c r="B12" s="3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 x14ac:dyDescent="0.3">
      <c r="A13" s="93"/>
      <c r="B13" s="94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 x14ac:dyDescent="0.3">
      <c r="A14" s="99" t="s">
        <v>85</v>
      </c>
      <c r="B14" s="32" t="s">
        <v>86</v>
      </c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5">
        <f>SUM(C14:N14)</f>
        <v>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 x14ac:dyDescent="0.3">
      <c r="A15" s="91"/>
      <c r="B15" s="32" t="s">
        <v>87</v>
      </c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 x14ac:dyDescent="0.3">
      <c r="A16" s="91"/>
      <c r="B16" s="32" t="s">
        <v>88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 x14ac:dyDescent="0.3">
      <c r="A17" s="91"/>
      <c r="B17" s="32" t="s">
        <v>89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 x14ac:dyDescent="0.3">
      <c r="A18" s="91"/>
      <c r="B18" s="32" t="s">
        <v>90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 x14ac:dyDescent="0.3">
      <c r="A19" s="91"/>
      <c r="B19" s="32" t="s">
        <v>83</v>
      </c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 x14ac:dyDescent="0.3">
      <c r="A20" s="91"/>
      <c r="B20" s="32" t="s">
        <v>84</v>
      </c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92"/>
      <c r="B21" s="32" t="s">
        <v>91</v>
      </c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31"/>
      <c r="B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93"/>
      <c r="B23" s="94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99" t="s">
        <v>92</v>
      </c>
      <c r="B24" s="32" t="s">
        <v>83</v>
      </c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92"/>
      <c r="B25" s="32" t="s">
        <v>91</v>
      </c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31"/>
      <c r="B26" s="3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31"/>
      <c r="B28" s="3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31"/>
      <c r="B29" s="3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31"/>
      <c r="B30" s="3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31"/>
      <c r="B31" s="3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31"/>
      <c r="B32" s="3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511811024" right="0.511811024" top="0.78740157499999996" bottom="0.78740157499999996" header="0" footer="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defaultColWidth="12.6640625" defaultRowHeight="15" customHeight="1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96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 x14ac:dyDescent="0.3">
      <c r="A2" s="2" t="s">
        <v>93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 x14ac:dyDescent="0.3">
      <c r="A3" s="93"/>
      <c r="B3" s="9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4" x14ac:dyDescent="0.3">
      <c r="A4" s="99" t="s">
        <v>94</v>
      </c>
      <c r="B4" s="32" t="s">
        <v>95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 x14ac:dyDescent="0.3">
      <c r="A5" s="91"/>
      <c r="B5" s="32" t="s">
        <v>91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4" x14ac:dyDescent="0.3">
      <c r="A6" s="91"/>
      <c r="B6" s="32" t="s">
        <v>96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4" x14ac:dyDescent="0.3">
      <c r="A7" s="92"/>
      <c r="B7" s="32" t="s">
        <v>84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4" x14ac:dyDescent="0.3">
      <c r="A8" s="31"/>
      <c r="B8" s="3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 x14ac:dyDescent="0.3">
      <c r="A9" s="93"/>
      <c r="B9" s="94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" x14ac:dyDescent="0.3">
      <c r="A10" s="99" t="s">
        <v>97</v>
      </c>
      <c r="B10" s="32" t="s">
        <v>95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 x14ac:dyDescent="0.3">
      <c r="A11" s="91"/>
      <c r="B11" s="32" t="s">
        <v>91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 x14ac:dyDescent="0.3">
      <c r="A12" s="91"/>
      <c r="B12" s="32" t="s">
        <v>96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 x14ac:dyDescent="0.3">
      <c r="A13" s="92"/>
      <c r="B13" s="32" t="s">
        <v>84</v>
      </c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 x14ac:dyDescent="0.3">
      <c r="A14" s="31"/>
      <c r="B14" s="3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 x14ac:dyDescent="0.3">
      <c r="A15" s="93"/>
      <c r="B15" s="94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7" t="s">
        <v>98</v>
      </c>
      <c r="B16" s="32" t="s">
        <v>99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 x14ac:dyDescent="0.3">
      <c r="A17" s="31"/>
      <c r="B17" s="3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 x14ac:dyDescent="0.3">
      <c r="A18" s="31"/>
      <c r="B18" s="3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 x14ac:dyDescent="0.3">
      <c r="A19" s="31"/>
      <c r="B19" s="3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 x14ac:dyDescent="0.3">
      <c r="A20" s="31"/>
      <c r="B20" s="3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31"/>
      <c r="B21" s="3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31"/>
      <c r="B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31"/>
      <c r="B23" s="3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31"/>
      <c r="B24" s="3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31"/>
      <c r="B25" s="3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31"/>
      <c r="B26" s="3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31"/>
      <c r="B28" s="3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31"/>
      <c r="B29" s="3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31"/>
      <c r="B30" s="3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31"/>
      <c r="B31" s="3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31"/>
      <c r="B32" s="3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511811024" right="0.511811024" top="0.78740157499999996" bottom="0.78740157499999996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/>
  </sheetViews>
  <sheetFormatPr defaultColWidth="12.6640625" defaultRowHeight="15" customHeight="1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96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 x14ac:dyDescent="0.3">
      <c r="A2" s="2" t="s">
        <v>100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 x14ac:dyDescent="0.3">
      <c r="A3" s="93"/>
      <c r="B3" s="9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4" x14ac:dyDescent="0.3">
      <c r="A4" s="99" t="s">
        <v>101</v>
      </c>
      <c r="B4" s="32" t="s">
        <v>78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4" x14ac:dyDescent="0.3">
      <c r="A5" s="91"/>
      <c r="B5" s="32" t="s">
        <v>102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4" x14ac:dyDescent="0.3">
      <c r="A6" s="91"/>
      <c r="B6" s="32" t="s">
        <v>103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4" x14ac:dyDescent="0.3">
      <c r="A7" s="91"/>
      <c r="B7" s="32" t="s">
        <v>104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4" x14ac:dyDescent="0.3">
      <c r="A8" s="91"/>
      <c r="B8" s="32" t="s">
        <v>105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5">
        <f>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 x14ac:dyDescent="0.3">
      <c r="A9" s="92"/>
      <c r="B9" s="32" t="s">
        <v>106</v>
      </c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" x14ac:dyDescent="0.3">
      <c r="A10" s="31"/>
      <c r="B10" s="3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 x14ac:dyDescent="0.3">
      <c r="A11" s="93"/>
      <c r="B11" s="94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 x14ac:dyDescent="0.3">
      <c r="A12" s="99" t="s">
        <v>107</v>
      </c>
      <c r="B12" s="32" t="s">
        <v>108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 x14ac:dyDescent="0.3">
      <c r="A13" s="91"/>
      <c r="B13" s="32" t="s">
        <v>109</v>
      </c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 x14ac:dyDescent="0.3">
      <c r="A14" s="91"/>
      <c r="B14" s="32" t="s">
        <v>110</v>
      </c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 x14ac:dyDescent="0.3">
      <c r="A15" s="92"/>
      <c r="B15" s="32" t="s">
        <v>104</v>
      </c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 x14ac:dyDescent="0.3">
      <c r="A16" s="31"/>
      <c r="B16" s="3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 x14ac:dyDescent="0.3">
      <c r="A17" s="31"/>
      <c r="B17" s="3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 x14ac:dyDescent="0.3">
      <c r="A18" s="31"/>
      <c r="B18" s="3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 x14ac:dyDescent="0.3">
      <c r="A19" s="31"/>
      <c r="B19" s="3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 x14ac:dyDescent="0.3">
      <c r="A20" s="31"/>
      <c r="B20" s="3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31"/>
      <c r="B21" s="3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31"/>
      <c r="B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31"/>
      <c r="B23" s="3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31"/>
      <c r="B24" s="3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31"/>
      <c r="B25" s="3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31"/>
      <c r="B26" s="3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31"/>
      <c r="B28" s="3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31"/>
      <c r="B29" s="3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31"/>
      <c r="B30" s="3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31"/>
      <c r="B31" s="3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31"/>
      <c r="B32" s="3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511811024" right="0.511811024" top="0.78740157499999996" bottom="0.78740157499999996" header="0" footer="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00"/>
  <sheetViews>
    <sheetView workbookViewId="0"/>
  </sheetViews>
  <sheetFormatPr defaultColWidth="12.6640625" defaultRowHeight="15" customHeight="1" x14ac:dyDescent="0.3"/>
  <cols>
    <col min="1" max="26" width="8.6640625" customWidth="1"/>
  </cols>
  <sheetData>
    <row r="1" spans="1:3" ht="14.4" x14ac:dyDescent="0.3">
      <c r="A1" s="38" t="s">
        <v>111</v>
      </c>
    </row>
    <row r="2" spans="1:3" ht="14.4" x14ac:dyDescent="0.3">
      <c r="A2" s="38" t="s">
        <v>112</v>
      </c>
      <c r="B2" s="38" t="s">
        <v>113</v>
      </c>
      <c r="C2" s="38" t="s">
        <v>114</v>
      </c>
    </row>
    <row r="3" spans="1:3" ht="14.4" x14ac:dyDescent="0.3">
      <c r="A3" s="38" t="s">
        <v>115</v>
      </c>
      <c r="B3" s="38">
        <v>300</v>
      </c>
      <c r="C3" s="38">
        <v>241</v>
      </c>
    </row>
    <row r="4" spans="1:3" ht="14.4" x14ac:dyDescent="0.3">
      <c r="A4" s="38" t="s">
        <v>116</v>
      </c>
      <c r="B4" s="38">
        <v>285</v>
      </c>
      <c r="C4" s="38">
        <v>241</v>
      </c>
    </row>
    <row r="5" spans="1:3" ht="14.4" x14ac:dyDescent="0.3">
      <c r="A5" s="38" t="s">
        <v>117</v>
      </c>
      <c r="B5" s="38">
        <v>300</v>
      </c>
      <c r="C5" s="38">
        <v>241</v>
      </c>
    </row>
    <row r="10" spans="1:3" ht="14.4" x14ac:dyDescent="0.3">
      <c r="A10" s="38" t="s">
        <v>118</v>
      </c>
      <c r="B10" s="39">
        <v>5.4999999999999997E-3</v>
      </c>
    </row>
    <row r="11" spans="1:3" ht="14.4" x14ac:dyDescent="0.3">
      <c r="A11" s="38" t="s">
        <v>114</v>
      </c>
      <c r="B11" s="40">
        <v>0.05</v>
      </c>
    </row>
    <row r="21" spans="1:4" ht="15.75" customHeight="1" x14ac:dyDescent="0.3"/>
    <row r="22" spans="1:4" ht="15.75" customHeight="1" x14ac:dyDescent="0.3"/>
    <row r="23" spans="1:4" ht="15.75" customHeight="1" x14ac:dyDescent="0.3"/>
    <row r="24" spans="1:4" ht="15.75" customHeight="1" x14ac:dyDescent="0.3">
      <c r="A24" s="38" t="s">
        <v>119</v>
      </c>
      <c r="B24" s="38" t="s">
        <v>120</v>
      </c>
    </row>
    <row r="25" spans="1:4" ht="15.75" customHeight="1" x14ac:dyDescent="0.3">
      <c r="A25" s="38" t="s">
        <v>121</v>
      </c>
      <c r="B25" s="41">
        <v>36699</v>
      </c>
    </row>
    <row r="26" spans="1:4" ht="15.75" customHeight="1" x14ac:dyDescent="0.3">
      <c r="A26" s="38" t="s">
        <v>122</v>
      </c>
      <c r="B26" s="41">
        <v>24000</v>
      </c>
    </row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>
      <c r="B30" s="38" t="s">
        <v>115</v>
      </c>
      <c r="C30" s="38" t="s">
        <v>116</v>
      </c>
      <c r="D30" s="38" t="s">
        <v>117</v>
      </c>
    </row>
    <row r="31" spans="1:4" ht="15.75" customHeight="1" x14ac:dyDescent="0.3">
      <c r="A31" s="38" t="s">
        <v>123</v>
      </c>
      <c r="B31" s="38">
        <v>378</v>
      </c>
      <c r="C31" s="38">
        <v>501</v>
      </c>
      <c r="D31" s="38">
        <v>445</v>
      </c>
    </row>
    <row r="32" spans="1:4" ht="15.75" customHeight="1" x14ac:dyDescent="0.3"/>
    <row r="33" spans="1:4" ht="15.75" customHeight="1" x14ac:dyDescent="0.3">
      <c r="B33" s="38" t="s">
        <v>115</v>
      </c>
      <c r="C33" s="38" t="s">
        <v>116</v>
      </c>
      <c r="D33" s="38" t="s">
        <v>117</v>
      </c>
    </row>
    <row r="34" spans="1:4" ht="15.75" customHeight="1" x14ac:dyDescent="0.3">
      <c r="A34" s="38" t="s">
        <v>124</v>
      </c>
      <c r="B34" s="42">
        <v>0.13125000000000001</v>
      </c>
      <c r="C34" s="42">
        <v>0.21074074074074073</v>
      </c>
      <c r="D34" s="42">
        <v>0.13873842592592592</v>
      </c>
    </row>
    <row r="35" spans="1:4" ht="15.75" customHeight="1" x14ac:dyDescent="0.3">
      <c r="A35" s="38" t="s">
        <v>114</v>
      </c>
      <c r="B35" s="43">
        <v>8.3333333333333329E-2</v>
      </c>
      <c r="C35" s="43">
        <v>8.3333333333333329E-2</v>
      </c>
      <c r="D35" s="43">
        <v>8.3333333333333329E-2</v>
      </c>
    </row>
    <row r="36" spans="1:4" ht="15.75" customHeight="1" x14ac:dyDescent="0.3"/>
    <row r="37" spans="1:4" ht="15.75" customHeight="1" x14ac:dyDescent="0.3"/>
    <row r="38" spans="1:4" ht="15.75" customHeight="1" x14ac:dyDescent="0.3">
      <c r="B38" s="38" t="s">
        <v>115</v>
      </c>
      <c r="C38" s="38" t="s">
        <v>116</v>
      </c>
      <c r="D38" s="38" t="s">
        <v>117</v>
      </c>
    </row>
    <row r="39" spans="1:4" ht="15.75" customHeight="1" x14ac:dyDescent="0.3">
      <c r="A39" s="38" t="s">
        <v>125</v>
      </c>
      <c r="B39" s="40">
        <v>0.88</v>
      </c>
      <c r="C39" s="40">
        <v>0.81</v>
      </c>
      <c r="D39" s="40">
        <v>0.96</v>
      </c>
    </row>
    <row r="40" spans="1:4" ht="15.75" customHeight="1" x14ac:dyDescent="0.3">
      <c r="A40" s="38" t="s">
        <v>114</v>
      </c>
      <c r="B40" s="40">
        <v>0.8</v>
      </c>
      <c r="C40" s="40">
        <v>0.8</v>
      </c>
      <c r="D40" s="40">
        <v>0.8</v>
      </c>
    </row>
    <row r="41" spans="1:4" ht="15.75" customHeight="1" x14ac:dyDescent="0.3"/>
    <row r="42" spans="1:4" ht="15.75" customHeight="1" x14ac:dyDescent="0.3">
      <c r="B42" s="38" t="s">
        <v>115</v>
      </c>
      <c r="C42" s="38" t="s">
        <v>116</v>
      </c>
      <c r="D42" s="38" t="s">
        <v>117</v>
      </c>
    </row>
    <row r="43" spans="1:4" ht="15.75" customHeight="1" x14ac:dyDescent="0.3">
      <c r="A43" s="38" t="s">
        <v>126</v>
      </c>
      <c r="B43" s="29">
        <v>455</v>
      </c>
      <c r="C43" s="29">
        <v>396</v>
      </c>
      <c r="D43" s="29">
        <v>320</v>
      </c>
    </row>
    <row r="44" spans="1:4" ht="15.75" customHeight="1" x14ac:dyDescent="0.3">
      <c r="A44" s="38" t="s">
        <v>127</v>
      </c>
      <c r="B44" s="44">
        <v>1</v>
      </c>
      <c r="C44" s="44">
        <v>1</v>
      </c>
      <c r="D44" s="44">
        <v>1</v>
      </c>
    </row>
    <row r="45" spans="1:4" ht="15.75" customHeight="1" x14ac:dyDescent="0.3"/>
    <row r="46" spans="1:4" ht="15.75" customHeight="1" x14ac:dyDescent="0.3"/>
    <row r="47" spans="1:4" ht="15.75" customHeight="1" x14ac:dyDescent="0.3"/>
    <row r="48" spans="1:4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00"/>
  <sheetViews>
    <sheetView workbookViewId="0"/>
  </sheetViews>
  <sheetFormatPr defaultColWidth="12.6640625" defaultRowHeight="15" customHeight="1" x14ac:dyDescent="0.3"/>
  <cols>
    <col min="1" max="1" width="4.77734375" customWidth="1"/>
    <col min="2" max="2" width="35.88671875" customWidth="1"/>
    <col min="3" max="3" width="10" customWidth="1"/>
    <col min="4" max="4" width="12.21875" customWidth="1"/>
    <col min="5" max="5" width="9.88671875" customWidth="1"/>
    <col min="6" max="6" width="12.33203125" customWidth="1"/>
    <col min="7" max="7" width="8.77734375" customWidth="1"/>
    <col min="8" max="8" width="17" customWidth="1"/>
    <col min="9" max="12" width="8.6640625" customWidth="1"/>
    <col min="13" max="13" width="40.21875" customWidth="1"/>
    <col min="14" max="16" width="15.77734375" customWidth="1"/>
    <col min="17" max="26" width="8.6640625" customWidth="1"/>
  </cols>
  <sheetData>
    <row r="1" spans="1:25" ht="29.25" customHeight="1" x14ac:dyDescent="0.3">
      <c r="A1" s="45" t="s">
        <v>128</v>
      </c>
      <c r="B1" s="45" t="s">
        <v>114</v>
      </c>
      <c r="C1" s="103" t="s">
        <v>129</v>
      </c>
      <c r="D1" s="104"/>
      <c r="E1" s="46" t="s">
        <v>130</v>
      </c>
      <c r="F1" s="45" t="s">
        <v>131</v>
      </c>
      <c r="G1" s="46" t="s">
        <v>132</v>
      </c>
      <c r="H1" s="47" t="s">
        <v>133</v>
      </c>
    </row>
    <row r="2" spans="1:25" ht="14.4" x14ac:dyDescent="0.3">
      <c r="A2" s="102">
        <v>1</v>
      </c>
      <c r="B2" s="102" t="s">
        <v>134</v>
      </c>
      <c r="C2" s="48" t="s">
        <v>114</v>
      </c>
      <c r="D2" s="48" t="s">
        <v>135</v>
      </c>
      <c r="E2" s="49" t="e">
        <f>'[1]INDICADORES UPAS'!#REF!</f>
        <v>#REF!</v>
      </c>
      <c r="F2" s="49" t="e">
        <f>'[1]INDICADORES UPAS'!#REF!</f>
        <v>#REF!</v>
      </c>
      <c r="G2" s="49" t="e">
        <f>'[1]INDICADORES UPAS'!#REF!</f>
        <v>#REF!</v>
      </c>
      <c r="H2" s="50" t="e">
        <f t="shared" ref="H2:H41" si="0">AVERAGE(E2:G2)</f>
        <v>#REF!</v>
      </c>
      <c r="I2" s="38" t="s">
        <v>136</v>
      </c>
      <c r="J2" s="41">
        <f>SUM(E30:G30)</f>
        <v>0</v>
      </c>
      <c r="T2" s="43">
        <v>8.3333333333333329E-2</v>
      </c>
      <c r="U2" s="43">
        <v>8.3333333333333329E-2</v>
      </c>
      <c r="V2" s="43">
        <v>8.3333333333333329E-2</v>
      </c>
      <c r="W2" s="40">
        <v>0.8</v>
      </c>
      <c r="X2" s="40">
        <v>0.8</v>
      </c>
      <c r="Y2" s="40">
        <v>0.8</v>
      </c>
    </row>
    <row r="3" spans="1:25" ht="14.4" x14ac:dyDescent="0.3">
      <c r="A3" s="101"/>
      <c r="B3" s="101"/>
      <c r="C3" s="48" t="s">
        <v>137</v>
      </c>
      <c r="D3" s="48">
        <v>10</v>
      </c>
      <c r="E3" s="51">
        <v>10</v>
      </c>
      <c r="F3" s="51">
        <v>10</v>
      </c>
      <c r="G3" s="51">
        <v>10</v>
      </c>
      <c r="H3" s="52">
        <f t="shared" si="0"/>
        <v>10</v>
      </c>
      <c r="I3" s="38" t="s">
        <v>122</v>
      </c>
      <c r="J3" s="41">
        <f>8000*3</f>
        <v>24000</v>
      </c>
    </row>
    <row r="4" spans="1:25" ht="20.25" customHeight="1" x14ac:dyDescent="0.3">
      <c r="A4" s="100">
        <v>2</v>
      </c>
      <c r="B4" s="100" t="s">
        <v>138</v>
      </c>
      <c r="C4" s="53" t="s">
        <v>114</v>
      </c>
      <c r="D4" s="53" t="s">
        <v>139</v>
      </c>
      <c r="E4" s="54" t="e">
        <f>'[1]INDICADORES UPAS'!#REF!</f>
        <v>#REF!</v>
      </c>
      <c r="F4" s="54" t="e">
        <f>'[1]INDICADORES UPAS'!#REF!</f>
        <v>#REF!</v>
      </c>
      <c r="G4" s="54" t="e">
        <f>'[1]INDICADORES UPAS'!#REF!</f>
        <v>#REF!</v>
      </c>
      <c r="H4" s="50" t="e">
        <f t="shared" si="0"/>
        <v>#REF!</v>
      </c>
    </row>
    <row r="5" spans="1:25" ht="20.25" customHeight="1" x14ac:dyDescent="0.3">
      <c r="A5" s="101"/>
      <c r="B5" s="101"/>
      <c r="C5" s="53" t="s">
        <v>137</v>
      </c>
      <c r="D5" s="53">
        <v>20</v>
      </c>
      <c r="E5" s="55">
        <v>20</v>
      </c>
      <c r="F5" s="55">
        <v>20</v>
      </c>
      <c r="G5" s="55">
        <v>20</v>
      </c>
      <c r="H5" s="52">
        <f t="shared" si="0"/>
        <v>20</v>
      </c>
    </row>
    <row r="6" spans="1:25" ht="14.4" x14ac:dyDescent="0.3">
      <c r="A6" s="102">
        <v>3</v>
      </c>
      <c r="B6" s="102" t="s">
        <v>140</v>
      </c>
      <c r="C6" s="48" t="s">
        <v>114</v>
      </c>
      <c r="D6" s="48" t="s">
        <v>141</v>
      </c>
      <c r="E6" s="56" t="e">
        <f>'[1]INDICADORES UPAS'!#REF!</f>
        <v>#REF!</v>
      </c>
      <c r="F6" s="56" t="e">
        <f>'[1]INDICADORES UPAS'!#REF!</f>
        <v>#REF!</v>
      </c>
      <c r="G6" s="56" t="e">
        <f>'[1]INDICADORES UPAS'!#REF!</f>
        <v>#REF!</v>
      </c>
      <c r="H6" s="57" t="e">
        <f t="shared" si="0"/>
        <v>#REF!</v>
      </c>
    </row>
    <row r="7" spans="1:25" ht="14.4" x14ac:dyDescent="0.3">
      <c r="A7" s="101"/>
      <c r="B7" s="101"/>
      <c r="C7" s="48" t="s">
        <v>137</v>
      </c>
      <c r="D7" s="48">
        <v>20</v>
      </c>
      <c r="E7" s="58">
        <v>20</v>
      </c>
      <c r="F7" s="58">
        <v>20</v>
      </c>
      <c r="G7" s="58">
        <v>20</v>
      </c>
      <c r="H7" s="52">
        <f t="shared" si="0"/>
        <v>20</v>
      </c>
    </row>
    <row r="8" spans="1:25" ht="20.25" customHeight="1" x14ac:dyDescent="0.3">
      <c r="A8" s="100">
        <v>4</v>
      </c>
      <c r="B8" s="100" t="s">
        <v>142</v>
      </c>
      <c r="C8" s="53" t="s">
        <v>114</v>
      </c>
      <c r="D8" s="53" t="s">
        <v>143</v>
      </c>
      <c r="E8" s="59" t="e">
        <f>'[1]INDICADORES UPAS'!#REF!</f>
        <v>#REF!</v>
      </c>
      <c r="F8" s="59" t="e">
        <f>'[1]INDICADORES UPAS'!#REF!</f>
        <v>#REF!</v>
      </c>
      <c r="G8" s="59" t="e">
        <f>'[1]INDICADORES UPAS'!#REF!</f>
        <v>#REF!</v>
      </c>
      <c r="H8" s="50" t="e">
        <f t="shared" si="0"/>
        <v>#REF!</v>
      </c>
    </row>
    <row r="9" spans="1:25" ht="20.25" customHeight="1" x14ac:dyDescent="0.3">
      <c r="A9" s="101"/>
      <c r="B9" s="101"/>
      <c r="C9" s="53" t="s">
        <v>137</v>
      </c>
      <c r="D9" s="53">
        <v>20</v>
      </c>
      <c r="E9" s="60">
        <v>20</v>
      </c>
      <c r="F9" s="60">
        <v>20</v>
      </c>
      <c r="G9" s="60">
        <v>20</v>
      </c>
      <c r="H9" s="52">
        <f t="shared" si="0"/>
        <v>20</v>
      </c>
    </row>
    <row r="10" spans="1:25" ht="14.4" x14ac:dyDescent="0.3">
      <c r="A10" s="102">
        <v>5</v>
      </c>
      <c r="B10" s="102" t="s">
        <v>144</v>
      </c>
      <c r="C10" s="48" t="s">
        <v>114</v>
      </c>
      <c r="D10" s="48" t="s">
        <v>145</v>
      </c>
      <c r="E10" s="61" t="e">
        <f>'[1]INDICADORES UPAS'!#REF!</f>
        <v>#REF!</v>
      </c>
      <c r="F10" s="61" t="e">
        <f>'[1]INDICADORES UPAS'!#REF!</f>
        <v>#REF!</v>
      </c>
      <c r="G10" s="61" t="e">
        <f>'[1]INDICADORES UPAS'!#REF!</f>
        <v>#REF!</v>
      </c>
      <c r="H10" s="57" t="e">
        <f t="shared" si="0"/>
        <v>#REF!</v>
      </c>
    </row>
    <row r="11" spans="1:25" ht="14.4" x14ac:dyDescent="0.3">
      <c r="A11" s="101"/>
      <c r="B11" s="101"/>
      <c r="C11" s="48" t="s">
        <v>137</v>
      </c>
      <c r="D11" s="48">
        <v>20</v>
      </c>
      <c r="E11" s="51">
        <v>20</v>
      </c>
      <c r="F11" s="51">
        <v>20</v>
      </c>
      <c r="G11" s="51">
        <v>20</v>
      </c>
      <c r="H11" s="52">
        <f t="shared" si="0"/>
        <v>20</v>
      </c>
    </row>
    <row r="12" spans="1:25" ht="20.25" customHeight="1" x14ac:dyDescent="0.3">
      <c r="A12" s="100">
        <v>6</v>
      </c>
      <c r="B12" s="100" t="s">
        <v>146</v>
      </c>
      <c r="C12" s="53" t="s">
        <v>114</v>
      </c>
      <c r="D12" s="53" t="s">
        <v>147</v>
      </c>
      <c r="E12" s="59" t="e">
        <f>'[1]INDICADORES UPAS'!#REF!</f>
        <v>#REF!</v>
      </c>
      <c r="F12" s="59" t="e">
        <f>'[1]INDICADORES UPAS'!#REF!</f>
        <v>#REF!</v>
      </c>
      <c r="G12" s="59" t="e">
        <f>'[1]INDICADORES UPAS'!#REF!</f>
        <v>#REF!</v>
      </c>
      <c r="H12" s="50" t="e">
        <f t="shared" si="0"/>
        <v>#REF!</v>
      </c>
    </row>
    <row r="13" spans="1:25" ht="20.25" customHeight="1" x14ac:dyDescent="0.3">
      <c r="A13" s="101"/>
      <c r="B13" s="101"/>
      <c r="C13" s="53" t="s">
        <v>137</v>
      </c>
      <c r="D13" s="53">
        <v>15</v>
      </c>
      <c r="E13" s="60">
        <v>15</v>
      </c>
      <c r="F13" s="60">
        <v>15</v>
      </c>
      <c r="G13" s="60">
        <v>15</v>
      </c>
      <c r="H13" s="52">
        <f t="shared" si="0"/>
        <v>15</v>
      </c>
    </row>
    <row r="14" spans="1:25" ht="14.4" x14ac:dyDescent="0.3">
      <c r="A14" s="102">
        <v>7</v>
      </c>
      <c r="B14" s="102" t="s">
        <v>148</v>
      </c>
      <c r="C14" s="48" t="s">
        <v>114</v>
      </c>
      <c r="D14" s="48" t="s">
        <v>149</v>
      </c>
      <c r="E14" s="61" t="e">
        <f>'[1]INDICADORES UPAS'!#REF!</f>
        <v>#REF!</v>
      </c>
      <c r="F14" s="61" t="e">
        <f>'[1]INDICADORES UPAS'!#REF!</f>
        <v>#REF!</v>
      </c>
      <c r="G14" s="61" t="e">
        <f>'[1]INDICADORES UPAS'!#REF!</f>
        <v>#REF!</v>
      </c>
      <c r="H14" s="57" t="e">
        <f t="shared" si="0"/>
        <v>#REF!</v>
      </c>
    </row>
    <row r="15" spans="1:25" ht="14.4" x14ac:dyDescent="0.3">
      <c r="A15" s="101"/>
      <c r="B15" s="101"/>
      <c r="C15" s="48" t="s">
        <v>137</v>
      </c>
      <c r="D15" s="48">
        <v>15</v>
      </c>
      <c r="E15" s="51">
        <v>15</v>
      </c>
      <c r="F15" s="51">
        <v>15</v>
      </c>
      <c r="G15" s="51">
        <v>15</v>
      </c>
      <c r="H15" s="52">
        <f t="shared" si="0"/>
        <v>15</v>
      </c>
    </row>
    <row r="16" spans="1:25" ht="20.25" customHeight="1" x14ac:dyDescent="0.3">
      <c r="A16" s="100">
        <v>8</v>
      </c>
      <c r="B16" s="100" t="s">
        <v>150</v>
      </c>
      <c r="C16" s="53" t="s">
        <v>114</v>
      </c>
      <c r="D16" s="53" t="s">
        <v>135</v>
      </c>
      <c r="E16" s="59" t="e">
        <f>'[1]INDICADORES UPAS'!#REF!</f>
        <v>#REF!</v>
      </c>
      <c r="F16" s="59" t="e">
        <f>'[1]INDICADORES UPAS'!#REF!</f>
        <v>#REF!</v>
      </c>
      <c r="G16" s="59" t="e">
        <f>'[1]INDICADORES UPAS'!#REF!</f>
        <v>#REF!</v>
      </c>
      <c r="H16" s="50" t="e">
        <f t="shared" si="0"/>
        <v>#REF!</v>
      </c>
    </row>
    <row r="17" spans="1:9" ht="20.25" customHeight="1" x14ac:dyDescent="0.3">
      <c r="A17" s="101"/>
      <c r="B17" s="101"/>
      <c r="C17" s="53" t="s">
        <v>137</v>
      </c>
      <c r="D17" s="53">
        <v>15</v>
      </c>
      <c r="E17" s="60">
        <v>15</v>
      </c>
      <c r="F17" s="60">
        <v>15</v>
      </c>
      <c r="G17" s="60">
        <v>15</v>
      </c>
      <c r="H17" s="52">
        <f t="shared" si="0"/>
        <v>15</v>
      </c>
    </row>
    <row r="18" spans="1:9" ht="14.4" x14ac:dyDescent="0.3">
      <c r="A18" s="102">
        <v>9</v>
      </c>
      <c r="B18" s="102" t="s">
        <v>151</v>
      </c>
      <c r="C18" s="48" t="s">
        <v>114</v>
      </c>
      <c r="D18" s="48" t="s">
        <v>152</v>
      </c>
      <c r="E18" s="61" t="e">
        <f>'[1]INDICADORES UPAS'!#REF!</f>
        <v>#REF!</v>
      </c>
      <c r="F18" s="61" t="e">
        <f>'[1]INDICADORES UPAS'!#REF!</f>
        <v>#REF!</v>
      </c>
      <c r="G18" s="61" t="e">
        <f>'[1]INDICADORES UPAS'!#REF!</f>
        <v>#REF!</v>
      </c>
      <c r="H18" s="57" t="e">
        <f t="shared" si="0"/>
        <v>#REF!</v>
      </c>
    </row>
    <row r="19" spans="1:9" ht="14.4" x14ac:dyDescent="0.3">
      <c r="A19" s="101"/>
      <c r="B19" s="101"/>
      <c r="C19" s="48" t="s">
        <v>137</v>
      </c>
      <c r="D19" s="48">
        <v>15</v>
      </c>
      <c r="E19" s="51">
        <v>15</v>
      </c>
      <c r="F19" s="51">
        <v>15</v>
      </c>
      <c r="G19" s="51">
        <v>15</v>
      </c>
      <c r="H19" s="52">
        <f t="shared" si="0"/>
        <v>15</v>
      </c>
    </row>
    <row r="20" spans="1:9" ht="20.25" customHeight="1" x14ac:dyDescent="0.3">
      <c r="A20" s="100">
        <v>10</v>
      </c>
      <c r="B20" s="100" t="s">
        <v>153</v>
      </c>
      <c r="C20" s="53" t="s">
        <v>114</v>
      </c>
      <c r="D20" s="53" t="s">
        <v>135</v>
      </c>
      <c r="E20" s="59" t="e">
        <f>'[1]INDICADORES UPAS'!#REF!</f>
        <v>#REF!</v>
      </c>
      <c r="F20" s="59" t="e">
        <f>'[1]INDICADORES UPAS'!#REF!</f>
        <v>#REF!</v>
      </c>
      <c r="G20" s="59" t="e">
        <f>'[1]INDICADORES UPAS'!#REF!</f>
        <v>#REF!</v>
      </c>
      <c r="H20" s="50" t="e">
        <f t="shared" si="0"/>
        <v>#REF!</v>
      </c>
    </row>
    <row r="21" spans="1:9" ht="20.25" customHeight="1" x14ac:dyDescent="0.3">
      <c r="A21" s="101"/>
      <c r="B21" s="101"/>
      <c r="C21" s="53" t="s">
        <v>137</v>
      </c>
      <c r="D21" s="53">
        <v>10</v>
      </c>
      <c r="E21" s="60">
        <v>10</v>
      </c>
      <c r="F21" s="60">
        <v>10</v>
      </c>
      <c r="G21" s="60">
        <v>10</v>
      </c>
      <c r="H21" s="52">
        <f t="shared" si="0"/>
        <v>10</v>
      </c>
    </row>
    <row r="22" spans="1:9" ht="15.75" customHeight="1" x14ac:dyDescent="0.3">
      <c r="A22" s="102">
        <v>11</v>
      </c>
      <c r="B22" s="102" t="s">
        <v>154</v>
      </c>
      <c r="C22" s="48" t="s">
        <v>114</v>
      </c>
      <c r="D22" s="48" t="s">
        <v>155</v>
      </c>
      <c r="E22" s="61" t="e">
        <f>'[1]INDICADORES UPAS'!#REF!</f>
        <v>#REF!</v>
      </c>
      <c r="F22" s="61" t="e">
        <f>'[1]INDICADORES UPAS'!#REF!</f>
        <v>#REF!</v>
      </c>
      <c r="G22" s="61" t="e">
        <f>'[1]INDICADORES UPAS'!#REF!</f>
        <v>#REF!</v>
      </c>
      <c r="H22" s="57" t="e">
        <f t="shared" si="0"/>
        <v>#REF!</v>
      </c>
    </row>
    <row r="23" spans="1:9" ht="15.75" customHeight="1" x14ac:dyDescent="0.3">
      <c r="A23" s="101"/>
      <c r="B23" s="101"/>
      <c r="C23" s="48" t="s">
        <v>137</v>
      </c>
      <c r="D23" s="48">
        <v>10</v>
      </c>
      <c r="E23" s="51">
        <v>10</v>
      </c>
      <c r="F23" s="51">
        <v>10</v>
      </c>
      <c r="G23" s="51">
        <v>10</v>
      </c>
      <c r="H23" s="52">
        <f t="shared" si="0"/>
        <v>10</v>
      </c>
    </row>
    <row r="24" spans="1:9" ht="20.25" customHeight="1" x14ac:dyDescent="0.3">
      <c r="A24" s="100">
        <v>12</v>
      </c>
      <c r="B24" s="100" t="s">
        <v>156</v>
      </c>
      <c r="C24" s="53" t="s">
        <v>114</v>
      </c>
      <c r="D24" s="62">
        <f>100%</f>
        <v>1</v>
      </c>
      <c r="E24" s="59">
        <v>1</v>
      </c>
      <c r="F24" s="59">
        <v>1</v>
      </c>
      <c r="G24" s="59">
        <v>1</v>
      </c>
      <c r="H24" s="50">
        <f t="shared" si="0"/>
        <v>1</v>
      </c>
    </row>
    <row r="25" spans="1:9" ht="20.25" customHeight="1" x14ac:dyDescent="0.3">
      <c r="A25" s="101"/>
      <c r="B25" s="101"/>
      <c r="C25" s="53" t="s">
        <v>137</v>
      </c>
      <c r="D25" s="53">
        <v>15</v>
      </c>
      <c r="E25" s="60">
        <v>15</v>
      </c>
      <c r="F25" s="60">
        <v>15</v>
      </c>
      <c r="G25" s="60">
        <v>15</v>
      </c>
      <c r="H25" s="52">
        <f t="shared" si="0"/>
        <v>15</v>
      </c>
    </row>
    <row r="26" spans="1:9" ht="15.75" customHeight="1" x14ac:dyDescent="0.3">
      <c r="A26" s="102">
        <v>13</v>
      </c>
      <c r="B26" s="102" t="s">
        <v>157</v>
      </c>
      <c r="C26" s="48" t="s">
        <v>114</v>
      </c>
      <c r="D26" s="48" t="s">
        <v>145</v>
      </c>
      <c r="E26" s="61">
        <f>'INDICADORES UPA LUZIÂNIA'!I28</f>
        <v>0</v>
      </c>
      <c r="F26" s="61">
        <f>'INDICADORES UPA LUZIÂNIA'!J28</f>
        <v>0</v>
      </c>
      <c r="G26" s="61">
        <f>'INDICADORES UPA LUZIÂNIA'!K28</f>
        <v>0</v>
      </c>
      <c r="H26" s="57">
        <f t="shared" si="0"/>
        <v>0</v>
      </c>
    </row>
    <row r="27" spans="1:9" ht="15.75" customHeight="1" x14ac:dyDescent="0.3">
      <c r="A27" s="101"/>
      <c r="B27" s="101"/>
      <c r="C27" s="48" t="s">
        <v>137</v>
      </c>
      <c r="D27" s="48">
        <v>15</v>
      </c>
      <c r="E27" s="63">
        <v>15</v>
      </c>
      <c r="F27" s="63">
        <v>15</v>
      </c>
      <c r="G27" s="63">
        <v>15</v>
      </c>
      <c r="H27" s="52">
        <f t="shared" si="0"/>
        <v>15</v>
      </c>
    </row>
    <row r="28" spans="1:9" ht="15.75" customHeight="1" x14ac:dyDescent="0.3">
      <c r="A28" s="100">
        <v>14</v>
      </c>
      <c r="B28" s="100" t="s">
        <v>158</v>
      </c>
      <c r="C28" s="53" t="s">
        <v>114</v>
      </c>
      <c r="D28" s="53" t="s">
        <v>159</v>
      </c>
      <c r="E28" s="64" t="e">
        <f>'[1]INDICADORES UPAS'!#REF!</f>
        <v>#REF!</v>
      </c>
      <c r="F28" s="64" t="e">
        <f>'[1]INDICADORES UPAS'!#REF!</f>
        <v>#REF!</v>
      </c>
      <c r="G28" s="64" t="e">
        <f>'[1]INDICADORES UPAS'!#REF!</f>
        <v>#REF!</v>
      </c>
      <c r="H28" s="65" t="e">
        <f t="shared" si="0"/>
        <v>#REF!</v>
      </c>
      <c r="I28" s="40">
        <v>0.05</v>
      </c>
    </row>
    <row r="29" spans="1:9" ht="15.75" customHeight="1" x14ac:dyDescent="0.3">
      <c r="A29" s="101"/>
      <c r="B29" s="101"/>
      <c r="C29" s="53" t="s">
        <v>137</v>
      </c>
      <c r="D29" s="53">
        <v>10</v>
      </c>
      <c r="E29" s="66">
        <v>10</v>
      </c>
      <c r="F29" s="66">
        <v>10</v>
      </c>
      <c r="G29" s="66">
        <v>10</v>
      </c>
      <c r="H29" s="52">
        <f t="shared" si="0"/>
        <v>10</v>
      </c>
    </row>
    <row r="30" spans="1:9" ht="15.75" customHeight="1" x14ac:dyDescent="0.3">
      <c r="A30" s="102">
        <v>15</v>
      </c>
      <c r="B30" s="102" t="s">
        <v>160</v>
      </c>
      <c r="C30" s="48" t="s">
        <v>114</v>
      </c>
      <c r="D30" s="48" t="s">
        <v>161</v>
      </c>
      <c r="E30" s="51">
        <f>'INDICADORES UPA LUZIÂNIA'!I8</f>
        <v>0</v>
      </c>
      <c r="F30" s="51">
        <f>'INDICADORES UPA LUZIÂNIA'!J8</f>
        <v>0</v>
      </c>
      <c r="G30" s="51">
        <f>'INDICADORES UPA LUZIÂNIA'!K8</f>
        <v>0</v>
      </c>
      <c r="H30" s="52">
        <f t="shared" si="0"/>
        <v>0</v>
      </c>
    </row>
    <row r="31" spans="1:9" ht="15.75" customHeight="1" x14ac:dyDescent="0.3">
      <c r="A31" s="101"/>
      <c r="B31" s="101"/>
      <c r="C31" s="48" t="s">
        <v>137</v>
      </c>
      <c r="D31" s="48">
        <v>10</v>
      </c>
      <c r="E31" s="63">
        <v>10</v>
      </c>
      <c r="F31" s="63">
        <v>10</v>
      </c>
      <c r="G31" s="63">
        <v>10</v>
      </c>
      <c r="H31" s="52">
        <f t="shared" si="0"/>
        <v>10</v>
      </c>
    </row>
    <row r="32" spans="1:9" ht="15.75" customHeight="1" x14ac:dyDescent="0.3">
      <c r="A32" s="100">
        <v>16</v>
      </c>
      <c r="B32" s="100" t="s">
        <v>162</v>
      </c>
      <c r="C32" s="53" t="s">
        <v>114</v>
      </c>
      <c r="D32" s="62">
        <v>1</v>
      </c>
      <c r="E32" s="59">
        <v>1</v>
      </c>
      <c r="F32" s="59">
        <v>1</v>
      </c>
      <c r="G32" s="59">
        <v>1</v>
      </c>
      <c r="H32" s="65">
        <f t="shared" si="0"/>
        <v>1</v>
      </c>
    </row>
    <row r="33" spans="1:15" ht="15.75" customHeight="1" x14ac:dyDescent="0.3">
      <c r="A33" s="101"/>
      <c r="B33" s="101"/>
      <c r="C33" s="53" t="s">
        <v>137</v>
      </c>
      <c r="D33" s="53">
        <v>5</v>
      </c>
      <c r="E33" s="66">
        <v>5</v>
      </c>
      <c r="F33" s="66">
        <v>5</v>
      </c>
      <c r="G33" s="66">
        <v>5</v>
      </c>
      <c r="H33" s="52">
        <f t="shared" si="0"/>
        <v>5</v>
      </c>
    </row>
    <row r="34" spans="1:15" ht="15.75" customHeight="1" x14ac:dyDescent="0.3">
      <c r="A34" s="102">
        <v>17</v>
      </c>
      <c r="B34" s="102" t="s">
        <v>163</v>
      </c>
      <c r="C34" s="48" t="s">
        <v>114</v>
      </c>
      <c r="D34" s="67">
        <v>1</v>
      </c>
      <c r="E34" s="68">
        <v>1</v>
      </c>
      <c r="F34" s="68">
        <v>1</v>
      </c>
      <c r="G34" s="68">
        <v>1</v>
      </c>
      <c r="H34" s="65">
        <f t="shared" si="0"/>
        <v>1</v>
      </c>
    </row>
    <row r="35" spans="1:15" ht="15.75" customHeight="1" x14ac:dyDescent="0.3">
      <c r="A35" s="101"/>
      <c r="B35" s="101"/>
      <c r="C35" s="48" t="s">
        <v>137</v>
      </c>
      <c r="D35" s="48">
        <v>10</v>
      </c>
      <c r="E35" s="69">
        <v>10</v>
      </c>
      <c r="F35" s="69">
        <v>10</v>
      </c>
      <c r="G35" s="69">
        <v>10</v>
      </c>
      <c r="H35" s="52">
        <f t="shared" si="0"/>
        <v>10</v>
      </c>
    </row>
    <row r="36" spans="1:15" ht="15.75" customHeight="1" x14ac:dyDescent="0.3">
      <c r="A36" s="100">
        <v>18</v>
      </c>
      <c r="B36" s="100" t="s">
        <v>164</v>
      </c>
      <c r="C36" s="53" t="s">
        <v>114</v>
      </c>
      <c r="D36" s="53" t="s">
        <v>165</v>
      </c>
      <c r="E36" s="70" t="e">
        <f>'[1]INDICADORES UPAS'!#REF!</f>
        <v>#REF!</v>
      </c>
      <c r="F36" s="70" t="e">
        <f>'[1]INDICADORES UPAS'!#REF!</f>
        <v>#REF!</v>
      </c>
      <c r="G36" s="70" t="e">
        <f>'[1]INDICADORES UPAS'!#REF!</f>
        <v>#REF!</v>
      </c>
      <c r="H36" s="71" t="e">
        <f t="shared" si="0"/>
        <v>#REF!</v>
      </c>
    </row>
    <row r="37" spans="1:15" ht="15.75" customHeight="1" x14ac:dyDescent="0.3">
      <c r="A37" s="101"/>
      <c r="B37" s="101"/>
      <c r="C37" s="53" t="s">
        <v>137</v>
      </c>
      <c r="D37" s="53">
        <v>5</v>
      </c>
      <c r="E37" s="72">
        <v>5</v>
      </c>
      <c r="F37" s="72">
        <v>5</v>
      </c>
      <c r="G37" s="72">
        <v>5</v>
      </c>
      <c r="H37" s="52">
        <f t="shared" si="0"/>
        <v>5</v>
      </c>
    </row>
    <row r="38" spans="1:15" ht="15.75" customHeight="1" x14ac:dyDescent="0.3">
      <c r="A38" s="102">
        <v>19</v>
      </c>
      <c r="B38" s="102" t="s">
        <v>166</v>
      </c>
      <c r="C38" s="48" t="s">
        <v>114</v>
      </c>
      <c r="D38" s="48" t="s">
        <v>167</v>
      </c>
      <c r="E38" s="68" t="e">
        <f>'[1]INDICADORES UPAS'!#REF!</f>
        <v>#REF!</v>
      </c>
      <c r="F38" s="68" t="e">
        <f>'[1]INDICADORES UPAS'!#REF!</f>
        <v>#REF!</v>
      </c>
      <c r="G38" s="68" t="e">
        <f>'[1]INDICADORES UPAS'!#REF!</f>
        <v>#REF!</v>
      </c>
      <c r="H38" s="50" t="e">
        <f t="shared" si="0"/>
        <v>#REF!</v>
      </c>
    </row>
    <row r="39" spans="1:15" ht="15.75" customHeight="1" x14ac:dyDescent="0.3">
      <c r="A39" s="101"/>
      <c r="B39" s="101"/>
      <c r="C39" s="48" t="s">
        <v>137</v>
      </c>
      <c r="D39" s="48">
        <v>5</v>
      </c>
      <c r="E39" s="69">
        <v>5</v>
      </c>
      <c r="F39" s="69">
        <v>5</v>
      </c>
      <c r="G39" s="63">
        <v>5</v>
      </c>
      <c r="H39" s="52">
        <f t="shared" si="0"/>
        <v>5</v>
      </c>
    </row>
    <row r="40" spans="1:15" ht="15.75" customHeight="1" x14ac:dyDescent="0.3">
      <c r="A40" s="100">
        <v>20</v>
      </c>
      <c r="B40" s="100" t="s">
        <v>168</v>
      </c>
      <c r="C40" s="53" t="s">
        <v>114</v>
      </c>
      <c r="D40" s="62">
        <v>1</v>
      </c>
      <c r="E40" s="54">
        <v>1</v>
      </c>
      <c r="F40" s="54">
        <v>1</v>
      </c>
      <c r="G40" s="54">
        <v>1</v>
      </c>
      <c r="H40" s="50">
        <f t="shared" si="0"/>
        <v>1</v>
      </c>
    </row>
    <row r="41" spans="1:15" ht="15.75" customHeight="1" x14ac:dyDescent="0.3">
      <c r="A41" s="101"/>
      <c r="B41" s="101"/>
      <c r="C41" s="53" t="s">
        <v>137</v>
      </c>
      <c r="D41" s="53">
        <v>10</v>
      </c>
      <c r="E41" s="72">
        <v>10</v>
      </c>
      <c r="F41" s="72">
        <v>10</v>
      </c>
      <c r="G41" s="72">
        <v>10</v>
      </c>
      <c r="H41" s="52">
        <f t="shared" si="0"/>
        <v>10</v>
      </c>
    </row>
    <row r="42" spans="1:15" ht="20.25" customHeight="1" x14ac:dyDescent="0.3">
      <c r="A42" s="102">
        <v>21</v>
      </c>
      <c r="B42" s="102" t="s">
        <v>169</v>
      </c>
      <c r="C42" s="48" t="s">
        <v>114</v>
      </c>
      <c r="D42" s="67" t="s">
        <v>170</v>
      </c>
      <c r="E42" s="69" t="s">
        <v>171</v>
      </c>
      <c r="F42" s="69" t="s">
        <v>171</v>
      </c>
      <c r="G42" s="69" t="s">
        <v>171</v>
      </c>
      <c r="H42" s="73" t="s">
        <v>171</v>
      </c>
    </row>
    <row r="43" spans="1:15" ht="20.25" customHeight="1" x14ac:dyDescent="0.3">
      <c r="A43" s="101"/>
      <c r="B43" s="101"/>
      <c r="C43" s="48" t="s">
        <v>137</v>
      </c>
      <c r="D43" s="48">
        <v>15</v>
      </c>
      <c r="E43" s="69">
        <v>15</v>
      </c>
      <c r="F43" s="69">
        <v>15</v>
      </c>
      <c r="G43" s="69">
        <v>15</v>
      </c>
      <c r="H43" s="73">
        <v>15</v>
      </c>
      <c r="L43" s="38" t="s">
        <v>130</v>
      </c>
      <c r="M43" s="38" t="s">
        <v>131</v>
      </c>
      <c r="N43" s="38" t="s">
        <v>132</v>
      </c>
      <c r="O43" s="38" t="s">
        <v>13</v>
      </c>
    </row>
    <row r="44" spans="1:15" ht="15.75" customHeight="1" x14ac:dyDescent="0.3">
      <c r="A44" s="100">
        <v>22</v>
      </c>
      <c r="B44" s="100" t="s">
        <v>172</v>
      </c>
      <c r="C44" s="53" t="s">
        <v>114</v>
      </c>
      <c r="D44" s="62" t="s">
        <v>173</v>
      </c>
      <c r="E44" s="72" t="s">
        <v>171</v>
      </c>
      <c r="F44" s="72" t="s">
        <v>171</v>
      </c>
      <c r="G44" s="72" t="s">
        <v>171</v>
      </c>
      <c r="H44" s="73" t="s">
        <v>171</v>
      </c>
      <c r="K44" s="38" t="s">
        <v>163</v>
      </c>
      <c r="L44" s="38">
        <v>256</v>
      </c>
      <c r="M44" s="38">
        <v>338</v>
      </c>
      <c r="N44" s="38">
        <v>508</v>
      </c>
      <c r="O44" s="38">
        <f>SUM(L44:N44)</f>
        <v>1102</v>
      </c>
    </row>
    <row r="45" spans="1:15" ht="15.75" customHeight="1" x14ac:dyDescent="0.3">
      <c r="A45" s="101"/>
      <c r="B45" s="101"/>
      <c r="C45" s="53" t="s">
        <v>137</v>
      </c>
      <c r="D45" s="53">
        <v>15</v>
      </c>
      <c r="E45" s="72">
        <v>15</v>
      </c>
      <c r="F45" s="72">
        <v>15</v>
      </c>
      <c r="G45" s="72">
        <v>15</v>
      </c>
      <c r="H45" s="73">
        <v>15</v>
      </c>
    </row>
    <row r="46" spans="1:15" ht="20.25" customHeight="1" x14ac:dyDescent="0.3">
      <c r="A46" s="102">
        <v>23</v>
      </c>
      <c r="B46" s="102" t="s">
        <v>174</v>
      </c>
      <c r="C46" s="48" t="s">
        <v>114</v>
      </c>
      <c r="D46" s="48" t="s">
        <v>175</v>
      </c>
      <c r="E46" s="69" t="s">
        <v>171</v>
      </c>
      <c r="F46" s="69" t="s">
        <v>171</v>
      </c>
      <c r="G46" s="69" t="s">
        <v>171</v>
      </c>
      <c r="H46" s="74" t="s">
        <v>171</v>
      </c>
    </row>
    <row r="47" spans="1:15" ht="20.25" customHeight="1" x14ac:dyDescent="0.3">
      <c r="A47" s="101"/>
      <c r="B47" s="101"/>
      <c r="C47" s="48" t="s">
        <v>137</v>
      </c>
      <c r="D47" s="48">
        <v>15</v>
      </c>
      <c r="E47" s="69">
        <v>15</v>
      </c>
      <c r="F47" s="69">
        <v>15</v>
      </c>
      <c r="G47" s="69">
        <v>15</v>
      </c>
      <c r="H47" s="74">
        <v>15</v>
      </c>
    </row>
    <row r="48" spans="1:15" ht="15.75" customHeight="1" x14ac:dyDescent="0.3">
      <c r="A48" s="109" t="s">
        <v>176</v>
      </c>
      <c r="B48" s="110"/>
      <c r="C48" s="104"/>
      <c r="D48" s="74">
        <f t="shared" ref="D48:H48" si="1">SUM(D3,D5,D7,D9,D11,D13,D15,D17,D19,D21,D23,D25,D27,D29,D31,D33,D35,D37,D39,D41,D43,D45,D47)</f>
        <v>300</v>
      </c>
      <c r="E48" s="75">
        <f t="shared" si="1"/>
        <v>300</v>
      </c>
      <c r="F48" s="75">
        <f t="shared" si="1"/>
        <v>300</v>
      </c>
      <c r="G48" s="75">
        <f t="shared" si="1"/>
        <v>300</v>
      </c>
      <c r="H48" s="75">
        <f t="shared" si="1"/>
        <v>300</v>
      </c>
    </row>
    <row r="49" spans="4:16" ht="15.75" customHeight="1" x14ac:dyDescent="0.3">
      <c r="E49" s="38" t="s">
        <v>130</v>
      </c>
      <c r="F49" s="38" t="s">
        <v>131</v>
      </c>
      <c r="G49" s="38" t="s">
        <v>132</v>
      </c>
    </row>
    <row r="50" spans="4:16" ht="15.75" customHeight="1" x14ac:dyDescent="0.3">
      <c r="D50" s="38" t="s">
        <v>114</v>
      </c>
      <c r="E50" s="38">
        <v>300</v>
      </c>
      <c r="F50" s="38">
        <v>300</v>
      </c>
      <c r="G50" s="38">
        <v>300</v>
      </c>
    </row>
    <row r="51" spans="4:16" ht="15.75" customHeight="1" x14ac:dyDescent="0.3">
      <c r="D51" s="38" t="s">
        <v>113</v>
      </c>
      <c r="E51" s="38">
        <v>300</v>
      </c>
      <c r="F51" s="38">
        <v>300</v>
      </c>
      <c r="G51" s="38">
        <v>300</v>
      </c>
    </row>
    <row r="52" spans="4:16" ht="15.75" customHeight="1" x14ac:dyDescent="0.3"/>
    <row r="53" spans="4:16" ht="15.75" customHeight="1" x14ac:dyDescent="0.3"/>
    <row r="54" spans="4:16" ht="15.75" customHeight="1" x14ac:dyDescent="0.3"/>
    <row r="55" spans="4:16" ht="15.75" customHeight="1" x14ac:dyDescent="0.3"/>
    <row r="56" spans="4:16" ht="15.75" customHeight="1" x14ac:dyDescent="0.3"/>
    <row r="57" spans="4:16" ht="15.75" customHeight="1" x14ac:dyDescent="0.3">
      <c r="M57" s="76" t="s">
        <v>177</v>
      </c>
      <c r="N57" s="77" t="s">
        <v>178</v>
      </c>
      <c r="O57" s="77" t="s">
        <v>179</v>
      </c>
      <c r="P57" s="77" t="s">
        <v>180</v>
      </c>
    </row>
    <row r="58" spans="4:16" ht="15.75" customHeight="1" x14ac:dyDescent="0.3">
      <c r="M58" s="78" t="s">
        <v>181</v>
      </c>
      <c r="N58" s="111"/>
      <c r="O58" s="112"/>
      <c r="P58" s="113"/>
    </row>
    <row r="59" spans="4:16" ht="15.75" customHeight="1" x14ac:dyDescent="0.3">
      <c r="M59" s="79" t="s">
        <v>182</v>
      </c>
      <c r="N59" s="97"/>
      <c r="O59" s="97"/>
      <c r="P59" s="97"/>
    </row>
    <row r="60" spans="4:16" ht="15.75" customHeight="1" x14ac:dyDescent="0.3">
      <c r="M60" s="78" t="s">
        <v>183</v>
      </c>
      <c r="N60" s="97"/>
      <c r="O60" s="97"/>
      <c r="P60" s="97"/>
    </row>
    <row r="61" spans="4:16" ht="15.75" customHeight="1" x14ac:dyDescent="0.3">
      <c r="M61" s="79" t="s">
        <v>184</v>
      </c>
      <c r="N61" s="97"/>
      <c r="O61" s="97"/>
      <c r="P61" s="97"/>
    </row>
    <row r="62" spans="4:16" ht="15.75" customHeight="1" x14ac:dyDescent="0.3">
      <c r="M62" s="78" t="s">
        <v>185</v>
      </c>
      <c r="N62" s="97"/>
      <c r="O62" s="97"/>
      <c r="P62" s="97"/>
    </row>
    <row r="63" spans="4:16" ht="15.75" customHeight="1" x14ac:dyDescent="0.3">
      <c r="M63" s="79" t="s">
        <v>186</v>
      </c>
      <c r="N63" s="97"/>
      <c r="O63" s="97"/>
      <c r="P63" s="97"/>
    </row>
    <row r="64" spans="4:16" ht="15.75" customHeight="1" x14ac:dyDescent="0.3">
      <c r="M64" s="78" t="s">
        <v>187</v>
      </c>
      <c r="N64" s="97"/>
      <c r="O64" s="97"/>
      <c r="P64" s="97"/>
    </row>
    <row r="65" spans="11:16" ht="15.75" customHeight="1" x14ac:dyDescent="0.3">
      <c r="M65" s="79" t="s">
        <v>188</v>
      </c>
      <c r="N65" s="97"/>
      <c r="O65" s="97"/>
      <c r="P65" s="97"/>
    </row>
    <row r="66" spans="11:16" ht="15.75" customHeight="1" x14ac:dyDescent="0.3">
      <c r="M66" s="78" t="s">
        <v>189</v>
      </c>
      <c r="N66" s="114" t="s">
        <v>190</v>
      </c>
      <c r="O66" s="115"/>
      <c r="P66" s="94"/>
    </row>
    <row r="67" spans="11:16" ht="15.75" customHeight="1" x14ac:dyDescent="0.3">
      <c r="M67" s="80" t="s">
        <v>191</v>
      </c>
      <c r="N67" s="105" t="s">
        <v>190</v>
      </c>
      <c r="O67" s="106"/>
      <c r="P67" s="106"/>
    </row>
    <row r="68" spans="11:16" ht="15.75" customHeight="1" x14ac:dyDescent="0.3">
      <c r="M68" s="107" t="s">
        <v>192</v>
      </c>
      <c r="N68" s="108"/>
      <c r="O68" s="108"/>
      <c r="P68" s="108"/>
    </row>
    <row r="69" spans="11:16" ht="15.75" customHeight="1" x14ac:dyDescent="0.3"/>
    <row r="70" spans="11:16" ht="15.75" customHeight="1" x14ac:dyDescent="0.3"/>
    <row r="71" spans="11:16" ht="15.75" customHeight="1" x14ac:dyDescent="0.3"/>
    <row r="72" spans="11:16" ht="15.75" customHeight="1" x14ac:dyDescent="0.3"/>
    <row r="73" spans="11:16" ht="15.75" customHeight="1" x14ac:dyDescent="0.3"/>
    <row r="74" spans="11:16" ht="15.75" customHeight="1" x14ac:dyDescent="0.3"/>
    <row r="75" spans="11:16" ht="15.75" customHeight="1" x14ac:dyDescent="0.3"/>
    <row r="76" spans="11:16" ht="15.75" customHeight="1" x14ac:dyDescent="0.3"/>
    <row r="77" spans="11:16" ht="15.75" customHeight="1" x14ac:dyDescent="0.3"/>
    <row r="78" spans="11:16" ht="15.75" customHeight="1" x14ac:dyDescent="0.3"/>
    <row r="79" spans="11:16" ht="15.75" customHeight="1" x14ac:dyDescent="0.3"/>
    <row r="80" spans="11:16" ht="15.75" customHeight="1" x14ac:dyDescent="0.3">
      <c r="K80" s="81" t="s">
        <v>193</v>
      </c>
      <c r="L80" s="81" t="s">
        <v>194</v>
      </c>
    </row>
    <row r="81" spans="11:12" ht="15.75" customHeight="1" x14ac:dyDescent="0.3">
      <c r="K81" s="82" t="s">
        <v>195</v>
      </c>
      <c r="L81" s="83">
        <v>1</v>
      </c>
    </row>
    <row r="82" spans="11:12" ht="15.75" customHeight="1" x14ac:dyDescent="0.3">
      <c r="K82" s="84" t="s">
        <v>196</v>
      </c>
      <c r="L82" s="85">
        <v>1</v>
      </c>
    </row>
    <row r="83" spans="11:12" ht="15.75" customHeight="1" x14ac:dyDescent="0.3">
      <c r="K83" s="86" t="s">
        <v>197</v>
      </c>
      <c r="L83" s="87">
        <v>1</v>
      </c>
    </row>
    <row r="84" spans="11:12" ht="15.75" customHeight="1" x14ac:dyDescent="0.3">
      <c r="K84" s="84" t="s">
        <v>198</v>
      </c>
      <c r="L84" s="85">
        <v>1</v>
      </c>
    </row>
    <row r="85" spans="11:12" ht="15.75" customHeight="1" x14ac:dyDescent="0.3">
      <c r="K85" s="84" t="s">
        <v>199</v>
      </c>
      <c r="L85" s="85">
        <v>1</v>
      </c>
    </row>
    <row r="86" spans="11:12" ht="15.75" customHeight="1" x14ac:dyDescent="0.3">
      <c r="K86" s="84" t="s">
        <v>200</v>
      </c>
      <c r="L86" s="85">
        <v>1</v>
      </c>
    </row>
    <row r="87" spans="11:12" ht="15.75" customHeight="1" x14ac:dyDescent="0.3">
      <c r="K87" s="84" t="s">
        <v>201</v>
      </c>
      <c r="L87" s="85">
        <v>2</v>
      </c>
    </row>
    <row r="88" spans="11:12" ht="15.75" customHeight="1" x14ac:dyDescent="0.3">
      <c r="K88" s="86" t="s">
        <v>202</v>
      </c>
      <c r="L88" s="87">
        <v>2</v>
      </c>
    </row>
    <row r="89" spans="11:12" ht="15.75" customHeight="1" x14ac:dyDescent="0.3">
      <c r="K89" s="84" t="s">
        <v>203</v>
      </c>
      <c r="L89" s="85">
        <v>3</v>
      </c>
    </row>
    <row r="90" spans="11:12" ht="15.75" customHeight="1" x14ac:dyDescent="0.3">
      <c r="K90" s="86" t="s">
        <v>204</v>
      </c>
      <c r="L90" s="87">
        <v>3</v>
      </c>
    </row>
    <row r="91" spans="11:12" ht="15.75" customHeight="1" x14ac:dyDescent="0.3">
      <c r="K91" s="84" t="s">
        <v>205</v>
      </c>
      <c r="L91" s="85">
        <v>4</v>
      </c>
    </row>
    <row r="92" spans="11:12" ht="15.75" customHeight="1" x14ac:dyDescent="0.3">
      <c r="K92" s="86" t="s">
        <v>206</v>
      </c>
      <c r="L92" s="87">
        <v>5</v>
      </c>
    </row>
    <row r="93" spans="11:12" ht="15.75" customHeight="1" x14ac:dyDescent="0.3">
      <c r="K93" s="84" t="s">
        <v>207</v>
      </c>
      <c r="L93" s="85">
        <v>6</v>
      </c>
    </row>
    <row r="94" spans="11:12" ht="15.75" customHeight="1" x14ac:dyDescent="0.3">
      <c r="K94" s="86" t="s">
        <v>208</v>
      </c>
      <c r="L94" s="87">
        <v>7</v>
      </c>
    </row>
    <row r="95" spans="11:12" ht="15.75" customHeight="1" x14ac:dyDescent="0.3">
      <c r="K95" s="84" t="s">
        <v>209</v>
      </c>
      <c r="L95" s="85">
        <v>8</v>
      </c>
    </row>
    <row r="96" spans="11:12" ht="15.75" customHeight="1" x14ac:dyDescent="0.3">
      <c r="K96" s="84" t="s">
        <v>210</v>
      </c>
      <c r="L96" s="85">
        <v>10</v>
      </c>
    </row>
    <row r="97" spans="11:12" ht="15.75" customHeight="1" x14ac:dyDescent="0.3">
      <c r="K97" s="86" t="s">
        <v>197</v>
      </c>
      <c r="L97" s="87">
        <v>14</v>
      </c>
    </row>
    <row r="98" spans="11:12" ht="15.75" customHeight="1" x14ac:dyDescent="0.3">
      <c r="K98" s="86" t="s">
        <v>211</v>
      </c>
      <c r="L98" s="87">
        <v>15</v>
      </c>
    </row>
    <row r="99" spans="11:12" ht="15.75" customHeight="1" x14ac:dyDescent="0.3">
      <c r="K99" s="86" t="s">
        <v>212</v>
      </c>
      <c r="L99" s="87">
        <v>16</v>
      </c>
    </row>
    <row r="100" spans="11:12" ht="15.75" customHeight="1" x14ac:dyDescent="0.3">
      <c r="K100" s="86" t="s">
        <v>213</v>
      </c>
      <c r="L100" s="87">
        <v>20</v>
      </c>
    </row>
    <row r="101" spans="11:12" ht="15.75" customHeight="1" x14ac:dyDescent="0.3">
      <c r="K101" s="84" t="s">
        <v>214</v>
      </c>
      <c r="L101" s="85">
        <v>28</v>
      </c>
    </row>
    <row r="102" spans="11:12" ht="15.75" customHeight="1" x14ac:dyDescent="0.3">
      <c r="K102" s="86" t="s">
        <v>215</v>
      </c>
      <c r="L102" s="87">
        <v>40</v>
      </c>
    </row>
    <row r="103" spans="11:12" ht="15.75" customHeight="1" x14ac:dyDescent="0.3">
      <c r="K103" s="84" t="s">
        <v>216</v>
      </c>
      <c r="L103" s="85">
        <v>47</v>
      </c>
    </row>
    <row r="104" spans="11:12" ht="15.75" customHeight="1" x14ac:dyDescent="0.3">
      <c r="K104" s="88" t="s">
        <v>207</v>
      </c>
      <c r="L104" s="89">
        <v>261</v>
      </c>
    </row>
    <row r="105" spans="11:12" ht="15.75" customHeight="1" x14ac:dyDescent="0.3">
      <c r="L105" s="38">
        <f>SUM(L81:L104)</f>
        <v>497</v>
      </c>
    </row>
    <row r="106" spans="11:12" ht="15.75" customHeight="1" x14ac:dyDescent="0.3">
      <c r="L106" s="39">
        <f>L104/L105</f>
        <v>0.52515090543259557</v>
      </c>
    </row>
    <row r="107" spans="11:12" ht="15.75" customHeight="1" x14ac:dyDescent="0.3"/>
    <row r="108" spans="11:12" ht="15.75" customHeight="1" x14ac:dyDescent="0.3"/>
    <row r="109" spans="11:12" ht="15.75" customHeight="1" x14ac:dyDescent="0.3"/>
    <row r="110" spans="11:12" ht="15.75" customHeight="1" x14ac:dyDescent="0.3"/>
    <row r="111" spans="11:12" ht="15.75" customHeight="1" x14ac:dyDescent="0.3"/>
    <row r="112" spans="11: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4">
    <mergeCell ref="N67:P67"/>
    <mergeCell ref="M68:P68"/>
    <mergeCell ref="B44:B45"/>
    <mergeCell ref="B46:B47"/>
    <mergeCell ref="A48:C48"/>
    <mergeCell ref="N58:N65"/>
    <mergeCell ref="O58:O65"/>
    <mergeCell ref="P58:P65"/>
    <mergeCell ref="N66:P66"/>
    <mergeCell ref="C1:D1"/>
    <mergeCell ref="A2:A3"/>
    <mergeCell ref="B2:B3"/>
    <mergeCell ref="A4:A5"/>
    <mergeCell ref="B4:B5"/>
    <mergeCell ref="A6:A7"/>
    <mergeCell ref="B6:B7"/>
    <mergeCell ref="A8:A9"/>
    <mergeCell ref="B8:B9"/>
    <mergeCell ref="A10:A11"/>
    <mergeCell ref="B10:B11"/>
    <mergeCell ref="A12:A13"/>
    <mergeCell ref="B12:B13"/>
    <mergeCell ref="B14:B15"/>
    <mergeCell ref="A14:A15"/>
    <mergeCell ref="A16:A17"/>
    <mergeCell ref="B16:B17"/>
    <mergeCell ref="A18:A19"/>
    <mergeCell ref="A20:A21"/>
    <mergeCell ref="A22:A23"/>
    <mergeCell ref="A24:A25"/>
    <mergeCell ref="A26:A27"/>
    <mergeCell ref="B18:B19"/>
    <mergeCell ref="B20:B21"/>
    <mergeCell ref="B22:B23"/>
    <mergeCell ref="B24:B25"/>
    <mergeCell ref="B26:B27"/>
    <mergeCell ref="A46:A47"/>
    <mergeCell ref="A28:A29"/>
    <mergeCell ref="A30:A31"/>
    <mergeCell ref="A32:A33"/>
    <mergeCell ref="A34:A35"/>
    <mergeCell ref="A36:A37"/>
    <mergeCell ref="A38:A39"/>
    <mergeCell ref="A40:A41"/>
    <mergeCell ref="B40:B41"/>
    <mergeCell ref="B42:B43"/>
    <mergeCell ref="B28:B29"/>
    <mergeCell ref="A42:A43"/>
    <mergeCell ref="A44:A45"/>
    <mergeCell ref="B30:B31"/>
    <mergeCell ref="B32:B33"/>
    <mergeCell ref="B34:B35"/>
    <mergeCell ref="B36:B37"/>
    <mergeCell ref="B38:B39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Planilha1</vt:lpstr>
      <vt:lpstr>1.TRIMESTRE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miguel</cp:lastModifiedBy>
  <dcterms:modified xsi:type="dcterms:W3CDTF">2026-03-27T16:40:46Z</dcterms:modified>
</cp:coreProperties>
</file>