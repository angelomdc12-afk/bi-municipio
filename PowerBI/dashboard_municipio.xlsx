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49DBAA5D-B521-4CEF-8412-68171AD9FAB9}" xr6:coauthVersionLast="47" xr6:coauthVersionMax="47" xr10:uidLastSave="{00000000-0000-0000-0000-000000000000}"/>
  <bookViews>
    <workbookView xWindow="-28920" yWindow="555" windowWidth="29040" windowHeight="15720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</sheets>
  <calcPr calcId="191029"/>
</workbook>
</file>

<file path=xl/calcChain.xml><?xml version="1.0" encoding="utf-8"?>
<calcChain xmlns="http://schemas.openxmlformats.org/spreadsheetml/2006/main">
  <c r="D51" i="10" l="1"/>
  <c r="E51" i="10"/>
  <c r="F51" i="10"/>
  <c r="G51" i="10"/>
  <c r="H51" i="10"/>
  <c r="I51" i="10"/>
  <c r="O51" i="10" s="1"/>
  <c r="J51" i="10"/>
  <c r="K51" i="10"/>
  <c r="L51" i="10"/>
  <c r="M51" i="10"/>
  <c r="N51" i="10"/>
  <c r="C51" i="10"/>
  <c r="D48" i="10"/>
  <c r="E48" i="10"/>
  <c r="F48" i="10"/>
  <c r="G48" i="10"/>
  <c r="H48" i="10"/>
  <c r="I48" i="10"/>
  <c r="J48" i="10"/>
  <c r="K48" i="10"/>
  <c r="O48" i="10" s="1"/>
  <c r="L48" i="10"/>
  <c r="M48" i="10"/>
  <c r="N48" i="10"/>
  <c r="C48" i="10"/>
  <c r="D40" i="10"/>
  <c r="E40" i="10"/>
  <c r="F40" i="10"/>
  <c r="G40" i="10"/>
  <c r="H40" i="10"/>
  <c r="I40" i="10"/>
  <c r="J40" i="10"/>
  <c r="K40" i="10"/>
  <c r="O40" i="10" s="1"/>
  <c r="L40" i="10"/>
  <c r="M40" i="10"/>
  <c r="N40" i="10"/>
  <c r="C40" i="10"/>
  <c r="D32" i="10"/>
  <c r="E32" i="10"/>
  <c r="F32" i="10"/>
  <c r="O32" i="10" s="1"/>
  <c r="G32" i="10"/>
  <c r="H32" i="10"/>
  <c r="I32" i="10"/>
  <c r="J32" i="10"/>
  <c r="K32" i="10"/>
  <c r="L32" i="10"/>
  <c r="M32" i="10"/>
  <c r="N32" i="10"/>
  <c r="C32" i="10"/>
  <c r="O50" i="10"/>
  <c r="O47" i="10"/>
  <c r="O45" i="10"/>
  <c r="O44" i="10"/>
  <c r="O42" i="10"/>
  <c r="O39" i="10"/>
  <c r="O37" i="10"/>
  <c r="O35" i="10"/>
  <c r="O34" i="10"/>
  <c r="O31" i="10"/>
  <c r="O29" i="10"/>
  <c r="O28" i="10"/>
  <c r="O26" i="10"/>
  <c r="O24" i="10"/>
  <c r="O23" i="10"/>
  <c r="O21" i="10"/>
  <c r="O20" i="10"/>
  <c r="O18" i="10"/>
  <c r="O16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N5" i="4"/>
  <c r="M5" i="4"/>
  <c r="L5" i="4"/>
  <c r="K5" i="4"/>
  <c r="J5" i="4"/>
  <c r="I5" i="4"/>
  <c r="H5" i="4"/>
  <c r="G5" i="4"/>
  <c r="F5" i="4"/>
  <c r="E5" i="4"/>
  <c r="D5" i="4"/>
  <c r="C5" i="4"/>
  <c r="O5" i="4" s="1"/>
  <c r="O4" i="4"/>
  <c r="O67" i="3"/>
  <c r="N64" i="3"/>
  <c r="M64" i="3"/>
  <c r="L64" i="3"/>
  <c r="K64" i="3"/>
  <c r="J64" i="3"/>
  <c r="I64" i="3"/>
  <c r="H64" i="3"/>
  <c r="G64" i="3"/>
  <c r="F64" i="3"/>
  <c r="E64" i="3"/>
  <c r="D64" i="3"/>
  <c r="C64" i="3"/>
  <c r="O64" i="3" s="1"/>
  <c r="O63" i="3"/>
  <c r="O62" i="3"/>
  <c r="N59" i="3"/>
  <c r="M59" i="3"/>
  <c r="L59" i="3"/>
  <c r="K59" i="3"/>
  <c r="J59" i="3"/>
  <c r="I59" i="3"/>
  <c r="H59" i="3"/>
  <c r="G59" i="3"/>
  <c r="F59" i="3"/>
  <c r="E59" i="3"/>
  <c r="D59" i="3"/>
  <c r="O59" i="3" s="1"/>
  <c r="C59" i="3"/>
  <c r="O58" i="3"/>
  <c r="O57" i="3"/>
  <c r="O56" i="3"/>
  <c r="O55" i="3"/>
  <c r="O54" i="3"/>
  <c r="O53" i="3"/>
  <c r="O52" i="3"/>
  <c r="O51" i="3"/>
  <c r="O50" i="3"/>
  <c r="N47" i="3"/>
  <c r="M47" i="3"/>
  <c r="L47" i="3"/>
  <c r="K47" i="3"/>
  <c r="J47" i="3"/>
  <c r="I47" i="3"/>
  <c r="H47" i="3"/>
  <c r="G47" i="3"/>
  <c r="O47" i="3" s="1"/>
  <c r="F47" i="3"/>
  <c r="E47" i="3"/>
  <c r="D47" i="3"/>
  <c r="C47" i="3"/>
  <c r="O46" i="3"/>
  <c r="O45" i="3"/>
  <c r="O44" i="3"/>
  <c r="O41" i="3"/>
  <c r="O38" i="3"/>
  <c r="O35" i="3"/>
  <c r="O32" i="3"/>
  <c r="O28" i="3"/>
  <c r="M25" i="3"/>
  <c r="L25" i="3"/>
  <c r="H25" i="3"/>
  <c r="G25" i="3"/>
  <c r="F25" i="3"/>
  <c r="E25" i="3"/>
  <c r="D25" i="3"/>
  <c r="I24" i="3"/>
  <c r="N23" i="3"/>
  <c r="I23" i="3"/>
  <c r="H23" i="3"/>
  <c r="G23" i="3"/>
  <c r="F23" i="3"/>
  <c r="N22" i="3"/>
  <c r="M22" i="3"/>
  <c r="L22" i="3"/>
  <c r="K22" i="3"/>
  <c r="G22" i="3"/>
  <c r="F22" i="3"/>
  <c r="E22" i="3"/>
  <c r="D22" i="3"/>
  <c r="C22" i="3"/>
  <c r="O22" i="3" s="1"/>
  <c r="I21" i="3"/>
  <c r="H21" i="3"/>
  <c r="N20" i="3"/>
  <c r="M20" i="3"/>
  <c r="I20" i="3"/>
  <c r="H20" i="3"/>
  <c r="G20" i="3"/>
  <c r="F20" i="3"/>
  <c r="E20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O5" i="3" s="1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O64" i="2" s="1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O59" i="2" s="1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7" i="2" s="1"/>
  <c r="O46" i="2"/>
  <c r="O45" i="2"/>
  <c r="O44" i="2"/>
  <c r="O41" i="2"/>
  <c r="O38" i="2"/>
  <c r="O35" i="2"/>
  <c r="O32" i="2"/>
  <c r="O28" i="2"/>
  <c r="L25" i="2"/>
  <c r="K25" i="2"/>
  <c r="J25" i="2"/>
  <c r="I25" i="2"/>
  <c r="H25" i="2"/>
  <c r="D25" i="2"/>
  <c r="C25" i="2"/>
  <c r="M24" i="2"/>
  <c r="E24" i="2"/>
  <c r="M23" i="2"/>
  <c r="L23" i="2"/>
  <c r="K23" i="2"/>
  <c r="J23" i="2"/>
  <c r="E23" i="2"/>
  <c r="D23" i="2"/>
  <c r="C23" i="2"/>
  <c r="K22" i="2"/>
  <c r="J22" i="2"/>
  <c r="I22" i="2"/>
  <c r="H22" i="2"/>
  <c r="G22" i="2"/>
  <c r="C22" i="2"/>
  <c r="M21" i="2"/>
  <c r="L21" i="2"/>
  <c r="E21" i="2"/>
  <c r="D21" i="2"/>
  <c r="M20" i="2"/>
  <c r="L20" i="2"/>
  <c r="K20" i="2"/>
  <c r="J20" i="2"/>
  <c r="I20" i="2"/>
  <c r="E20" i="2"/>
  <c r="D20" i="2"/>
  <c r="C20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C5" i="2"/>
  <c r="O5" i="2" s="1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21" i="2" l="1"/>
  <c r="N25" i="3"/>
  <c r="G24" i="2"/>
  <c r="J21" i="3"/>
  <c r="L24" i="3"/>
  <c r="F23" i="2"/>
  <c r="O23" i="2" s="1"/>
  <c r="I24" i="2"/>
  <c r="D21" i="3"/>
  <c r="L21" i="3"/>
  <c r="F20" i="2"/>
  <c r="O20" i="2" s="1"/>
  <c r="N20" i="2"/>
  <c r="I21" i="2"/>
  <c r="D22" i="2"/>
  <c r="O22" i="2" s="1"/>
  <c r="L22" i="2"/>
  <c r="G23" i="2"/>
  <c r="J24" i="2"/>
  <c r="E25" i="2"/>
  <c r="O25" i="2" s="1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O21" i="3" s="1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O20" i="3" s="1"/>
  <c r="K20" i="3"/>
  <c r="D23" i="3"/>
  <c r="L23" i="3"/>
  <c r="G24" i="3"/>
  <c r="J25" i="3"/>
  <c r="O18" i="2"/>
  <c r="J24" i="3"/>
  <c r="N21" i="2"/>
  <c r="K24" i="3"/>
  <c r="G21" i="2"/>
  <c r="H21" i="2"/>
  <c r="N23" i="2"/>
  <c r="O23" i="3" l="1"/>
  <c r="O24" i="3"/>
</calcChain>
</file>

<file path=xl/sharedStrings.xml><?xml version="1.0" encoding="utf-8"?>
<sst xmlns="http://schemas.openxmlformats.org/spreadsheetml/2006/main" count="792" uniqueCount="145">
  <si>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</si>
  <si>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</si>
  <si>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</si>
  <si>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</si>
  <si>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</si>
  <si>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</si>
  <si>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</si>
  <si>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</si>
  <si>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</si>
  <si>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</si>
  <si>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</si>
  <si>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</si>
  <si>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</si>
  <si>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</si>
  <si>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</si>
  <si>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</si>
  <si>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</si>
  <si>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</si>
  <si>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</si>
  <si>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</si>
  <si>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</si>
  <si>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</si>
  <si>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</si>
  <si>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</si>
  <si>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</si>
  <si>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</si>
  <si>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</si>
  <si>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</si>
  <si>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</si>
  <si>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</si>
  <si>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</si>
  <si>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</si>
  <si>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</si>
  <si>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</si>
  <si>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</si>
  <si>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</si>
  <si>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</si>
  <si>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</si>
  <si>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</si>
  <si>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</si>
  <si>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</si>
  <si>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</si>
  <si>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</si>
  <si>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</si>
  <si>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</si>
  <si>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</si>
  <si>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</si>
  <si>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</si>
  <si>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</si>
  <si>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</si>
  <si>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</si>
  <si>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</si>
  <si>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</si>
  <si>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</si>
  <si>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</si>
  <si>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</si>
  <si>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</si>
  <si>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</si>
  <si>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</si>
  <si>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</si>
  <si>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</si>
  <si>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</si>
  <si>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</si>
  <si>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</si>
  <si>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</si>
  <si>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</si>
  <si>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</si>
  <si>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</si>
  <si>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</si>
  <si>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</si>
  <si>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</si>
  <si>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</si>
  <si>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</si>
  <si>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</si>
  <si>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</si>
  <si>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</si>
  <si>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</si>
  <si>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</si>
  <si>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</si>
  <si>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</si>
  <si>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</si>
  <si>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</si>
  <si>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</si>
  <si>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</si>
  <si>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</si>
  <si>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</si>
  <si>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</si>
  <si>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</si>
  <si>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</si>
  <si>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</si>
  <si>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</si>
  <si>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</si>
  <si>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</si>
  <si>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</si>
  <si>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</si>
  <si>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</si>
  <si>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</si>
  <si>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</si>
  <si>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</si>
  <si>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</si>
  <si>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</si>
  <si>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</si>
  <si>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</si>
  <si>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</si>
  <si>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</si>
  <si>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</si>
  <si>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</si>
  <si>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</si>
  <si>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</si>
  <si>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</si>
  <si>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</si>
  <si>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</si>
  <si>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</si>
  <si>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</si>
  <si>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</si>
  <si>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</si>
  <si>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</si>
  <si>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</si>
  <si>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</si>
  <si>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</si>
  <si>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</si>
  <si>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</si>
  <si>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</si>
  <si>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</si>
  <si>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</si>
  <si>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TOTAL EQUIPE MULTIPROFISSIONAL</t>
  </si>
  <si>
    <t>TOTAL ADMINISTRATIVO / APOIO</t>
  </si>
  <si>
    <t>COLABORADORES ATIVOS</t>
  </si>
  <si>
    <t>ADMISSÕES</t>
  </si>
  <si>
    <t>DESLIGAMENTOS</t>
  </si>
  <si>
    <t>TAXA DE TURNOVER</t>
  </si>
  <si>
    <t>ABSENTEÍSMO</t>
  </si>
  <si>
    <t>AFASTAMENTOS</t>
  </si>
  <si>
    <t>ACIDENTES DE TRABALHO</t>
  </si>
  <si>
    <t>COLABORADORES TREINADOS NO MÊS</t>
  </si>
  <si>
    <t>HORAS DE CAPACITAÇÃO NO MÊS</t>
  </si>
  <si>
    <t>NOVOS COLABORADORES INTEGRADOS</t>
  </si>
  <si>
    <t>% NOVOS COLABORADORES INTEGRADOS</t>
  </si>
  <si>
    <t>AVALIAÇÕES DE DESEMPENHO REALIZADAS</t>
  </si>
  <si>
    <t>% AVALIAÇÕES CONCLUÍDAS</t>
  </si>
  <si>
    <t>EXAMES PERIÓDICOS EM DIA</t>
  </si>
  <si>
    <t>COBERTURA VACINAL DOS COLABORADORES</t>
  </si>
  <si>
    <t>Observação: este modelo foi criado no mesmo padrão estrutural das abas de indicadores já usadas pelo app.</t>
  </si>
  <si>
    <t>RH</t>
  </si>
  <si>
    <t>SÉRIE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</si>
</sst>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i/>
      <sz val="11"/>
      <color rgb="FF334155"/>
      <name val="Aptos Narrow"/>
    </font>
    <font>
      <sz val="11"/>
      <color theme="1"/>
      <name val="Calibri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1F5F9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7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3" borderId="1" xfId="0" applyNumberFormat="1" applyFont="1" applyFill="1" applyBorder="1" applyAlignment="1">
      <alignment horizontal="center" vertical="center"/>
    </xf>
    <xf numFmtId="21" fontId="2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1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5" fillId="22" borderId="0" xfId="0" applyFont="1" applyFill="1" applyAlignment="1">
      <alignment wrapText="1"/>
    </xf>
    <xf numFmtId="0" fontId="0" fillId="22" borderId="0" xfId="0" applyFill="1" applyAlignment="1">
      <alignment wrapText="1"/>
    </xf>
    <xf numFmtId="0" fontId="10" fillId="17" borderId="8" xfId="0" applyFont="1" applyFill="1" applyBorder="1" applyAlignment="1">
      <alignment horizontal="center" vertical="center"/>
    </xf>
    <xf numFmtId="0" fontId="11" fillId="19" borderId="8" xfId="0" applyFont="1" applyFill="1" applyBorder="1" applyAlignment="1">
      <alignment wrapText="1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5" borderId="8" xfId="0" applyFont="1" applyFill="1" applyBorder="1" applyAlignment="1">
      <alignment wrapText="1"/>
    </xf>
    <xf numFmtId="0" fontId="13" fillId="24" borderId="0" xfId="0" applyFont="1" applyFill="1"/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5" fillId="3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6D13EF8-1593-44AD-B7A9-3A9DF2CA94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abSelected="1" workbookViewId="0">
      <selection sqref="A1:O1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8" customFormat="1" ht="49.5" customHeight="1" x14ac:dyDescent="0.3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s="38" customFormat="1" x14ac:dyDescent="0.3">
      <c r="A2" s="39" t="s">
        <v>0</v>
      </c>
      <c r="B2" s="39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s="38" customFormat="1" x14ac:dyDescent="0.3">
      <c r="A3" s="66"/>
      <c r="B3" s="66"/>
      <c r="C3" s="41" t="s">
        <v>1</v>
      </c>
      <c r="D3" s="41" t="s">
        <v>2</v>
      </c>
      <c r="E3" s="41" t="s">
        <v>3</v>
      </c>
      <c r="F3" s="41" t="s">
        <v>4</v>
      </c>
      <c r="G3" s="41" t="s">
        <v>5</v>
      </c>
      <c r="H3" s="41" t="s">
        <v>6</v>
      </c>
      <c r="I3" s="41" t="s">
        <v>7</v>
      </c>
      <c r="J3" s="41" t="s">
        <v>8</v>
      </c>
      <c r="K3" s="41" t="s">
        <v>9</v>
      </c>
      <c r="L3" s="41" t="s">
        <v>10</v>
      </c>
      <c r="M3" s="41" t="s">
        <v>11</v>
      </c>
      <c r="N3" s="41" t="s">
        <v>12</v>
      </c>
      <c r="O3" s="41" t="s">
        <v>13</v>
      </c>
    </row>
    <row r="4" spans="1:15" s="38" customFormat="1" x14ac:dyDescent="0.3">
      <c r="A4" s="67" t="s">
        <v>14</v>
      </c>
      <c r="B4" s="45" t="s">
        <v>15</v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7">
        <f t="shared" ref="O4:O7" si="0">SUM(C4:N4)</f>
        <v>0</v>
      </c>
    </row>
    <row r="5" spans="1:15" s="38" customFormat="1" x14ac:dyDescent="0.3">
      <c r="A5" s="67"/>
      <c r="B5" s="45" t="s">
        <v>16</v>
      </c>
      <c r="C5" s="46">
        <v>12251</v>
      </c>
      <c r="D5" s="46">
        <v>12251</v>
      </c>
      <c r="E5" s="46">
        <v>12251</v>
      </c>
      <c r="F5" s="46">
        <v>12251</v>
      </c>
      <c r="G5" s="46">
        <v>12251</v>
      </c>
      <c r="H5" s="46">
        <v>12251</v>
      </c>
      <c r="I5" s="46">
        <v>12251</v>
      </c>
      <c r="J5" s="46">
        <v>12251</v>
      </c>
      <c r="K5" s="46">
        <v>12251</v>
      </c>
      <c r="L5" s="46">
        <v>12251</v>
      </c>
      <c r="M5" s="46">
        <v>12251</v>
      </c>
      <c r="N5" s="46">
        <v>12251</v>
      </c>
      <c r="O5" s="47">
        <f t="shared" si="0"/>
        <v>147012</v>
      </c>
    </row>
    <row r="6" spans="1:15" s="38" customFormat="1" x14ac:dyDescent="0.3">
      <c r="A6" s="67"/>
      <c r="B6" s="42" t="s">
        <v>17</v>
      </c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4">
        <f t="shared" si="0"/>
        <v>0</v>
      </c>
    </row>
    <row r="7" spans="1:15" s="38" customFormat="1" x14ac:dyDescent="0.3">
      <c r="A7" s="67"/>
      <c r="B7" s="42" t="s">
        <v>16</v>
      </c>
      <c r="C7" s="43">
        <v>45843</v>
      </c>
      <c r="D7" s="43">
        <v>45843</v>
      </c>
      <c r="E7" s="43">
        <v>45843</v>
      </c>
      <c r="F7" s="43">
        <v>45843</v>
      </c>
      <c r="G7" s="43">
        <v>45843</v>
      </c>
      <c r="H7" s="43">
        <v>45843</v>
      </c>
      <c r="I7" s="43">
        <v>45843</v>
      </c>
      <c r="J7" s="43">
        <v>45843</v>
      </c>
      <c r="K7" s="43">
        <v>45843</v>
      </c>
      <c r="L7" s="43">
        <v>45843</v>
      </c>
      <c r="M7" s="43">
        <v>45843</v>
      </c>
      <c r="N7" s="43">
        <v>45843</v>
      </c>
      <c r="O7" s="44">
        <f t="shared" si="0"/>
        <v>550116</v>
      </c>
    </row>
    <row r="8" spans="1:15" s="38" customFormat="1" x14ac:dyDescent="0.3">
      <c r="A8" s="67"/>
      <c r="B8" s="45" t="s">
        <v>18</v>
      </c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7">
        <f>SUM(C8:N8)</f>
        <v>0</v>
      </c>
    </row>
    <row r="9" spans="1:15" s="38" customFormat="1" x14ac:dyDescent="0.3">
      <c r="A9" s="67"/>
      <c r="B9" s="45" t="s">
        <v>16</v>
      </c>
      <c r="C9" s="46">
        <v>29249</v>
      </c>
      <c r="D9" s="46">
        <v>29249</v>
      </c>
      <c r="E9" s="46">
        <v>29249</v>
      </c>
      <c r="F9" s="46">
        <v>29249</v>
      </c>
      <c r="G9" s="46">
        <v>29249</v>
      </c>
      <c r="H9" s="46">
        <v>29249</v>
      </c>
      <c r="I9" s="46">
        <v>29249</v>
      </c>
      <c r="J9" s="46">
        <v>29249</v>
      </c>
      <c r="K9" s="46">
        <v>29249</v>
      </c>
      <c r="L9" s="46">
        <v>29249</v>
      </c>
      <c r="M9" s="46">
        <v>29249</v>
      </c>
      <c r="N9" s="46">
        <v>29249</v>
      </c>
      <c r="O9" s="47">
        <f t="shared" ref="O9:O18" si="1">SUM(C9:N9)</f>
        <v>350988</v>
      </c>
    </row>
    <row r="10" spans="1:15" s="38" customFormat="1" x14ac:dyDescent="0.3">
      <c r="A10" s="67"/>
      <c r="B10" s="42" t="s">
        <v>19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4">
        <f t="shared" si="1"/>
        <v>0</v>
      </c>
    </row>
    <row r="11" spans="1:15" s="38" customFormat="1" x14ac:dyDescent="0.3">
      <c r="A11" s="67"/>
      <c r="B11" s="42" t="s">
        <v>16</v>
      </c>
      <c r="C11" s="43">
        <v>4645</v>
      </c>
      <c r="D11" s="43">
        <v>4645</v>
      </c>
      <c r="E11" s="43">
        <v>4645</v>
      </c>
      <c r="F11" s="43">
        <v>4645</v>
      </c>
      <c r="G11" s="43">
        <v>4645</v>
      </c>
      <c r="H11" s="43">
        <v>4645</v>
      </c>
      <c r="I11" s="43">
        <v>4645</v>
      </c>
      <c r="J11" s="43">
        <v>4645</v>
      </c>
      <c r="K11" s="43">
        <v>4645</v>
      </c>
      <c r="L11" s="43">
        <v>4645</v>
      </c>
      <c r="M11" s="43">
        <v>4645</v>
      </c>
      <c r="N11" s="43">
        <v>4645</v>
      </c>
      <c r="O11" s="44">
        <f t="shared" si="1"/>
        <v>55740</v>
      </c>
    </row>
    <row r="12" spans="1:15" s="38" customFormat="1" x14ac:dyDescent="0.3">
      <c r="A12" s="67"/>
      <c r="B12" s="45" t="s">
        <v>20</v>
      </c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>
        <f t="shared" si="1"/>
        <v>0</v>
      </c>
    </row>
    <row r="13" spans="1:15" s="38" customFormat="1" x14ac:dyDescent="0.3">
      <c r="A13" s="67"/>
      <c r="B13" s="45" t="s">
        <v>16</v>
      </c>
      <c r="C13" s="46">
        <v>6133</v>
      </c>
      <c r="D13" s="46">
        <v>6133</v>
      </c>
      <c r="E13" s="46">
        <v>6133</v>
      </c>
      <c r="F13" s="46">
        <v>6133</v>
      </c>
      <c r="G13" s="46">
        <v>6133</v>
      </c>
      <c r="H13" s="46">
        <v>6133</v>
      </c>
      <c r="I13" s="46">
        <v>6133</v>
      </c>
      <c r="J13" s="46">
        <v>6133</v>
      </c>
      <c r="K13" s="46">
        <v>6133</v>
      </c>
      <c r="L13" s="46">
        <v>6133</v>
      </c>
      <c r="M13" s="46">
        <v>6133</v>
      </c>
      <c r="N13" s="46">
        <v>6133</v>
      </c>
      <c r="O13" s="47">
        <f t="shared" si="1"/>
        <v>73596</v>
      </c>
    </row>
    <row r="14" spans="1:15" s="38" customFormat="1" x14ac:dyDescent="0.3">
      <c r="A14" s="67"/>
      <c r="B14" s="42" t="s">
        <v>21</v>
      </c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4">
        <f t="shared" si="1"/>
        <v>0</v>
      </c>
    </row>
    <row r="15" spans="1:15" s="38" customFormat="1" x14ac:dyDescent="0.3">
      <c r="A15" s="67"/>
      <c r="B15" s="42" t="s">
        <v>16</v>
      </c>
      <c r="C15" s="43">
        <v>158145</v>
      </c>
      <c r="D15" s="43">
        <v>158145</v>
      </c>
      <c r="E15" s="43">
        <v>158145</v>
      </c>
      <c r="F15" s="43">
        <v>158145</v>
      </c>
      <c r="G15" s="43">
        <v>158145</v>
      </c>
      <c r="H15" s="43">
        <v>158145</v>
      </c>
      <c r="I15" s="43">
        <v>158145</v>
      </c>
      <c r="J15" s="43">
        <v>158145</v>
      </c>
      <c r="K15" s="43">
        <v>158145</v>
      </c>
      <c r="L15" s="43">
        <v>158145</v>
      </c>
      <c r="M15" s="43">
        <v>158145</v>
      </c>
      <c r="N15" s="43">
        <v>158145</v>
      </c>
      <c r="O15" s="44">
        <f t="shared" si="1"/>
        <v>1897740</v>
      </c>
    </row>
    <row r="16" spans="1:15" s="38" customFormat="1" x14ac:dyDescent="0.3">
      <c r="A16" s="67"/>
      <c r="B16" s="45" t="s">
        <v>22</v>
      </c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>
        <f t="shared" si="1"/>
        <v>0</v>
      </c>
    </row>
    <row r="17" spans="1:15" s="38" customFormat="1" x14ac:dyDescent="0.3">
      <c r="A17" s="67"/>
      <c r="B17" s="45" t="s">
        <v>16</v>
      </c>
      <c r="C17" s="46">
        <v>14621</v>
      </c>
      <c r="D17" s="47">
        <v>14621</v>
      </c>
      <c r="E17" s="47">
        <v>14621</v>
      </c>
      <c r="F17" s="47">
        <v>14621</v>
      </c>
      <c r="G17" s="47">
        <v>14621</v>
      </c>
      <c r="H17" s="47">
        <v>14621</v>
      </c>
      <c r="I17" s="47">
        <v>14621</v>
      </c>
      <c r="J17" s="47">
        <v>14621</v>
      </c>
      <c r="K17" s="47">
        <v>14621</v>
      </c>
      <c r="L17" s="47">
        <v>14621</v>
      </c>
      <c r="M17" s="47">
        <v>14621</v>
      </c>
      <c r="N17" s="47">
        <v>14621</v>
      </c>
      <c r="O17" s="47">
        <f t="shared" si="1"/>
        <v>175452</v>
      </c>
    </row>
    <row r="18" spans="1:15" s="38" customFormat="1" x14ac:dyDescent="0.3">
      <c r="A18" s="67"/>
      <c r="B18" s="42" t="s">
        <v>23</v>
      </c>
      <c r="C18" s="43">
        <f>C4+C6+C8+C10+C12+C14+C16</f>
        <v>0</v>
      </c>
      <c r="D18" s="43">
        <f t="shared" ref="D18:N18" si="2">D4+D6+D8+D10+D12+D14+D16</f>
        <v>0</v>
      </c>
      <c r="E18" s="43">
        <f t="shared" si="2"/>
        <v>0</v>
      </c>
      <c r="F18" s="43">
        <f t="shared" si="2"/>
        <v>0</v>
      </c>
      <c r="G18" s="43">
        <f t="shared" si="2"/>
        <v>0</v>
      </c>
      <c r="H18" s="43">
        <f t="shared" si="2"/>
        <v>0</v>
      </c>
      <c r="I18" s="43">
        <f t="shared" si="2"/>
        <v>0</v>
      </c>
      <c r="J18" s="43">
        <f t="shared" si="2"/>
        <v>0</v>
      </c>
      <c r="K18" s="43">
        <f t="shared" si="2"/>
        <v>0</v>
      </c>
      <c r="L18" s="43">
        <f t="shared" si="2"/>
        <v>0</v>
      </c>
      <c r="M18" s="43">
        <f t="shared" si="2"/>
        <v>0</v>
      </c>
      <c r="N18" s="43">
        <f t="shared" si="2"/>
        <v>0</v>
      </c>
      <c r="O18" s="44">
        <f t="shared" si="1"/>
        <v>0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68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0"/>
      <c r="B3" s="7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2" t="s">
        <v>25</v>
      </c>
      <c r="B4" s="71"/>
      <c r="C4" s="4">
        <v>8880</v>
      </c>
      <c r="D4" s="4">
        <v>12340</v>
      </c>
      <c r="E4" s="4">
        <v>5400</v>
      </c>
      <c r="F4" s="4"/>
      <c r="G4" s="4"/>
      <c r="H4" s="4"/>
      <c r="I4" s="4"/>
      <c r="J4" s="4"/>
      <c r="K4" s="4"/>
      <c r="L4" s="4"/>
      <c r="M4" s="4"/>
      <c r="N4" s="4"/>
      <c r="O4" s="5">
        <f>SUM(C4:N4)</f>
        <v>26620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286.45161290322579</v>
      </c>
      <c r="D5" s="4">
        <f>D4/30</f>
        <v>411.33333333333331</v>
      </c>
      <c r="E5" s="4">
        <f>E4/31</f>
        <v>174.19354838709677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72.664874551971323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0"/>
      <c r="B7" s="7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2" t="s">
        <v>27</v>
      </c>
      <c r="B8" s="71"/>
      <c r="C8" s="4">
        <v>12000</v>
      </c>
      <c r="D8" s="4">
        <v>9400</v>
      </c>
      <c r="E8" s="4">
        <v>10500</v>
      </c>
      <c r="F8" s="4">
        <v>12800</v>
      </c>
      <c r="G8" s="4"/>
      <c r="H8" s="4"/>
      <c r="I8" s="4"/>
      <c r="J8" s="4"/>
      <c r="K8" s="4"/>
      <c r="L8" s="4"/>
      <c r="M8" s="4"/>
      <c r="N8" s="4"/>
      <c r="O8" s="5">
        <f t="shared" ref="O8:O9" si="2">SUM(C8:N8)</f>
        <v>44700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3" t="s">
        <v>28</v>
      </c>
      <c r="B9" s="7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0"/>
      <c r="B11" s="7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4" t="s">
        <v>29</v>
      </c>
      <c r="B12" s="14" t="s">
        <v>30</v>
      </c>
      <c r="C12" s="4">
        <v>300</v>
      </c>
      <c r="D12" s="4">
        <v>34</v>
      </c>
      <c r="E12" s="4">
        <v>150</v>
      </c>
      <c r="F12" s="4"/>
      <c r="G12" s="4"/>
      <c r="H12" s="4"/>
      <c r="I12" s="4"/>
      <c r="J12" s="4"/>
      <c r="K12" s="4"/>
      <c r="L12" s="4"/>
      <c r="M12" s="4"/>
      <c r="N12" s="4"/>
      <c r="O12" s="5">
        <f t="shared" ref="O12:O18" si="3">SUM(C12:N12)</f>
        <v>484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5"/>
      <c r="B13" s="15" t="s">
        <v>31</v>
      </c>
      <c r="C13" s="4">
        <v>96</v>
      </c>
      <c r="D13" s="4">
        <v>1240</v>
      </c>
      <c r="E13" s="4">
        <v>7580</v>
      </c>
      <c r="F13" s="4"/>
      <c r="G13" s="4"/>
      <c r="H13" s="4"/>
      <c r="I13" s="4"/>
      <c r="J13" s="4"/>
      <c r="K13" s="4"/>
      <c r="L13" s="4"/>
      <c r="M13" s="4"/>
      <c r="N13" s="4"/>
      <c r="O13" s="5">
        <f t="shared" si="3"/>
        <v>8916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5"/>
      <c r="B14" s="16" t="s">
        <v>32</v>
      </c>
      <c r="C14" s="4">
        <v>84</v>
      </c>
      <c r="D14" s="4">
        <v>1000</v>
      </c>
      <c r="E14" s="4">
        <v>3400</v>
      </c>
      <c r="F14" s="4"/>
      <c r="G14" s="4"/>
      <c r="H14" s="4"/>
      <c r="I14" s="4"/>
      <c r="J14" s="4"/>
      <c r="K14" s="4"/>
      <c r="L14" s="4"/>
      <c r="M14" s="4"/>
      <c r="N14" s="4"/>
      <c r="O14" s="5">
        <f t="shared" si="3"/>
        <v>4484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5"/>
      <c r="B15" s="17" t="s">
        <v>33</v>
      </c>
      <c r="C15" s="4">
        <v>16</v>
      </c>
      <c r="D15" s="4">
        <v>800</v>
      </c>
      <c r="E15" s="4">
        <v>200</v>
      </c>
      <c r="F15" s="4"/>
      <c r="G15" s="4"/>
      <c r="H15" s="4"/>
      <c r="I15" s="4"/>
      <c r="J15" s="4"/>
      <c r="K15" s="4"/>
      <c r="L15" s="4"/>
      <c r="M15" s="4"/>
      <c r="N15" s="4"/>
      <c r="O15" s="5">
        <f t="shared" si="3"/>
        <v>1016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5"/>
      <c r="B16" s="18" t="s">
        <v>34</v>
      </c>
      <c r="C16" s="4">
        <v>25</v>
      </c>
      <c r="D16" s="4">
        <v>59</v>
      </c>
      <c r="E16" s="4">
        <v>94</v>
      </c>
      <c r="F16" s="4"/>
      <c r="G16" s="4"/>
      <c r="H16" s="4"/>
      <c r="I16" s="4"/>
      <c r="J16" s="4"/>
      <c r="K16" s="4"/>
      <c r="L16" s="4"/>
      <c r="M16" s="4"/>
      <c r="N16" s="4"/>
      <c r="O16" s="5">
        <f t="shared" si="3"/>
        <v>178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5"/>
      <c r="B17" s="19" t="s">
        <v>35</v>
      </c>
      <c r="C17" s="4">
        <v>31</v>
      </c>
      <c r="D17" s="4">
        <v>21</v>
      </c>
      <c r="E17" s="4">
        <v>23</v>
      </c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75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6"/>
      <c r="B18" s="20" t="s">
        <v>36</v>
      </c>
      <c r="C18" s="5">
        <f t="shared" ref="C18:N18" si="4">SUM(C12:C17)</f>
        <v>552</v>
      </c>
      <c r="D18" s="5">
        <f t="shared" si="4"/>
        <v>3154</v>
      </c>
      <c r="E18" s="5">
        <f t="shared" si="4"/>
        <v>11447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15153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4" t="s">
        <v>37</v>
      </c>
      <c r="B20" s="6" t="s">
        <v>30</v>
      </c>
      <c r="C20" s="21">
        <f t="shared" ref="C20:N20" si="5">C12/C18</f>
        <v>0.54347826086956519</v>
      </c>
      <c r="D20" s="21">
        <f t="shared" si="5"/>
        <v>1.077996195307546E-2</v>
      </c>
      <c r="E20" s="21">
        <f t="shared" si="5"/>
        <v>1.3103870009609504E-2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5"/>
      <c r="B21" s="6" t="s">
        <v>31</v>
      </c>
      <c r="C21" s="21">
        <f t="shared" ref="C21:N21" si="7">C13/C18</f>
        <v>0.17391304347826086</v>
      </c>
      <c r="D21" s="21">
        <f t="shared" si="7"/>
        <v>0.39315155358275206</v>
      </c>
      <c r="E21" s="21">
        <f t="shared" si="7"/>
        <v>0.66218223115226693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5"/>
      <c r="B22" s="6" t="s">
        <v>32</v>
      </c>
      <c r="C22" s="21">
        <f t="shared" ref="C22:N22" si="8">C14/C18</f>
        <v>0.15217391304347827</v>
      </c>
      <c r="D22" s="21">
        <f t="shared" si="8"/>
        <v>0.31705770450221943</v>
      </c>
      <c r="E22" s="21">
        <f t="shared" si="8"/>
        <v>0.29702105355114877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5"/>
      <c r="B23" s="6" t="s">
        <v>33</v>
      </c>
      <c r="C23" s="21">
        <f t="shared" ref="C23:N23" si="9">C15/C18</f>
        <v>2.8985507246376812E-2</v>
      </c>
      <c r="D23" s="21">
        <f t="shared" si="9"/>
        <v>0.2536461636017755</v>
      </c>
      <c r="E23" s="21">
        <f t="shared" si="9"/>
        <v>1.747182667947934E-2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5"/>
      <c r="B24" s="6" t="s">
        <v>34</v>
      </c>
      <c r="C24" s="21">
        <f t="shared" ref="C24:N24" si="10">C16/C18</f>
        <v>4.5289855072463768E-2</v>
      </c>
      <c r="D24" s="21">
        <f t="shared" si="10"/>
        <v>1.8706404565630944E-2</v>
      </c>
      <c r="E24" s="21">
        <f t="shared" si="10"/>
        <v>8.2117585393552892E-3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6"/>
      <c r="B25" s="6" t="s">
        <v>38</v>
      </c>
      <c r="C25" s="21">
        <f t="shared" ref="C25:N25" si="11">C17/C18</f>
        <v>5.6159420289855072E-2</v>
      </c>
      <c r="D25" s="21">
        <f t="shared" si="11"/>
        <v>6.6582117945466071E-3</v>
      </c>
      <c r="E25" s="21">
        <f t="shared" si="11"/>
        <v>2.0092600681401239E-3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0"/>
      <c r="B27" s="7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23">
        <v>6.2500000000000003E-3</v>
      </c>
      <c r="D28" s="23">
        <v>8.3333333333333332E-3</v>
      </c>
      <c r="E28" s="23">
        <v>7.6388888888888886E-3</v>
      </c>
      <c r="F28" s="23"/>
      <c r="G28" s="23"/>
      <c r="H28" s="23"/>
      <c r="I28" s="23"/>
      <c r="J28" s="23"/>
      <c r="K28" s="23"/>
      <c r="L28" s="23"/>
      <c r="M28" s="23"/>
      <c r="N28" s="23"/>
      <c r="O28" s="23">
        <f>AVERAGE(C28:N28)</f>
        <v>7.4074074074074077E-3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0"/>
      <c r="B31" s="7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23">
        <v>4.0972222222222222E-2</v>
      </c>
      <c r="D32" s="23">
        <v>1.3888888888888888E-2</v>
      </c>
      <c r="E32" s="23">
        <v>9.0277777777777769E-3</v>
      </c>
      <c r="F32" s="26"/>
      <c r="G32" s="26"/>
      <c r="H32" s="26"/>
      <c r="I32" s="26"/>
      <c r="J32" s="26"/>
      <c r="K32" s="26"/>
      <c r="L32" s="26"/>
      <c r="M32" s="26"/>
      <c r="N32" s="26"/>
      <c r="O32" s="26">
        <f>AVERAGE(C32:N32)</f>
        <v>2.1296296296296296E-2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0"/>
      <c r="B34" s="7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23">
        <v>1.2084722222222222</v>
      </c>
      <c r="D35" s="23">
        <v>1.1854166666666666</v>
      </c>
      <c r="E35" s="23">
        <v>0.95833333333333337</v>
      </c>
      <c r="F35" s="23"/>
      <c r="G35" s="23"/>
      <c r="H35" s="23"/>
      <c r="I35" s="23"/>
      <c r="J35" s="23"/>
      <c r="K35" s="23"/>
      <c r="L35" s="23"/>
      <c r="M35" s="23"/>
      <c r="N35" s="23"/>
      <c r="O35" s="23">
        <f>AVERAGE(C35:N35)</f>
        <v>1.1174074074074074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0"/>
      <c r="B37" s="7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23">
        <v>6.5972222222222224E-2</v>
      </c>
      <c r="D38" s="23">
        <v>8.611111111111111E-2</v>
      </c>
      <c r="E38" s="23">
        <v>0.12777777777777777</v>
      </c>
      <c r="F38" s="23"/>
      <c r="G38" s="23"/>
      <c r="H38" s="23"/>
      <c r="I38" s="23"/>
      <c r="J38" s="23"/>
      <c r="K38" s="23"/>
      <c r="L38" s="23"/>
      <c r="M38" s="23"/>
      <c r="N38" s="23"/>
      <c r="O38" s="23">
        <f>AVERAGE(C38:N38)</f>
        <v>9.3287037037037043E-2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0"/>
      <c r="B40" s="7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46</v>
      </c>
      <c r="B41" s="6" t="s">
        <v>47</v>
      </c>
      <c r="C41" s="29">
        <v>64</v>
      </c>
      <c r="D41" s="29">
        <v>12</v>
      </c>
      <c r="E41" s="29">
        <v>23</v>
      </c>
      <c r="F41" s="29"/>
      <c r="G41" s="29"/>
      <c r="H41" s="29"/>
      <c r="I41" s="29"/>
      <c r="J41" s="29"/>
      <c r="K41" s="29"/>
      <c r="L41" s="29"/>
      <c r="M41" s="29"/>
      <c r="N41" s="29"/>
      <c r="O41" s="5">
        <f>SUM(C41:N41)</f>
        <v>99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0"/>
      <c r="B43" s="7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4" t="s">
        <v>48</v>
      </c>
      <c r="B44" s="6" t="s">
        <v>49</v>
      </c>
      <c r="C44" s="4">
        <v>1200</v>
      </c>
      <c r="D44" s="4">
        <v>1350</v>
      </c>
      <c r="E44" s="4">
        <v>100</v>
      </c>
      <c r="F44" s="4"/>
      <c r="G44" s="4"/>
      <c r="H44" s="4"/>
      <c r="I44" s="4"/>
      <c r="J44" s="4"/>
      <c r="K44" s="4"/>
      <c r="L44" s="4"/>
      <c r="M44" s="4"/>
      <c r="N44" s="4"/>
      <c r="O44" s="5">
        <f t="shared" ref="O44:O47" si="12">SUM(C44:N44)</f>
        <v>2650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5"/>
      <c r="B45" s="6" t="s">
        <v>50</v>
      </c>
      <c r="C45" s="4">
        <v>340</v>
      </c>
      <c r="D45" s="4">
        <v>845</v>
      </c>
      <c r="E45" s="4">
        <v>201</v>
      </c>
      <c r="F45" s="4"/>
      <c r="G45" s="4"/>
      <c r="H45" s="4"/>
      <c r="I45" s="4"/>
      <c r="J45" s="4"/>
      <c r="K45" s="4"/>
      <c r="L45" s="4"/>
      <c r="M45" s="4"/>
      <c r="N45" s="4"/>
      <c r="O45" s="5">
        <f t="shared" si="12"/>
        <v>1386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5"/>
      <c r="B46" s="6" t="s">
        <v>51</v>
      </c>
      <c r="C46" s="4">
        <v>152</v>
      </c>
      <c r="D46" s="4">
        <v>94</v>
      </c>
      <c r="E46" s="4">
        <v>90</v>
      </c>
      <c r="F46" s="4"/>
      <c r="G46" s="4"/>
      <c r="H46" s="4"/>
      <c r="I46" s="4"/>
      <c r="J46" s="4"/>
      <c r="K46" s="4"/>
      <c r="L46" s="4"/>
      <c r="M46" s="4"/>
      <c r="N46" s="4"/>
      <c r="O46" s="5">
        <f t="shared" si="12"/>
        <v>336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6"/>
      <c r="B47" s="6" t="s">
        <v>13</v>
      </c>
      <c r="C47" s="5">
        <f t="shared" ref="C47:N47" si="13">SUM(C44:C46)</f>
        <v>1692</v>
      </c>
      <c r="D47" s="5">
        <f t="shared" si="13"/>
        <v>2289</v>
      </c>
      <c r="E47" s="5">
        <f t="shared" si="13"/>
        <v>391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4372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0"/>
      <c r="B49" s="7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4" t="s">
        <v>52</v>
      </c>
      <c r="B50" s="32" t="s">
        <v>53</v>
      </c>
      <c r="C50" s="29">
        <v>245</v>
      </c>
      <c r="D50" s="29">
        <v>2626</v>
      </c>
      <c r="E50" s="29">
        <v>312</v>
      </c>
      <c r="F50" s="29"/>
      <c r="G50" s="29"/>
      <c r="H50" s="29"/>
      <c r="I50" s="29"/>
      <c r="J50" s="29"/>
      <c r="K50" s="29"/>
      <c r="L50" s="29"/>
      <c r="M50" s="29"/>
      <c r="N50" s="29"/>
      <c r="O50" s="33">
        <f t="shared" ref="O50:O59" si="14">SUM(C50:N50)</f>
        <v>3183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5"/>
      <c r="B51" s="32" t="s">
        <v>54</v>
      </c>
      <c r="C51" s="29">
        <v>84</v>
      </c>
      <c r="D51" s="29">
        <v>3434</v>
      </c>
      <c r="E51" s="29">
        <v>29</v>
      </c>
      <c r="F51" s="29"/>
      <c r="G51" s="29"/>
      <c r="H51" s="29"/>
      <c r="I51" s="29"/>
      <c r="J51" s="29"/>
      <c r="K51" s="29"/>
      <c r="L51" s="29"/>
      <c r="M51" s="29"/>
      <c r="N51" s="29"/>
      <c r="O51" s="33">
        <f t="shared" si="14"/>
        <v>3547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5"/>
      <c r="B52" s="32" t="s">
        <v>55</v>
      </c>
      <c r="C52" s="29">
        <v>96</v>
      </c>
      <c r="D52" s="29">
        <v>4252</v>
      </c>
      <c r="E52" s="29">
        <v>31</v>
      </c>
      <c r="F52" s="29"/>
      <c r="G52" s="29"/>
      <c r="H52" s="29"/>
      <c r="I52" s="29"/>
      <c r="J52" s="29"/>
      <c r="K52" s="29"/>
      <c r="L52" s="29"/>
      <c r="M52" s="29"/>
      <c r="N52" s="29"/>
      <c r="O52" s="33">
        <f t="shared" si="14"/>
        <v>4379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5"/>
      <c r="B53" s="32" t="s">
        <v>56</v>
      </c>
      <c r="C53" s="29">
        <v>1220</v>
      </c>
      <c r="D53" s="29">
        <v>102</v>
      </c>
      <c r="E53" s="29">
        <v>42</v>
      </c>
      <c r="F53" s="29"/>
      <c r="G53" s="29"/>
      <c r="H53" s="29"/>
      <c r="I53" s="29"/>
      <c r="J53" s="29"/>
      <c r="K53" s="29"/>
      <c r="L53" s="29"/>
      <c r="M53" s="29"/>
      <c r="N53" s="29"/>
      <c r="O53" s="33">
        <f t="shared" si="14"/>
        <v>1364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5"/>
      <c r="B54" s="32" t="s">
        <v>57</v>
      </c>
      <c r="C54" s="29">
        <v>100</v>
      </c>
      <c r="D54" s="29">
        <v>999</v>
      </c>
      <c r="E54" s="29">
        <v>99</v>
      </c>
      <c r="F54" s="29"/>
      <c r="G54" s="29"/>
      <c r="H54" s="29"/>
      <c r="I54" s="29"/>
      <c r="J54" s="29"/>
      <c r="K54" s="29"/>
      <c r="L54" s="29"/>
      <c r="M54" s="29"/>
      <c r="N54" s="29"/>
      <c r="O54" s="33">
        <f t="shared" si="14"/>
        <v>1198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5"/>
      <c r="B55" s="32" t="s">
        <v>58</v>
      </c>
      <c r="C55" s="29">
        <v>3000</v>
      </c>
      <c r="D55" s="29">
        <v>122</v>
      </c>
      <c r="E55" s="29">
        <v>4555</v>
      </c>
      <c r="F55" s="29"/>
      <c r="G55" s="29"/>
      <c r="H55" s="29"/>
      <c r="I55" s="29"/>
      <c r="J55" s="29"/>
      <c r="K55" s="29"/>
      <c r="L55" s="29"/>
      <c r="M55" s="29"/>
      <c r="N55" s="29"/>
      <c r="O55" s="33">
        <f t="shared" si="14"/>
        <v>7677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5"/>
      <c r="B56" s="32" t="s">
        <v>59</v>
      </c>
      <c r="C56" s="29">
        <v>450</v>
      </c>
      <c r="D56" s="29">
        <v>354</v>
      </c>
      <c r="E56" s="29">
        <v>8444</v>
      </c>
      <c r="F56" s="29"/>
      <c r="G56" s="29"/>
      <c r="H56" s="29"/>
      <c r="I56" s="29"/>
      <c r="J56" s="29"/>
      <c r="K56" s="29"/>
      <c r="L56" s="29"/>
      <c r="M56" s="29"/>
      <c r="N56" s="29"/>
      <c r="O56" s="33">
        <f t="shared" si="14"/>
        <v>9248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5"/>
      <c r="B57" s="32" t="s">
        <v>60</v>
      </c>
      <c r="C57" s="29">
        <v>99</v>
      </c>
      <c r="D57" s="29">
        <v>140</v>
      </c>
      <c r="E57" s="29">
        <v>2</v>
      </c>
      <c r="F57" s="29"/>
      <c r="G57" s="29"/>
      <c r="H57" s="29"/>
      <c r="I57" s="29"/>
      <c r="J57" s="29"/>
      <c r="K57" s="29"/>
      <c r="L57" s="29"/>
      <c r="M57" s="29"/>
      <c r="N57" s="29"/>
      <c r="O57" s="33">
        <f t="shared" si="14"/>
        <v>241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5"/>
      <c r="B58" s="32" t="s">
        <v>61</v>
      </c>
      <c r="C58" s="29">
        <v>135</v>
      </c>
      <c r="D58" s="29">
        <v>92</v>
      </c>
      <c r="E58" s="29">
        <v>1</v>
      </c>
      <c r="F58" s="29"/>
      <c r="G58" s="29"/>
      <c r="H58" s="29"/>
      <c r="I58" s="29"/>
      <c r="J58" s="29"/>
      <c r="K58" s="29"/>
      <c r="L58" s="29"/>
      <c r="M58" s="29"/>
      <c r="N58" s="29"/>
      <c r="O58" s="33">
        <f t="shared" si="14"/>
        <v>228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6"/>
      <c r="B59" s="32" t="s">
        <v>13</v>
      </c>
      <c r="C59" s="29">
        <f t="shared" ref="C59:N59" si="15">SUM(C50:C58)</f>
        <v>5429</v>
      </c>
      <c r="D59" s="29">
        <f t="shared" si="15"/>
        <v>12121</v>
      </c>
      <c r="E59" s="29">
        <f t="shared" si="15"/>
        <v>13515</v>
      </c>
      <c r="F59" s="29">
        <f t="shared" si="15"/>
        <v>0</v>
      </c>
      <c r="G59" s="29">
        <f t="shared" si="15"/>
        <v>0</v>
      </c>
      <c r="H59" s="29">
        <f t="shared" si="15"/>
        <v>0</v>
      </c>
      <c r="I59" s="29">
        <f t="shared" si="15"/>
        <v>0</v>
      </c>
      <c r="J59" s="29">
        <f t="shared" si="15"/>
        <v>0</v>
      </c>
      <c r="K59" s="29">
        <f t="shared" si="15"/>
        <v>0</v>
      </c>
      <c r="L59" s="29">
        <f t="shared" si="15"/>
        <v>0</v>
      </c>
      <c r="M59" s="29">
        <f t="shared" si="15"/>
        <v>0</v>
      </c>
      <c r="N59" s="29">
        <f t="shared" si="15"/>
        <v>0</v>
      </c>
      <c r="O59" s="33">
        <f t="shared" si="14"/>
        <v>31065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0"/>
      <c r="B61" s="7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4" t="s">
        <v>62</v>
      </c>
      <c r="B62" s="32" t="s">
        <v>63</v>
      </c>
      <c r="C62" s="4">
        <v>4550</v>
      </c>
      <c r="D62" s="4">
        <v>4500</v>
      </c>
      <c r="E62" s="4">
        <v>7240</v>
      </c>
      <c r="F62" s="4"/>
      <c r="G62" s="4"/>
      <c r="H62" s="4"/>
      <c r="I62" s="4"/>
      <c r="J62" s="4"/>
      <c r="K62" s="4"/>
      <c r="L62" s="4"/>
      <c r="M62" s="4"/>
      <c r="N62" s="4"/>
      <c r="O62" s="5">
        <f t="shared" ref="O62:O64" si="16">SUM(C62:N62)</f>
        <v>16290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5"/>
      <c r="B63" s="32" t="s">
        <v>64</v>
      </c>
      <c r="C63" s="4">
        <v>1250</v>
      </c>
      <c r="D63" s="4">
        <v>1235</v>
      </c>
      <c r="E63" s="4">
        <v>3330</v>
      </c>
      <c r="F63" s="4"/>
      <c r="G63" s="4"/>
      <c r="H63" s="4"/>
      <c r="I63" s="4"/>
      <c r="J63" s="4"/>
      <c r="K63" s="4"/>
      <c r="L63" s="4"/>
      <c r="M63" s="4"/>
      <c r="N63" s="4"/>
      <c r="O63" s="5">
        <f t="shared" si="16"/>
        <v>5815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6"/>
      <c r="B64" s="32" t="s">
        <v>13</v>
      </c>
      <c r="C64" s="5">
        <f t="shared" ref="C64:N64" si="17">SUM(C62:C63)</f>
        <v>5800</v>
      </c>
      <c r="D64" s="5">
        <f t="shared" si="17"/>
        <v>5735</v>
      </c>
      <c r="E64" s="5">
        <f t="shared" si="17"/>
        <v>10570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22105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0"/>
      <c r="B66" s="7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32" t="s">
        <v>13</v>
      </c>
      <c r="C67" s="33">
        <v>10</v>
      </c>
      <c r="D67" s="33">
        <v>12</v>
      </c>
      <c r="E67" s="33">
        <v>9</v>
      </c>
      <c r="F67" s="33">
        <v>5</v>
      </c>
      <c r="G67" s="33"/>
      <c r="H67" s="33"/>
      <c r="I67" s="33"/>
      <c r="J67" s="33"/>
      <c r="K67" s="33"/>
      <c r="L67" s="33"/>
      <c r="M67" s="33"/>
      <c r="N67" s="33"/>
      <c r="O67" s="5">
        <f>SUM(C67:N67)</f>
        <v>36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4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7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68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70" t="s">
        <v>67</v>
      </c>
      <c r="B3" s="7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72" t="s">
        <v>25</v>
      </c>
      <c r="B4" s="71"/>
      <c r="C4" s="4">
        <v>8880</v>
      </c>
      <c r="D4" s="4">
        <v>12340</v>
      </c>
      <c r="E4" s="4">
        <v>5400</v>
      </c>
      <c r="F4" s="4"/>
      <c r="G4" s="4"/>
      <c r="H4" s="4"/>
      <c r="I4" s="4"/>
      <c r="J4" s="4"/>
      <c r="K4" s="4"/>
      <c r="L4" s="4"/>
      <c r="M4" s="4"/>
      <c r="N4" s="4"/>
      <c r="O4" s="5">
        <f>SUM(C4:N4)</f>
        <v>26620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286.45161290322579</v>
      </c>
      <c r="D5" s="4">
        <f>D4/30</f>
        <v>411.33333333333331</v>
      </c>
      <c r="E5" s="4">
        <f>E4/31</f>
        <v>174.19354838709677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72.664874551971323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70"/>
      <c r="B7" s="7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72" t="s">
        <v>27</v>
      </c>
      <c r="B8" s="71"/>
      <c r="C8" s="4">
        <v>12000</v>
      </c>
      <c r="D8" s="4">
        <v>9400</v>
      </c>
      <c r="E8" s="4">
        <v>10500</v>
      </c>
      <c r="F8" s="4">
        <v>12800</v>
      </c>
      <c r="G8" s="4"/>
      <c r="H8" s="4"/>
      <c r="I8" s="4"/>
      <c r="J8" s="4"/>
      <c r="K8" s="4"/>
      <c r="L8" s="4"/>
      <c r="M8" s="4"/>
      <c r="N8" s="4"/>
      <c r="O8" s="5">
        <f t="shared" ref="O8:O9" si="2">SUM(C8:N8)</f>
        <v>44700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73" t="s">
        <v>28</v>
      </c>
      <c r="B9" s="7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70"/>
      <c r="B11" s="7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4" t="s">
        <v>29</v>
      </c>
      <c r="B12" s="14" t="s">
        <v>30</v>
      </c>
      <c r="C12" s="4">
        <v>300</v>
      </c>
      <c r="D12" s="4">
        <v>34</v>
      </c>
      <c r="E12" s="4">
        <v>150</v>
      </c>
      <c r="F12" s="4"/>
      <c r="G12" s="4"/>
      <c r="H12" s="4"/>
      <c r="I12" s="4"/>
      <c r="J12" s="4"/>
      <c r="K12" s="4"/>
      <c r="L12" s="4"/>
      <c r="M12" s="4"/>
      <c r="N12" s="4"/>
      <c r="O12" s="5">
        <f t="shared" ref="O12:O18" si="3">SUM(C12:N12)</f>
        <v>484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5"/>
      <c r="B13" s="15" t="s">
        <v>31</v>
      </c>
      <c r="C13" s="4">
        <v>96</v>
      </c>
      <c r="D13" s="4">
        <v>1240</v>
      </c>
      <c r="E13" s="4">
        <v>7580</v>
      </c>
      <c r="F13" s="4"/>
      <c r="G13" s="4"/>
      <c r="H13" s="4"/>
      <c r="I13" s="4"/>
      <c r="J13" s="4"/>
      <c r="K13" s="4"/>
      <c r="L13" s="4"/>
      <c r="M13" s="4"/>
      <c r="N13" s="4"/>
      <c r="O13" s="5">
        <f t="shared" si="3"/>
        <v>8916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5"/>
      <c r="B14" s="16" t="s">
        <v>32</v>
      </c>
      <c r="C14" s="4">
        <v>84</v>
      </c>
      <c r="D14" s="4">
        <v>1000</v>
      </c>
      <c r="E14" s="4">
        <v>3400</v>
      </c>
      <c r="F14" s="4"/>
      <c r="G14" s="4"/>
      <c r="H14" s="4"/>
      <c r="I14" s="4"/>
      <c r="J14" s="4"/>
      <c r="K14" s="4"/>
      <c r="L14" s="4"/>
      <c r="M14" s="4"/>
      <c r="N14" s="4"/>
      <c r="O14" s="5">
        <f t="shared" si="3"/>
        <v>4484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5"/>
      <c r="B15" s="17" t="s">
        <v>33</v>
      </c>
      <c r="C15" s="4">
        <v>16</v>
      </c>
      <c r="D15" s="4">
        <v>800</v>
      </c>
      <c r="E15" s="4">
        <v>200</v>
      </c>
      <c r="F15" s="4"/>
      <c r="G15" s="4"/>
      <c r="H15" s="4"/>
      <c r="I15" s="4"/>
      <c r="J15" s="4"/>
      <c r="K15" s="4"/>
      <c r="L15" s="4"/>
      <c r="M15" s="4"/>
      <c r="N15" s="4"/>
      <c r="O15" s="5">
        <f t="shared" si="3"/>
        <v>1016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5"/>
      <c r="B16" s="18" t="s">
        <v>34</v>
      </c>
      <c r="C16" s="4">
        <v>25</v>
      </c>
      <c r="D16" s="4">
        <v>59</v>
      </c>
      <c r="E16" s="4">
        <v>94</v>
      </c>
      <c r="F16" s="4"/>
      <c r="G16" s="4"/>
      <c r="H16" s="4"/>
      <c r="I16" s="4"/>
      <c r="J16" s="4"/>
      <c r="K16" s="4"/>
      <c r="L16" s="4"/>
      <c r="M16" s="4"/>
      <c r="N16" s="4"/>
      <c r="O16" s="5">
        <f t="shared" si="3"/>
        <v>178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5"/>
      <c r="B17" s="19" t="s">
        <v>35</v>
      </c>
      <c r="C17" s="4">
        <v>31</v>
      </c>
      <c r="D17" s="4">
        <v>21</v>
      </c>
      <c r="E17" s="4">
        <v>23</v>
      </c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75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6"/>
      <c r="B18" s="20" t="s">
        <v>36</v>
      </c>
      <c r="C18" s="5">
        <f t="shared" ref="C18:N18" si="4">SUM(C12:C17)</f>
        <v>552</v>
      </c>
      <c r="D18" s="5">
        <f t="shared" si="4"/>
        <v>3154</v>
      </c>
      <c r="E18" s="5">
        <f t="shared" si="4"/>
        <v>11447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15153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6"/>
      <c r="B19" s="36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4" t="s">
        <v>37</v>
      </c>
      <c r="B20" s="6" t="s">
        <v>30</v>
      </c>
      <c r="C20" s="21">
        <f t="shared" ref="C20:N20" si="5">C12/C18</f>
        <v>0.54347826086956519</v>
      </c>
      <c r="D20" s="21">
        <f t="shared" si="5"/>
        <v>1.077996195307546E-2</v>
      </c>
      <c r="E20" s="21">
        <f t="shared" si="5"/>
        <v>1.3103870009609504E-2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5"/>
      <c r="B21" s="6" t="s">
        <v>31</v>
      </c>
      <c r="C21" s="21">
        <f t="shared" ref="C21:N21" si="7">C13/C18</f>
        <v>0.17391304347826086</v>
      </c>
      <c r="D21" s="21">
        <f t="shared" si="7"/>
        <v>0.39315155358275206</v>
      </c>
      <c r="E21" s="21">
        <f t="shared" si="7"/>
        <v>0.66218223115226693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5"/>
      <c r="B22" s="6" t="s">
        <v>32</v>
      </c>
      <c r="C22" s="21">
        <f t="shared" ref="C22:N22" si="8">C14/C18</f>
        <v>0.15217391304347827</v>
      </c>
      <c r="D22" s="21">
        <f t="shared" si="8"/>
        <v>0.31705770450221943</v>
      </c>
      <c r="E22" s="21">
        <f t="shared" si="8"/>
        <v>0.29702105355114877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5"/>
      <c r="B23" s="6" t="s">
        <v>33</v>
      </c>
      <c r="C23" s="21">
        <f t="shared" ref="C23:N23" si="9">C15/C18</f>
        <v>2.8985507246376812E-2</v>
      </c>
      <c r="D23" s="21">
        <f t="shared" si="9"/>
        <v>0.2536461636017755</v>
      </c>
      <c r="E23" s="21">
        <f t="shared" si="9"/>
        <v>1.747182667947934E-2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5"/>
      <c r="B24" s="6" t="s">
        <v>34</v>
      </c>
      <c r="C24" s="21">
        <f t="shared" ref="C24:N24" si="10">C16/C18</f>
        <v>4.5289855072463768E-2</v>
      </c>
      <c r="D24" s="21">
        <f t="shared" si="10"/>
        <v>1.8706404565630944E-2</v>
      </c>
      <c r="E24" s="21">
        <f t="shared" si="10"/>
        <v>8.2117585393552892E-3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6"/>
      <c r="B25" s="6" t="s">
        <v>38</v>
      </c>
      <c r="C25" s="21">
        <f t="shared" ref="C25:N25" si="11">C17/C18</f>
        <v>5.6159420289855072E-2</v>
      </c>
      <c r="D25" s="21">
        <f t="shared" si="11"/>
        <v>6.6582117945466071E-3</v>
      </c>
      <c r="E25" s="21">
        <f t="shared" si="11"/>
        <v>2.0092600681401239E-3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0"/>
      <c r="B27" s="7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23">
        <v>6.2500000000000003E-3</v>
      </c>
      <c r="D28" s="23">
        <v>8.3333333333333332E-3</v>
      </c>
      <c r="E28" s="23">
        <v>7.6388888888888886E-3</v>
      </c>
      <c r="F28" s="23"/>
      <c r="G28" s="23"/>
      <c r="H28" s="23"/>
      <c r="I28" s="23"/>
      <c r="J28" s="23"/>
      <c r="K28" s="23"/>
      <c r="L28" s="23"/>
      <c r="M28" s="23"/>
      <c r="N28" s="23"/>
      <c r="O28" s="23">
        <f>AVERAGE(C28:N28)</f>
        <v>7.4074074074074077E-3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0"/>
      <c r="B31" s="7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23">
        <v>4.0972222222222222E-2</v>
      </c>
      <c r="D32" s="23">
        <v>1.3888888888888888E-2</v>
      </c>
      <c r="E32" s="23">
        <v>9.0277777777777769E-3</v>
      </c>
      <c r="F32" s="26"/>
      <c r="G32" s="26"/>
      <c r="H32" s="26"/>
      <c r="I32" s="26"/>
      <c r="J32" s="26"/>
      <c r="K32" s="26"/>
      <c r="L32" s="26"/>
      <c r="M32" s="26"/>
      <c r="N32" s="26"/>
      <c r="O32" s="26">
        <f>AVERAGE(C32:N32)</f>
        <v>2.1296296296296296E-2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0"/>
      <c r="B34" s="7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23">
        <v>1.2084722222222222</v>
      </c>
      <c r="D35" s="23">
        <v>1.1854166666666666</v>
      </c>
      <c r="E35" s="23">
        <v>0.95833333333333337</v>
      </c>
      <c r="F35" s="23"/>
      <c r="G35" s="23"/>
      <c r="H35" s="23"/>
      <c r="I35" s="23"/>
      <c r="J35" s="23"/>
      <c r="K35" s="23"/>
      <c r="L35" s="23"/>
      <c r="M35" s="23"/>
      <c r="N35" s="23"/>
      <c r="O35" s="23">
        <f>AVERAGE(C35:N35)</f>
        <v>1.1174074074074074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0"/>
      <c r="B37" s="7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23">
        <v>6.5972222222222224E-2</v>
      </c>
      <c r="D38" s="23">
        <v>8.611111111111111E-2</v>
      </c>
      <c r="E38" s="23">
        <v>0.12777777777777777</v>
      </c>
      <c r="F38" s="23"/>
      <c r="G38" s="23"/>
      <c r="H38" s="23"/>
      <c r="I38" s="23"/>
      <c r="J38" s="23"/>
      <c r="K38" s="23"/>
      <c r="L38" s="23"/>
      <c r="M38" s="23"/>
      <c r="N38" s="23"/>
      <c r="O38" s="23">
        <f>AVERAGE(C38:N38)</f>
        <v>9.3287037037037043E-2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0"/>
      <c r="B40" s="7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46</v>
      </c>
      <c r="B41" s="6" t="s">
        <v>47</v>
      </c>
      <c r="C41" s="29">
        <v>64</v>
      </c>
      <c r="D41" s="29">
        <v>12</v>
      </c>
      <c r="E41" s="29">
        <v>23</v>
      </c>
      <c r="F41" s="29"/>
      <c r="G41" s="29"/>
      <c r="H41" s="29"/>
      <c r="I41" s="29"/>
      <c r="J41" s="29"/>
      <c r="K41" s="29"/>
      <c r="L41" s="29"/>
      <c r="M41" s="29"/>
      <c r="N41" s="29"/>
      <c r="O41" s="5">
        <f>SUM(C41:N41)</f>
        <v>99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0"/>
      <c r="B43" s="7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7" t="s">
        <v>48</v>
      </c>
      <c r="B44" s="6" t="s">
        <v>49</v>
      </c>
      <c r="C44" s="4">
        <v>1200</v>
      </c>
      <c r="D44" s="4">
        <v>1350</v>
      </c>
      <c r="E44" s="4">
        <v>100</v>
      </c>
      <c r="F44" s="4"/>
      <c r="G44" s="4"/>
      <c r="H44" s="4"/>
      <c r="I44" s="4"/>
      <c r="J44" s="4"/>
      <c r="K44" s="4"/>
      <c r="L44" s="4"/>
      <c r="M44" s="4"/>
      <c r="N44" s="4"/>
      <c r="O44" s="5">
        <f t="shared" ref="O44:O47" si="12">SUM(C44:N44)</f>
        <v>2650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5"/>
      <c r="B45" s="6" t="s">
        <v>50</v>
      </c>
      <c r="C45" s="4">
        <v>340</v>
      </c>
      <c r="D45" s="4">
        <v>845</v>
      </c>
      <c r="E45" s="4">
        <v>201</v>
      </c>
      <c r="F45" s="4"/>
      <c r="G45" s="4"/>
      <c r="H45" s="4"/>
      <c r="I45" s="4"/>
      <c r="J45" s="4"/>
      <c r="K45" s="4"/>
      <c r="L45" s="4"/>
      <c r="M45" s="4"/>
      <c r="N45" s="4"/>
      <c r="O45" s="5">
        <f t="shared" si="12"/>
        <v>1386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6"/>
      <c r="B46" s="6" t="s">
        <v>51</v>
      </c>
      <c r="C46" s="4">
        <v>152</v>
      </c>
      <c r="D46" s="4">
        <v>94</v>
      </c>
      <c r="E46" s="4">
        <v>90</v>
      </c>
      <c r="F46" s="4"/>
      <c r="G46" s="4"/>
      <c r="H46" s="4"/>
      <c r="I46" s="4"/>
      <c r="J46" s="4"/>
      <c r="K46" s="4"/>
      <c r="L46" s="4"/>
      <c r="M46" s="4"/>
      <c r="N46" s="4"/>
      <c r="O46" s="5">
        <f t="shared" si="12"/>
        <v>336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8"/>
      <c r="B47" s="6" t="s">
        <v>13</v>
      </c>
      <c r="C47" s="5">
        <f t="shared" ref="C47:N47" si="13">SUM(C44:C46)</f>
        <v>1692</v>
      </c>
      <c r="D47" s="5">
        <f t="shared" si="13"/>
        <v>2289</v>
      </c>
      <c r="E47" s="5">
        <f t="shared" si="13"/>
        <v>391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4372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0"/>
      <c r="B49" s="7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77" t="s">
        <v>52</v>
      </c>
      <c r="B50" s="32" t="s">
        <v>53</v>
      </c>
      <c r="C50" s="29">
        <v>245</v>
      </c>
      <c r="D50" s="29">
        <v>2626</v>
      </c>
      <c r="E50" s="29">
        <v>312</v>
      </c>
      <c r="F50" s="29"/>
      <c r="G50" s="29"/>
      <c r="H50" s="29"/>
      <c r="I50" s="29"/>
      <c r="J50" s="29"/>
      <c r="K50" s="29"/>
      <c r="L50" s="29"/>
      <c r="M50" s="29"/>
      <c r="N50" s="29"/>
      <c r="O50" s="33">
        <f t="shared" ref="O50:O59" si="14">SUM(C50:N50)</f>
        <v>3183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5"/>
      <c r="B51" s="32" t="s">
        <v>54</v>
      </c>
      <c r="C51" s="29">
        <v>84</v>
      </c>
      <c r="D51" s="29">
        <v>3434</v>
      </c>
      <c r="E51" s="29">
        <v>29</v>
      </c>
      <c r="F51" s="29"/>
      <c r="G51" s="29"/>
      <c r="H51" s="29"/>
      <c r="I51" s="29"/>
      <c r="J51" s="29"/>
      <c r="K51" s="29"/>
      <c r="L51" s="29"/>
      <c r="M51" s="29"/>
      <c r="N51" s="29"/>
      <c r="O51" s="33">
        <f t="shared" si="14"/>
        <v>3547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5"/>
      <c r="B52" s="32" t="s">
        <v>55</v>
      </c>
      <c r="C52" s="29">
        <v>96</v>
      </c>
      <c r="D52" s="29">
        <v>4252</v>
      </c>
      <c r="E52" s="29">
        <v>31</v>
      </c>
      <c r="F52" s="29"/>
      <c r="G52" s="29"/>
      <c r="H52" s="29"/>
      <c r="I52" s="29"/>
      <c r="J52" s="29"/>
      <c r="K52" s="29"/>
      <c r="L52" s="29"/>
      <c r="M52" s="29"/>
      <c r="N52" s="29"/>
      <c r="O52" s="33">
        <f t="shared" si="14"/>
        <v>4379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5"/>
      <c r="B53" s="32" t="s">
        <v>56</v>
      </c>
      <c r="C53" s="29">
        <v>1220</v>
      </c>
      <c r="D53" s="29">
        <v>102</v>
      </c>
      <c r="E53" s="29">
        <v>42</v>
      </c>
      <c r="F53" s="29"/>
      <c r="G53" s="29"/>
      <c r="H53" s="29"/>
      <c r="I53" s="29"/>
      <c r="J53" s="29"/>
      <c r="K53" s="29"/>
      <c r="L53" s="29"/>
      <c r="M53" s="29"/>
      <c r="N53" s="29"/>
      <c r="O53" s="33">
        <f t="shared" si="14"/>
        <v>1364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5"/>
      <c r="B54" s="32" t="s">
        <v>57</v>
      </c>
      <c r="C54" s="29">
        <v>100</v>
      </c>
      <c r="D54" s="29">
        <v>999</v>
      </c>
      <c r="E54" s="29">
        <v>99</v>
      </c>
      <c r="F54" s="29"/>
      <c r="G54" s="29"/>
      <c r="H54" s="29"/>
      <c r="I54" s="29"/>
      <c r="J54" s="29"/>
      <c r="K54" s="29"/>
      <c r="L54" s="29"/>
      <c r="M54" s="29"/>
      <c r="N54" s="29"/>
      <c r="O54" s="33">
        <f t="shared" si="14"/>
        <v>1198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5"/>
      <c r="B55" s="32" t="s">
        <v>58</v>
      </c>
      <c r="C55" s="29">
        <v>3000</v>
      </c>
      <c r="D55" s="29">
        <v>122</v>
      </c>
      <c r="E55" s="29">
        <v>4555</v>
      </c>
      <c r="F55" s="29"/>
      <c r="G55" s="29"/>
      <c r="H55" s="29"/>
      <c r="I55" s="29"/>
      <c r="J55" s="29"/>
      <c r="K55" s="29"/>
      <c r="L55" s="29"/>
      <c r="M55" s="29"/>
      <c r="N55" s="29"/>
      <c r="O55" s="33">
        <f t="shared" si="14"/>
        <v>7677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5"/>
      <c r="B56" s="32" t="s">
        <v>59</v>
      </c>
      <c r="C56" s="29">
        <v>450</v>
      </c>
      <c r="D56" s="29">
        <v>354</v>
      </c>
      <c r="E56" s="29">
        <v>8444</v>
      </c>
      <c r="F56" s="29"/>
      <c r="G56" s="29"/>
      <c r="H56" s="29"/>
      <c r="I56" s="29"/>
      <c r="J56" s="29"/>
      <c r="K56" s="29"/>
      <c r="L56" s="29"/>
      <c r="M56" s="29"/>
      <c r="N56" s="29"/>
      <c r="O56" s="33">
        <f t="shared" si="14"/>
        <v>9248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5"/>
      <c r="B57" s="32" t="s">
        <v>60</v>
      </c>
      <c r="C57" s="29">
        <v>99</v>
      </c>
      <c r="D57" s="29">
        <v>140</v>
      </c>
      <c r="E57" s="29">
        <v>2</v>
      </c>
      <c r="F57" s="29"/>
      <c r="G57" s="29"/>
      <c r="H57" s="29"/>
      <c r="I57" s="29"/>
      <c r="J57" s="29"/>
      <c r="K57" s="29"/>
      <c r="L57" s="29"/>
      <c r="M57" s="29"/>
      <c r="N57" s="29"/>
      <c r="O57" s="33">
        <f t="shared" si="14"/>
        <v>241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6"/>
      <c r="B58" s="32" t="s">
        <v>61</v>
      </c>
      <c r="C58" s="29">
        <v>135</v>
      </c>
      <c r="D58" s="29">
        <v>92</v>
      </c>
      <c r="E58" s="29">
        <v>1</v>
      </c>
      <c r="F58" s="29"/>
      <c r="G58" s="29"/>
      <c r="H58" s="29"/>
      <c r="I58" s="29"/>
      <c r="J58" s="29"/>
      <c r="K58" s="29"/>
      <c r="L58" s="29"/>
      <c r="M58" s="29"/>
      <c r="N58" s="29"/>
      <c r="O58" s="33">
        <f t="shared" si="14"/>
        <v>228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8"/>
      <c r="B59" s="32" t="s">
        <v>13</v>
      </c>
      <c r="C59" s="29">
        <f t="shared" ref="C59:N59" si="15">SUM(C50:C58)</f>
        <v>5429</v>
      </c>
      <c r="D59" s="29">
        <f t="shared" si="15"/>
        <v>12121</v>
      </c>
      <c r="E59" s="29">
        <f t="shared" si="15"/>
        <v>13515</v>
      </c>
      <c r="F59" s="29">
        <f t="shared" si="15"/>
        <v>0</v>
      </c>
      <c r="G59" s="29">
        <f t="shared" si="15"/>
        <v>0</v>
      </c>
      <c r="H59" s="29">
        <f t="shared" si="15"/>
        <v>0</v>
      </c>
      <c r="I59" s="29">
        <f t="shared" si="15"/>
        <v>0</v>
      </c>
      <c r="J59" s="29">
        <f t="shared" si="15"/>
        <v>0</v>
      </c>
      <c r="K59" s="29">
        <f t="shared" si="15"/>
        <v>0</v>
      </c>
      <c r="L59" s="29">
        <f t="shared" si="15"/>
        <v>0</v>
      </c>
      <c r="M59" s="29">
        <f t="shared" si="15"/>
        <v>0</v>
      </c>
      <c r="N59" s="29">
        <f t="shared" si="15"/>
        <v>0</v>
      </c>
      <c r="O59" s="33">
        <f t="shared" si="14"/>
        <v>31065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0"/>
      <c r="B61" s="7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7" t="s">
        <v>62</v>
      </c>
      <c r="B62" s="32" t="s">
        <v>63</v>
      </c>
      <c r="C62" s="4">
        <v>4550</v>
      </c>
      <c r="D62" s="4">
        <v>4500</v>
      </c>
      <c r="E62" s="4">
        <v>7240</v>
      </c>
      <c r="F62" s="4"/>
      <c r="G62" s="4"/>
      <c r="H62" s="4"/>
      <c r="I62" s="4"/>
      <c r="J62" s="4"/>
      <c r="K62" s="4"/>
      <c r="L62" s="4"/>
      <c r="M62" s="4"/>
      <c r="N62" s="4"/>
      <c r="O62" s="5">
        <f t="shared" ref="O62:O64" si="16">SUM(C62:N62)</f>
        <v>16290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6"/>
      <c r="B63" s="32" t="s">
        <v>64</v>
      </c>
      <c r="C63" s="4">
        <v>1250</v>
      </c>
      <c r="D63" s="4">
        <v>1235</v>
      </c>
      <c r="E63" s="4">
        <v>3330</v>
      </c>
      <c r="F63" s="4"/>
      <c r="G63" s="4"/>
      <c r="H63" s="4"/>
      <c r="I63" s="4"/>
      <c r="J63" s="4"/>
      <c r="K63" s="4"/>
      <c r="L63" s="4"/>
      <c r="M63" s="4"/>
      <c r="N63" s="4"/>
      <c r="O63" s="5">
        <f t="shared" si="16"/>
        <v>5815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8"/>
      <c r="B64" s="32" t="s">
        <v>13</v>
      </c>
      <c r="C64" s="5">
        <f t="shared" ref="C64:N64" si="17">SUM(C62:C63)</f>
        <v>5800</v>
      </c>
      <c r="D64" s="5">
        <f t="shared" si="17"/>
        <v>5735</v>
      </c>
      <c r="E64" s="5">
        <f t="shared" si="17"/>
        <v>10570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22105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0"/>
      <c r="B66" s="7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32" t="s">
        <v>13</v>
      </c>
      <c r="C67" s="33">
        <v>10</v>
      </c>
      <c r="D67" s="33">
        <v>12</v>
      </c>
      <c r="E67" s="33">
        <v>9</v>
      </c>
      <c r="F67" s="33">
        <v>5</v>
      </c>
      <c r="G67" s="33"/>
      <c r="H67" s="33"/>
      <c r="I67" s="33"/>
      <c r="J67" s="33"/>
      <c r="K67" s="33"/>
      <c r="L67" s="33"/>
      <c r="M67" s="33"/>
      <c r="N67" s="33"/>
      <c r="O67" s="5">
        <f>SUM(C67:N67)</f>
        <v>36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6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68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0"/>
      <c r="B3" s="7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2" t="s">
        <v>69</v>
      </c>
      <c r="B4" s="71"/>
      <c r="C4" s="4">
        <v>954</v>
      </c>
      <c r="D4" s="4">
        <v>32</v>
      </c>
      <c r="E4" s="4">
        <v>32</v>
      </c>
      <c r="F4" s="4"/>
      <c r="G4" s="4"/>
      <c r="H4" s="4"/>
      <c r="I4" s="4"/>
      <c r="J4" s="4"/>
      <c r="K4" s="4"/>
      <c r="L4" s="4"/>
      <c r="M4" s="4"/>
      <c r="N4" s="4"/>
      <c r="O4" s="5">
        <f>SUM(C4:N4)</f>
        <v>1018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30.774193548387096</v>
      </c>
      <c r="D5" s="4">
        <f>D4/30</f>
        <v>1.0666666666666667</v>
      </c>
      <c r="E5" s="4">
        <f>E4/31</f>
        <v>1.032258064516129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2.739426523297491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0"/>
      <c r="B7" s="7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32" t="s">
        <v>13</v>
      </c>
      <c r="C8" s="33">
        <v>10</v>
      </c>
      <c r="D8" s="33">
        <v>12</v>
      </c>
      <c r="E8" s="33">
        <v>9</v>
      </c>
      <c r="F8" s="33">
        <v>5</v>
      </c>
      <c r="G8" s="33"/>
      <c r="H8" s="33"/>
      <c r="I8" s="33"/>
      <c r="J8" s="33"/>
      <c r="K8" s="33"/>
      <c r="L8" s="33"/>
      <c r="M8" s="33"/>
      <c r="N8" s="33"/>
      <c r="O8" s="5">
        <f>SUM(C8:N8)</f>
        <v>36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31"/>
      <c r="B9" s="3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0"/>
      <c r="B10" s="71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32" t="s">
        <v>70</v>
      </c>
      <c r="C11" s="33">
        <v>10</v>
      </c>
      <c r="D11" s="33">
        <v>12</v>
      </c>
      <c r="E11" s="33">
        <v>9</v>
      </c>
      <c r="F11" s="33">
        <v>5</v>
      </c>
      <c r="G11" s="33"/>
      <c r="H11" s="33"/>
      <c r="I11" s="33"/>
      <c r="J11" s="33"/>
      <c r="K11" s="33"/>
      <c r="L11" s="33"/>
      <c r="M11" s="33"/>
      <c r="N11" s="33"/>
      <c r="O11" s="5">
        <f t="shared" ref="O11:O13" si="2">SUM(C11:N11)</f>
        <v>36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32" t="s">
        <v>72</v>
      </c>
      <c r="C12" s="33">
        <v>10</v>
      </c>
      <c r="D12" s="33">
        <v>12</v>
      </c>
      <c r="E12" s="33">
        <v>9</v>
      </c>
      <c r="F12" s="33">
        <v>5</v>
      </c>
      <c r="G12" s="33"/>
      <c r="H12" s="33"/>
      <c r="I12" s="33"/>
      <c r="J12" s="33"/>
      <c r="K12" s="33"/>
      <c r="L12" s="33"/>
      <c r="M12" s="33"/>
      <c r="N12" s="33"/>
      <c r="O12" s="5">
        <f t="shared" si="2"/>
        <v>36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32" t="s">
        <v>73</v>
      </c>
      <c r="C13" s="33">
        <v>10</v>
      </c>
      <c r="D13" s="33">
        <v>12</v>
      </c>
      <c r="E13" s="33">
        <v>9</v>
      </c>
      <c r="F13" s="33">
        <v>5</v>
      </c>
      <c r="G13" s="33"/>
      <c r="H13" s="33"/>
      <c r="I13" s="33"/>
      <c r="J13" s="33"/>
      <c r="K13" s="33"/>
      <c r="L13" s="33"/>
      <c r="M13" s="33"/>
      <c r="N13" s="33"/>
      <c r="O13" s="5">
        <f t="shared" si="2"/>
        <v>36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0"/>
      <c r="B15" s="7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4" t="s">
        <v>48</v>
      </c>
      <c r="B16" s="6" t="s">
        <v>49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5">
        <f t="shared" ref="O16:O17" si="3">SUM(C16:N16)</f>
        <v>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5"/>
      <c r="B17" s="6" t="s">
        <v>74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5"/>
      <c r="B18" s="6" t="s">
        <v>75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5"/>
      <c r="B19" s="6" t="s">
        <v>51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>
        <f t="shared" ref="O19:O20" si="4">SUM(C19:N19)</f>
        <v>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6"/>
      <c r="B20" s="6" t="s">
        <v>13</v>
      </c>
      <c r="C20" s="5">
        <f t="shared" ref="C20:N20" si="5">SUM(C16:C19)</f>
        <v>0</v>
      </c>
      <c r="D20" s="5">
        <f t="shared" si="5"/>
        <v>0</v>
      </c>
      <c r="E20" s="5">
        <f t="shared" si="5"/>
        <v>0</v>
      </c>
      <c r="F20" s="5">
        <f t="shared" si="5"/>
        <v>0</v>
      </c>
      <c r="G20" s="5">
        <f t="shared" si="5"/>
        <v>0</v>
      </c>
      <c r="H20" s="5">
        <f t="shared" si="5"/>
        <v>0</v>
      </c>
      <c r="I20" s="5">
        <f t="shared" si="5"/>
        <v>0</v>
      </c>
      <c r="J20" s="5">
        <f t="shared" si="5"/>
        <v>0</v>
      </c>
      <c r="K20" s="5">
        <f t="shared" si="5"/>
        <v>0</v>
      </c>
      <c r="L20" s="5">
        <f t="shared" si="5"/>
        <v>0</v>
      </c>
      <c r="M20" s="5">
        <f t="shared" si="5"/>
        <v>0</v>
      </c>
      <c r="N20" s="5">
        <f t="shared" si="5"/>
        <v>0</v>
      </c>
      <c r="O20" s="5">
        <f t="shared" si="4"/>
        <v>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0"/>
      <c r="B22" s="71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32" t="s">
        <v>76</v>
      </c>
      <c r="C23" s="33">
        <v>10</v>
      </c>
      <c r="D23" s="33">
        <v>12</v>
      </c>
      <c r="E23" s="33">
        <v>9</v>
      </c>
      <c r="F23" s="33">
        <v>5</v>
      </c>
      <c r="G23" s="33"/>
      <c r="H23" s="33"/>
      <c r="I23" s="33"/>
      <c r="J23" s="33"/>
      <c r="K23" s="33"/>
      <c r="L23" s="33"/>
      <c r="M23" s="33"/>
      <c r="N23" s="33"/>
      <c r="O23" s="5">
        <f t="shared" ref="O23:O24" si="6">SUM(C23:N23)</f>
        <v>36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32" t="s">
        <v>78</v>
      </c>
      <c r="C24" s="33">
        <v>10</v>
      </c>
      <c r="D24" s="33">
        <v>12</v>
      </c>
      <c r="E24" s="33">
        <v>9</v>
      </c>
      <c r="F24" s="33">
        <v>5</v>
      </c>
      <c r="G24" s="33"/>
      <c r="H24" s="33"/>
      <c r="I24" s="33"/>
      <c r="J24" s="33"/>
      <c r="K24" s="33"/>
      <c r="L24" s="33"/>
      <c r="M24" s="33"/>
      <c r="N24" s="33"/>
      <c r="O24" s="5">
        <f t="shared" si="6"/>
        <v>36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32" t="s">
        <v>79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32" t="s">
        <v>80</v>
      </c>
      <c r="C26" s="33">
        <v>10</v>
      </c>
      <c r="D26" s="33">
        <v>12</v>
      </c>
      <c r="E26" s="33">
        <v>9</v>
      </c>
      <c r="F26" s="33">
        <v>5</v>
      </c>
      <c r="G26" s="33"/>
      <c r="H26" s="33"/>
      <c r="I26" s="33"/>
      <c r="J26" s="33"/>
      <c r="K26" s="33"/>
      <c r="L26" s="33"/>
      <c r="M26" s="33"/>
      <c r="N26" s="33"/>
      <c r="O26" s="5">
        <f>SUM(C26:N26)</f>
        <v>36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70"/>
      <c r="B28" s="71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32" t="s">
        <v>81</v>
      </c>
      <c r="C29" s="33">
        <v>10</v>
      </c>
      <c r="D29" s="33">
        <v>12</v>
      </c>
      <c r="E29" s="33">
        <v>9</v>
      </c>
      <c r="F29" s="33">
        <v>5</v>
      </c>
      <c r="G29" s="33"/>
      <c r="H29" s="33"/>
      <c r="I29" s="33"/>
      <c r="J29" s="33"/>
      <c r="K29" s="33"/>
      <c r="L29" s="33"/>
      <c r="M29" s="33"/>
      <c r="N29" s="33"/>
      <c r="O29" s="5">
        <f t="shared" ref="O29:O30" si="7">SUM(C29:N29)</f>
        <v>36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32" t="s">
        <v>83</v>
      </c>
      <c r="C30" s="33">
        <v>10</v>
      </c>
      <c r="D30" s="33">
        <v>12</v>
      </c>
      <c r="E30" s="33">
        <v>9</v>
      </c>
      <c r="F30" s="33">
        <v>5</v>
      </c>
      <c r="G30" s="33"/>
      <c r="H30" s="33"/>
      <c r="I30" s="33"/>
      <c r="J30" s="33"/>
      <c r="K30" s="33"/>
      <c r="L30" s="33"/>
      <c r="M30" s="33"/>
      <c r="N30" s="33"/>
      <c r="O30" s="5">
        <f t="shared" si="7"/>
        <v>36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32" t="s">
        <v>84</v>
      </c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32" t="s">
        <v>85</v>
      </c>
      <c r="C32" s="33">
        <v>10</v>
      </c>
      <c r="D32" s="33">
        <v>12</v>
      </c>
      <c r="E32" s="33">
        <v>9</v>
      </c>
      <c r="F32" s="33">
        <v>5</v>
      </c>
      <c r="G32" s="33"/>
      <c r="H32" s="33"/>
      <c r="I32" s="33"/>
      <c r="J32" s="33"/>
      <c r="K32" s="33"/>
      <c r="L32" s="33"/>
      <c r="M32" s="33"/>
      <c r="N32" s="33"/>
      <c r="O32" s="5">
        <f>SUM(C32:N32)</f>
        <v>36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68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0"/>
      <c r="B3" s="7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7" t="s">
        <v>87</v>
      </c>
      <c r="B4" s="32" t="s">
        <v>88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5"/>
      <c r="B5" s="32" t="s">
        <v>89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5"/>
      <c r="B6" s="32" t="s">
        <v>90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5"/>
      <c r="B7" s="32" t="s">
        <v>91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5"/>
      <c r="B8" s="32" t="s">
        <v>92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5"/>
      <c r="B9" s="32" t="s">
        <v>93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5"/>
      <c r="B10" s="32" t="s">
        <v>94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6"/>
      <c r="B11" s="32" t="s">
        <v>95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>
        <f>SUM(C11:N11)</f>
        <v>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31"/>
      <c r="B12" s="3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0"/>
      <c r="B13" s="71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7" t="s">
        <v>96</v>
      </c>
      <c r="B14" s="32" t="s">
        <v>97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>
        <f>SUM(C14:N14)</f>
        <v>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5"/>
      <c r="B15" s="32" t="s">
        <v>98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5"/>
      <c r="B16" s="32" t="s">
        <v>99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5"/>
      <c r="B17" s="32" t="s">
        <v>100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5"/>
      <c r="B18" s="32" t="s">
        <v>101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5"/>
      <c r="B19" s="32" t="s">
        <v>94</v>
      </c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5"/>
      <c r="B20" s="32" t="s">
        <v>95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6"/>
      <c r="B21" s="32" t="s">
        <v>102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0"/>
      <c r="B23" s="71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7" t="s">
        <v>103</v>
      </c>
      <c r="B24" s="32" t="s">
        <v>94</v>
      </c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6"/>
      <c r="B25" s="32" t="s">
        <v>102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68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0"/>
      <c r="B3" s="7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7" t="s">
        <v>105</v>
      </c>
      <c r="B4" s="32" t="s">
        <v>106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5"/>
      <c r="B5" s="32" t="s">
        <v>102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5"/>
      <c r="B6" s="32" t="s">
        <v>107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6"/>
      <c r="B7" s="32" t="s">
        <v>95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31"/>
      <c r="B8" s="3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0"/>
      <c r="B9" s="71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7" t="s">
        <v>108</v>
      </c>
      <c r="B10" s="32" t="s">
        <v>106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5"/>
      <c r="B11" s="32" t="s">
        <v>102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5"/>
      <c r="B12" s="32" t="s">
        <v>107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6"/>
      <c r="B13" s="32" t="s">
        <v>95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0"/>
      <c r="B15" s="7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7" t="s">
        <v>109</v>
      </c>
      <c r="B16" s="32" t="s">
        <v>110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sqref="A1:O1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68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0"/>
      <c r="B3" s="7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7" t="s">
        <v>111</v>
      </c>
      <c r="B4" s="32" t="s">
        <v>89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5"/>
      <c r="B5" s="32" t="s">
        <v>112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5"/>
      <c r="B6" s="32" t="s">
        <v>113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5"/>
      <c r="B7" s="32" t="s">
        <v>114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5"/>
      <c r="B8" s="32" t="s">
        <v>115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6"/>
      <c r="B9" s="32" t="s">
        <v>116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31"/>
      <c r="B10" s="3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0"/>
      <c r="B11" s="7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7" t="s">
        <v>117</v>
      </c>
      <c r="B12" s="32" t="s">
        <v>118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5"/>
      <c r="B13" s="32" t="s">
        <v>119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5"/>
      <c r="B14" s="32" t="s">
        <v>120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6"/>
      <c r="B15" s="32" t="s">
        <v>114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31"/>
      <c r="B16" s="3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54"/>
  <sheetViews>
    <sheetView workbookViewId="0">
      <selection activeCell="A28" activeCellId="8" sqref="A4 A6 A8 A16 A18 A20 A23 A26 A28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9" t="s">
        <v>143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7.55" customHeight="1" x14ac:dyDescent="0.3">
      <c r="A3" s="50" t="s">
        <v>67</v>
      </c>
      <c r="B3" s="50" t="s">
        <v>144</v>
      </c>
      <c r="C3" s="50" t="s">
        <v>1</v>
      </c>
      <c r="D3" s="50" t="s">
        <v>2</v>
      </c>
      <c r="E3" s="50" t="s">
        <v>3</v>
      </c>
      <c r="F3" s="50" t="s">
        <v>4</v>
      </c>
      <c r="G3" s="50" t="s">
        <v>5</v>
      </c>
      <c r="H3" s="50" t="s">
        <v>6</v>
      </c>
      <c r="I3" s="50" t="s">
        <v>7</v>
      </c>
      <c r="J3" s="50" t="s">
        <v>8</v>
      </c>
      <c r="K3" s="50" t="s">
        <v>9</v>
      </c>
      <c r="L3" s="50" t="s">
        <v>10</v>
      </c>
      <c r="M3" s="50" t="s">
        <v>11</v>
      </c>
      <c r="N3" s="50" t="s">
        <v>12</v>
      </c>
      <c r="O3" s="50" t="s">
        <v>121</v>
      </c>
    </row>
    <row r="4" spans="1:15" x14ac:dyDescent="0.3">
      <c r="A4" s="63" t="s">
        <v>122</v>
      </c>
      <c r="B4" s="60" t="s">
        <v>122</v>
      </c>
      <c r="C4" s="52">
        <v>587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3">
        <f>IF(COUNTA(C4:N4)=0,"",SUM(C4:N4))</f>
        <v>587</v>
      </c>
    </row>
    <row r="5" spans="1:15" x14ac:dyDescent="0.3">
      <c r="A5" s="54"/>
      <c r="B5" s="61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4"/>
    </row>
    <row r="6" spans="1:15" x14ac:dyDescent="0.3">
      <c r="A6" s="63" t="s">
        <v>123</v>
      </c>
      <c r="B6" s="60" t="s">
        <v>123</v>
      </c>
      <c r="C6" s="52">
        <v>136</v>
      </c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3">
        <f>IF(COUNTA(C6:N6)=0,"",SUM(C6:N6))</f>
        <v>136</v>
      </c>
    </row>
    <row r="7" spans="1:15" x14ac:dyDescent="0.3">
      <c r="A7" s="54"/>
      <c r="B7" s="61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4"/>
    </row>
    <row r="8" spans="1:15" x14ac:dyDescent="0.3">
      <c r="A8" s="63" t="s">
        <v>124</v>
      </c>
      <c r="B8" s="60" t="s">
        <v>124</v>
      </c>
      <c r="C8" s="52">
        <v>132</v>
      </c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3">
        <f>IF(COUNTA(C8:N8)=0,"",SUM(C8:N8))</f>
        <v>132</v>
      </c>
    </row>
    <row r="9" spans="1:15" x14ac:dyDescent="0.3">
      <c r="A9" s="54"/>
      <c r="B9" s="61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4"/>
    </row>
    <row r="10" spans="1:15" x14ac:dyDescent="0.3">
      <c r="A10" s="51" t="s">
        <v>125</v>
      </c>
      <c r="B10" s="60" t="s">
        <v>125</v>
      </c>
      <c r="C10" s="52">
        <v>455</v>
      </c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3">
        <f>IF(COUNTA(C10:N10)=0,"",SUM(C10:N10))</f>
        <v>455</v>
      </c>
    </row>
    <row r="11" spans="1:15" x14ac:dyDescent="0.3">
      <c r="A11" s="54"/>
      <c r="B11" s="61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4"/>
    </row>
    <row r="12" spans="1:15" x14ac:dyDescent="0.3">
      <c r="A12" s="51" t="s">
        <v>126</v>
      </c>
      <c r="B12" s="60" t="s">
        <v>126</v>
      </c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3" t="str">
        <f>IF(COUNTA(C12:N12)=0,"",SUM(C12:N12))</f>
        <v/>
      </c>
    </row>
    <row r="13" spans="1:15" x14ac:dyDescent="0.3">
      <c r="A13" s="54"/>
      <c r="B13" s="61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4"/>
    </row>
    <row r="14" spans="1:15" x14ac:dyDescent="0.3">
      <c r="A14" s="51" t="s">
        <v>127</v>
      </c>
      <c r="B14" s="60" t="s">
        <v>127</v>
      </c>
      <c r="C14" s="52">
        <v>587</v>
      </c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3">
        <f>IF(COUNTA(C14:N14)=0,"",SUM(C14:N14))</f>
        <v>587</v>
      </c>
    </row>
    <row r="15" spans="1:15" x14ac:dyDescent="0.3">
      <c r="A15" s="54"/>
      <c r="B15" s="61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4"/>
    </row>
    <row r="16" spans="1:15" x14ac:dyDescent="0.3">
      <c r="A16" s="63" t="s">
        <v>128</v>
      </c>
      <c r="B16" s="60" t="s">
        <v>128</v>
      </c>
      <c r="C16" s="52">
        <v>22</v>
      </c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3">
        <f>IF(COUNTA(C16:N16)=0,"",SUM(C16:N16))</f>
        <v>22</v>
      </c>
    </row>
    <row r="17" spans="1:15" x14ac:dyDescent="0.3">
      <c r="A17" s="54"/>
      <c r="B17" s="61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4"/>
    </row>
    <row r="18" spans="1:15" x14ac:dyDescent="0.3">
      <c r="A18" s="63" t="s">
        <v>129</v>
      </c>
      <c r="B18" s="60" t="s">
        <v>129</v>
      </c>
      <c r="C18" s="52">
        <v>12</v>
      </c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3">
        <f>IF(COUNTA(C18:N18)=0,"",SUM(C18:N18))</f>
        <v>12</v>
      </c>
    </row>
    <row r="19" spans="1:15" x14ac:dyDescent="0.3">
      <c r="A19" s="54"/>
      <c r="B19" s="61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4"/>
    </row>
    <row r="20" spans="1:15" x14ac:dyDescent="0.3">
      <c r="A20" s="63" t="s">
        <v>130</v>
      </c>
      <c r="B20" s="60" t="s">
        <v>130</v>
      </c>
      <c r="C20" s="52">
        <v>2.89</v>
      </c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3">
        <f>IF(COUNTA(C20:N20)=0,"",AVERAGE(C20:N20))</f>
        <v>2.89</v>
      </c>
    </row>
    <row r="21" spans="1:15" x14ac:dyDescent="0.3">
      <c r="A21" s="56" t="s">
        <v>28</v>
      </c>
      <c r="B21" s="62" t="s">
        <v>28</v>
      </c>
      <c r="C21" s="57">
        <v>5</v>
      </c>
      <c r="D21" s="57">
        <v>5</v>
      </c>
      <c r="E21" s="57">
        <v>5</v>
      </c>
      <c r="F21" s="57">
        <v>5</v>
      </c>
      <c r="G21" s="57">
        <v>5</v>
      </c>
      <c r="H21" s="57">
        <v>5</v>
      </c>
      <c r="I21" s="57">
        <v>5</v>
      </c>
      <c r="J21" s="57">
        <v>5</v>
      </c>
      <c r="K21" s="57">
        <v>5</v>
      </c>
      <c r="L21" s="57">
        <v>5</v>
      </c>
      <c r="M21" s="57">
        <v>5</v>
      </c>
      <c r="N21" s="57">
        <v>5</v>
      </c>
      <c r="O21" s="58">
        <f>IF(COUNTA(C21:N21)=0,"",AVERAGE(C21:N21))</f>
        <v>5</v>
      </c>
    </row>
    <row r="22" spans="1:15" x14ac:dyDescent="0.3">
      <c r="A22" s="54"/>
      <c r="B22" s="61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4"/>
    </row>
    <row r="23" spans="1:15" x14ac:dyDescent="0.3">
      <c r="A23" s="63" t="s">
        <v>131</v>
      </c>
      <c r="B23" s="60" t="s">
        <v>131</v>
      </c>
      <c r="C23" s="52">
        <v>2.4300000000000002</v>
      </c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3">
        <f>IF(COUNTA(C23:N23)=0,"",AVERAGE(C23:N23))</f>
        <v>2.4300000000000002</v>
      </c>
    </row>
    <row r="24" spans="1:15" x14ac:dyDescent="0.3">
      <c r="A24" s="56" t="s">
        <v>28</v>
      </c>
      <c r="B24" s="62" t="s">
        <v>28</v>
      </c>
      <c r="C24" s="57">
        <v>3</v>
      </c>
      <c r="D24" s="57">
        <v>3</v>
      </c>
      <c r="E24" s="57">
        <v>3</v>
      </c>
      <c r="F24" s="57">
        <v>3</v>
      </c>
      <c r="G24" s="57">
        <v>3</v>
      </c>
      <c r="H24" s="57">
        <v>3</v>
      </c>
      <c r="I24" s="57">
        <v>3</v>
      </c>
      <c r="J24" s="57">
        <v>3</v>
      </c>
      <c r="K24" s="57">
        <v>3</v>
      </c>
      <c r="L24" s="57">
        <v>3</v>
      </c>
      <c r="M24" s="57">
        <v>3</v>
      </c>
      <c r="N24" s="57">
        <v>3</v>
      </c>
      <c r="O24" s="58">
        <f>IF(COUNTA(C24:N24)=0,"",AVERAGE(C24:N24))</f>
        <v>3</v>
      </c>
    </row>
    <row r="25" spans="1:15" x14ac:dyDescent="0.3">
      <c r="A25" s="54"/>
      <c r="B25" s="61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4"/>
    </row>
    <row r="26" spans="1:15" x14ac:dyDescent="0.3">
      <c r="A26" s="63" t="s">
        <v>132</v>
      </c>
      <c r="B26" s="60" t="s">
        <v>132</v>
      </c>
      <c r="C26" s="52">
        <v>342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3">
        <f>IF(COUNTA(C26:N26)=0,"",SUM(C26:N26))</f>
        <v>342</v>
      </c>
    </row>
    <row r="27" spans="1:15" x14ac:dyDescent="0.3">
      <c r="A27" s="54"/>
      <c r="B27" s="61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4"/>
    </row>
    <row r="28" spans="1:15" x14ac:dyDescent="0.3">
      <c r="A28" s="63" t="s">
        <v>133</v>
      </c>
      <c r="B28" s="60" t="s">
        <v>133</v>
      </c>
      <c r="C28" s="52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3">
        <f>IF(COUNTA(C28:N28)=0,"",SUM(C28:N28))</f>
        <v>0</v>
      </c>
    </row>
    <row r="29" spans="1:15" x14ac:dyDescent="0.3">
      <c r="A29" s="56" t="s">
        <v>28</v>
      </c>
      <c r="B29" s="62" t="s">
        <v>28</v>
      </c>
      <c r="C29" s="57">
        <v>0</v>
      </c>
      <c r="D29" s="57">
        <v>0</v>
      </c>
      <c r="E29" s="57">
        <v>0</v>
      </c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8">
        <f>IF(COUNTA(C29:N29)=0,"",SUM(C29:N29))</f>
        <v>0</v>
      </c>
    </row>
    <row r="30" spans="1:15" x14ac:dyDescent="0.3">
      <c r="A30" s="54"/>
      <c r="B30" s="61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4"/>
    </row>
    <row r="31" spans="1:15" x14ac:dyDescent="0.3">
      <c r="A31" s="51" t="s">
        <v>134</v>
      </c>
      <c r="B31" s="60" t="s">
        <v>134</v>
      </c>
      <c r="C31" s="52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3">
        <f>IF(COUNTA(C31:N31)=0,"",SUM(C31:N31))</f>
        <v>0</v>
      </c>
    </row>
    <row r="32" spans="1:15" x14ac:dyDescent="0.3">
      <c r="A32" s="56" t="s">
        <v>28</v>
      </c>
      <c r="B32" s="62" t="s">
        <v>28</v>
      </c>
      <c r="C32" s="57">
        <f>(C4/100)*70</f>
        <v>410.90000000000003</v>
      </c>
      <c r="D32" s="57">
        <f t="shared" ref="D32:N32" si="0">(D4/100)*70</f>
        <v>0</v>
      </c>
      <c r="E32" s="57">
        <f t="shared" si="0"/>
        <v>0</v>
      </c>
      <c r="F32" s="57">
        <f t="shared" si="0"/>
        <v>0</v>
      </c>
      <c r="G32" s="57">
        <f t="shared" si="0"/>
        <v>0</v>
      </c>
      <c r="H32" s="57">
        <f t="shared" si="0"/>
        <v>0</v>
      </c>
      <c r="I32" s="57">
        <f t="shared" si="0"/>
        <v>0</v>
      </c>
      <c r="J32" s="57">
        <f t="shared" si="0"/>
        <v>0</v>
      </c>
      <c r="K32" s="57">
        <f t="shared" si="0"/>
        <v>0</v>
      </c>
      <c r="L32" s="57">
        <f t="shared" si="0"/>
        <v>0</v>
      </c>
      <c r="M32" s="57">
        <f t="shared" si="0"/>
        <v>0</v>
      </c>
      <c r="N32" s="57">
        <f t="shared" si="0"/>
        <v>0</v>
      </c>
      <c r="O32" s="58">
        <f>IF(COUNTA(C32:N32)=0,"",SUM(C32:N32))</f>
        <v>410.90000000000003</v>
      </c>
    </row>
    <row r="33" spans="1:15" x14ac:dyDescent="0.3">
      <c r="A33" s="54"/>
      <c r="B33" s="61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4"/>
    </row>
    <row r="34" spans="1:15" x14ac:dyDescent="0.3">
      <c r="A34" s="51" t="s">
        <v>135</v>
      </c>
      <c r="B34" s="60" t="s">
        <v>135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3" t="str">
        <f>IF(COUNTA(C34:N34)=0,"",SUM(C34:N34))</f>
        <v/>
      </c>
    </row>
    <row r="35" spans="1:15" x14ac:dyDescent="0.3">
      <c r="A35" s="56" t="s">
        <v>28</v>
      </c>
      <c r="B35" s="62" t="s">
        <v>28</v>
      </c>
      <c r="C35" s="57">
        <v>2</v>
      </c>
      <c r="D35" s="57">
        <v>2</v>
      </c>
      <c r="E35" s="57">
        <v>2</v>
      </c>
      <c r="F35" s="57">
        <v>2</v>
      </c>
      <c r="G35" s="57">
        <v>2</v>
      </c>
      <c r="H35" s="57">
        <v>2</v>
      </c>
      <c r="I35" s="57">
        <v>2</v>
      </c>
      <c r="J35" s="57">
        <v>2</v>
      </c>
      <c r="K35" s="57">
        <v>2</v>
      </c>
      <c r="L35" s="57">
        <v>2</v>
      </c>
      <c r="M35" s="57">
        <v>2</v>
      </c>
      <c r="N35" s="57">
        <v>2</v>
      </c>
      <c r="O35" s="58">
        <f>IF(COUNTA(C35:N35)=0,"",SUM(C35:N35))</f>
        <v>24</v>
      </c>
    </row>
    <row r="36" spans="1:15" x14ac:dyDescent="0.3">
      <c r="A36" s="54"/>
      <c r="B36" s="61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4"/>
    </row>
    <row r="37" spans="1:15" x14ac:dyDescent="0.3">
      <c r="A37" s="51" t="s">
        <v>136</v>
      </c>
      <c r="B37" s="60" t="s">
        <v>136</v>
      </c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3" t="str">
        <f>IF(COUNTA(C37:N37)=0,"",SUM(C37:N37))</f>
        <v/>
      </c>
    </row>
    <row r="38" spans="1:15" x14ac:dyDescent="0.3">
      <c r="A38" s="54"/>
      <c r="B38" s="61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4"/>
    </row>
    <row r="39" spans="1:15" x14ac:dyDescent="0.3">
      <c r="A39" s="51" t="s">
        <v>137</v>
      </c>
      <c r="B39" s="60" t="s">
        <v>137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3" t="str">
        <f>IF(COUNTA(C39:N39)=0,"",AVERAGE(C39:N39))</f>
        <v/>
      </c>
    </row>
    <row r="40" spans="1:15" x14ac:dyDescent="0.3">
      <c r="A40" s="56" t="s">
        <v>28</v>
      </c>
      <c r="B40" s="62" t="s">
        <v>28</v>
      </c>
      <c r="C40" s="57">
        <f>(C4/100)*100</f>
        <v>587</v>
      </c>
      <c r="D40" s="57">
        <f t="shared" ref="D40:N40" si="1">(D4/100)*100</f>
        <v>0</v>
      </c>
      <c r="E40" s="57">
        <f t="shared" si="1"/>
        <v>0</v>
      </c>
      <c r="F40" s="57">
        <f t="shared" si="1"/>
        <v>0</v>
      </c>
      <c r="G40" s="57">
        <f t="shared" si="1"/>
        <v>0</v>
      </c>
      <c r="H40" s="57">
        <f t="shared" si="1"/>
        <v>0</v>
      </c>
      <c r="I40" s="57">
        <f t="shared" si="1"/>
        <v>0</v>
      </c>
      <c r="J40" s="57">
        <f t="shared" si="1"/>
        <v>0</v>
      </c>
      <c r="K40" s="57">
        <f t="shared" si="1"/>
        <v>0</v>
      </c>
      <c r="L40" s="57">
        <f t="shared" si="1"/>
        <v>0</v>
      </c>
      <c r="M40" s="57">
        <f t="shared" si="1"/>
        <v>0</v>
      </c>
      <c r="N40" s="57">
        <f t="shared" si="1"/>
        <v>0</v>
      </c>
      <c r="O40" s="58">
        <f>IF(COUNTA(C40:N40)=0,"",AVERAGE(C40:N40))</f>
        <v>48.916666666666664</v>
      </c>
    </row>
    <row r="41" spans="1:15" x14ac:dyDescent="0.3">
      <c r="A41" s="54"/>
      <c r="B41" s="61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4"/>
    </row>
    <row r="42" spans="1:15" x14ac:dyDescent="0.3">
      <c r="A42" s="51" t="s">
        <v>138</v>
      </c>
      <c r="B42" s="60" t="s">
        <v>138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3" t="str">
        <f>IF(COUNTA(C42:N42)=0,"",SUM(C42:N42))</f>
        <v/>
      </c>
    </row>
    <row r="43" spans="1:15" x14ac:dyDescent="0.3">
      <c r="A43" s="54"/>
      <c r="B43" s="61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4"/>
    </row>
    <row r="44" spans="1:15" x14ac:dyDescent="0.3">
      <c r="A44" s="51" t="s">
        <v>139</v>
      </c>
      <c r="B44" s="60" t="s">
        <v>139</v>
      </c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3" t="str">
        <f>IF(COUNTA(C44:N44)=0,"",AVERAGE(C44:N44))</f>
        <v/>
      </c>
    </row>
    <row r="45" spans="1:15" x14ac:dyDescent="0.3">
      <c r="A45" s="56" t="s">
        <v>28</v>
      </c>
      <c r="B45" s="62" t="s">
        <v>28</v>
      </c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8" t="str">
        <f>IF(COUNTA(C45:N45)=0,"",AVERAGE(C45:N45))</f>
        <v/>
      </c>
    </row>
    <row r="46" spans="1:15" x14ac:dyDescent="0.3">
      <c r="A46" s="54"/>
      <c r="B46" s="61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4"/>
    </row>
    <row r="47" spans="1:15" x14ac:dyDescent="0.3">
      <c r="A47" s="51" t="s">
        <v>140</v>
      </c>
      <c r="B47" s="60" t="s">
        <v>140</v>
      </c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3" t="str">
        <f>IF(COUNTA(C47:N47)=0,"",SUM(C47:N47))</f>
        <v/>
      </c>
    </row>
    <row r="48" spans="1:15" x14ac:dyDescent="0.3">
      <c r="A48" s="56" t="s">
        <v>28</v>
      </c>
      <c r="B48" s="62" t="s">
        <v>28</v>
      </c>
      <c r="C48" s="57">
        <f>C4</f>
        <v>587</v>
      </c>
      <c r="D48" s="57">
        <f t="shared" ref="D48:N48" si="2">D4</f>
        <v>0</v>
      </c>
      <c r="E48" s="57">
        <f t="shared" si="2"/>
        <v>0</v>
      </c>
      <c r="F48" s="57">
        <f t="shared" si="2"/>
        <v>0</v>
      </c>
      <c r="G48" s="57">
        <f t="shared" si="2"/>
        <v>0</v>
      </c>
      <c r="H48" s="57">
        <f t="shared" si="2"/>
        <v>0</v>
      </c>
      <c r="I48" s="57">
        <f t="shared" si="2"/>
        <v>0</v>
      </c>
      <c r="J48" s="57">
        <f t="shared" si="2"/>
        <v>0</v>
      </c>
      <c r="K48" s="57">
        <f t="shared" si="2"/>
        <v>0</v>
      </c>
      <c r="L48" s="57">
        <f t="shared" si="2"/>
        <v>0</v>
      </c>
      <c r="M48" s="57">
        <f t="shared" si="2"/>
        <v>0</v>
      </c>
      <c r="N48" s="57">
        <f t="shared" si="2"/>
        <v>0</v>
      </c>
      <c r="O48" s="58">
        <f>IF(COUNTA(C48:N48)=0,"",SUM(C48:N48))</f>
        <v>587</v>
      </c>
    </row>
    <row r="49" spans="1:15" x14ac:dyDescent="0.3">
      <c r="A49" s="54"/>
      <c r="B49" s="61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4"/>
    </row>
    <row r="50" spans="1:15" ht="28.8" x14ac:dyDescent="0.3">
      <c r="A50" s="51" t="s">
        <v>141</v>
      </c>
      <c r="B50" s="60" t="s">
        <v>141</v>
      </c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3" t="str">
        <f>IF(COUNTA(C50:N50)=0,"",AVERAGE(C50:N50))</f>
        <v/>
      </c>
    </row>
    <row r="51" spans="1:15" x14ac:dyDescent="0.3">
      <c r="A51" s="56" t="s">
        <v>28</v>
      </c>
      <c r="B51" s="62" t="s">
        <v>28</v>
      </c>
      <c r="C51" s="57">
        <f>C4</f>
        <v>587</v>
      </c>
      <c r="D51" s="57">
        <f t="shared" ref="D51:N51" si="3">D4</f>
        <v>0</v>
      </c>
      <c r="E51" s="57">
        <f t="shared" si="3"/>
        <v>0</v>
      </c>
      <c r="F51" s="57">
        <f t="shared" si="3"/>
        <v>0</v>
      </c>
      <c r="G51" s="57">
        <f t="shared" si="3"/>
        <v>0</v>
      </c>
      <c r="H51" s="57">
        <f t="shared" si="3"/>
        <v>0</v>
      </c>
      <c r="I51" s="57">
        <f t="shared" si="3"/>
        <v>0</v>
      </c>
      <c r="J51" s="57">
        <f t="shared" si="3"/>
        <v>0</v>
      </c>
      <c r="K51" s="57">
        <f t="shared" si="3"/>
        <v>0</v>
      </c>
      <c r="L51" s="57">
        <f t="shared" si="3"/>
        <v>0</v>
      </c>
      <c r="M51" s="57">
        <f t="shared" si="3"/>
        <v>0</v>
      </c>
      <c r="N51" s="57">
        <f t="shared" si="3"/>
        <v>0</v>
      </c>
      <c r="O51" s="58">
        <f>IF(COUNTA(C51:N51)=0,"",AVERAGE(C51:N51))</f>
        <v>48.916666666666664</v>
      </c>
    </row>
    <row r="52" spans="1:15" x14ac:dyDescent="0.3">
      <c r="A52" s="48"/>
      <c r="B52" s="48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8"/>
    </row>
    <row r="54" spans="1:15" x14ac:dyDescent="0.3">
      <c r="A54" s="64" t="s">
        <v>142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</row>
  </sheetData>
  <mergeCells count="1">
    <mergeCell ref="A54:O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2026-03-30T18:02:03Z</dcterms:modified>
</cp:coreProperties>
</file>