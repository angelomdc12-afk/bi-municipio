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8"/>
  </bookViews>
  <sheets>
    <sheet r:id="rId1" sheetId="1" name="METAS DO PLANO DE TRABALHO"/>
    <sheet r:id="rId2" sheetId="2" name="INDICADORES UPA LUZIÂNIA"/>
    <sheet r:id="rId3" sheetId="3" name="INDICADORES UPA JARDIM INGÁ"/>
    <sheet r:id="rId4" sheetId="4" name="INDICADORES HMJI"/>
    <sheet r:id="rId5" sheetId="5" name="INDICADORES ATENÇÃO SECUNDÁRIA"/>
    <sheet r:id="rId6" sheetId="6" name="INDICADORES SAÚDE MENTAL"/>
    <sheet r:id="rId7" sheetId="7" name="INDICADORES ATENÇÃO PRIMÁRIA"/>
    <sheet r:id="rId8" sheetId="8" name="INDICADORES RH"/>
    <sheet r:id="rId9" sheetId="9" name="Financeiro"/>
    <sheet r:id="rId10" sheetId="10" name="COLABORADORES"/>
    <sheet r:id="rId11" sheetId="11" name="GEO_UNIDADES"/>
  </sheets>
  <definedNames>
    <definedName name="_xlnm._FilterDatabase" localSheetId="9">COLABORADORES!$A$1:$U$759</definedName>
  </definedNames>
  <calcPr fullCalcOnLoad="1"/>
</workbook>
</file>

<file path=xl/sharedStrings.xml><?xml version="1.0" encoding="utf-8"?>
<sst xmlns="http://schemas.openxmlformats.org/spreadsheetml/2006/main" count="9152" uniqueCount="3277">
  <si>
    <t>UNIDADE</t>
  </si>
  <si>
    <t>ENDERECO</t>
  </si>
  <si>
    <t>LATITUDE</t>
  </si>
  <si>
    <t>LONGITUDE</t>
  </si>
  <si>
    <t>TIPO</t>
  </si>
  <si>
    <t>REGIÃO</t>
  </si>
  <si>
    <t>UBS - JARDIM SAO PAULO</t>
  </si>
  <si>
    <t>Jardim São Paulo, Luziânia - GO</t>
  </si>
  <si>
    <t>-16,28166</t>
  </si>
  <si>
    <t>-47,86737</t>
  </si>
  <si>
    <t>UBSF</t>
  </si>
  <si>
    <t>Centro-Sul</t>
  </si>
  <si>
    <t>UBS - NORTE MARAVILHA</t>
  </si>
  <si>
    <t>Rua 08, Quadra 07, Lote 34, Norte Maravilha</t>
  </si>
  <si>
    <t>-16,24576</t>
  </si>
  <si>
    <t>-47,96065</t>
  </si>
  <si>
    <t>Norte</t>
  </si>
  <si>
    <t>UBS - OSFAYA</t>
  </si>
  <si>
    <t>Bairro Osfaya, Luziânia - GO</t>
  </si>
  <si>
    <t>-16,17173</t>
  </si>
  <si>
    <t>-47,92170</t>
  </si>
  <si>
    <t>Centro</t>
  </si>
  <si>
    <t>UBS - SETOR AEROPORTO</t>
  </si>
  <si>
    <t>Av. Central, Setor Aeroporto</t>
  </si>
  <si>
    <t>-16,26162</t>
  </si>
  <si>
    <t>-47,96077</t>
  </si>
  <si>
    <t>UBS - SETOR LESTE</t>
  </si>
  <si>
    <t>Setor Leste, Luziânia - GO</t>
  </si>
  <si>
    <t>-16,25309</t>
  </si>
  <si>
    <t>-47,91969</t>
  </si>
  <si>
    <t>Leste</t>
  </si>
  <si>
    <t>UBS CRUZEIRO - UNIDADE BASICA DE SAUDE</t>
  </si>
  <si>
    <t>Bairro Cruzeiro do Sul</t>
  </si>
  <si>
    <t>UBS INDUSTRIAL - UNIDADE BASICA DE SAUDE</t>
  </si>
  <si>
    <t>Jardim Industrial</t>
  </si>
  <si>
    <t>-16,21213</t>
  </si>
  <si>
    <t>-47,86851</t>
  </si>
  <si>
    <t>Industrial / Sul</t>
  </si>
  <si>
    <t>UBS JARDIM INGÁ - UNIDADE BASICA DE SAUD</t>
  </si>
  <si>
    <t>Jardim Ingá, Luziânia - GO</t>
  </si>
  <si>
    <t>-16,14286</t>
  </si>
  <si>
    <t>-48,95058</t>
  </si>
  <si>
    <t>Jardim Ingá</t>
  </si>
  <si>
    <t>UBS JARDIM LUZILIA</t>
  </si>
  <si>
    <t>Jardim Luzília</t>
  </si>
  <si>
    <t>-16,22781</t>
  </si>
  <si>
    <t>-47,93267</t>
  </si>
  <si>
    <t>UBS RURAL - UNIDADE BASICA DE SAUDE INDA</t>
  </si>
  <si>
    <t>Zona Rural / Indaiá</t>
  </si>
  <si>
    <t>UBSF - ALTO DAS CARAÍBAS</t>
  </si>
  <si>
    <t>Alto das Caraíbas</t>
  </si>
  <si>
    <t>-16,23748</t>
  </si>
  <si>
    <t>-47,94784</t>
  </si>
  <si>
    <t>Oeste</t>
  </si>
  <si>
    <t>UBSF - AMERICANOS</t>
  </si>
  <si>
    <t>Quadra 01, Lote 01, PED VI</t>
  </si>
  <si>
    <t>-16,21171</t>
  </si>
  <si>
    <t>-47,86950</t>
  </si>
  <si>
    <t>UBSF - DALVA IX PRAÇA DA BIBLIA</t>
  </si>
  <si>
    <t>Praça da Bíblia, PED IX</t>
  </si>
  <si>
    <t>-16,16033</t>
  </si>
  <si>
    <t>-47,96281</t>
  </si>
  <si>
    <t>Estrela Dalva</t>
  </si>
  <si>
    <t>UBSF - JARDIM IPÊ</t>
  </si>
  <si>
    <t>Rua 20 – Jardim Zuleika</t>
  </si>
  <si>
    <t>-16,12694</t>
  </si>
  <si>
    <t>-47,96382</t>
  </si>
  <si>
    <t>UBSF - JARDIM MARILIA</t>
  </si>
  <si>
    <t>Avenida Brasília, Jardim Marília</t>
  </si>
  <si>
    <t>-16,14043</t>
  </si>
  <si>
    <t>-47,93348</t>
  </si>
  <si>
    <t>Sul</t>
  </si>
  <si>
    <t>UBSF - JARDIM PLANALTO</t>
  </si>
  <si>
    <t>Rua 05, Quadra 44, Jardim Planalto</t>
  </si>
  <si>
    <t>-16,13086</t>
  </si>
  <si>
    <t>-47,94883</t>
  </si>
  <si>
    <t>UBSF - LESTE CAETANO</t>
  </si>
  <si>
    <t>Rua Helena Rodrigues Pereira, Setor Leste</t>
  </si>
  <si>
    <t>-16,26085</t>
  </si>
  <si>
    <t>-47,93211</t>
  </si>
  <si>
    <t>UBSF - MANDÚ II</t>
  </si>
  <si>
    <t>Rua 28, Setor Mandú II</t>
  </si>
  <si>
    <t>-16,24907</t>
  </si>
  <si>
    <t>-47,93107</t>
  </si>
  <si>
    <t>UBSF - MANIRATUBA</t>
  </si>
  <si>
    <t>Comunidade Maniratuba</t>
  </si>
  <si>
    <t>UBSF - MINGONE I</t>
  </si>
  <si>
    <t>Praça 1-A, Parque Mingone I</t>
  </si>
  <si>
    <t>-16,15978</t>
  </si>
  <si>
    <t>-47,93819</t>
  </si>
  <si>
    <t>UBSF - MINGONE II A</t>
  </si>
  <si>
    <t>Praça 2C, Parque Mingone II</t>
  </si>
  <si>
    <t>-16,15206</t>
  </si>
  <si>
    <t>-47,93296</t>
  </si>
  <si>
    <t>UBSF - PARQUE ALVORADA</t>
  </si>
  <si>
    <t>Avenida Sara Kubstcheck</t>
  </si>
  <si>
    <t>-16,20701</t>
  </si>
  <si>
    <t>-47,92629</t>
  </si>
  <si>
    <t>UBSF - PARQUE ESTRELA DALVA IX FEIRINHA</t>
  </si>
  <si>
    <t>PED IX Feirinha</t>
  </si>
  <si>
    <t>-16,14846</t>
  </si>
  <si>
    <t>-47,94365</t>
  </si>
  <si>
    <t>UBSF - PARQUE ESTRELA DALVA VIII</t>
  </si>
  <si>
    <t>Rua 51, Quadra 105</t>
  </si>
  <si>
    <t>-16,26625</t>
  </si>
  <si>
    <t>-47,90944</t>
  </si>
  <si>
    <t>UBSF - PARQUE ESTRELA DALVA X</t>
  </si>
  <si>
    <t>Rua 262, Quadra 514</t>
  </si>
  <si>
    <t>-16,17923</t>
  </si>
  <si>
    <t>-47,96287</t>
  </si>
  <si>
    <t>UBSF - RESIDENCIAL COPÁIBAS</t>
  </si>
  <si>
    <t>Rua Aníbal Machado</t>
  </si>
  <si>
    <t>-16,23635</t>
  </si>
  <si>
    <t>-47,90706</t>
  </si>
  <si>
    <t>UBSF - SANTA FÉ</t>
  </si>
  <si>
    <t>Parque Estrela Dalva VIII</t>
  </si>
  <si>
    <t>-16,22225</t>
  </si>
  <si>
    <t>-47,92010</t>
  </si>
  <si>
    <t>UBSF - SOL NASCENTE</t>
  </si>
  <si>
    <t>Rua 18 esquina Rua 02</t>
  </si>
  <si>
    <t>-16,18236</t>
  </si>
  <si>
    <t>-47,93850</t>
  </si>
  <si>
    <t>UBSF - TRÊS VENDAS</t>
  </si>
  <si>
    <t>Rodovia GO-010</t>
  </si>
  <si>
    <t>-16,31362</t>
  </si>
  <si>
    <t>-47,01486</t>
  </si>
  <si>
    <t>Zona Rural / GO-010</t>
  </si>
  <si>
    <t>UBSF - VILA ESPERANÇA</t>
  </si>
  <si>
    <t>Rua JK, Quadra 01</t>
  </si>
  <si>
    <t>-16,24573</t>
  </si>
  <si>
    <t>UBSF - VILA JURACY</t>
  </si>
  <si>
    <t>Vila Juracy</t>
  </si>
  <si>
    <t>-16,25576</t>
  </si>
  <si>
    <t>-47,94189</t>
  </si>
  <si>
    <t>UPA II - UPA DE LUZIANIA</t>
  </si>
  <si>
    <t>R. Joaquim Nabuco, s/n - Parque Estrela Dalva II</t>
  </si>
  <si>
    <t>-16,25238</t>
  </si>
  <si>
    <t>-47,91575</t>
  </si>
  <si>
    <t>UPA</t>
  </si>
  <si>
    <t>Estrela Dalva / Centro</t>
  </si>
  <si>
    <t>UPA I - UPA DO JARDIM INGÁ</t>
  </si>
  <si>
    <t>R. Portugal, 749-807 - Jardim do Inga</t>
  </si>
  <si>
    <t>-16,14757</t>
  </si>
  <si>
    <t>-47,95934</t>
  </si>
  <si>
    <t>QNT</t>
  </si>
  <si>
    <t>COLABORADOR</t>
  </si>
  <si>
    <t>CARGO</t>
  </si>
  <si>
    <t>CPF</t>
  </si>
  <si>
    <t xml:space="preserve">UNIDADE </t>
  </si>
  <si>
    <t>UNIDADE 2</t>
  </si>
  <si>
    <t>UNIDADE 3</t>
  </si>
  <si>
    <t>REGIME DE TRABALHO</t>
  </si>
  <si>
    <t>CRM</t>
  </si>
  <si>
    <t>Cod.</t>
  </si>
  <si>
    <t>Adm</t>
  </si>
  <si>
    <t>SITUAÇÃO</t>
  </si>
  <si>
    <t>Proventos MARÇO</t>
  </si>
  <si>
    <t>Descontos MARÇO</t>
  </si>
  <si>
    <t>Líquido MARÇO</t>
  </si>
  <si>
    <t>Proventos ABRIL</t>
  </si>
  <si>
    <t>Descontos ABRIL</t>
  </si>
  <si>
    <t>Líquido ABRIL</t>
  </si>
  <si>
    <t>Proventos MAIO</t>
  </si>
  <si>
    <t>Descontos MAIO</t>
  </si>
  <si>
    <t>Líquido MAIO</t>
  </si>
  <si>
    <t>ABIGAIL PINTO DE ALMEIDA</t>
  </si>
  <si>
    <t>TEC DE ENFERMAGEM</t>
  </si>
  <si>
    <t>331.598.741-68</t>
  </si>
  <si>
    <t>07/10/2025</t>
  </si>
  <si>
    <t>ATIVO</t>
  </si>
  <si>
    <t>5.029,00</t>
  </si>
  <si>
    <t>1.825,57</t>
  </si>
  <si>
    <t>3.203,43</t>
  </si>
  <si>
    <t>1.621,00</t>
  </si>
  <si>
    <t>121,57</t>
  </si>
  <si>
    <t>1.499,43</t>
  </si>
  <si>
    <t>ACACIA ARAUJO TEIXEIRA DE FREITAS</t>
  </si>
  <si>
    <t>ENFERMEIRO (A) RT</t>
  </si>
  <si>
    <t>000.286.991-81</t>
  </si>
  <si>
    <t>CTA-CENTRO DE TESTAGEM E ACONSELHA</t>
  </si>
  <si>
    <t>01/09/2025</t>
  </si>
  <si>
    <t>7.002,76</t>
  </si>
  <si>
    <t>1.729,88</t>
  </si>
  <si>
    <t>5.272,88</t>
  </si>
  <si>
    <t>4.369,44</t>
  </si>
  <si>
    <t>413,22</t>
  </si>
  <si>
    <t>3.956,22</t>
  </si>
  <si>
    <t>ADELAIDE PEREIRA CARDOSO</t>
  </si>
  <si>
    <t>438.824.551-87</t>
  </si>
  <si>
    <t>ADILIANE ALVES DE OLIVEIRA</t>
  </si>
  <si>
    <t>ENFERMEIRO (A)</t>
  </si>
  <si>
    <t>HMJI - HOSPITAL MUNICIPAL</t>
  </si>
  <si>
    <t>07/04/2026</t>
  </si>
  <si>
    <t>2.472,01</t>
  </si>
  <si>
    <t>198,16</t>
  </si>
  <si>
    <t>2.273,85</t>
  </si>
  <si>
    <t>ADLA SOARES SILVA</t>
  </si>
  <si>
    <t>041.801.951-78</t>
  </si>
  <si>
    <t>5.245,77</t>
  </si>
  <si>
    <t>1.826,84</t>
  </si>
  <si>
    <t>3.418,93</t>
  </si>
  <si>
    <t>1.823,62</t>
  </si>
  <si>
    <t>1.702,05</t>
  </si>
  <si>
    <t>ADRIANA DOS SANTOS BORGES</t>
  </si>
  <si>
    <t>973.349.523-91</t>
  </si>
  <si>
    <t>6.779,19</t>
  </si>
  <si>
    <t>1.963,68</t>
  </si>
  <si>
    <t>4.815,51</t>
  </si>
  <si>
    <t>4.316,67</t>
  </si>
  <si>
    <t>406,58</t>
  </si>
  <si>
    <t>3.910,09</t>
  </si>
  <si>
    <t>ADRIANA MENDONÇA DA SILVA</t>
  </si>
  <si>
    <t>019.241.341-44</t>
  </si>
  <si>
    <t>ADRIANA RODRIGUES VIDAL</t>
  </si>
  <si>
    <t>TEC EM RADIOLOGIA</t>
  </si>
  <si>
    <t>003.036.471-08</t>
  </si>
  <si>
    <t>4.618,44</t>
  </si>
  <si>
    <t>448,08</t>
  </si>
  <si>
    <t>4.170,36</t>
  </si>
  <si>
    <t>4.689,75</t>
  </si>
  <si>
    <t>458,06</t>
  </si>
  <si>
    <t>4.231,69</t>
  </si>
  <si>
    <t>AILTON RODRIGUES DA COSTA</t>
  </si>
  <si>
    <t>049.233.851-54</t>
  </si>
  <si>
    <t>SAMU LUZIANIA</t>
  </si>
  <si>
    <t>5.096,54</t>
  </si>
  <si>
    <t>3.270,97</t>
  </si>
  <si>
    <t>1.688,54</t>
  </si>
  <si>
    <t>593,19</t>
  </si>
  <si>
    <t>1.095,35</t>
  </si>
  <si>
    <t>ALESSANDRA DE OLIVEIRA RUSTIGUEL</t>
  </si>
  <si>
    <t>065.236.771-25</t>
  </si>
  <si>
    <t>EMAD - EQ. MULTIPROFISSIONAL DE APOIO</t>
  </si>
  <si>
    <t>6.066,66</t>
  </si>
  <si>
    <t>1.617,25</t>
  </si>
  <si>
    <t>4.449,41</t>
  </si>
  <si>
    <t>3.433,34</t>
  </si>
  <si>
    <t>502,00</t>
  </si>
  <si>
    <t>2.931,34</t>
  </si>
  <si>
    <t>ALINE ALVES DA ROCHA</t>
  </si>
  <si>
    <t>035.736.101-61</t>
  </si>
  <si>
    <t>5.141,63</t>
  </si>
  <si>
    <t>1.829,62</t>
  </si>
  <si>
    <t>3.312,01</t>
  </si>
  <si>
    <t>2.004,45</t>
  </si>
  <si>
    <t>150,00</t>
  </si>
  <si>
    <t>1.854,45</t>
  </si>
  <si>
    <t>ALINE DA SILVA ADONIAS GOMES</t>
  </si>
  <si>
    <t>826.969.001-59</t>
  </si>
  <si>
    <t>CAPS AD III-CENTRO DE ATENÇÃO PSICOSOCIA</t>
  </si>
  <si>
    <t>5.059,07</t>
  </si>
  <si>
    <t>1.828,27</t>
  </si>
  <si>
    <t>3.230,80</t>
  </si>
  <si>
    <t>1.636,76</t>
  </si>
  <si>
    <t>122,98</t>
  </si>
  <si>
    <t>1.513,78</t>
  </si>
  <si>
    <t>ALINE DE CAMPOS LIMA</t>
  </si>
  <si>
    <t>051.421.111-33</t>
  </si>
  <si>
    <t>5.306,99</t>
  </si>
  <si>
    <t>1.844,51</t>
  </si>
  <si>
    <t>3.462,48</t>
  </si>
  <si>
    <t>1.892,23</t>
  </si>
  <si>
    <t>139,90</t>
  </si>
  <si>
    <t>1.752,33</t>
  </si>
  <si>
    <t>ALINE DE FRANCA LEITE FERNANDES</t>
  </si>
  <si>
    <t>039.363.961-40</t>
  </si>
  <si>
    <t>5.164,08</t>
  </si>
  <si>
    <t>3.338,51</t>
  </si>
  <si>
    <t>1.756,08</t>
  </si>
  <si>
    <t>533,83</t>
  </si>
  <si>
    <t>1.222,25</t>
  </si>
  <si>
    <t>ALINE DE OLIVEIRA CUNHA</t>
  </si>
  <si>
    <t>918.831.481-20</t>
  </si>
  <si>
    <t>NVE - CENTRAL DE VIGILANGIA EPIDEMIOLOGI</t>
  </si>
  <si>
    <t>05/09/2025</t>
  </si>
  <si>
    <t>300,59</t>
  </si>
  <si>
    <t>3.132,75</t>
  </si>
  <si>
    <t>ALINE GOMES ALVES MACHADO</t>
  </si>
  <si>
    <t>ODONTOLOGO</t>
  </si>
  <si>
    <t>038.390.191-09</t>
  </si>
  <si>
    <t>CIS - CENTRO DE INSERÇÃO SOCIAL</t>
  </si>
  <si>
    <t>5.564,00</t>
  </si>
  <si>
    <t>703,15</t>
  </si>
  <si>
    <t>4.860,85</t>
  </si>
  <si>
    <t>1.723,24</t>
  </si>
  <si>
    <t>3.840,76</t>
  </si>
  <si>
    <t>ALINE GOMES PINHEIRO FREITAS</t>
  </si>
  <si>
    <t>073.653.856-93</t>
  </si>
  <si>
    <t>ALINE GONCALVES DE LIMA</t>
  </si>
  <si>
    <t>NUTRICIONISTA</t>
  </si>
  <si>
    <t>705.060.101-20</t>
  </si>
  <si>
    <t>UNIDADE DE ATENÇÃO A SAUDE MATERNO INFAN</t>
  </si>
  <si>
    <t>3.818,40</t>
  </si>
  <si>
    <t>346,79</t>
  </si>
  <si>
    <t>3.471,61</t>
  </si>
  <si>
    <t>ALINE MOREIRA DE FREITAS</t>
  </si>
  <si>
    <t>005.282.751-86</t>
  </si>
  <si>
    <t>1.566,97</t>
  </si>
  <si>
    <t>ALINE SHEILA BUENO E SILVA</t>
  </si>
  <si>
    <t>041.058.151-80</t>
  </si>
  <si>
    <t>6.409,99</t>
  </si>
  <si>
    <t>1.919,38</t>
  </si>
  <si>
    <t>4.490,61</t>
  </si>
  <si>
    <t>3.090,01</t>
  </si>
  <si>
    <t>259,39</t>
  </si>
  <si>
    <t>2.830,62</t>
  </si>
  <si>
    <t>ALINE VASCONCELOS</t>
  </si>
  <si>
    <t>025.059.891-41</t>
  </si>
  <si>
    <t>ALISSON ADRIANO RORIZ</t>
  </si>
  <si>
    <t>046.266.291-80</t>
  </si>
  <si>
    <t>GERENCIA DAS AÇÕES BASICAS</t>
  </si>
  <si>
    <t>5.061,36</t>
  </si>
  <si>
    <t>616,18</t>
  </si>
  <si>
    <t>4.445,18</t>
  </si>
  <si>
    <t>4.766,66</t>
  </si>
  <si>
    <t>468,83</t>
  </si>
  <si>
    <t>4.297,83</t>
  </si>
  <si>
    <t>ALMIRENE MARTINS OLIVEIRA</t>
  </si>
  <si>
    <t>028.496.281-31</t>
  </si>
  <si>
    <t>3.595,39</t>
  </si>
  <si>
    <t>320,03</t>
  </si>
  <si>
    <t>3.275,36</t>
  </si>
  <si>
    <t>ALVARO HENRIQUE SANTOS BORGES</t>
  </si>
  <si>
    <t>FARMACEUTICO (A) RT</t>
  </si>
  <si>
    <t>020.861.161-44</t>
  </si>
  <si>
    <t>5.192,40</t>
  </si>
  <si>
    <t>572,40</t>
  </si>
  <si>
    <t>4.620,00</t>
  </si>
  <si>
    <t>AMANDA CAROLINE PEREIRA DE JESUS</t>
  </si>
  <si>
    <t>023.235.231-39</t>
  </si>
  <si>
    <t>5.035,73</t>
  </si>
  <si>
    <t>612,59</t>
  </si>
  <si>
    <t>4.423,14</t>
  </si>
  <si>
    <t>AMANDA XAVIER DUARTE BATISTA</t>
  </si>
  <si>
    <t>034.656.791-21</t>
  </si>
  <si>
    <t>SMS - SECRETARIA MUNICIPAL DE SAUDE</t>
  </si>
  <si>
    <t>ANA JULIA FREIRE DUARTE</t>
  </si>
  <si>
    <t>070.747.041-21</t>
  </si>
  <si>
    <t>1.812,17</t>
  </si>
  <si>
    <t>4.254,49</t>
  </si>
  <si>
    <t>ANA KAROLINE GONCALVES DE SOUZA</t>
  </si>
  <si>
    <t>710.842.451-75</t>
  </si>
  <si>
    <t>1.887,32</t>
  </si>
  <si>
    <t>3.171,75</t>
  </si>
  <si>
    <t>1.652,53</t>
  </si>
  <si>
    <t>186,50</t>
  </si>
  <si>
    <t>1.466,03</t>
  </si>
  <si>
    <t>ANA LUCIA DA SILVA REZENDE</t>
  </si>
  <si>
    <t>002.817.411-90</t>
  </si>
  <si>
    <t>5.096,85</t>
  </si>
  <si>
    <t>1.825,59</t>
  </si>
  <si>
    <t>3.271,26</t>
  </si>
  <si>
    <t>1.689,53</t>
  </si>
  <si>
    <t>121,65</t>
  </si>
  <si>
    <t>1.567,88</t>
  </si>
  <si>
    <t>ANA LUCIA RODRIGUES DE SOUSA</t>
  </si>
  <si>
    <t>AUXILIAR DE ENFERMAGEM</t>
  </si>
  <si>
    <t>937.853.641-72</t>
  </si>
  <si>
    <t>3.264,08</t>
  </si>
  <si>
    <t>923,94</t>
  </si>
  <si>
    <t>2.340,14</t>
  </si>
  <si>
    <t>1.634,51</t>
  </si>
  <si>
    <t>ANA LUIZA RAMOS DO NASCIMENTO</t>
  </si>
  <si>
    <t>706.896.371-44</t>
  </si>
  <si>
    <t>1.871,13</t>
  </si>
  <si>
    <t>144,08</t>
  </si>
  <si>
    <t>1.727,05</t>
  </si>
  <si>
    <t>ANA MARIA NOGUEIRA DE VASCONCELOS SANTOS</t>
  </si>
  <si>
    <t>TEC EM NECROPSIA</t>
  </si>
  <si>
    <t>949.000.511-87</t>
  </si>
  <si>
    <t>SVO - SERVIÇO DE VERIFICAÇÃO DE OBITOS</t>
  </si>
  <si>
    <t>3.180,40</t>
  </si>
  <si>
    <t>579,24</t>
  </si>
  <si>
    <t>2.601,16</t>
  </si>
  <si>
    <t>3.200,88</t>
  </si>
  <si>
    <t>581,70</t>
  </si>
  <si>
    <t>2.619,18</t>
  </si>
  <si>
    <t>ANA MARIA RODRIGUES DOS SANTOS</t>
  </si>
  <si>
    <t>AUX DE FARMACIA</t>
  </si>
  <si>
    <t>031.695.551-54</t>
  </si>
  <si>
    <t>2.035,50</t>
  </si>
  <si>
    <t>158,87</t>
  </si>
  <si>
    <t>1.876,63</t>
  </si>
  <si>
    <t>2.062,50</t>
  </si>
  <si>
    <t>161,30</t>
  </si>
  <si>
    <t>1.901,20</t>
  </si>
  <si>
    <t>ANA PAULA ALVES DE OLIVEIRA</t>
  </si>
  <si>
    <t>886.825.791-20</t>
  </si>
  <si>
    <t>ANA PAULA DE OLIVEIRA</t>
  </si>
  <si>
    <t>881.945.741-53</t>
  </si>
  <si>
    <t>5.053,29</t>
  </si>
  <si>
    <t>2.407,81</t>
  </si>
  <si>
    <t>2.645,48</t>
  </si>
  <si>
    <t>701,99</t>
  </si>
  <si>
    <t>919,01</t>
  </si>
  <si>
    <t>ANA PAULA NOGUEIRA DE SOUSA</t>
  </si>
  <si>
    <t>TECNICO DE RADIOLOGIA</t>
  </si>
  <si>
    <t>068.204.944-16</t>
  </si>
  <si>
    <t>4.754,37</t>
  </si>
  <si>
    <t>467,11</t>
  </si>
  <si>
    <t>4.287,26</t>
  </si>
  <si>
    <t>ANDRE LUIS FERREIRA ROCHA</t>
  </si>
  <si>
    <t>PSICOLOGO</t>
  </si>
  <si>
    <t>936.575.601-49</t>
  </si>
  <si>
    <t>4.836,00</t>
  </si>
  <si>
    <t>478,54</t>
  </si>
  <si>
    <t>4.357,46</t>
  </si>
  <si>
    <t>1.321,70</t>
  </si>
  <si>
    <t>3.514,30</t>
  </si>
  <si>
    <t>ANDRE LUIZ DOS SANTOS</t>
  </si>
  <si>
    <t>ENFERMEIRO (A) ASSIST</t>
  </si>
  <si>
    <t>052.290.351-70</t>
  </si>
  <si>
    <t>3.142,67</t>
  </si>
  <si>
    <t>265,70</t>
  </si>
  <si>
    <t>2.876,97</t>
  </si>
  <si>
    <t>ANDRESSA SANTOS DE FREITAS</t>
  </si>
  <si>
    <t>049.370.361-65</t>
  </si>
  <si>
    <t>4.280,00</t>
  </si>
  <si>
    <t>402,18</t>
  </si>
  <si>
    <t>3.877,82</t>
  </si>
  <si>
    <t>ANDREZA MAFRA BEZERRA</t>
  </si>
  <si>
    <t>015.199.821-35</t>
  </si>
  <si>
    <t>5.239,45</t>
  </si>
  <si>
    <t>2.038,03</t>
  </si>
  <si>
    <t>3.201,42</t>
  </si>
  <si>
    <t>1.841,64</t>
  </si>
  <si>
    <t>384,11</t>
  </si>
  <si>
    <t>1.457,53</t>
  </si>
  <si>
    <t>ANDREZA SOUSA SIQUEIRA</t>
  </si>
  <si>
    <t>052.666.951-96</t>
  </si>
  <si>
    <t>ANGEL WELS RODRIGUES DA SILVA</t>
  </si>
  <si>
    <t>068.192.111-04</t>
  </si>
  <si>
    <t>CENTRAL DE REMOÇÕES</t>
  </si>
  <si>
    <t>5.029,16</t>
  </si>
  <si>
    <t>1.825,58</t>
  </si>
  <si>
    <t>3.203,58</t>
  </si>
  <si>
    <t>1.623,56</t>
  </si>
  <si>
    <t>121,80</t>
  </si>
  <si>
    <t>1.501,76</t>
  </si>
  <si>
    <t>ANNY KAROLLINY SANGALI MOREIRA</t>
  </si>
  <si>
    <t>046.757.431-61</t>
  </si>
  <si>
    <t>ANTONIA LIMA DE OLIVEIRA</t>
  </si>
  <si>
    <t>635.761.711-34</t>
  </si>
  <si>
    <t>5.407,06</t>
  </si>
  <si>
    <t>1.859,59</t>
  </si>
  <si>
    <t>3.547,47</t>
  </si>
  <si>
    <t>2.297,04</t>
  </si>
  <si>
    <t>182,41</t>
  </si>
  <si>
    <t>2.114,63</t>
  </si>
  <si>
    <t>ANTONIA NEIDE TEIXEIRA DA SILVA</t>
  </si>
  <si>
    <t>003.643.231-83</t>
  </si>
  <si>
    <t>5.044,03</t>
  </si>
  <si>
    <t>1.826,92</t>
  </si>
  <si>
    <t>3.217,11</t>
  </si>
  <si>
    <t>124,40</t>
  </si>
  <si>
    <t>1.528,13</t>
  </si>
  <si>
    <t>ANTONISIA MARIA DE OLIVEIRA ROSA</t>
  </si>
  <si>
    <t>341.641.111-00</t>
  </si>
  <si>
    <t>APARECIDA GOMES PEREIRA FONTELES</t>
  </si>
  <si>
    <t>014.204.521-77</t>
  </si>
  <si>
    <t>11/02/2026</t>
  </si>
  <si>
    <t>3.325,00</t>
  </si>
  <si>
    <t>APARECIDA MOREIRA BERTOLDO</t>
  </si>
  <si>
    <t>397.347.491-53</t>
  </si>
  <si>
    <t>APARECIDA SHAMANDA SANTOS PASTANA</t>
  </si>
  <si>
    <t>039.207.103-71</t>
  </si>
  <si>
    <t>ARACELES MACHADO DE OLIVEIRA</t>
  </si>
  <si>
    <t>02/04/2026</t>
  </si>
  <si>
    <t>INATIVOS</t>
  </si>
  <si>
    <t>1.054,99</t>
  </si>
  <si>
    <t>0,00</t>
  </si>
  <si>
    <t>ARIELLE TEIXEIRA RESENDE</t>
  </si>
  <si>
    <t>FISIOTERAPEUTA</t>
  </si>
  <si>
    <t>056.783.301-10</t>
  </si>
  <si>
    <t>CAIS-CENTRO DE ATENDIMENTO INTEGRADO A S</t>
  </si>
  <si>
    <t>17/12/2025</t>
  </si>
  <si>
    <t>2.800,00</t>
  </si>
  <si>
    <t>227,68</t>
  </si>
  <si>
    <t>2.572,32</t>
  </si>
  <si>
    <t>ARIELLY LORRANY BOAVENTURA SILVA ANTUNES</t>
  </si>
  <si>
    <t>016.169.461-64</t>
  </si>
  <si>
    <t>3.181,77</t>
  </si>
  <si>
    <t>270,40</t>
  </si>
  <si>
    <t>2.911,37</t>
  </si>
  <si>
    <t>ATAISIA SANTOS SANTIAGO</t>
  </si>
  <si>
    <t>050.448.165-74</t>
  </si>
  <si>
    <t>BARBARA ARAUJO VAZ</t>
  </si>
  <si>
    <t>COORDENADOR(a) PSICOLOGA</t>
  </si>
  <si>
    <t>049.137.891-20</t>
  </si>
  <si>
    <t>CAPS II - CENTRO PSICOSOCIAL TIPO II</t>
  </si>
  <si>
    <t>5.700,60</t>
  </si>
  <si>
    <t>871,93</t>
  </si>
  <si>
    <t>4.828,67</t>
  </si>
  <si>
    <t>BARBARA FERNANDES MAIA BALBINO</t>
  </si>
  <si>
    <t>035.246.071-79</t>
  </si>
  <si>
    <t>3.250,38</t>
  </si>
  <si>
    <t>1.225,77</t>
  </si>
  <si>
    <t>2.024,61</t>
  </si>
  <si>
    <t>3.371,63</t>
  </si>
  <si>
    <t>1.240,32</t>
  </si>
  <si>
    <t>2.131,31</t>
  </si>
  <si>
    <t>BARBARA KALLINE CARNEIRO DE CARVALHO</t>
  </si>
  <si>
    <t>017.870.601-95</t>
  </si>
  <si>
    <t>3.091,39</t>
  </si>
  <si>
    <t>259,55</t>
  </si>
  <si>
    <t>2.831,84</t>
  </si>
  <si>
    <t>BEATRIZ DE JESUS DA SILVA FERREIRA</t>
  </si>
  <si>
    <t>117,52</t>
  </si>
  <si>
    <t>1.449,45</t>
  </si>
  <si>
    <t>BEATRIZ RIBEIRO MOREIRA</t>
  </si>
  <si>
    <t>039.723.901-73</t>
  </si>
  <si>
    <t>BENEDITA SOUSA MELO RESENDE</t>
  </si>
  <si>
    <t>761.673.721-87</t>
  </si>
  <si>
    <t>6.410,82</t>
  </si>
  <si>
    <t>1.919,48</t>
  </si>
  <si>
    <t>4.491,34</t>
  </si>
  <si>
    <t>3.709,70</t>
  </si>
  <si>
    <t>495,15</t>
  </si>
  <si>
    <t>3.214,55</t>
  </si>
  <si>
    <t>BIANCA PEREIRA DOS SANTOS</t>
  </si>
  <si>
    <t>FARMACEUTICO (A)</t>
  </si>
  <si>
    <t>709.176.811-69</t>
  </si>
  <si>
    <t>4.327,00</t>
  </si>
  <si>
    <t>407,82</t>
  </si>
  <si>
    <t>3.919,18</t>
  </si>
  <si>
    <t>BIANCA PEREIRA RODRIGUES</t>
  </si>
  <si>
    <t>051.152.203-77</t>
  </si>
  <si>
    <t>02/02/2026</t>
  </si>
  <si>
    <t>4.559,54</t>
  </si>
  <si>
    <t>1.523,30</t>
  </si>
  <si>
    <t>3.036,24</t>
  </si>
  <si>
    <t>BLITON MALEY OLIVEIRA</t>
  </si>
  <si>
    <t>280.127.631-68</t>
  </si>
  <si>
    <t>BRENDA ALVES JESSER</t>
  </si>
  <si>
    <t>059.176.921-22</t>
  </si>
  <si>
    <t>3.433,77</t>
  </si>
  <si>
    <t>300,64</t>
  </si>
  <si>
    <t>3.133,13</t>
  </si>
  <si>
    <t>BRENDA POLLYANNA BRANDAO LIMA DA SILVA</t>
  </si>
  <si>
    <t>AUXILIAR EM SAUDE BUCAL</t>
  </si>
  <si>
    <t>710.311.591-50</t>
  </si>
  <si>
    <t>BRENDHA APARECIDA MACHADO GOMES</t>
  </si>
  <si>
    <t>035.942.611-58</t>
  </si>
  <si>
    <t>BRENDHA XAVIER DA SILVA</t>
  </si>
  <si>
    <t>074.868.221-05</t>
  </si>
  <si>
    <t>01/11/2025</t>
  </si>
  <si>
    <t>BRENO FERREIRA</t>
  </si>
  <si>
    <t>044.127.311-46</t>
  </si>
  <si>
    <t>BRUNA ARIADENE OLIVEIRA PIRES CARVALHO</t>
  </si>
  <si>
    <t>AUXILIAR DE FARMACIA</t>
  </si>
  <si>
    <t>026.987.831-92</t>
  </si>
  <si>
    <t>1.983,62</t>
  </si>
  <si>
    <t>275,29</t>
  </si>
  <si>
    <t>1.708,33</t>
  </si>
  <si>
    <t>282,39</t>
  </si>
  <si>
    <t>1.780,11</t>
  </si>
  <si>
    <t>BRUNA BATISTA VELOSO DA SILVA</t>
  </si>
  <si>
    <t>036.711.421-62</t>
  </si>
  <si>
    <t>BRUNA LIMA DOS SANTOS</t>
  </si>
  <si>
    <t>709.302.401-70</t>
  </si>
  <si>
    <t>BRUNA LUIZA DE OLIVEIRA SILVA</t>
  </si>
  <si>
    <t>034.641.061-44</t>
  </si>
  <si>
    <t>4.863,68</t>
  </si>
  <si>
    <t>482,41</t>
  </si>
  <si>
    <t>4.381,27</t>
  </si>
  <si>
    <t>BRUNA MEIRELES CAMPOS SOARES</t>
  </si>
  <si>
    <t>699.067.851-87</t>
  </si>
  <si>
    <t>BRUNA MOREIRA DE CARVALHO</t>
  </si>
  <si>
    <t>951.756.281-00</t>
  </si>
  <si>
    <t>PNAISAIRI</t>
  </si>
  <si>
    <t>4.639,25</t>
  </si>
  <si>
    <t>1.427,41</t>
  </si>
  <si>
    <t>BRUNA MUNIZ DOS SANTOS</t>
  </si>
  <si>
    <t>062.710.271-99</t>
  </si>
  <si>
    <t>5.238,25</t>
  </si>
  <si>
    <t>1.844,40</t>
  </si>
  <si>
    <t>3.393,85</t>
  </si>
  <si>
    <t>1.856,39</t>
  </si>
  <si>
    <t>142,75</t>
  </si>
  <si>
    <t>1.713,64</t>
  </si>
  <si>
    <t>BRUNO CLAYBERT DE JESUS MENEZES</t>
  </si>
  <si>
    <t>577.352.121-00</t>
  </si>
  <si>
    <t>CPP - CENTRO DE PRISÃO PROVISORIA</t>
  </si>
  <si>
    <t>7.096,66</t>
  </si>
  <si>
    <t>1.743,02</t>
  </si>
  <si>
    <t>5.353,64</t>
  </si>
  <si>
    <t>4.463,34</t>
  </si>
  <si>
    <t>426,36</t>
  </si>
  <si>
    <t>4.036,98</t>
  </si>
  <si>
    <t>BRUNO CORREIA DE ARAUJO</t>
  </si>
  <si>
    <t>081.830.771-45</t>
  </si>
  <si>
    <t>CAF - CENTRO DE ABASTECIMENTO FARMACETIC</t>
  </si>
  <si>
    <t>1.800,00</t>
  </si>
  <si>
    <t>137,68</t>
  </si>
  <si>
    <t>1.662,32</t>
  </si>
  <si>
    <t>BYANKA FERREIRA DE ALMEIDA</t>
  </si>
  <si>
    <t>056.286.771-67</t>
  </si>
  <si>
    <t>5.179,11</t>
  </si>
  <si>
    <t>3.352,19</t>
  </si>
  <si>
    <t>CAMILA CHAVES DE MACEDO</t>
  </si>
  <si>
    <t>986.542.091-00</t>
  </si>
  <si>
    <t>CARLA DIAS LISBOA</t>
  </si>
  <si>
    <t>046.805.391-35</t>
  </si>
  <si>
    <t>CARLA HENRIQUE DE LIMA</t>
  </si>
  <si>
    <t>011.628.501-08</t>
  </si>
  <si>
    <t>UAI - UNIDADE DE ACOLHIMENTO INFANTO JUV</t>
  </si>
  <si>
    <t>5.399,63</t>
  </si>
  <si>
    <t>1.858,92</t>
  </si>
  <si>
    <t>3.540,71</t>
  </si>
  <si>
    <t>2.023,05</t>
  </si>
  <si>
    <t>506,73</t>
  </si>
  <si>
    <t>1.516,32</t>
  </si>
  <si>
    <t>CARLA POLIANA CHAVES SOUTO</t>
  </si>
  <si>
    <t>044.713.601-16</t>
  </si>
  <si>
    <t>6.775,06</t>
  </si>
  <si>
    <t>2.388,04</t>
  </si>
  <si>
    <t>4.387,02</t>
  </si>
  <si>
    <t>3.468,52</t>
  </si>
  <si>
    <t>729,67</t>
  </si>
  <si>
    <t>2.738,85</t>
  </si>
  <si>
    <t>CARLOS WELLINGTON DE OLIVEIRA</t>
  </si>
  <si>
    <t>578.573.931-34</t>
  </si>
  <si>
    <t>5.213,54</t>
  </si>
  <si>
    <t>1.931,26</t>
  </si>
  <si>
    <t>3.282,28</t>
  </si>
  <si>
    <t>1.877,65</t>
  </si>
  <si>
    <t>138,58</t>
  </si>
  <si>
    <t>1.739,07</t>
  </si>
  <si>
    <t>CAROLINA ESPINDOLA DE OLIVEIRA</t>
  </si>
  <si>
    <t>017.159.181-00</t>
  </si>
  <si>
    <t>CAROLINE MOROZOFF LIMA</t>
  </si>
  <si>
    <t>991.977.901-68</t>
  </si>
  <si>
    <t>6.811,17</t>
  </si>
  <si>
    <t>3.169,25</t>
  </si>
  <si>
    <t>3.641,92</t>
  </si>
  <si>
    <t>3.450,51</t>
  </si>
  <si>
    <t>1.483,64</t>
  </si>
  <si>
    <t>1.966,87</t>
  </si>
  <si>
    <t>CELIA MARIA CRISPIM PEREIRA</t>
  </si>
  <si>
    <t>006.438.701-13</t>
  </si>
  <si>
    <t>CELIO DE MORAIS SOUZA</t>
  </si>
  <si>
    <t>967.111.081-91</t>
  </si>
  <si>
    <t>4.375,01</t>
  </si>
  <si>
    <t>414,00</t>
  </si>
  <si>
    <t>3.961,01</t>
  </si>
  <si>
    <t>4.431,26</t>
  </si>
  <si>
    <t>421,87</t>
  </si>
  <si>
    <t>4.009,39</t>
  </si>
  <si>
    <t>CINARIA ANE OLIVEIRA LEITE</t>
  </si>
  <si>
    <t>074.116.514-78</t>
  </si>
  <si>
    <t>CIRLENE NASCIMENTO TEIXEIRA</t>
  </si>
  <si>
    <t>004.704.661-97</t>
  </si>
  <si>
    <t>1.621,54</t>
  </si>
  <si>
    <t>121,61</t>
  </si>
  <si>
    <t>1.499,93</t>
  </si>
  <si>
    <t>CLAUDIA MARIA DE OLIVEIRA MATOS</t>
  </si>
  <si>
    <t>ASSISTENTE SOCIAL</t>
  </si>
  <si>
    <t>599.101.431-00</t>
  </si>
  <si>
    <t>3.000,00</t>
  </si>
  <si>
    <t>686,00</t>
  </si>
  <si>
    <t>2.314,00</t>
  </si>
  <si>
    <t>248,58</t>
  </si>
  <si>
    <t>2.751,42</t>
  </si>
  <si>
    <t>CLAUDIANE RUFINO TEIXEIRA</t>
  </si>
  <si>
    <t>019.465.321-85</t>
  </si>
  <si>
    <t>CLECIA FIALHO BATISTA</t>
  </si>
  <si>
    <t>034.447.781-98</t>
  </si>
  <si>
    <t>CLEILTON GOMES DA SILVA</t>
  </si>
  <si>
    <t>055.324.511-25</t>
  </si>
  <si>
    <t>5.062,83</t>
  </si>
  <si>
    <t>1.685,76</t>
  </si>
  <si>
    <t>3.377,07</t>
  </si>
  <si>
    <t>5.932,01</t>
  </si>
  <si>
    <t>2.061,33</t>
  </si>
  <si>
    <t>3.870,68</t>
  </si>
  <si>
    <t>CLEISE MATOS CORREA</t>
  </si>
  <si>
    <t>012.510.061-24</t>
  </si>
  <si>
    <t>15/11/2025</t>
  </si>
  <si>
    <t>5.889,68</t>
  </si>
  <si>
    <t>1.528,76</t>
  </si>
  <si>
    <t>4.360,92</t>
  </si>
  <si>
    <t>4.463,33</t>
  </si>
  <si>
    <t>4.036,97</t>
  </si>
  <si>
    <t>CLEO ANITA MOREIRA CAMELO</t>
  </si>
  <si>
    <t>546.557.061-04</t>
  </si>
  <si>
    <t>5.238,33</t>
  </si>
  <si>
    <t>3.393,93</t>
  </si>
  <si>
    <t>1.871,99</t>
  </si>
  <si>
    <t>144,15</t>
  </si>
  <si>
    <t>1.727,84</t>
  </si>
  <si>
    <t>CLEUSA DE SOUSA BERTOLDO FERREIRA</t>
  </si>
  <si>
    <t>039.396.446-92</t>
  </si>
  <si>
    <t>CRISLAYNE DE SOUZA FREIRE</t>
  </si>
  <si>
    <t>023.895.721-70</t>
  </si>
  <si>
    <t>CRISTIANA FERNANDES ROCHA</t>
  </si>
  <si>
    <t>702.108.741-12</t>
  </si>
  <si>
    <t>23/02/2026</t>
  </si>
  <si>
    <t>3.172,00</t>
  </si>
  <si>
    <t>395,68</t>
  </si>
  <si>
    <t>2.776,32</t>
  </si>
  <si>
    <t>CRISTIANE ARAUJO DE MORAIS</t>
  </si>
  <si>
    <t>955.481.491-72</t>
  </si>
  <si>
    <t>CRISTIANE DE SOUZA LEMOS</t>
  </si>
  <si>
    <t>997.118.341-20</t>
  </si>
  <si>
    <t>SAMU JARDIM INGÁ</t>
  </si>
  <si>
    <t>2.190,71</t>
  </si>
  <si>
    <t>3.048,74</t>
  </si>
  <si>
    <t>1.857,40</t>
  </si>
  <si>
    <t>489,04</t>
  </si>
  <si>
    <t>1.368,36</t>
  </si>
  <si>
    <t>CRISTIANE GOMES MOREIRA ALMEIDA</t>
  </si>
  <si>
    <t>036.848.111-57</t>
  </si>
  <si>
    <t>CRISTIANE TENORIO DA SILVA RODRIGUES</t>
  </si>
  <si>
    <t>004.374.731-04</t>
  </si>
  <si>
    <t>DAIANA SOUTO BARBOSA DE QUEIROZ</t>
  </si>
  <si>
    <t>939.299.191-68</t>
  </si>
  <si>
    <t>825,07</t>
  </si>
  <si>
    <t>3.501,93</t>
  </si>
  <si>
    <t>DAIANE ALVES VAZ GOMES</t>
  </si>
  <si>
    <t>936.615.091-87</t>
  </si>
  <si>
    <t>5.238,57</t>
  </si>
  <si>
    <t>1.844,43</t>
  </si>
  <si>
    <t>3.394,14</t>
  </si>
  <si>
    <t>142,84</t>
  </si>
  <si>
    <t>1.714,56</t>
  </si>
  <si>
    <t>DAIANE CRISTINA ESPINDOLA DA SILVA</t>
  </si>
  <si>
    <t>081.855.641-24</t>
  </si>
  <si>
    <t>521,42</t>
  </si>
  <si>
    <t>1.099,58</t>
  </si>
  <si>
    <t>DAISY DE CARVALHO RORIZ</t>
  </si>
  <si>
    <t>064.098.871-75</t>
  </si>
  <si>
    <t>DALILA ELIAS SOUZA CARNEIRO</t>
  </si>
  <si>
    <t>012.414.161-76</t>
  </si>
  <si>
    <t>DANIEL ALVES NASCIMENTO AMORIM</t>
  </si>
  <si>
    <t>022.027.261-10</t>
  </si>
  <si>
    <t>1.873,94</t>
  </si>
  <si>
    <t>3.222,60</t>
  </si>
  <si>
    <t>DANIELA ABREU DOS SANTOS</t>
  </si>
  <si>
    <t>010.249.371-51</t>
  </si>
  <si>
    <t>DANIELA CESAR SILVA</t>
  </si>
  <si>
    <t>051.968.261-06</t>
  </si>
  <si>
    <t>DANIELE CRISTINA DE SOUZA</t>
  </si>
  <si>
    <t>039.957.701-77</t>
  </si>
  <si>
    <t>26/11/2025</t>
  </si>
  <si>
    <t>DANIELLA FREIRE CARVALHO PICCIRILLI</t>
  </si>
  <si>
    <t>026.876.351-89</t>
  </si>
  <si>
    <t>CEO - CENTRO DE ESPECIALIDADES ODONTOLOG</t>
  </si>
  <si>
    <t>5.309,13</t>
  </si>
  <si>
    <t>626,87</t>
  </si>
  <si>
    <t>4.682,26</t>
  </si>
  <si>
    <t>5.136,00</t>
  </si>
  <si>
    <t>1.546,08</t>
  </si>
  <si>
    <t>3.589,92</t>
  </si>
  <si>
    <t>DANIELLE ABREU SOUZA</t>
  </si>
  <si>
    <t>062.713.821-77</t>
  </si>
  <si>
    <t>DANUBIA SAAVEDRA DA SILVA SOUSA</t>
  </si>
  <si>
    <t>026.302.251-00</t>
  </si>
  <si>
    <t>DAVID JHERISTON CAMPOS VELOSO</t>
  </si>
  <si>
    <t>074.374.181-18</t>
  </si>
  <si>
    <t>1.633,52</t>
  </si>
  <si>
    <t>2.646,48</t>
  </si>
  <si>
    <t>DAYANA KELLY DA SILVA</t>
  </si>
  <si>
    <t>072.780.661-07</t>
  </si>
  <si>
    <t>DAYANE RODRIGUES DE LIMA</t>
  </si>
  <si>
    <t>028.774.481-77</t>
  </si>
  <si>
    <t>DEBORA DA ROCHA PEREIRA</t>
  </si>
  <si>
    <t>031.050.281-02</t>
  </si>
  <si>
    <t>DEBORA MEIRELES AFFONSO SILVA</t>
  </si>
  <si>
    <t>056.627.061-74</t>
  </si>
  <si>
    <t>569,24</t>
  </si>
  <si>
    <t>4.566,76</t>
  </si>
  <si>
    <t>4.993,33</t>
  </si>
  <si>
    <t>500,56</t>
  </si>
  <si>
    <t>4.492,77</t>
  </si>
  <si>
    <t>DELIA LIMA DE MENDONCA</t>
  </si>
  <si>
    <t>590.957.681-04</t>
  </si>
  <si>
    <t>5.626,74</t>
  </si>
  <si>
    <t>1.879,36</t>
  </si>
  <si>
    <t>3.747,38</t>
  </si>
  <si>
    <t>141,42</t>
  </si>
  <si>
    <t>1.700,22</t>
  </si>
  <si>
    <t>DELIMAR LOPES DA SILVA</t>
  </si>
  <si>
    <t>493.048.521-53</t>
  </si>
  <si>
    <t>2.116,41</t>
  </si>
  <si>
    <t>2.912,59</t>
  </si>
  <si>
    <t>610,90</t>
  </si>
  <si>
    <t>1.010,10</t>
  </si>
  <si>
    <t>DENISE SILVA DE MELO FERREIRA</t>
  </si>
  <si>
    <t>037.424.061-24</t>
  </si>
  <si>
    <t>3.639,34</t>
  </si>
  <si>
    <t>325,31</t>
  </si>
  <si>
    <t>3.314,03</t>
  </si>
  <si>
    <t>DEUSERAN VIEIRA DE FRANÇA</t>
  </si>
  <si>
    <t>045.735.554-98</t>
  </si>
  <si>
    <t>DIANACY SILVA MEIRELES</t>
  </si>
  <si>
    <t>606.460.653-35</t>
  </si>
  <si>
    <t>2.938,05</t>
  </si>
  <si>
    <t>2.090,95</t>
  </si>
  <si>
    <t>DINAMAR SILVA DOS SANTOS</t>
  </si>
  <si>
    <t>710.212.053-20</t>
  </si>
  <si>
    <t>DIVIMARA CRISTINA ABREU BRAZ</t>
  </si>
  <si>
    <t>FONOAUDIOLOGO</t>
  </si>
  <si>
    <t>645.084.391-87</t>
  </si>
  <si>
    <t>CLINICA DE ESPECIALIDADES</t>
  </si>
  <si>
    <t>DIVINA ANGELICA DA SILVA SOUZA</t>
  </si>
  <si>
    <t>030.144.641-55</t>
  </si>
  <si>
    <t>519,45</t>
  </si>
  <si>
    <t>1.101,55</t>
  </si>
  <si>
    <t>DIVINA RICARDINA DE OLIVEIRA</t>
  </si>
  <si>
    <t>691.536.716-00</t>
  </si>
  <si>
    <t>DORIS MEIRELES DE PAULA</t>
  </si>
  <si>
    <t>628.983.371-53</t>
  </si>
  <si>
    <t>PRESIDIO FEMININO</t>
  </si>
  <si>
    <t>4.800,00</t>
  </si>
  <si>
    <t>473,50</t>
  </si>
  <si>
    <t>4.326,50</t>
  </si>
  <si>
    <t>DRIELE LANA VIEIRA DE SOUZA</t>
  </si>
  <si>
    <t>703.947.211-28</t>
  </si>
  <si>
    <t>EDILENE FERREIRA DE SOUSA</t>
  </si>
  <si>
    <t>903.180.991-87</t>
  </si>
  <si>
    <t>EDILEUSA MOREIRA DA SILVA</t>
  </si>
  <si>
    <t>001.674.401-28</t>
  </si>
  <si>
    <t>EDILEUZA BRITO DOS SANTOS SILVA</t>
  </si>
  <si>
    <t>032.685.465-79</t>
  </si>
  <si>
    <t>CER-CENTRO DE REABILITAÇÃO</t>
  </si>
  <si>
    <t>EDINEIA VIEIRA DE BRITO</t>
  </si>
  <si>
    <t>906.580.781-00</t>
  </si>
  <si>
    <t>13/10/2025</t>
  </si>
  <si>
    <t>5.374,53</t>
  </si>
  <si>
    <t>3.530,02</t>
  </si>
  <si>
    <t>1.992,48</t>
  </si>
  <si>
    <t>1.849,64</t>
  </si>
  <si>
    <t>EDIVANDA MARTINS DE MEDEIROS</t>
  </si>
  <si>
    <t>644.178.831-49</t>
  </si>
  <si>
    <t>EDMAR FONSECA GOMES</t>
  </si>
  <si>
    <t>896.746.181-04</t>
  </si>
  <si>
    <t>1.860,21</t>
  </si>
  <si>
    <t>2.758,23</t>
  </si>
  <si>
    <t>1.751,05</t>
  </si>
  <si>
    <t>2.938,70</t>
  </si>
  <si>
    <t>EDNA ALVES DE OLIVEIRA</t>
  </si>
  <si>
    <t>640.965.801-04</t>
  </si>
  <si>
    <t>5.194,36</t>
  </si>
  <si>
    <t>2.179,27</t>
  </si>
  <si>
    <t>3.015,09</t>
  </si>
  <si>
    <t>1.839,76</t>
  </si>
  <si>
    <t>666,97</t>
  </si>
  <si>
    <t>1.172,79</t>
  </si>
  <si>
    <t>EDNA PAULA FONSECA DE FARIA</t>
  </si>
  <si>
    <t>079.403.136-65</t>
  </si>
  <si>
    <t>2.306,54</t>
  </si>
  <si>
    <t>2.722,46</t>
  </si>
  <si>
    <t>602,54</t>
  </si>
  <si>
    <t>1.018,46</t>
  </si>
  <si>
    <t>EDNA PINHEIRO DE ARAUJO</t>
  </si>
  <si>
    <t>010.652.301-50</t>
  </si>
  <si>
    <t>1.939,03</t>
  </si>
  <si>
    <t>144,11</t>
  </si>
  <si>
    <t>1.794,92</t>
  </si>
  <si>
    <t>EDNA SOUZA DE OLIVEIRA</t>
  </si>
  <si>
    <t>706.235.861-42</t>
  </si>
  <si>
    <t>EDNEIA BUENO MEIRELES GOMES</t>
  </si>
  <si>
    <t>973.873.471-15</t>
  </si>
  <si>
    <t>EDYLANDO FERREIRA LOPES</t>
  </si>
  <si>
    <t>034.303.971-03</t>
  </si>
  <si>
    <t>ELAINE ALVES GOMES TORRES</t>
  </si>
  <si>
    <t>004.575.851-45</t>
  </si>
  <si>
    <t>ELAINE DA SILVA GONCALVES</t>
  </si>
  <si>
    <t>640.938.911-68</t>
  </si>
  <si>
    <t>5.438,75</t>
  </si>
  <si>
    <t>1.862,44</t>
  </si>
  <si>
    <t>3.576,31</t>
  </si>
  <si>
    <t>2.260,40</t>
  </si>
  <si>
    <t>179,11</t>
  </si>
  <si>
    <t>2.081,29</t>
  </si>
  <si>
    <t>ELCIANE VIEIRA DA SILVA</t>
  </si>
  <si>
    <t>000.644.981-66</t>
  </si>
  <si>
    <t>4.624,78</t>
  </si>
  <si>
    <t>1.927,52</t>
  </si>
  <si>
    <t>2.697,26</t>
  </si>
  <si>
    <t>ELENICE ALVES DE OLIVEIRA</t>
  </si>
  <si>
    <t>649.460.611-34</t>
  </si>
  <si>
    <t>ELEUSA MOREIRA DA SILVA</t>
  </si>
  <si>
    <t>955.570.831-20</t>
  </si>
  <si>
    <t>ELIANA DE FATIMA OLIVEIRA CARDOZO</t>
  </si>
  <si>
    <t>243.630.901-97</t>
  </si>
  <si>
    <t>5.239,77</t>
  </si>
  <si>
    <t>1.844,53</t>
  </si>
  <si>
    <t>3.395,24</t>
  </si>
  <si>
    <t>1.871,49</t>
  </si>
  <si>
    <t>1.727,38</t>
  </si>
  <si>
    <t>ELIANE DA SILVA BOTELHO JESUS</t>
  </si>
  <si>
    <t>645.084.551-15</t>
  </si>
  <si>
    <t>ELIANE DE JESUS TAVARES MATOS</t>
  </si>
  <si>
    <t>863.653.551-49</t>
  </si>
  <si>
    <t>CASA DE PASSAGEM</t>
  </si>
  <si>
    <t>5.806,56</t>
  </si>
  <si>
    <t>1.895,55</t>
  </si>
  <si>
    <t>3.911,01</t>
  </si>
  <si>
    <t>2.371,99</t>
  </si>
  <si>
    <t>189,15</t>
  </si>
  <si>
    <t>2.182,84</t>
  </si>
  <si>
    <t>ELIANE GONÇALVES DE SOUZA</t>
  </si>
  <si>
    <t>798.987.691-49</t>
  </si>
  <si>
    <t>1.524,67</t>
  </si>
  <si>
    <t>3.536,69</t>
  </si>
  <si>
    <t>1.377,32</t>
  </si>
  <si>
    <t>3.389,34</t>
  </si>
  <si>
    <t>ELIENE MENDES DE SOUSA</t>
  </si>
  <si>
    <t>008.372.977-10</t>
  </si>
  <si>
    <t>ELIETE ALVES RABELO DOS SANTOS</t>
  </si>
  <si>
    <t>717.956.001-44</t>
  </si>
  <si>
    <t>5.074,09</t>
  </si>
  <si>
    <t>2.146,96</t>
  </si>
  <si>
    <t>2.927,13</t>
  </si>
  <si>
    <t>1.857,35</t>
  </si>
  <si>
    <t>460,18</t>
  </si>
  <si>
    <t>1.397,17</t>
  </si>
  <si>
    <t>ELIEZER GOMES CAMPELO FILHO</t>
  </si>
  <si>
    <t>497.828.941-68</t>
  </si>
  <si>
    <t>3.375,58</t>
  </si>
  <si>
    <t>293,65</t>
  </si>
  <si>
    <t>3.081,93</t>
  </si>
  <si>
    <t>3.087,50</t>
  </si>
  <si>
    <t>259,08</t>
  </si>
  <si>
    <t>2.828,42</t>
  </si>
  <si>
    <t>ELISAMARA MOREIRA DA CUNHA</t>
  </si>
  <si>
    <t>702.621.821-22</t>
  </si>
  <si>
    <t>ELISANDRA RODRIGUES RIBEIRO MATOS</t>
  </si>
  <si>
    <t>713.054.321-34</t>
  </si>
  <si>
    <t>ELISANGELA MARIA DE FREITAS</t>
  </si>
  <si>
    <t>603.215.631-15</t>
  </si>
  <si>
    <t>ELIZABETH CRISOSTOMO RAMOS FERREIRA</t>
  </si>
  <si>
    <t>711.671.571-17</t>
  </si>
  <si>
    <t>5.062,26</t>
  </si>
  <si>
    <t>1.828,56</t>
  </si>
  <si>
    <t>3.233,70</t>
  </si>
  <si>
    <t>ELMA BISPO DOS SANTOS FERNANDES</t>
  </si>
  <si>
    <t>018.587.271-97</t>
  </si>
  <si>
    <t>ELMA RIBEIRO DA SILVA</t>
  </si>
  <si>
    <t>018.868.611-88</t>
  </si>
  <si>
    <t>4.759,70</t>
  </si>
  <si>
    <t>467,86</t>
  </si>
  <si>
    <t>4.291,84</t>
  </si>
  <si>
    <t>EMILCE DA SILVA BOTELHO</t>
  </si>
  <si>
    <t>924.205.591-34</t>
  </si>
  <si>
    <t>171,55</t>
  </si>
  <si>
    <t>EMILIA GASPARETE NASCIMENTO</t>
  </si>
  <si>
    <t>260.585.178-85</t>
  </si>
  <si>
    <t>5.459,78</t>
  </si>
  <si>
    <t>1.864,34</t>
  </si>
  <si>
    <t>3.595,44</t>
  </si>
  <si>
    <t>1.668,28</t>
  </si>
  <si>
    <t>125,82</t>
  </si>
  <si>
    <t>1.542,46</t>
  </si>
  <si>
    <t>EMILTON ALVES DA SILVA</t>
  </si>
  <si>
    <t>030.758.951-05</t>
  </si>
  <si>
    <t>1.808,07</t>
  </si>
  <si>
    <t>2.810,37</t>
  </si>
  <si>
    <t>1.886,29</t>
  </si>
  <si>
    <t>2.803,46</t>
  </si>
  <si>
    <t>ENILDA DA COSTA MEIRELES CRUZ</t>
  </si>
  <si>
    <t>COORDENADOR DE ENFERMAGEM</t>
  </si>
  <si>
    <t>461.751.801-00</t>
  </si>
  <si>
    <t>ERICA APARECIDA BORGES SORGATTO</t>
  </si>
  <si>
    <t>FISIOTERAPEUTA RT</t>
  </si>
  <si>
    <t>976.604.931-91</t>
  </si>
  <si>
    <t>FARMACIA CENTRAL</t>
  </si>
  <si>
    <t>ERICA FERNANDA MATOS DA SILVA</t>
  </si>
  <si>
    <t>869.992.811-49</t>
  </si>
  <si>
    <t>5.257,22</t>
  </si>
  <si>
    <t>629,62</t>
  </si>
  <si>
    <t>4.627,60</t>
  </si>
  <si>
    <t>ERICA WANESSA FERREIRA DE SA SALES</t>
  </si>
  <si>
    <t>030.221.551-40</t>
  </si>
  <si>
    <t>ERIKA OLIVEIRA DO NASCIMENTO</t>
  </si>
  <si>
    <t>702.731.311-17</t>
  </si>
  <si>
    <t>ERIKA PEREIRA DA SILVA</t>
  </si>
  <si>
    <t>044.872.761-79</t>
  </si>
  <si>
    <t>ERNANDE DAVSON OLIVEIRA SANTOS</t>
  </si>
  <si>
    <t>110.482.356-02</t>
  </si>
  <si>
    <t>ESILANDIA GOMES MARTINS</t>
  </si>
  <si>
    <t>024.725.731-11</t>
  </si>
  <si>
    <t>5.224,42</t>
  </si>
  <si>
    <t>1.843,15</t>
  </si>
  <si>
    <t>3.381,27</t>
  </si>
  <si>
    <t>256,46</t>
  </si>
  <si>
    <t>1.585,18</t>
  </si>
  <si>
    <t>ESTEFANIA MILENE GARCIA</t>
  </si>
  <si>
    <t>053.207.236-79</t>
  </si>
  <si>
    <t>605,97</t>
  </si>
  <si>
    <t>1.194,03</t>
  </si>
  <si>
    <t>ESTHER DO NASCIMENTO SILVA</t>
  </si>
  <si>
    <t>711.584.791-66</t>
  </si>
  <si>
    <t>5.043,90</t>
  </si>
  <si>
    <t>1.826,91</t>
  </si>
  <si>
    <t>3.216,99</t>
  </si>
  <si>
    <t>FABIANA BATISTA RABELO MAIA</t>
  </si>
  <si>
    <t>056.769.486-04</t>
  </si>
  <si>
    <t>FABIANA RODRIGUES DOS SANTOS DOURADO</t>
  </si>
  <si>
    <t>000.465.351-36</t>
  </si>
  <si>
    <t>FABIANA SANTOS DE MATOS</t>
  </si>
  <si>
    <t>057.359.151-26</t>
  </si>
  <si>
    <t>FABIANE APARECIDA MAGALHAES SANTANA</t>
  </si>
  <si>
    <t>957.950.061-49</t>
  </si>
  <si>
    <t>5.343,20</t>
  </si>
  <si>
    <t>2.217,92</t>
  </si>
  <si>
    <t>3.125,28</t>
  </si>
  <si>
    <t>1.975,21</t>
  </si>
  <si>
    <t>517,52</t>
  </si>
  <si>
    <t>1.457,69</t>
  </si>
  <si>
    <t>FABIANE DE ALMEIDA COSTA</t>
  </si>
  <si>
    <t>040.418.731-50</t>
  </si>
  <si>
    <t>FABIANE MEIRELES DE CARVALHO</t>
  </si>
  <si>
    <t>022.506.091-44</t>
  </si>
  <si>
    <t>FABIANE MOREIRA DA COSTA</t>
  </si>
  <si>
    <t>055.123.621-35</t>
  </si>
  <si>
    <t>FABIANE RORIZ ARRUDA</t>
  </si>
  <si>
    <t>736.283.951-00</t>
  </si>
  <si>
    <t>1.744,68</t>
  </si>
  <si>
    <t>4.321,98</t>
  </si>
  <si>
    <t>428,02</t>
  </si>
  <si>
    <t>3.005,32</t>
  </si>
  <si>
    <t>FABIO VIEGAS DE ANDRADE</t>
  </si>
  <si>
    <t>053.854.011-70</t>
  </si>
  <si>
    <t>FATIMA PATRICIA OLIVEIRA</t>
  </si>
  <si>
    <t>983.719.081-72</t>
  </si>
  <si>
    <t>5.031,23</t>
  </si>
  <si>
    <t>1.882,64</t>
  </si>
  <si>
    <t>3.148,59</t>
  </si>
  <si>
    <t>1.624,18</t>
  </si>
  <si>
    <t>180,98</t>
  </si>
  <si>
    <t>1.443,20</t>
  </si>
  <si>
    <t>FERNANDA DA COSTA BORGES</t>
  </si>
  <si>
    <t>019.464.641-63</t>
  </si>
  <si>
    <t>5.718,63</t>
  </si>
  <si>
    <t>1.887,63</t>
  </si>
  <si>
    <t>3.831,00</t>
  </si>
  <si>
    <t>2.566,90</t>
  </si>
  <si>
    <t>206,70</t>
  </si>
  <si>
    <t>2.360,20</t>
  </si>
  <si>
    <t>FERNANDA DE SANTANA</t>
  </si>
  <si>
    <t>705.031.881-74</t>
  </si>
  <si>
    <t>797,05</t>
  </si>
  <si>
    <t>4.766,95</t>
  </si>
  <si>
    <t>FERNANDA DE SOUZA PAULA</t>
  </si>
  <si>
    <t>012.083.271-27</t>
  </si>
  <si>
    <t>11/11/2025</t>
  </si>
  <si>
    <t>3.720,00</t>
  </si>
  <si>
    <t>334,98</t>
  </si>
  <si>
    <t>3.385,02</t>
  </si>
  <si>
    <t>FERNANDA DOS SANTOS ROSADA CATELI</t>
  </si>
  <si>
    <t>019.104.371-07</t>
  </si>
  <si>
    <t>FERNANDA DOS SANTOS SILVA LIMA</t>
  </si>
  <si>
    <t>019.488.871-18</t>
  </si>
  <si>
    <t>5.546,35</t>
  </si>
  <si>
    <t>1.487,56</t>
  </si>
  <si>
    <t>4.058,79</t>
  </si>
  <si>
    <t>FERNANDA FERREIRA DA SILVA</t>
  </si>
  <si>
    <t>018.162.281-50</t>
  </si>
  <si>
    <t>7.229,57</t>
  </si>
  <si>
    <t>1.601,11</t>
  </si>
  <si>
    <t>5.628,46</t>
  </si>
  <si>
    <t>5.336,63</t>
  </si>
  <si>
    <t>639,71</t>
  </si>
  <si>
    <t>4.696,92</t>
  </si>
  <si>
    <t>FERNANDA FRANCYELLE CHAVES RORIZ</t>
  </si>
  <si>
    <t>048.467.931-76</t>
  </si>
  <si>
    <t>FERNANDO ROCHA PAULINO</t>
  </si>
  <si>
    <t>470.296.843-20</t>
  </si>
  <si>
    <t>1.967,52</t>
  </si>
  <si>
    <t>4.843,65</t>
  </si>
  <si>
    <t>3.562,40</t>
  </si>
  <si>
    <t>316,07</t>
  </si>
  <si>
    <t>3.246,33</t>
  </si>
  <si>
    <t>FLAVIA DE FREITAS GONCALVES</t>
  </si>
  <si>
    <t>939.326.341-87</t>
  </si>
  <si>
    <t>192,01</t>
  </si>
  <si>
    <t>1.665,39</t>
  </si>
  <si>
    <t>FLAVIA LOPES CAETANO</t>
  </si>
  <si>
    <t>042.369.261-56</t>
  </si>
  <si>
    <t>FRANCIELLY SERACENE BORGES SOUZA</t>
  </si>
  <si>
    <t>014.803.381-41</t>
  </si>
  <si>
    <t>FRANCIENE DE JESUS SOUZA PINTO</t>
  </si>
  <si>
    <t>FRANCINETE COSTA PARENTE</t>
  </si>
  <si>
    <t>610.447.251-68</t>
  </si>
  <si>
    <t>FRANCINY CARDOSO DE ALMEIDA</t>
  </si>
  <si>
    <t>003.036.571-62</t>
  </si>
  <si>
    <t>3.325,88</t>
  </si>
  <si>
    <t>121,64</t>
  </si>
  <si>
    <t>3.204,24</t>
  </si>
  <si>
    <t>FRANCISCA DE FATIMA RODIGUES CIPRIANO</t>
  </si>
  <si>
    <t>324.837.591-49</t>
  </si>
  <si>
    <t>FRANCISCO DE SALES SEVERO</t>
  </si>
  <si>
    <t>297.534.221-72</t>
  </si>
  <si>
    <t>3.125,73</t>
  </si>
  <si>
    <t>263,67</t>
  </si>
  <si>
    <t>2.862,06</t>
  </si>
  <si>
    <t>3.089,50</t>
  </si>
  <si>
    <t>259,32</t>
  </si>
  <si>
    <t>2.830,18</t>
  </si>
  <si>
    <t>FRANCISCO RENYS BATISTA BEZERRA</t>
  </si>
  <si>
    <t>017.883.481-50</t>
  </si>
  <si>
    <t>3.900,00</t>
  </si>
  <si>
    <t>434,65</t>
  </si>
  <si>
    <t>3.465,35</t>
  </si>
  <si>
    <t>FRANCIVALTER RAMALHO NETO</t>
  </si>
  <si>
    <t>RT TEC RADIOLOGIA</t>
  </si>
  <si>
    <t>553.937.211-53</t>
  </si>
  <si>
    <t>6.016,66</t>
  </si>
  <si>
    <t>1.035,10</t>
  </si>
  <si>
    <t>4.981,56</t>
  </si>
  <si>
    <t>6.072,91</t>
  </si>
  <si>
    <t>1.063,76</t>
  </si>
  <si>
    <t>5.009,15</t>
  </si>
  <si>
    <t>GABRIEL MACHADO GONÇALVES</t>
  </si>
  <si>
    <t>043.169.941-07</t>
  </si>
  <si>
    <t>01/12/2025</t>
  </si>
  <si>
    <t>GABRIELA CARDOSO DOS ANJOS</t>
  </si>
  <si>
    <t>081.708.441-00</t>
  </si>
  <si>
    <t>GABRIELA MATIAS DOS REIS</t>
  </si>
  <si>
    <t>003.889.641-97</t>
  </si>
  <si>
    <t>GABRIELA XAVIER BERTONZIN</t>
  </si>
  <si>
    <t>994.411.951-20</t>
  </si>
  <si>
    <t>1.872,49</t>
  </si>
  <si>
    <t>144,20</t>
  </si>
  <si>
    <t>1.728,29</t>
  </si>
  <si>
    <t>GABRIELLA NUNES FERREIRA</t>
  </si>
  <si>
    <t>700.405.081-53</t>
  </si>
  <si>
    <t>9.239,79</t>
  </si>
  <si>
    <t>2.645,72</t>
  </si>
  <si>
    <t>6.594,07</t>
  </si>
  <si>
    <t>3.698,90</t>
  </si>
  <si>
    <t>332,45</t>
  </si>
  <si>
    <t>3.366,45</t>
  </si>
  <si>
    <t>GABRIELLE ARAUJO CHAPARONI DE FREITAS NOVAES</t>
  </si>
  <si>
    <t>052.988.351-12</t>
  </si>
  <si>
    <t>GABRIELLY FRANCA SILVA</t>
  </si>
  <si>
    <t>081.532.241-07</t>
  </si>
  <si>
    <t>GABRIELY RODRIGUES PIRES</t>
  </si>
  <si>
    <t>704.984.481-00</t>
  </si>
  <si>
    <t>GEIZIANE DE SOUZA COELHO</t>
  </si>
  <si>
    <t>006.992.611-55</t>
  </si>
  <si>
    <t>6.456,05</t>
  </si>
  <si>
    <t>3.005,92</t>
  </si>
  <si>
    <t>3.450,13</t>
  </si>
  <si>
    <t>3.130,40</t>
  </si>
  <si>
    <t>1.147,84</t>
  </si>
  <si>
    <t>1.982,56</t>
  </si>
  <si>
    <t>GERALDO DE SOUZA LEMOS</t>
  </si>
  <si>
    <t>784.526.781-34</t>
  </si>
  <si>
    <t>4.557,59</t>
  </si>
  <si>
    <t>2.177,65</t>
  </si>
  <si>
    <t>2.379,94</t>
  </si>
  <si>
    <t>2.282,95</t>
  </si>
  <si>
    <t>2.471,42</t>
  </si>
  <si>
    <t>GIZELE DE SOUSA</t>
  </si>
  <si>
    <t>983.101.271-20</t>
  </si>
  <si>
    <t>GIZELLY LIMA CARVALHO</t>
  </si>
  <si>
    <t>043.944.981-20</t>
  </si>
  <si>
    <t>6.782,50</t>
  </si>
  <si>
    <t>2.910,48</t>
  </si>
  <si>
    <t>3.872,02</t>
  </si>
  <si>
    <t>3.510,60</t>
  </si>
  <si>
    <t>1.381,00</t>
  </si>
  <si>
    <t>2.129,60</t>
  </si>
  <si>
    <t>GLEISSIANE FERREIRA MENDES</t>
  </si>
  <si>
    <t>000.301.571-88</t>
  </si>
  <si>
    <t>416,06</t>
  </si>
  <si>
    <t>1.272,48</t>
  </si>
  <si>
    <t>GLEUMA RIBEIRO DA SILVA</t>
  </si>
  <si>
    <t>084.271.977-64</t>
  </si>
  <si>
    <t>GLEYCE DOS PRAZERES SILVA</t>
  </si>
  <si>
    <t>035.621.771-00</t>
  </si>
  <si>
    <t>HAYLLA ROCHA DE JESUS SILVA</t>
  </si>
  <si>
    <t>704.751.391-43</t>
  </si>
  <si>
    <t>HELEN CRISTINA DE OLIVEIRA GOMES</t>
  </si>
  <si>
    <t>049.734.201-40</t>
  </si>
  <si>
    <t>HELIANE LEMOS DE ARAUJO NERES</t>
  </si>
  <si>
    <t>975.672.131-68</t>
  </si>
  <si>
    <t>6.541,90</t>
  </si>
  <si>
    <t>1.968,65</t>
  </si>
  <si>
    <t>4.573,25</t>
  </si>
  <si>
    <t>3.597,33</t>
  </si>
  <si>
    <t>320,26</t>
  </si>
  <si>
    <t>3.277,07</t>
  </si>
  <si>
    <t>HELLEN CRISTINA DE JESUS RIBEIRO</t>
  </si>
  <si>
    <t>709.697.331-19</t>
  </si>
  <si>
    <t>CLINICA DE PSICOLOGIA</t>
  </si>
  <si>
    <t>HELY CLAUDIA TAVARES ALVES</t>
  </si>
  <si>
    <t>852.322.381-91</t>
  </si>
  <si>
    <t>HILDA DO NASCIMENTO BARROS</t>
  </si>
  <si>
    <t>007.157.711-40</t>
  </si>
  <si>
    <t>2.107,30</t>
  </si>
  <si>
    <t>165,33</t>
  </si>
  <si>
    <t>1.941,97</t>
  </si>
  <si>
    <t>IANA GOMES DOS SANTOS LIMA</t>
  </si>
  <si>
    <t>537.052.621-49</t>
  </si>
  <si>
    <t>IANDRA DA SILVA PIRES</t>
  </si>
  <si>
    <t>PROFISSIONAL DE EDUCAÇAO FISICA</t>
  </si>
  <si>
    <t>049.509.021-21</t>
  </si>
  <si>
    <t>QUALIFICA APS</t>
  </si>
  <si>
    <t>4.034,28</t>
  </si>
  <si>
    <t>372,70</t>
  </si>
  <si>
    <t>3.661,58</t>
  </si>
  <si>
    <t>IANE DE FARIAS ROSA</t>
  </si>
  <si>
    <t>078.010.291-60</t>
  </si>
  <si>
    <t>1.922,31</t>
  </si>
  <si>
    <t>3.106,69</t>
  </si>
  <si>
    <t>ILMA NUNES DUARTE MEIRELES</t>
  </si>
  <si>
    <t>972.182.001-68</t>
  </si>
  <si>
    <t>INDIARA CRISTINA ALCOFORADO</t>
  </si>
  <si>
    <t>008.520.651-24</t>
  </si>
  <si>
    <t>5.392,34</t>
  </si>
  <si>
    <t>1.858,27</t>
  </si>
  <si>
    <t>3.534,07</t>
  </si>
  <si>
    <t>2.187,50</t>
  </si>
  <si>
    <t>172,55</t>
  </si>
  <si>
    <t>2.014,95</t>
  </si>
  <si>
    <t>INGRID JORDANA DE ARAUJO NERIS</t>
  </si>
  <si>
    <t>705.057.611-57</t>
  </si>
  <si>
    <t>1.867,54</t>
  </si>
  <si>
    <t>719,56</t>
  </si>
  <si>
    <t>1.147,98</t>
  </si>
  <si>
    <t>INGRID PEREIRA DE FREITAS</t>
  </si>
  <si>
    <t>024.003.581-09</t>
  </si>
  <si>
    <t>IRINALDA RAMOS DE ALMEIDA</t>
  </si>
  <si>
    <t>014.532.231-93</t>
  </si>
  <si>
    <t>12/03/2026</t>
  </si>
  <si>
    <t>3.221,72</t>
  </si>
  <si>
    <t>155,09</t>
  </si>
  <si>
    <t>3.066,63</t>
  </si>
  <si>
    <t>IRIS APARECIDA BORGES DOS SANTOS</t>
  </si>
  <si>
    <t>004.782.771-80</t>
  </si>
  <si>
    <t>4.610,18</t>
  </si>
  <si>
    <t>446,92</t>
  </si>
  <si>
    <t>4.163,26</t>
  </si>
  <si>
    <t>IRISNEIDE SOUSA PRIMO</t>
  </si>
  <si>
    <t>952.224.991-20</t>
  </si>
  <si>
    <t>3.534,31</t>
  </si>
  <si>
    <t>140,40</t>
  </si>
  <si>
    <t>3.393,91</t>
  </si>
  <si>
    <t>IRLANE CUNHA DE ALMEIDA</t>
  </si>
  <si>
    <t>026.996.971-33</t>
  </si>
  <si>
    <t>6.412,16</t>
  </si>
  <si>
    <t>1.919,64</t>
  </si>
  <si>
    <t>4.492,52</t>
  </si>
  <si>
    <t>3.120,05</t>
  </si>
  <si>
    <t>262,99</t>
  </si>
  <si>
    <t>2.857,06</t>
  </si>
  <si>
    <t>ISABEL LIMA DE ALMEIDA MAIA</t>
  </si>
  <si>
    <t>809.827.861-15</t>
  </si>
  <si>
    <t>1.621,20</t>
  </si>
  <si>
    <t>121,58</t>
  </si>
  <si>
    <t>1.499,62</t>
  </si>
  <si>
    <t>ISABELA DE OLIVEIRA CHAVES DOS REIS</t>
  </si>
  <si>
    <t>058.226.441-39</t>
  </si>
  <si>
    <t>597,33</t>
  </si>
  <si>
    <t>4.595,07</t>
  </si>
  <si>
    <t>ISABELA RODRIGUES RUSTIGUEL VIANA</t>
  </si>
  <si>
    <t>063.914.321-04</t>
  </si>
  <si>
    <t>ISABELLA GONCALVES PEREIRA</t>
  </si>
  <si>
    <t>705.617.331-47</t>
  </si>
  <si>
    <t>IVANILZA MARTINS BARROS</t>
  </si>
  <si>
    <t>488.245.691-53</t>
  </si>
  <si>
    <t>7.030,21</t>
  </si>
  <si>
    <t>1.927,79</t>
  </si>
  <si>
    <t>5.102,42</t>
  </si>
  <si>
    <t>IVONEIDE MARIA RORIZ</t>
  </si>
  <si>
    <t>497.788.891-04</t>
  </si>
  <si>
    <t>IZABEL CECILIA GUEDES RODRIGUES</t>
  </si>
  <si>
    <t>431.406.451-04</t>
  </si>
  <si>
    <t>7.391,44</t>
  </si>
  <si>
    <t>2.610,33</t>
  </si>
  <si>
    <t>4.781,11</t>
  </si>
  <si>
    <t>1.253,21</t>
  </si>
  <si>
    <t>1.866,84</t>
  </si>
  <si>
    <t>JACINTA CORDEIRO OLIVEIRA</t>
  </si>
  <si>
    <t>034.727.161-85</t>
  </si>
  <si>
    <t>5.231,62</t>
  </si>
  <si>
    <t>3.406,05</t>
  </si>
  <si>
    <t>JANAINE DE FRANCA SOUZA</t>
  </si>
  <si>
    <t>063.834.111-60</t>
  </si>
  <si>
    <t>6.750,66</t>
  </si>
  <si>
    <t>3.127,16</t>
  </si>
  <si>
    <t>3.623,50</t>
  </si>
  <si>
    <t>3.538,54</t>
  </si>
  <si>
    <t>1.474,39</t>
  </si>
  <si>
    <t>2.064,15</t>
  </si>
  <si>
    <t>JANAYNA EULALIA TEIXEIRA PEREIRA</t>
  </si>
  <si>
    <t>011.598.801-74</t>
  </si>
  <si>
    <t>JAQUELINA NESSI DOS SANTOS ALVES</t>
  </si>
  <si>
    <t>398.239.621-20</t>
  </si>
  <si>
    <t>JAQUELINE DA SILVA MARQUES</t>
  </si>
  <si>
    <t>012.680.971-28</t>
  </si>
  <si>
    <t>JEAN DA SILVA MOREIRA</t>
  </si>
  <si>
    <t>052.639.681-40</t>
  </si>
  <si>
    <t>5.110,61</t>
  </si>
  <si>
    <t>1.826,83</t>
  </si>
  <si>
    <t>3.283,78</t>
  </si>
  <si>
    <t>1.694,03</t>
  </si>
  <si>
    <t>122,06</t>
  </si>
  <si>
    <t>1.571,97</t>
  </si>
  <si>
    <t>JEFFERSON DE ALMEIDA VIEIRA</t>
  </si>
  <si>
    <t>056.096.611-37</t>
  </si>
  <si>
    <t>5.709,14</t>
  </si>
  <si>
    <t>1.813,03</t>
  </si>
  <si>
    <t>3.896,11</t>
  </si>
  <si>
    <t>5.712,48</t>
  </si>
  <si>
    <t>1.814,73</t>
  </si>
  <si>
    <t>3.897,75</t>
  </si>
  <si>
    <t>JEFFERSON RODRIGUES DA SILVA</t>
  </si>
  <si>
    <t>040.901.481-89</t>
  </si>
  <si>
    <t>6.490,50</t>
  </si>
  <si>
    <t>1.224,45</t>
  </si>
  <si>
    <t>5.266,05</t>
  </si>
  <si>
    <t>JEMIMA CARDOZO DA SILVA</t>
  </si>
  <si>
    <t>700.276.151-03</t>
  </si>
  <si>
    <t>3.290,14</t>
  </si>
  <si>
    <t>157,54</t>
  </si>
  <si>
    <t>1.598,54</t>
  </si>
  <si>
    <t>JENIFER KELLY ROCHA AMARO DA SILVA</t>
  </si>
  <si>
    <t>708.864.341-30</t>
  </si>
  <si>
    <t>05/01/2026</t>
  </si>
  <si>
    <t>JENIFFER PAOLA DE SOUSA DUARTE</t>
  </si>
  <si>
    <t>700.534.661-01</t>
  </si>
  <si>
    <t>JESSICA ASSUNÇÃO DOS SANTOS</t>
  </si>
  <si>
    <t>065.812.221-51</t>
  </si>
  <si>
    <t>1.893,42</t>
  </si>
  <si>
    <t>140,00</t>
  </si>
  <si>
    <t>1.753,42</t>
  </si>
  <si>
    <t>JESSICA GONCALVES DE FREITAS</t>
  </si>
  <si>
    <t>709.609.541-12</t>
  </si>
  <si>
    <t>JESSICA KELLY DOS SANTOS OLIVEIRA</t>
  </si>
  <si>
    <t>053.281.591-28</t>
  </si>
  <si>
    <t>5.515,30</t>
  </si>
  <si>
    <t>1.869,33</t>
  </si>
  <si>
    <t>3.645,97</t>
  </si>
  <si>
    <t>JESSICA LORRANE DE SOUSA MOTA</t>
  </si>
  <si>
    <t>056.743.961-59</t>
  </si>
  <si>
    <t>6.495,96</t>
  </si>
  <si>
    <t>1.929,69</t>
  </si>
  <si>
    <t>4.566,27</t>
  </si>
  <si>
    <t>3.150,10</t>
  </si>
  <si>
    <t>266,60</t>
  </si>
  <si>
    <t>2.883,50</t>
  </si>
  <si>
    <t>JESSICA MEIRELES BRAGA</t>
  </si>
  <si>
    <t>033.165.621-33</t>
  </si>
  <si>
    <t>4.911,79</t>
  </si>
  <si>
    <t>1.567,15</t>
  </si>
  <si>
    <t>3.344,64</t>
  </si>
  <si>
    <t>JESSIKA ALMEIDA BEZERRA</t>
  </si>
  <si>
    <t>052.113.531-10</t>
  </si>
  <si>
    <t>JEZREEL LEONE ROCHA DA SILVA</t>
  </si>
  <si>
    <t>704.760.581-98</t>
  </si>
  <si>
    <t>1.904,13</t>
  </si>
  <si>
    <t>2.714,31</t>
  </si>
  <si>
    <t>1.754,66</t>
  </si>
  <si>
    <t>2.999,71</t>
  </si>
  <si>
    <t>JOANA DA SILVA SOUSA</t>
  </si>
  <si>
    <t>112.192.543-04</t>
  </si>
  <si>
    <t>1.701,55</t>
  </si>
  <si>
    <t>128,81</t>
  </si>
  <si>
    <t>1.572,74</t>
  </si>
  <si>
    <t>JOAO BATISTA MARTINS LOUBAH</t>
  </si>
  <si>
    <t>821.992.561-20</t>
  </si>
  <si>
    <t>JOAO CARLOS VAZ ROCHA</t>
  </si>
  <si>
    <t>050.437.441-97</t>
  </si>
  <si>
    <t>JOAO PAULO CUNHA TORRES</t>
  </si>
  <si>
    <t>888.670.721-53</t>
  </si>
  <si>
    <t>6.307,23</t>
  </si>
  <si>
    <t>1.078,91</t>
  </si>
  <si>
    <t>5.228,32</t>
  </si>
  <si>
    <t>6.380,82</t>
  </si>
  <si>
    <t>1.116,41</t>
  </si>
  <si>
    <t>5.264,41</t>
  </si>
  <si>
    <t>JOELMA ARAUJO PEREIRA DA COSTA</t>
  </si>
  <si>
    <t>863.793.801-91</t>
  </si>
  <si>
    <t>JONAS ALVES FERREIRA</t>
  </si>
  <si>
    <t>692.750.251-34</t>
  </si>
  <si>
    <t>3.570,67</t>
  </si>
  <si>
    <t>317,06</t>
  </si>
  <si>
    <t>3.253,61</t>
  </si>
  <si>
    <t>JOQUEBEDE MELODY PEREIRA</t>
  </si>
  <si>
    <t>053.641.411-44</t>
  </si>
  <si>
    <t>29/11/2025</t>
  </si>
  <si>
    <t>6.919,68</t>
  </si>
  <si>
    <t>1.654,53</t>
  </si>
  <si>
    <t>5.265,15</t>
  </si>
  <si>
    <t>4.394,68</t>
  </si>
  <si>
    <t>617,36</t>
  </si>
  <si>
    <t>3.777,32</t>
  </si>
  <si>
    <t>JOSIANE GONÇALVES PEREIRA</t>
  </si>
  <si>
    <t>948.291.441-49</t>
  </si>
  <si>
    <t>EMAD2-EQUIPE MULTIPROFISSIONAL DE ATENÇÃ</t>
  </si>
  <si>
    <t>JUCELIA DE SPINDOLA LEITE NASCIMENTO</t>
  </si>
  <si>
    <t>000.828.651-59</t>
  </si>
  <si>
    <t>3.539,84</t>
  </si>
  <si>
    <t>134,82</t>
  </si>
  <si>
    <t>3.405,02</t>
  </si>
  <si>
    <t>1.924,94</t>
  </si>
  <si>
    <t>1.782,10</t>
  </si>
  <si>
    <t>JUCILEIA PEREIRA DA CRUZ</t>
  </si>
  <si>
    <t>034.893.743-12</t>
  </si>
  <si>
    <t>JULIA DOURADO FERREIRA</t>
  </si>
  <si>
    <t>065.089.591-66</t>
  </si>
  <si>
    <t>6.753,85</t>
  </si>
  <si>
    <t>1.960,64</t>
  </si>
  <si>
    <t>4.793,21</t>
  </si>
  <si>
    <t>3.491,71</t>
  </si>
  <si>
    <t>307,59</t>
  </si>
  <si>
    <t>3.184,12</t>
  </si>
  <si>
    <t>JULIA FERNANDA RORIZ MEIRELES</t>
  </si>
  <si>
    <t>057.769.231-31</t>
  </si>
  <si>
    <t>546,08</t>
  </si>
  <si>
    <t>4.589,92</t>
  </si>
  <si>
    <t>JULIA MARIA PEREIRA DA CRUZ</t>
  </si>
  <si>
    <t>059.694.041-60</t>
  </si>
  <si>
    <t>JULIANA DA MATA FURLAN</t>
  </si>
  <si>
    <t>007.300.281-00</t>
  </si>
  <si>
    <t>JULIANA DA SILVA OLIVEIRA</t>
  </si>
  <si>
    <t>042.626.571-83</t>
  </si>
  <si>
    <t>2.317,02</t>
  </si>
  <si>
    <t>2.711,98</t>
  </si>
  <si>
    <t>613,02</t>
  </si>
  <si>
    <t>1.007,98</t>
  </si>
  <si>
    <t>JULIANA DE ALMEIDA PINHEIRO</t>
  </si>
  <si>
    <t>041.111.051-90</t>
  </si>
  <si>
    <t>JULIANA LOPES GONÇALVES</t>
  </si>
  <si>
    <t>030.024.511-42</t>
  </si>
  <si>
    <t>JULIANNA DOS SANTOS BARTELI</t>
  </si>
  <si>
    <t>051.366.901-94</t>
  </si>
  <si>
    <t>JULLY DOS SANTOS PEREIRA APRA</t>
  </si>
  <si>
    <t>033.459.661-07</t>
  </si>
  <si>
    <t>JULLY VIEIRA SOARES</t>
  </si>
  <si>
    <t>065.957.971-51</t>
  </si>
  <si>
    <t>JUSSARA DOS SANTOS CAMARGO</t>
  </si>
  <si>
    <t>1.296,80</t>
  </si>
  <si>
    <t>97,26</t>
  </si>
  <si>
    <t>1.199,54</t>
  </si>
  <si>
    <t>KALLITA LORRANE VAZ MARIANO</t>
  </si>
  <si>
    <t>055.928.421-71</t>
  </si>
  <si>
    <t>4.794,27</t>
  </si>
  <si>
    <t>2.968,70</t>
  </si>
  <si>
    <t>KAMILA KAROLINA DE ARAUJO</t>
  </si>
  <si>
    <t>034.772.701-85</t>
  </si>
  <si>
    <t>KAMILA RESENDE BRAZ</t>
  </si>
  <si>
    <t>016.982.851-40</t>
  </si>
  <si>
    <t>KANANDA BATISTA VIEIRA RIBEIRO</t>
  </si>
  <si>
    <t>073.898.933-97</t>
  </si>
  <si>
    <t>3.540,64</t>
  </si>
  <si>
    <t>313,46</t>
  </si>
  <si>
    <t>3.227,18</t>
  </si>
  <si>
    <t>KARINA BARBOSA DE SOUZA</t>
  </si>
  <si>
    <t>026.866.401-38</t>
  </si>
  <si>
    <t>KARINA CARVALHO DE BRITO</t>
  </si>
  <si>
    <t>020.778.011-07</t>
  </si>
  <si>
    <t>KARINA RIBEIRO LEAL DA SILVA</t>
  </si>
  <si>
    <t>023.579.561-51</t>
  </si>
  <si>
    <t>1.982,14</t>
  </si>
  <si>
    <t>3.257,31</t>
  </si>
  <si>
    <t>280,47</t>
  </si>
  <si>
    <t>1.576,93</t>
  </si>
  <si>
    <t>KARINE GONCALVES</t>
  </si>
  <si>
    <t>052.023.781-14</t>
  </si>
  <si>
    <t>KARLEANE FERREIRA DOS SANTOS</t>
  </si>
  <si>
    <t>056.538.251-90</t>
  </si>
  <si>
    <t>UBSF PED IX PRAÇA DA BIBLIA- UNIDADE BÁ</t>
  </si>
  <si>
    <t>705,23</t>
  </si>
  <si>
    <t>983,31</t>
  </si>
  <si>
    <t>971,25</t>
  </si>
  <si>
    <t>717,29</t>
  </si>
  <si>
    <t>KAROLLINE GONÇALVES SANCHES</t>
  </si>
  <si>
    <t>1.350,83</t>
  </si>
  <si>
    <t>1.253,57</t>
  </si>
  <si>
    <t>KATIA BUENO DE SOUZA</t>
  </si>
  <si>
    <t>036.958.391-47</t>
  </si>
  <si>
    <t>KATIA COSTA DOS SANTOS</t>
  </si>
  <si>
    <t>021.876.241-02</t>
  </si>
  <si>
    <t>5.191,31</t>
  </si>
  <si>
    <t>1.840,17</t>
  </si>
  <si>
    <t>3.351,14</t>
  </si>
  <si>
    <t>KATIA KELLY SANTOS SANTANA</t>
  </si>
  <si>
    <t>051.087.745-16</t>
  </si>
  <si>
    <t>5.195,43</t>
  </si>
  <si>
    <t>1.840,54</t>
  </si>
  <si>
    <t>3.354,89</t>
  </si>
  <si>
    <t>KEILA SUZANI CASTRO MAGNO TRINDADE</t>
  </si>
  <si>
    <t>008.376.262-00</t>
  </si>
  <si>
    <t>1.909,18</t>
  </si>
  <si>
    <t>1.767,76</t>
  </si>
  <si>
    <t>KELBIA VIEIRA COTRIM</t>
  </si>
  <si>
    <t>953.973.021-04</t>
  </si>
  <si>
    <t>5.144,70</t>
  </si>
  <si>
    <t>550,14</t>
  </si>
  <si>
    <t>4.594,56</t>
  </si>
  <si>
    <t>KELCIA APARECIDA BUENO</t>
  </si>
  <si>
    <t>529.614.191-15</t>
  </si>
  <si>
    <t>KELLY ALBERNAZ CAVALCANTE DE MOURA</t>
  </si>
  <si>
    <t>042.264.621-06</t>
  </si>
  <si>
    <t>KELLY CRISTINA DE CASTRO</t>
  </si>
  <si>
    <t>001.560.131-50</t>
  </si>
  <si>
    <t>5.952,00</t>
  </si>
  <si>
    <t>1.002,15</t>
  </si>
  <si>
    <t>4.949,85</t>
  </si>
  <si>
    <t>KELLY JESUS DA SILVA</t>
  </si>
  <si>
    <t>041.033.201-17</t>
  </si>
  <si>
    <t>1.729,86</t>
  </si>
  <si>
    <t>KELY DAYANE FREIRE DUARTE</t>
  </si>
  <si>
    <t>020.958.381-90</t>
  </si>
  <si>
    <t>KETLEN FONTOURA VIEIRA</t>
  </si>
  <si>
    <t>705.104.381-13</t>
  </si>
  <si>
    <t>KETLEY CRISTINA BRITO DA SILVA</t>
  </si>
  <si>
    <t>067.003.261-17</t>
  </si>
  <si>
    <t>218,31</t>
  </si>
  <si>
    <t>1.402,69</t>
  </si>
  <si>
    <t>KEYLLA DAYANNE COELHO MARINHO DE MELO</t>
  </si>
  <si>
    <t>ODONTOLOGO RT</t>
  </si>
  <si>
    <t>065.011.876-64</t>
  </si>
  <si>
    <t>KLEISLA EIQUER LEITE MAGNO</t>
  </si>
  <si>
    <t>709.454.761-75</t>
  </si>
  <si>
    <t>5.265,22</t>
  </si>
  <si>
    <t>1.846,82</t>
  </si>
  <si>
    <t>3.418,40</t>
  </si>
  <si>
    <t>1.873,61</t>
  </si>
  <si>
    <t>144,30</t>
  </si>
  <si>
    <t>1.729,31</t>
  </si>
  <si>
    <t>LAIANA KELLY DUARTE LIBERATO</t>
  </si>
  <si>
    <t>004.456.551-86</t>
  </si>
  <si>
    <t>LAIENE SOUSA MENDES</t>
  </si>
  <si>
    <t>COORDENADOR (a) FARMACEUTICO</t>
  </si>
  <si>
    <t>031.866.181-00</t>
  </si>
  <si>
    <t>LAIZA RODRIGUES FERREIRA</t>
  </si>
  <si>
    <t>054.736.723-61</t>
  </si>
  <si>
    <t>LARA FARIAS BASTOS</t>
  </si>
  <si>
    <t>708.015.421-97</t>
  </si>
  <si>
    <t>LARISSA MENDOCA RODRIGUES VIDAL</t>
  </si>
  <si>
    <t>035.938.091-33</t>
  </si>
  <si>
    <t>4.708,00</t>
  </si>
  <si>
    <t>460,62</t>
  </si>
  <si>
    <t>4.247,38</t>
  </si>
  <si>
    <t>LARISSA PEIXOTO DOS SANTOS</t>
  </si>
  <si>
    <t>708.323.791-31</t>
  </si>
  <si>
    <t>LAURINDA SABINO DE OLIVEIRA</t>
  </si>
  <si>
    <t>067.887.001-25</t>
  </si>
  <si>
    <t>LAVINIA CHADUD LEITE</t>
  </si>
  <si>
    <t>702.316.611-42</t>
  </si>
  <si>
    <t>1.686,18</t>
  </si>
  <si>
    <t>2.593,82</t>
  </si>
  <si>
    <t>LAYS SILVA DE ARAUJO</t>
  </si>
  <si>
    <t>061.285.031-52</t>
  </si>
  <si>
    <t>FARMACIA DE ALTO CUSTO</t>
  </si>
  <si>
    <t>LEANDRO PEREIRA DOS ANJOS</t>
  </si>
  <si>
    <t>726.746.791-15</t>
  </si>
  <si>
    <t>LEONARDO ANDRE SOARES ANDRADE</t>
  </si>
  <si>
    <t>070.925.311-79</t>
  </si>
  <si>
    <t>4.664,14</t>
  </si>
  <si>
    <t>560,57</t>
  </si>
  <si>
    <t>4.103,57</t>
  </si>
  <si>
    <t>LETICIA CARVALHO DUTRA</t>
  </si>
  <si>
    <t>705.088.381-69</t>
  </si>
  <si>
    <t>1.911,10</t>
  </si>
  <si>
    <t>141,60</t>
  </si>
  <si>
    <t>1.769,50</t>
  </si>
  <si>
    <t>LETICIA DE OLIVEIRA COSTA</t>
  </si>
  <si>
    <t>070.055.451-33</t>
  </si>
  <si>
    <t>LETICIA MARA GUIMARAES</t>
  </si>
  <si>
    <t>036.496.991-17</t>
  </si>
  <si>
    <t>LETICIA OLIVEIRA DA SILVA</t>
  </si>
  <si>
    <t>026.598.171-97</t>
  </si>
  <si>
    <t>04/09/2025</t>
  </si>
  <si>
    <t>LETICIA RODRIGUES CIRIACO</t>
  </si>
  <si>
    <t>050.033.081-67</t>
  </si>
  <si>
    <t>LETYCIA BRAZ MATOS</t>
  </si>
  <si>
    <t>048.470.621-75</t>
  </si>
  <si>
    <t>LHORENA RICARDO DA SILVEIRA GOMES</t>
  </si>
  <si>
    <t>100.756.016-99</t>
  </si>
  <si>
    <t>904,37</t>
  </si>
  <si>
    <t>3.375,63</t>
  </si>
  <si>
    <t>LIGIA GONCALVES DE QUEIROZ</t>
  </si>
  <si>
    <t>036.721.051-71</t>
  </si>
  <si>
    <t>LILIAN CRISTINA VARGAS PEREIRA</t>
  </si>
  <si>
    <t>009.628.321-11</t>
  </si>
  <si>
    <t>19/03/2026</t>
  </si>
  <si>
    <t>1.258,06</t>
  </si>
  <si>
    <t>94,35</t>
  </si>
  <si>
    <t>1.163,71</t>
  </si>
  <si>
    <t>LILIAN DA SILVA VENANCIO</t>
  </si>
  <si>
    <t>066.196.021-85</t>
  </si>
  <si>
    <t>1.651,13</t>
  </si>
  <si>
    <t>124,28</t>
  </si>
  <si>
    <t>1.526,85</t>
  </si>
  <si>
    <t>LILIAN VASONCELOS BRITO</t>
  </si>
  <si>
    <t>002.976.851-98</t>
  </si>
  <si>
    <t>3.480,55</t>
  </si>
  <si>
    <t>306,25</t>
  </si>
  <si>
    <t>3.174,30</t>
  </si>
  <si>
    <t>LINDSAY CIRILA GONCALVES SIQUEIRA DE OLIVEIRA</t>
  </si>
  <si>
    <t>032.549.371-55</t>
  </si>
  <si>
    <t>LIVIA RORIZ ALBERNAZ MEIRELES</t>
  </si>
  <si>
    <t>002.131.851-48</t>
  </si>
  <si>
    <t>LIZANDRA DINIZ DE SOUZA</t>
  </si>
  <si>
    <t>069.219.231-00</t>
  </si>
  <si>
    <t>4.611,66</t>
  </si>
  <si>
    <t>447,13</t>
  </si>
  <si>
    <t>4.164,53</t>
  </si>
  <si>
    <t>4.748,10</t>
  </si>
  <si>
    <t>466,23</t>
  </si>
  <si>
    <t>4.281,87</t>
  </si>
  <si>
    <t>LOISE DA SILVA SANTOS</t>
  </si>
  <si>
    <t>037.554.811-46</t>
  </si>
  <si>
    <t>2.148,58</t>
  </si>
  <si>
    <t>3.015,50</t>
  </si>
  <si>
    <t>444,58</t>
  </si>
  <si>
    <t>1.311,50</t>
  </si>
  <si>
    <t>LORENA ENEAS AMARAL DE FREITAS</t>
  </si>
  <si>
    <t>052.227.841-85</t>
  </si>
  <si>
    <t>LORENA GOMES DA CRUZ</t>
  </si>
  <si>
    <t>059.704.761-88</t>
  </si>
  <si>
    <t>LOURDIANE SALAZAR REZENDE MONTEIRO</t>
  </si>
  <si>
    <t>000.032.511-28</t>
  </si>
  <si>
    <t>5.111,57</t>
  </si>
  <si>
    <t>3.284,65</t>
  </si>
  <si>
    <t>1.735,82</t>
  </si>
  <si>
    <t>1.610,00</t>
  </si>
  <si>
    <t>LUANA AMARO DA SILVA</t>
  </si>
  <si>
    <t>709.306.491-41</t>
  </si>
  <si>
    <t>LUCAS MONTEIRO MENDANHA</t>
  </si>
  <si>
    <t>706.889.881-56</t>
  </si>
  <si>
    <t>2.724,21</t>
  </si>
  <si>
    <t>220,85</t>
  </si>
  <si>
    <t>2.503,36</t>
  </si>
  <si>
    <t>2.256,12</t>
  </si>
  <si>
    <t>178,73</t>
  </si>
  <si>
    <t>2.077,39</t>
  </si>
  <si>
    <t>LUCAS OLIVEIRA AMORIM</t>
  </si>
  <si>
    <t>026.126.451-60</t>
  </si>
  <si>
    <t>8.902,06</t>
  </si>
  <si>
    <t>2.466,95</t>
  </si>
  <si>
    <t>6.435,11</t>
  </si>
  <si>
    <t>5.879,08</t>
  </si>
  <si>
    <t>964,98</t>
  </si>
  <si>
    <t>4.914,10</t>
  </si>
  <si>
    <t>LUCIANA ATTIE</t>
  </si>
  <si>
    <t>255.265.728-11</t>
  </si>
  <si>
    <t>LUCIANA MARIA ESTEVAM ROCHA FELIX</t>
  </si>
  <si>
    <t>029.575.691-83</t>
  </si>
  <si>
    <t>LUCIANA SILVA QUEIROZ</t>
  </si>
  <si>
    <t>721.560.071-87</t>
  </si>
  <si>
    <t>LUCIANE RORIZ MEIRELES DE OLIVEIRA</t>
  </si>
  <si>
    <t>954.054.021-68</t>
  </si>
  <si>
    <t>LUCINEIDE CARVALHO MACHADO</t>
  </si>
  <si>
    <t>688.239.751-15</t>
  </si>
  <si>
    <t>1.664,30</t>
  </si>
  <si>
    <t>125,46</t>
  </si>
  <si>
    <t>1.538,84</t>
  </si>
  <si>
    <t>LUCIVANI PIRES DE ARAUJO</t>
  </si>
  <si>
    <t>305.142.402-10</t>
  </si>
  <si>
    <t>1.658,44</t>
  </si>
  <si>
    <t>4.751,55</t>
  </si>
  <si>
    <t>3.776,67</t>
  </si>
  <si>
    <t>341,78</t>
  </si>
  <si>
    <t>3.434,89</t>
  </si>
  <si>
    <t>LUISA GONCALVES INACIO ELEUTERIO</t>
  </si>
  <si>
    <t>047.907.011-31</t>
  </si>
  <si>
    <t>LUIZ CARLOS RIBEIRO</t>
  </si>
  <si>
    <t>108.151.986-04</t>
  </si>
  <si>
    <t>4.679,30</t>
  </si>
  <si>
    <t>456,60</t>
  </si>
  <si>
    <t>4.222,70</t>
  </si>
  <si>
    <t>LUIZA MACIEL MONTEIRO</t>
  </si>
  <si>
    <t>706.373.671-03</t>
  </si>
  <si>
    <t>LUZYANNY GARDENY SILVA LUZ</t>
  </si>
  <si>
    <t>055.730.553-56</t>
  </si>
  <si>
    <t>3.166,92</t>
  </si>
  <si>
    <t>268,61</t>
  </si>
  <si>
    <t>2.898,31</t>
  </si>
  <si>
    <t>3.170,50</t>
  </si>
  <si>
    <t>269,04</t>
  </si>
  <si>
    <t>2.901,46</t>
  </si>
  <si>
    <t>MACIEL DE OLIVEIRA ABREU</t>
  </si>
  <si>
    <t>PEDAGOGO RT</t>
  </si>
  <si>
    <t>972.208.681-20</t>
  </si>
  <si>
    <t>4.841,14</t>
  </si>
  <si>
    <t>479,26</t>
  </si>
  <si>
    <t>4.361,88</t>
  </si>
  <si>
    <t>MAIARA DE QUEIROZ SILVA</t>
  </si>
  <si>
    <t>019.870.981-10</t>
  </si>
  <si>
    <t>5.181,00</t>
  </si>
  <si>
    <t>764,30</t>
  </si>
  <si>
    <t>4.416,70</t>
  </si>
  <si>
    <t>5.050,40</t>
  </si>
  <si>
    <t>876,63</t>
  </si>
  <si>
    <t>4.173,77</t>
  </si>
  <si>
    <t>MAIARA LEMES PEREIRA</t>
  </si>
  <si>
    <t>044.017.461-98</t>
  </si>
  <si>
    <t>MANOEL MATHEUS DUARTE DA SILVA</t>
  </si>
  <si>
    <t>063.005.241-75</t>
  </si>
  <si>
    <t>MARCELA FALCAO OLIVEIRA</t>
  </si>
  <si>
    <t>074.352.591-44</t>
  </si>
  <si>
    <t>MARCELLE GILMARA ROCHA</t>
  </si>
  <si>
    <t>124.381.276-19</t>
  </si>
  <si>
    <t>7.173,02</t>
  </si>
  <si>
    <t>2.010,94</t>
  </si>
  <si>
    <t>5.162,08</t>
  </si>
  <si>
    <t>5.707,19</t>
  </si>
  <si>
    <t>875,53</t>
  </si>
  <si>
    <t>4.831,66</t>
  </si>
  <si>
    <t>MARCIA PEREIRA VIEIRA DE SOUZA</t>
  </si>
  <si>
    <t>013.515.281-06</t>
  </si>
  <si>
    <t>MARCIA RIBEIRO GUIMARAES</t>
  </si>
  <si>
    <t>768.265.461-91</t>
  </si>
  <si>
    <t>MARCIA ROSA DE VASCONCELOS</t>
  </si>
  <si>
    <t>598.483.401-49</t>
  </si>
  <si>
    <t>1.846,85</t>
  </si>
  <si>
    <t>1.586,49</t>
  </si>
  <si>
    <t>MARCIA SOUZA DO NASCIMENTO</t>
  </si>
  <si>
    <t>003.262.451-46</t>
  </si>
  <si>
    <t>MARCILENE DE JESUS VIEIRA LOPES</t>
  </si>
  <si>
    <t>036.340.641-70</t>
  </si>
  <si>
    <t>6.068,61</t>
  </si>
  <si>
    <t>1.617,48</t>
  </si>
  <si>
    <t>4.451,13</t>
  </si>
  <si>
    <t>MARCOS FELIPE MARTINS MENDONÇA</t>
  </si>
  <si>
    <t>026.894.761-93</t>
  </si>
  <si>
    <t>1.206,34</t>
  </si>
  <si>
    <t>3.855,02</t>
  </si>
  <si>
    <t>6.383,45</t>
  </si>
  <si>
    <t>1.991,36</t>
  </si>
  <si>
    <t>4.392,09</t>
  </si>
  <si>
    <t>MARCOS IONAN BRAZ JUNIOR</t>
  </si>
  <si>
    <t>BIOLOGO</t>
  </si>
  <si>
    <t>015.870.091-02</t>
  </si>
  <si>
    <t>2.026,45</t>
  </si>
  <si>
    <t>2.007,83</t>
  </si>
  <si>
    <t>1.784,09</t>
  </si>
  <si>
    <t>2.250,19</t>
  </si>
  <si>
    <t>MARCUS VINICIUS SOUSA DE MORAIS CUNHA</t>
  </si>
  <si>
    <t>009.063.561-21</t>
  </si>
  <si>
    <t>4.914,01</t>
  </si>
  <si>
    <t>MARIA ADELIA VELOSO DE ABREU</t>
  </si>
  <si>
    <t>TECNICO EM GESSO HOSPITALAR</t>
  </si>
  <si>
    <t>881.018.781-49</t>
  </si>
  <si>
    <t>MARIA BEATRIZ ARNEITZ GALANTE</t>
  </si>
  <si>
    <t>443.864.511-53</t>
  </si>
  <si>
    <t>MARIA CAROLINE MEDEIROS LOPES</t>
  </si>
  <si>
    <t>054.329.421-86</t>
  </si>
  <si>
    <t>5.114,58</t>
  </si>
  <si>
    <t>1.827,19</t>
  </si>
  <si>
    <t>3.287,39</t>
  </si>
  <si>
    <t>1.691,92</t>
  </si>
  <si>
    <t>171,80</t>
  </si>
  <si>
    <t>1.520,12</t>
  </si>
  <si>
    <t>MARIA CLARA PIRES DE SOUSA</t>
  </si>
  <si>
    <t>037.391.531-48</t>
  </si>
  <si>
    <t>5.342,83</t>
  </si>
  <si>
    <t>1.841,65</t>
  </si>
  <si>
    <t>3.501,18</t>
  </si>
  <si>
    <t>1.987,62</t>
  </si>
  <si>
    <t>154,56</t>
  </si>
  <si>
    <t>1.833,06</t>
  </si>
  <si>
    <t>MARIA CRISTINA CALDEIRA SILVEIRA</t>
  </si>
  <si>
    <t>3.424,00</t>
  </si>
  <si>
    <t>299,46</t>
  </si>
  <si>
    <t>3.124,54</t>
  </si>
  <si>
    <t>MARIA DA CONCEICAO CARDOSO DE SOUZA</t>
  </si>
  <si>
    <t>820.716.161-20</t>
  </si>
  <si>
    <t>MARIA DANIELA DA COSTA PIMENTEL</t>
  </si>
  <si>
    <t>624.707.873-00</t>
  </si>
  <si>
    <t>6.780,30</t>
  </si>
  <si>
    <t>1.963,81</t>
  </si>
  <si>
    <t>4.816,49</t>
  </si>
  <si>
    <t>309,86</t>
  </si>
  <si>
    <t>3.200,74</t>
  </si>
  <si>
    <t>MARIA DAS GRAÇAS SANTOS FERNANDES</t>
  </si>
  <si>
    <t>707.329.541-42</t>
  </si>
  <si>
    <t>UOM-UNIDADE ODONTOLOGICA MOVEL</t>
  </si>
  <si>
    <t>MARIA DAS VITORIAS DANTAS SANTOS</t>
  </si>
  <si>
    <t>886.234.831-20</t>
  </si>
  <si>
    <t>1.131,05</t>
  </si>
  <si>
    <t>5.176,18</t>
  </si>
  <si>
    <t>1.168,55</t>
  </si>
  <si>
    <t>5.212,27</t>
  </si>
  <si>
    <t>MARIA DE FATIMA DE OLIVEIRA SANTOS</t>
  </si>
  <si>
    <t>434.066.021-34</t>
  </si>
  <si>
    <t>MARIA DE JESUS DIAS DA SILVA</t>
  </si>
  <si>
    <t>796.908.311-00</t>
  </si>
  <si>
    <t>MARIA DIVINA RESENDE MOREIRA</t>
  </si>
  <si>
    <t>499.841.791-68</t>
  </si>
  <si>
    <t>5.403,52</t>
  </si>
  <si>
    <t>1.859,27</t>
  </si>
  <si>
    <t>3.544,25</t>
  </si>
  <si>
    <t>2.242,89</t>
  </si>
  <si>
    <t>177,54</t>
  </si>
  <si>
    <t>2.065,35</t>
  </si>
  <si>
    <t>MARIA DO CARMO SILVA</t>
  </si>
  <si>
    <t>007.232.161-00</t>
  </si>
  <si>
    <t>7.095,88</t>
  </si>
  <si>
    <t>2.177,12</t>
  </si>
  <si>
    <t>4.918,76</t>
  </si>
  <si>
    <t>3.803,94</t>
  </si>
  <si>
    <t>345,06</t>
  </si>
  <si>
    <t>3.458,88</t>
  </si>
  <si>
    <t>MARIA DO SOCORRO DE ARAUJO FREITAS</t>
  </si>
  <si>
    <t>499.822.301-15</t>
  </si>
  <si>
    <t>MARIA DO SOCORRO RODRIGUES NASCIMENTO</t>
  </si>
  <si>
    <t>006.083.903-13</t>
  </si>
  <si>
    <t>3.518,48</t>
  </si>
  <si>
    <t>138,98</t>
  </si>
  <si>
    <t>3.379,50</t>
  </si>
  <si>
    <t>1.833,41</t>
  </si>
  <si>
    <t>140,68</t>
  </si>
  <si>
    <t>1.692,73</t>
  </si>
  <si>
    <t>MARIA ESTER NASCIMENTO DUTRA DE OLIVEIRA</t>
  </si>
  <si>
    <t>824.454.861-49</t>
  </si>
  <si>
    <t>MARIA GABRIELA MARQUES VIEIRA</t>
  </si>
  <si>
    <t>709.194.791-62</t>
  </si>
  <si>
    <t>MARIA HELENA MACEDO BESERRA FELIX</t>
  </si>
  <si>
    <t>006.880.911-56</t>
  </si>
  <si>
    <t>18/12/2025</t>
  </si>
  <si>
    <t>MARIA JOSE ALVES DE SOUSA</t>
  </si>
  <si>
    <t>057.207.683-51</t>
  </si>
  <si>
    <t>1.880,38</t>
  </si>
  <si>
    <t>132,75</t>
  </si>
  <si>
    <t>1.747,63</t>
  </si>
  <si>
    <t>MARIA JOSE ARAUJO XAVIER RODRIGUES</t>
  </si>
  <si>
    <t>977.143.481-00</t>
  </si>
  <si>
    <t>MARIA LUCENELDA BARBOSA FERREIRA</t>
  </si>
  <si>
    <t>032.219.641-88</t>
  </si>
  <si>
    <t>MARIA LUCIA PEREIRA DE SOUSA</t>
  </si>
  <si>
    <t>635.862.231-53</t>
  </si>
  <si>
    <t>3.129,00</t>
  </si>
  <si>
    <t>875,57</t>
  </si>
  <si>
    <t>2.253,43</t>
  </si>
  <si>
    <t>MARIA LUCILE MACHADO</t>
  </si>
  <si>
    <t>301.430.206-68</t>
  </si>
  <si>
    <t>MARIA LUISA ALVES DOS SANTOS</t>
  </si>
  <si>
    <t>568.992.704-04</t>
  </si>
  <si>
    <t>3.144,03</t>
  </si>
  <si>
    <t>876,92</t>
  </si>
  <si>
    <t>2.267,11</t>
  </si>
  <si>
    <t>MARIA NADIR DE LIMA SOARES SANTOS</t>
  </si>
  <si>
    <t xml:space="preserve">PEDAGOGO
</t>
  </si>
  <si>
    <t>341.599.401-53</t>
  </si>
  <si>
    <t>MARIA NIVIA DOS SANTOS SILVA</t>
  </si>
  <si>
    <t>702.956.181-32</t>
  </si>
  <si>
    <t>MARIA RITA RIBEIRO PEDROSO</t>
  </si>
  <si>
    <t>074.517.911-81</t>
  </si>
  <si>
    <t>MARIA ROSENIR MACIEL JORDAO</t>
  </si>
  <si>
    <t>000.208.481-37</t>
  </si>
  <si>
    <t>3.022,73</t>
  </si>
  <si>
    <t>2.901,16</t>
  </si>
  <si>
    <t>MARIA SOUZA DOS SANTOS</t>
  </si>
  <si>
    <t>052.370.385-65</t>
  </si>
  <si>
    <t>5.357,63</t>
  </si>
  <si>
    <t>1.842,98</t>
  </si>
  <si>
    <t>3.514,65</t>
  </si>
  <si>
    <t>1.975,65</t>
  </si>
  <si>
    <t>141,33</t>
  </si>
  <si>
    <t>1.834,32</t>
  </si>
  <si>
    <t>MARIA TEREZA BERTOLDO MUNIZ</t>
  </si>
  <si>
    <t>007.483.851-26</t>
  </si>
  <si>
    <t>FILANTROPICA</t>
  </si>
  <si>
    <t>MARIA ZULMA TEIXEIRA DE OLIVEIRA</t>
  </si>
  <si>
    <t>604.909.341-53</t>
  </si>
  <si>
    <t>MARIANA ABRAO VELOSO CARVALHO</t>
  </si>
  <si>
    <t>014.425.391-78</t>
  </si>
  <si>
    <t>2.411,78</t>
  </si>
  <si>
    <t>3.998,21</t>
  </si>
  <si>
    <t>MARIANA MARTINS DE PAULA</t>
  </si>
  <si>
    <t>049.337.121-40</t>
  </si>
  <si>
    <t>MARIANA SENA BORGANN RODRIGUES DA SILVA</t>
  </si>
  <si>
    <t>043.621.941-77</t>
  </si>
  <si>
    <t>5.236,71</t>
  </si>
  <si>
    <t>1.838,18</t>
  </si>
  <si>
    <t>3.398,53</t>
  </si>
  <si>
    <t>1.876,58</t>
  </si>
  <si>
    <t>138,49</t>
  </si>
  <si>
    <t>1.738,09</t>
  </si>
  <si>
    <t>MARIANE COSTA BARRETO</t>
  </si>
  <si>
    <t>061.494.851-70</t>
  </si>
  <si>
    <t>MARIANGELA PEREIRA GOMES</t>
  </si>
  <si>
    <t>054.485.706-23</t>
  </si>
  <si>
    <t>MARIELLEN DA SILVA CAIXETA TELES</t>
  </si>
  <si>
    <t>056.277.131-00</t>
  </si>
  <si>
    <t>MARIETA BARBOSA DA CUNHA</t>
  </si>
  <si>
    <t>493.737.571-72</t>
  </si>
  <si>
    <t>MARILENE DE CARVALHO CUNHA</t>
  </si>
  <si>
    <t>017.131.103-50</t>
  </si>
  <si>
    <t>MARINA DE OLIVEIRA FREITAS</t>
  </si>
  <si>
    <t>045.164.711-40</t>
  </si>
  <si>
    <t>MARINA LOPES</t>
  </si>
  <si>
    <t>017.590.251-86</t>
  </si>
  <si>
    <t>MARINALVA MARCIA DA COSTA</t>
  </si>
  <si>
    <t>885.247.281-91</t>
  </si>
  <si>
    <t>MARINEIDE GONÇALVES LOIOLA OLIVEIRA</t>
  </si>
  <si>
    <t>400.800.803-91</t>
  </si>
  <si>
    <t>MARISTELA TAVARES DA SILVA PORTES</t>
  </si>
  <si>
    <t>038.806.141-30</t>
  </si>
  <si>
    <t>16/10/2025</t>
  </si>
  <si>
    <t>382,95</t>
  </si>
  <si>
    <t>1.238,05</t>
  </si>
  <si>
    <t>386,17</t>
  </si>
  <si>
    <t>1.234,83</t>
  </si>
  <si>
    <t>MARLENE PEREIRA DA CUNHA</t>
  </si>
  <si>
    <t>634.033.581-00</t>
  </si>
  <si>
    <t>MARLETE BATISTA DE OLIVEIRA BARREIROS</t>
  </si>
  <si>
    <t>926.872.451-00</t>
  </si>
  <si>
    <t>8.353,84</t>
  </si>
  <si>
    <t>2.178,35</t>
  </si>
  <si>
    <t>6.175,49</t>
  </si>
  <si>
    <t>3.931,40</t>
  </si>
  <si>
    <t>360,35</t>
  </si>
  <si>
    <t>3.571,05</t>
  </si>
  <si>
    <t>MARLI APARECIDA CABRAL SANTOS</t>
  </si>
  <si>
    <t>524.148.761-15</t>
  </si>
  <si>
    <t>3.804,90</t>
  </si>
  <si>
    <t>345,17</t>
  </si>
  <si>
    <t>3.459,73</t>
  </si>
  <si>
    <t>MARTA MORAIS BORGES</t>
  </si>
  <si>
    <t>014.009.931-05</t>
  </si>
  <si>
    <t>5.424,91</t>
  </si>
  <si>
    <t>1.861,20</t>
  </si>
  <si>
    <t>3.563,71</t>
  </si>
  <si>
    <t>2.192,34</t>
  </si>
  <si>
    <t>172,99</t>
  </si>
  <si>
    <t>2.019,35</t>
  </si>
  <si>
    <t>MARTA MOREIRA ALVES QUEIROZ</t>
  </si>
  <si>
    <t>883.428.161-68</t>
  </si>
  <si>
    <t>MARY NILCE ALVES</t>
  </si>
  <si>
    <t>251.555.121-15</t>
  </si>
  <si>
    <t>MATEUS DUARTE COELHO</t>
  </si>
  <si>
    <t>059.007.491-18</t>
  </si>
  <si>
    <t>7.342,57</t>
  </si>
  <si>
    <t>2.064,73</t>
  </si>
  <si>
    <t>5.277,84</t>
  </si>
  <si>
    <t>4.131,29</t>
  </si>
  <si>
    <t>384,34</t>
  </si>
  <si>
    <t>3.746,95</t>
  </si>
  <si>
    <t>MATHEUS DA SILVA TURIBIO DIAS</t>
  </si>
  <si>
    <t>074.574.681-02</t>
  </si>
  <si>
    <t>1.442,23</t>
  </si>
  <si>
    <t>2.837,77</t>
  </si>
  <si>
    <t>MATHEUS LOPES SANTOS</t>
  </si>
  <si>
    <t>018.914.571-44</t>
  </si>
  <si>
    <t>MAURINA MACEDO PEREIRA</t>
  </si>
  <si>
    <t>893.307.901-78</t>
  </si>
  <si>
    <t>MAYARA DE NASCIMENTO SANTANA</t>
  </si>
  <si>
    <t>052.056.021-39</t>
  </si>
  <si>
    <t>3.475,11</t>
  </si>
  <si>
    <t>122,92</t>
  </si>
  <si>
    <t>1.770,66</t>
  </si>
  <si>
    <t>122,88</t>
  </si>
  <si>
    <t>1.647,78</t>
  </si>
  <si>
    <t>MEIRES NATALIA DE JESUS MORAIS</t>
  </si>
  <si>
    <t>341.625.261-68</t>
  </si>
  <si>
    <t>MICAELE ARAUJO DE SOUZA</t>
  </si>
  <si>
    <t>043.489.021-94</t>
  </si>
  <si>
    <t>MICAELLE DAIANE DE SOUZA</t>
  </si>
  <si>
    <t>047.423.681-18</t>
  </si>
  <si>
    <t>MICHELE BITENCOURT ALVES SANTANA</t>
  </si>
  <si>
    <t>043.197.571-06</t>
  </si>
  <si>
    <t>MICHELE FERREIRA LOPES</t>
  </si>
  <si>
    <t>044.472.991-78</t>
  </si>
  <si>
    <t>2.511,57</t>
  </si>
  <si>
    <t>201,72</t>
  </si>
  <si>
    <t>2.309,85</t>
  </si>
  <si>
    <t>2.247,50</t>
  </si>
  <si>
    <t>177,95</t>
  </si>
  <si>
    <t>2.069,55</t>
  </si>
  <si>
    <t>MICHELLE CRISTINE COUTINHO</t>
  </si>
  <si>
    <t>051.585.731-90</t>
  </si>
  <si>
    <t>MICHELLE LIMA MORAES SILVA</t>
  </si>
  <si>
    <t>038.898.361-27</t>
  </si>
  <si>
    <t>MICHELLE MOREIRA DE SOUSA</t>
  </si>
  <si>
    <t>026.654.461-46</t>
  </si>
  <si>
    <t>MIRIAM ALVES SANTANA</t>
  </si>
  <si>
    <t>779.162.801-59</t>
  </si>
  <si>
    <t>6.751,35</t>
  </si>
  <si>
    <t>1.960,70</t>
  </si>
  <si>
    <t>4.790,65</t>
  </si>
  <si>
    <t>4.278,59</t>
  </si>
  <si>
    <t>402,02</t>
  </si>
  <si>
    <t>3.876,57</t>
  </si>
  <si>
    <t>MIRIAM MEIRELES</t>
  </si>
  <si>
    <t>008.838.071-81</t>
  </si>
  <si>
    <t>MONICA GOMES NORONHA</t>
  </si>
  <si>
    <t>028.255.071-21</t>
  </si>
  <si>
    <t>3.180,14</t>
  </si>
  <si>
    <t>270,20</t>
  </si>
  <si>
    <t>2.909,94</t>
  </si>
  <si>
    <t>MORGANNA HENRIQUE DE ANICETO</t>
  </si>
  <si>
    <t>057.813.671-60</t>
  </si>
  <si>
    <t>3.244,47</t>
  </si>
  <si>
    <t>MYLENA ADRYELLY CARNEIRO DE MELO</t>
  </si>
  <si>
    <t>063.967.771-18</t>
  </si>
  <si>
    <t>MYRELLE DA CUNHA CARDOSO</t>
  </si>
  <si>
    <t>020.775.541-85</t>
  </si>
  <si>
    <t>6.842,37</t>
  </si>
  <si>
    <t>1.971,26</t>
  </si>
  <si>
    <t>4.871,11</t>
  </si>
  <si>
    <t>3.280,14</t>
  </si>
  <si>
    <t>282,20</t>
  </si>
  <si>
    <t>2.997,94</t>
  </si>
  <si>
    <t>NAIDE ALVES LEAO</t>
  </si>
  <si>
    <t>032.241.591-89</t>
  </si>
  <si>
    <t>NAILA BRUNA NUNES DE OLIVEIRA</t>
  </si>
  <si>
    <t>702.770.591-51</t>
  </si>
  <si>
    <t>NAJILA DE SOUSA LIRA</t>
  </si>
  <si>
    <t>037.910.233-14</t>
  </si>
  <si>
    <t>513,39</t>
  </si>
  <si>
    <t>2.486,61</t>
  </si>
  <si>
    <t>NARA PAULA SOARES RODRIGUES DOS SANTOS</t>
  </si>
  <si>
    <t>035.480.011-65</t>
  </si>
  <si>
    <t>NATALIA NEPUMUCENO DA SILVA</t>
  </si>
  <si>
    <t>054.264.031-71</t>
  </si>
  <si>
    <t>NATECIA RODRIGUES LIMA DOS SANTOS</t>
  </si>
  <si>
    <t>029.380.711-67</t>
  </si>
  <si>
    <t>NATHALIA DE SOUSA DANTAS</t>
  </si>
  <si>
    <t>069.973.691-97</t>
  </si>
  <si>
    <t>370,41</t>
  </si>
  <si>
    <t>1.250,59</t>
  </si>
  <si>
    <t>NATHALIA GOMES DOS SANTOS</t>
  </si>
  <si>
    <t>035.360.771-10</t>
  </si>
  <si>
    <t>5.126,61</t>
  </si>
  <si>
    <t>1.886,81</t>
  </si>
  <si>
    <t>3.239,80</t>
  </si>
  <si>
    <t>1.720,07</t>
  </si>
  <si>
    <t>184,84</t>
  </si>
  <si>
    <t>1.535,23</t>
  </si>
  <si>
    <t>NATHELLY RIBEIRO DE MELO RESENDE</t>
  </si>
  <si>
    <t>051.791.261-93</t>
  </si>
  <si>
    <t>NATHIELLY THAIRINE FREITAS FERREIRA</t>
  </si>
  <si>
    <t>028.403.861-00</t>
  </si>
  <si>
    <t>NAYARA PATRICIA NASCIMENTO ARAUJO</t>
  </si>
  <si>
    <t>702.899.191-18</t>
  </si>
  <si>
    <t>565,22</t>
  </si>
  <si>
    <t>2.601,70</t>
  </si>
  <si>
    <t>555,69</t>
  </si>
  <si>
    <t>2.531,81</t>
  </si>
  <si>
    <t>NEIDE ALVES DE SOUSA ROCHA</t>
  </si>
  <si>
    <t>805.094.361-53</t>
  </si>
  <si>
    <t>NIKOLAS VICTOR MARTINS CASSIMIRO</t>
  </si>
  <si>
    <t>057.794.611-04</t>
  </si>
  <si>
    <t>NIKOLLY VITORIA MEIRELES DOS SANTOS</t>
  </si>
  <si>
    <t>710.268.301-41</t>
  </si>
  <si>
    <t>1.161,29</t>
  </si>
  <si>
    <t>87,09</t>
  </si>
  <si>
    <t>1.074,20</t>
  </si>
  <si>
    <t>2.061,42</t>
  </si>
  <si>
    <t>161,20</t>
  </si>
  <si>
    <t>1.900,22</t>
  </si>
  <si>
    <t>NILVA PEREIRA DA SILVA DA ROCHA</t>
  </si>
  <si>
    <t>556.096.271-68</t>
  </si>
  <si>
    <t>821,30</t>
  </si>
  <si>
    <t>799,70</t>
  </si>
  <si>
    <t>NILZA MARIA MATOS LOBATO</t>
  </si>
  <si>
    <t>959.622.983-49</t>
  </si>
  <si>
    <t>NINA LIDIA MOREIRA DE ALCANTARA</t>
  </si>
  <si>
    <t>003.772.971-35</t>
  </si>
  <si>
    <t>NUBIA DANTAS DIAS</t>
  </si>
  <si>
    <t>019.238.191-19</t>
  </si>
  <si>
    <t>NUBIA LOPES MONTEIRO</t>
  </si>
  <si>
    <t>002.148.573-95</t>
  </si>
  <si>
    <t>3.298,34</t>
  </si>
  <si>
    <t>OCIONEIDE CARVALHO MACHADO</t>
  </si>
  <si>
    <t>042.594.057-80</t>
  </si>
  <si>
    <t>OSMIRENE MARIA GOMES CAIXETA</t>
  </si>
  <si>
    <t>717.561.321-00</t>
  </si>
  <si>
    <t>OTILIA MARIA DA SILVA</t>
  </si>
  <si>
    <t>313.844.551-91</t>
  </si>
  <si>
    <t>PALOMA SOARES DOS SANTOS</t>
  </si>
  <si>
    <t>924.916.501-34</t>
  </si>
  <si>
    <t>6.233,02</t>
  </si>
  <si>
    <t>1.311,20</t>
  </si>
  <si>
    <t>4.921,82</t>
  </si>
  <si>
    <t>PAOLA AMANDA LIMA SOUTO</t>
  </si>
  <si>
    <t>105.883.626-97</t>
  </si>
  <si>
    <t>PATRICIA DANTAS SANTOS</t>
  </si>
  <si>
    <t>860.355.091-34</t>
  </si>
  <si>
    <t>PATRICIA LILIAN DA COSTA MELO</t>
  </si>
  <si>
    <t>055.622.351-96</t>
  </si>
  <si>
    <t>PATRICIA LOPES RAMOS</t>
  </si>
  <si>
    <t>909.000.141-72</t>
  </si>
  <si>
    <t>3.177,05</t>
  </si>
  <si>
    <t>269,83</t>
  </si>
  <si>
    <t>2.907,22</t>
  </si>
  <si>
    <t>PAULA DE FREITAS VIEIRA</t>
  </si>
  <si>
    <t>049.596.971-05</t>
  </si>
  <si>
    <t>PAULO HENRIQUE FARIAS DOS SANTOS</t>
  </si>
  <si>
    <t>054.047.681-18</t>
  </si>
  <si>
    <t>2.006,14</t>
  </si>
  <si>
    <t>3.037,89</t>
  </si>
  <si>
    <t>300,79</t>
  </si>
  <si>
    <t>1.320,21</t>
  </si>
  <si>
    <t>PAULO MOREIRA DA SILVA OLIVEIRA</t>
  </si>
  <si>
    <t>033.093.961-00</t>
  </si>
  <si>
    <t>1.973,10</t>
  </si>
  <si>
    <t>3.123,44</t>
  </si>
  <si>
    <t>269,10</t>
  </si>
  <si>
    <t>1.419,44</t>
  </si>
  <si>
    <t>PAULO ROBERTO TONELLI</t>
  </si>
  <si>
    <t>517.469.996-91</t>
  </si>
  <si>
    <t>PEDRO HENRIQUE DUTRA DE SOUZA</t>
  </si>
  <si>
    <t>066.037.961-98</t>
  </si>
  <si>
    <t>POLIANA MELO MARTINS PEREIRA</t>
  </si>
  <si>
    <t>056.557.051-09</t>
  </si>
  <si>
    <t>2.290,04</t>
  </si>
  <si>
    <t>3.084,49</t>
  </si>
  <si>
    <t>588,37</t>
  </si>
  <si>
    <t>1.404,11</t>
  </si>
  <si>
    <t>POLIANA SOARES DA SILVA</t>
  </si>
  <si>
    <t>726.104.761-91</t>
  </si>
  <si>
    <t>POLLIANNA CAMELO DE OLIVEIRA CAMARGO</t>
  </si>
  <si>
    <t>047.835.071-63</t>
  </si>
  <si>
    <t>2.244,18</t>
  </si>
  <si>
    <t>3.062,81</t>
  </si>
  <si>
    <t>542,51</t>
  </si>
  <si>
    <t>1.382,43</t>
  </si>
  <si>
    <t>PRISCILA FARIAS BUENO SOARES</t>
  </si>
  <si>
    <t>037.980.711-44</t>
  </si>
  <si>
    <t>PRISCILA FERNANDES SILVA</t>
  </si>
  <si>
    <t>050.411.751-36</t>
  </si>
  <si>
    <t>5.357,84</t>
  </si>
  <si>
    <t>1.843,00</t>
  </si>
  <si>
    <t>3.514,84</t>
  </si>
  <si>
    <t>1.833,53</t>
  </si>
  <si>
    <t>128,54</t>
  </si>
  <si>
    <t>1.704,99</t>
  </si>
  <si>
    <t>PRISCILA MACEDO ALVES</t>
  </si>
  <si>
    <t>038.818.671-20</t>
  </si>
  <si>
    <t>PRISCILA MARIA DE MATOS</t>
  </si>
  <si>
    <t>009.389.931-94</t>
  </si>
  <si>
    <t>RAFAEL BARROS FERREIRA</t>
  </si>
  <si>
    <t>017.225.285-75</t>
  </si>
  <si>
    <t>RAFAELA SANTOS GUSMAO</t>
  </si>
  <si>
    <t>025.288.641-08</t>
  </si>
  <si>
    <t>RAFAELLA DOS SANTOS RAMOS</t>
  </si>
  <si>
    <t>072.299.541-50</t>
  </si>
  <si>
    <t>5.887,15</t>
  </si>
  <si>
    <t>1.528,45</t>
  </si>
  <si>
    <t>4.358,70</t>
  </si>
  <si>
    <t>3.386,14</t>
  </si>
  <si>
    <t>294,92</t>
  </si>
  <si>
    <t>3.091,22</t>
  </si>
  <si>
    <t>RAFAELLA PRATES BERTOLETTI</t>
  </si>
  <si>
    <t>726.550.031-87</t>
  </si>
  <si>
    <t>RAISSA CARVALHO MACHADO</t>
  </si>
  <si>
    <t>071.488.341-71</t>
  </si>
  <si>
    <t>1.719,24</t>
  </si>
  <si>
    <t>124,33</t>
  </si>
  <si>
    <t>1.594,91</t>
  </si>
  <si>
    <t>RAMON OLIVEIRA NUNES</t>
  </si>
  <si>
    <t>055.646.481-88</t>
  </si>
  <si>
    <t>RANIEL MOURAO DE MELO</t>
  </si>
  <si>
    <t>041.059.241-25</t>
  </si>
  <si>
    <t>RAPHAELLA OLIVEIRA DUTRA</t>
  </si>
  <si>
    <t>22/04/2026</t>
  </si>
  <si>
    <t>927,00</t>
  </si>
  <si>
    <t>69,52</t>
  </si>
  <si>
    <t>857,48</t>
  </si>
  <si>
    <t>RAQUEL CARVALHO NUNES DA SILVA</t>
  </si>
  <si>
    <t>706.822.841-06</t>
  </si>
  <si>
    <t>1.902,39</t>
  </si>
  <si>
    <t>3.322,03</t>
  </si>
  <si>
    <t>1.855,69</t>
  </si>
  <si>
    <t>204,16</t>
  </si>
  <si>
    <t>1.651,53</t>
  </si>
  <si>
    <t>RAQUEL DA SILVA LIMA</t>
  </si>
  <si>
    <t>999.662.041-72</t>
  </si>
  <si>
    <t>2.299,30</t>
  </si>
  <si>
    <t>3.216,00</t>
  </si>
  <si>
    <t>595,30</t>
  </si>
  <si>
    <t>1.512,00</t>
  </si>
  <si>
    <t>RAQUEL SOUZA MIRANDA SILVA</t>
  </si>
  <si>
    <t>008.723.711-31</t>
  </si>
  <si>
    <t>RAQUELMA ARAUJO DE LIMA</t>
  </si>
  <si>
    <t>048.471.021-42</t>
  </si>
  <si>
    <t>692,11</t>
  </si>
  <si>
    <t>1.415,19</t>
  </si>
  <si>
    <t>RAYANE NUNES DE LIMA</t>
  </si>
  <si>
    <t>737.133.501-59</t>
  </si>
  <si>
    <t>3.162,99</t>
  </si>
  <si>
    <t>268,14</t>
  </si>
  <si>
    <t>2.894,85</t>
  </si>
  <si>
    <t>3.388,75</t>
  </si>
  <si>
    <t>295,23</t>
  </si>
  <si>
    <t>3.093,52</t>
  </si>
  <si>
    <t>RAYNNARA MARIA MADEIRO BRASIL</t>
  </si>
  <si>
    <t>706.402.101-39</t>
  </si>
  <si>
    <t>2.115,09</t>
  </si>
  <si>
    <t>3.124,36</t>
  </si>
  <si>
    <t>1.840,49</t>
  </si>
  <si>
    <t>411,90</t>
  </si>
  <si>
    <t>1.428,59</t>
  </si>
  <si>
    <t>RAYONE COELHO DOS SANTOS</t>
  </si>
  <si>
    <t>014.321.491-80</t>
  </si>
  <si>
    <t>5.947,53</t>
  </si>
  <si>
    <t>1.535,70</t>
  </si>
  <si>
    <t>4.411,83</t>
  </si>
  <si>
    <t>3.503,69</t>
  </si>
  <si>
    <t>309,03</t>
  </si>
  <si>
    <t>3.194,66</t>
  </si>
  <si>
    <t>RAYRA KETLLEY COSTA ALBUQUERQUE</t>
  </si>
  <si>
    <t>074.716.461-44</t>
  </si>
  <si>
    <t>06/02/2026</t>
  </si>
  <si>
    <t>4.318,18</t>
  </si>
  <si>
    <t>4.017,59</t>
  </si>
  <si>
    <t>RAYSSA MENDES LELES</t>
  </si>
  <si>
    <t>709.603.041-77</t>
  </si>
  <si>
    <t>REGINA TAVARES BRITO ROSA</t>
  </si>
  <si>
    <t>001.873.671-83</t>
  </si>
  <si>
    <t>RENATA AIRES DOS SANTOS</t>
  </si>
  <si>
    <t>034.131.355-62</t>
  </si>
  <si>
    <t>RENATA APARECIDA LIMA DA SILVA</t>
  </si>
  <si>
    <t>703.122.241-92</t>
  </si>
  <si>
    <t>RICARDO FELIPE FERREIRA ROCHA</t>
  </si>
  <si>
    <t>023.207.671-50</t>
  </si>
  <si>
    <t>6.467,30</t>
  </si>
  <si>
    <t>1.926,25</t>
  </si>
  <si>
    <t>4.541,05</t>
  </si>
  <si>
    <t>RITA RORIZ CIQUEIRA</t>
  </si>
  <si>
    <t>037.072.115-25</t>
  </si>
  <si>
    <t>RIVIELLY ILDEFONSO DA SILVA</t>
  </si>
  <si>
    <t>ROBERTA CELESTINO DE SOUZA</t>
  </si>
  <si>
    <t>052.174.521-70</t>
  </si>
  <si>
    <t>1.177,61</t>
  </si>
  <si>
    <t>2.255,73</t>
  </si>
  <si>
    <t>ROSALIA DOS SANTOS SILVA</t>
  </si>
  <si>
    <t>701.887.134-41</t>
  </si>
  <si>
    <t>ROSANA SOUZA COUTINHO</t>
  </si>
  <si>
    <t>874.841.371-20</t>
  </si>
  <si>
    <t>6.427,27</t>
  </si>
  <si>
    <t>1.921,45</t>
  </si>
  <si>
    <t>4.505,82</t>
  </si>
  <si>
    <t>3.107,74</t>
  </si>
  <si>
    <t>261,51</t>
  </si>
  <si>
    <t>2.846,23</t>
  </si>
  <si>
    <t>ROSANGELA SAMPAIO FRANCA</t>
  </si>
  <si>
    <t>698.857.295-34</t>
  </si>
  <si>
    <t>5.036,30</t>
  </si>
  <si>
    <t>1.826,22</t>
  </si>
  <si>
    <t>3.210,08</t>
  </si>
  <si>
    <t>ROSIANE OLIVEIRA SANTOS</t>
  </si>
  <si>
    <t>007.338.431-31</t>
  </si>
  <si>
    <t>ROSICLEIA SILVA DE LACERDA</t>
  </si>
  <si>
    <t>039.406.811-48</t>
  </si>
  <si>
    <t>ROSILEIDE ALVES ALBUQUERQUE FREIXO</t>
  </si>
  <si>
    <t>054.323.661-77</t>
  </si>
  <si>
    <t>5.306,09</t>
  </si>
  <si>
    <t>1.953,68</t>
  </si>
  <si>
    <t>3.352,41</t>
  </si>
  <si>
    <t>1.872,24</t>
  </si>
  <si>
    <t>679,29</t>
  </si>
  <si>
    <t>1.192,95</t>
  </si>
  <si>
    <t>ROSIMARIA SOARES RIBEIRO</t>
  </si>
  <si>
    <t>923.607.931-87</t>
  </si>
  <si>
    <t>ROSIMARY ALVES DE OLIVEIRA</t>
  </si>
  <si>
    <t>939.008.991-34</t>
  </si>
  <si>
    <t>ROSIMERI DE MORAES OLIVEIRA</t>
  </si>
  <si>
    <t>634.028.741-72</t>
  </si>
  <si>
    <t>5.305,85</t>
  </si>
  <si>
    <t>3.461,45</t>
  </si>
  <si>
    <t>1.914,27</t>
  </si>
  <si>
    <t>141,88</t>
  </si>
  <si>
    <t>1.772,39</t>
  </si>
  <si>
    <t>ROSSANA OLIVEIRA BORGES SOUZA</t>
  </si>
  <si>
    <t>343.933.663-87</t>
  </si>
  <si>
    <t>ROZANA OLIVEIRA DE AZEVEDO CARDOSO</t>
  </si>
  <si>
    <t>920.840.877-91</t>
  </si>
  <si>
    <t>10/10/2025</t>
  </si>
  <si>
    <t>RUAN VITOR ARAUJO DOS REIS</t>
  </si>
  <si>
    <t>705.263.711-10</t>
  </si>
  <si>
    <t>473,82</t>
  </si>
  <si>
    <t>1.326,18</t>
  </si>
  <si>
    <t>SABRYNE SILVA MONTALVAO VIEIRA</t>
  </si>
  <si>
    <t>021.687.451-37</t>
  </si>
  <si>
    <t>6.509,71</t>
  </si>
  <si>
    <t>2.106,78</t>
  </si>
  <si>
    <t>4.402,93</t>
  </si>
  <si>
    <t>SAGORAH FERNANDA FERREIRA NEVES</t>
  </si>
  <si>
    <t>091.546.531-00</t>
  </si>
  <si>
    <t>19/01/2026</t>
  </si>
  <si>
    <t>2.265,63</t>
  </si>
  <si>
    <t>264,22</t>
  </si>
  <si>
    <t>2.001,41</t>
  </si>
  <si>
    <t>2.302,50</t>
  </si>
  <si>
    <t>267,54</t>
  </si>
  <si>
    <t>2.034,96</t>
  </si>
  <si>
    <t>SAMILLY LARISSA BARBOSA DE OLIVEIRA</t>
  </si>
  <si>
    <t>046.598.381-29</t>
  </si>
  <si>
    <t>SAMUEL MARCONI PIMENTEL PAULO</t>
  </si>
  <si>
    <t>075.464.871-02</t>
  </si>
  <si>
    <t>SANARA SILVA ROBERTO</t>
  </si>
  <si>
    <t>027.275.481-17</t>
  </si>
  <si>
    <t>SANDRA DA ROCHA SILVA</t>
  </si>
  <si>
    <t>020.340.531-50</t>
  </si>
  <si>
    <t>SANDRA REGINA BRITO E SILVA</t>
  </si>
  <si>
    <t>588.830.611-87</t>
  </si>
  <si>
    <t>6.083,82</t>
  </si>
  <si>
    <t>1.619,30</t>
  </si>
  <si>
    <t>4.464,52</t>
  </si>
  <si>
    <t>3.438,62</t>
  </si>
  <si>
    <t>301,22</t>
  </si>
  <si>
    <t>3.137,40</t>
  </si>
  <si>
    <t>SARA ALVES DA SILVA</t>
  </si>
  <si>
    <t>059.750.101-79</t>
  </si>
  <si>
    <t>1.964,08</t>
  </si>
  <si>
    <t>4.818,42</t>
  </si>
  <si>
    <t>3.506,82</t>
  </si>
  <si>
    <t>309,40</t>
  </si>
  <si>
    <t>3.197,42</t>
  </si>
  <si>
    <t>SARA DE JESUS SOUZA</t>
  </si>
  <si>
    <t>076.199.191-39</t>
  </si>
  <si>
    <t>SARA DIAS VIEIRA DE ALBUQUERQUE RORIZ</t>
  </si>
  <si>
    <t>046.745.381-06</t>
  </si>
  <si>
    <t>5.522,44</t>
  </si>
  <si>
    <t>683,76</t>
  </si>
  <si>
    <t>4.838,68</t>
  </si>
  <si>
    <t>5.107,47</t>
  </si>
  <si>
    <t>516,54</t>
  </si>
  <si>
    <t>4.590,93</t>
  </si>
  <si>
    <t>SARA FONSECA DIAS</t>
  </si>
  <si>
    <t>044.566.191-71</t>
  </si>
  <si>
    <t>4.464,00</t>
  </si>
  <si>
    <t>426,46</t>
  </si>
  <si>
    <t>4.037,54</t>
  </si>
  <si>
    <t>SARA SILVA MONTALVAO DA ROCHA</t>
  </si>
  <si>
    <t>COORDENADORA GERAL NUTRIÇÃO/RT</t>
  </si>
  <si>
    <t>731.947.781-53</t>
  </si>
  <si>
    <t>6.650,70</t>
  </si>
  <si>
    <t>2.232,64</t>
  </si>
  <si>
    <t>4.418,06</t>
  </si>
  <si>
    <t>SARAH GOMES MAGALHÃES</t>
  </si>
  <si>
    <t>035.942.071-02</t>
  </si>
  <si>
    <t>UBSF PED 9 FEIRINHA-PARQ ESTRELA DALV IX</t>
  </si>
  <si>
    <t>SILONIR SOLANE MOREIRA CUNHA</t>
  </si>
  <si>
    <t>260.495.621-72</t>
  </si>
  <si>
    <t>SILVANA PINTO SILVA</t>
  </si>
  <si>
    <t>025.060.721-28</t>
  </si>
  <si>
    <t>SIMEIA DA SILVA SOUSA</t>
  </si>
  <si>
    <t>001.534.811-37</t>
  </si>
  <si>
    <t>1.704,30</t>
  </si>
  <si>
    <t>1.581,32</t>
  </si>
  <si>
    <t>SIMONE APARECIDA PINHEIRO VIEIRA DOS SANTOS</t>
  </si>
  <si>
    <t>891.439.651-72</t>
  </si>
  <si>
    <t>SIMONE APARECIDA RODRIGUES BARCELOS</t>
  </si>
  <si>
    <t>828.478.001-15</t>
  </si>
  <si>
    <t>SIMONE FRANCISCO RIBEIRO</t>
  </si>
  <si>
    <t>042.682.936-04</t>
  </si>
  <si>
    <t>SIMONE VIEIRA DA SILVA</t>
  </si>
  <si>
    <t>008.776.531-43</t>
  </si>
  <si>
    <t>SOLANGE SOARES DE OLIVEIRA</t>
  </si>
  <si>
    <t>105.777.546-02</t>
  </si>
  <si>
    <t>STEFANE GUIMARAES FARIAS</t>
  </si>
  <si>
    <t>705.357.511-09</t>
  </si>
  <si>
    <t>5.062,05</t>
  </si>
  <si>
    <t>1.828,54</t>
  </si>
  <si>
    <t>3.233,51</t>
  </si>
  <si>
    <t>STEFANE ROCHA DA SILVA</t>
  </si>
  <si>
    <t>019.459.251-08</t>
  </si>
  <si>
    <t>5.304,85</t>
  </si>
  <si>
    <t>1.964,19</t>
  </si>
  <si>
    <t>3.340,66</t>
  </si>
  <si>
    <t>1.898,67</t>
  </si>
  <si>
    <t>342,68</t>
  </si>
  <si>
    <t>1.555,99</t>
  </si>
  <si>
    <t>STEPHANIE DE SOUZA ROCHA</t>
  </si>
  <si>
    <t>705.467.771-47</t>
  </si>
  <si>
    <t>SUELI PEREIRA DOS SANTOS</t>
  </si>
  <si>
    <t>470.438.731-34</t>
  </si>
  <si>
    <t>SUELY DE SOUSA</t>
  </si>
  <si>
    <t>916.983.831-34</t>
  </si>
  <si>
    <t>439,56</t>
  </si>
  <si>
    <t>4.118,03</t>
  </si>
  <si>
    <t>SUZANA CRISTINA GAZOLA GOTALDO</t>
  </si>
  <si>
    <t>033.430.851-89</t>
  </si>
  <si>
    <t>1.923,48</t>
  </si>
  <si>
    <t>142,71</t>
  </si>
  <si>
    <t>1.780,77</t>
  </si>
  <si>
    <t>SUZANA DE MORAES MEIRELES NEVES</t>
  </si>
  <si>
    <t>006.652.961-18</t>
  </si>
  <si>
    <t>VIGILANCIA SANITARIA</t>
  </si>
  <si>
    <t>SUZANA OLIVEIRA DE SENA</t>
  </si>
  <si>
    <t>041.182.361-25</t>
  </si>
  <si>
    <t>5.352,88</t>
  </si>
  <si>
    <t>1.922,83</t>
  </si>
  <si>
    <t>3.430,05</t>
  </si>
  <si>
    <t>2.179,08</t>
  </si>
  <si>
    <t>239,90</t>
  </si>
  <si>
    <t>1.939,18</t>
  </si>
  <si>
    <t>TAINARA ALMEIDA DE MORAIS</t>
  </si>
  <si>
    <t>052.008.381-42</t>
  </si>
  <si>
    <t>6.807,57</t>
  </si>
  <si>
    <t>1.967,09</t>
  </si>
  <si>
    <t>4.840,48</t>
  </si>
  <si>
    <t>3.876,19</t>
  </si>
  <si>
    <t>353,73</t>
  </si>
  <si>
    <t>3.522,46</t>
  </si>
  <si>
    <t>TAISE CRISTINA GONÇALVES DE OLIVEIRA</t>
  </si>
  <si>
    <t>059.016.884-30</t>
  </si>
  <si>
    <t>TAMARA RODRIGUES CAIXETA COUTO</t>
  </si>
  <si>
    <t>045.380.651-10</t>
  </si>
  <si>
    <t>TATIANA LOJOR DE FRANÇA</t>
  </si>
  <si>
    <t>010.989.741-23</t>
  </si>
  <si>
    <t>TATIANE ARAUJO DE SOUZA</t>
  </si>
  <si>
    <t>012.351.631-56</t>
  </si>
  <si>
    <t>5.209,38</t>
  </si>
  <si>
    <t>2.218,03</t>
  </si>
  <si>
    <t>2.991,35</t>
  </si>
  <si>
    <t>1.855,71</t>
  </si>
  <si>
    <t>518,92</t>
  </si>
  <si>
    <t>1.336,79</t>
  </si>
  <si>
    <t>TATIANE DE OLIVEIRA BRAGA HIROSHIMA</t>
  </si>
  <si>
    <t>001.316.141-50</t>
  </si>
  <si>
    <t>6.808,17</t>
  </si>
  <si>
    <t>2.950,06</t>
  </si>
  <si>
    <t>3.858,11</t>
  </si>
  <si>
    <t>3.446,74</t>
  </si>
  <si>
    <t>1.285,09</t>
  </si>
  <si>
    <t>2.161,65</t>
  </si>
  <si>
    <t>TATIANE XAVIER SANTANA</t>
  </si>
  <si>
    <t>051.970.941-17</t>
  </si>
  <si>
    <t>TAYNARA LIMA PEREIRA</t>
  </si>
  <si>
    <t>065.422.731-40</t>
  </si>
  <si>
    <t>3.237,56</t>
  </si>
  <si>
    <t>277,09</t>
  </si>
  <si>
    <t>2.960,47</t>
  </si>
  <si>
    <t>TAYS LACERDA MONTEIRO</t>
  </si>
  <si>
    <t>045.031.741-26</t>
  </si>
  <si>
    <t>720,71</t>
  </si>
  <si>
    <t>2.712,63</t>
  </si>
  <si>
    <t>TEREZINHA MARIA DA ROCHA CARVALHO</t>
  </si>
  <si>
    <t>324.936.571-87</t>
  </si>
  <si>
    <t>TEREZINHA MARIA DE JESUS SOUZA</t>
  </si>
  <si>
    <t>009.166.671-62</t>
  </si>
  <si>
    <t>THAIANE DOS SANTOS MELO</t>
  </si>
  <si>
    <t>054.293.271-74</t>
  </si>
  <si>
    <t>10/12/2025</t>
  </si>
  <si>
    <t>THAINA MARIA SEMIAO</t>
  </si>
  <si>
    <t>705.845.791-36</t>
  </si>
  <si>
    <t>THAIS ALMEIDA ALVES</t>
  </si>
  <si>
    <t>705.244.651-00</t>
  </si>
  <si>
    <t>THAIS ALVES GONCALVES DO CARMO</t>
  </si>
  <si>
    <t>ENFERMEIRO (a) DE CCIH</t>
  </si>
  <si>
    <t>051.421.101-61</t>
  </si>
  <si>
    <t>5.333,30</t>
  </si>
  <si>
    <t>670,59</t>
  </si>
  <si>
    <t>4.662,71</t>
  </si>
  <si>
    <t>THAIS LORENA BARBOSA DE ARAUJO COSTA</t>
  </si>
  <si>
    <t>032.208.571-32</t>
  </si>
  <si>
    <t>THAIS RANELLY SANTOS MESQUITA</t>
  </si>
  <si>
    <t>069.796.141-93</t>
  </si>
  <si>
    <t>THAIS VIEIRA TOLEDO</t>
  </si>
  <si>
    <t>707.570.421-47</t>
  </si>
  <si>
    <t>THAMARA CARDOSO BARBOSA</t>
  </si>
  <si>
    <t>069.567.791-88</t>
  </si>
  <si>
    <t>6.345,27</t>
  </si>
  <si>
    <t>1.650,68</t>
  </si>
  <si>
    <t>4.694,59</t>
  </si>
  <si>
    <t>3.493,81</t>
  </si>
  <si>
    <t>307,84</t>
  </si>
  <si>
    <t>3.185,97</t>
  </si>
  <si>
    <t>THAMIRES VIEIRA BRAZ DE SIQUEIRA</t>
  </si>
  <si>
    <t>038.783.561-02</t>
  </si>
  <si>
    <t>821,88</t>
  </si>
  <si>
    <t>4.878,72</t>
  </si>
  <si>
    <t>THAMMY HADAD SIQUEIRA</t>
  </si>
  <si>
    <t>031.081.691-22</t>
  </si>
  <si>
    <t>THAYS TELES GOMES</t>
  </si>
  <si>
    <t>037.454.541-38</t>
  </si>
  <si>
    <t>THIAGO RODRIGO COSTA</t>
  </si>
  <si>
    <t>086.759.806-98</t>
  </si>
  <si>
    <t>THUANNE VICTORIA DIAS GOMES</t>
  </si>
  <si>
    <t>057.556.571-30</t>
  </si>
  <si>
    <t>TIAGO MARTINS DE OLIVEIRA CABREIRA</t>
  </si>
  <si>
    <t>958.494.591-20</t>
  </si>
  <si>
    <t>1.887,13</t>
  </si>
  <si>
    <t>3.142,03</t>
  </si>
  <si>
    <t>189,12</t>
  </si>
  <si>
    <t>1.431,88</t>
  </si>
  <si>
    <t>VALDA LOPES DUARTE DE MELO</t>
  </si>
  <si>
    <t>964.095.331-87</t>
  </si>
  <si>
    <t>5.612,45</t>
  </si>
  <si>
    <t>1.878,08</t>
  </si>
  <si>
    <t>3.734,37</t>
  </si>
  <si>
    <t>2.244,35</t>
  </si>
  <si>
    <t>177,67</t>
  </si>
  <si>
    <t>2.066,68</t>
  </si>
  <si>
    <t>VALDIRENE MARTINS DUARTE</t>
  </si>
  <si>
    <t>527.499.241-20</t>
  </si>
  <si>
    <t>5.179,33</t>
  </si>
  <si>
    <t>1.839,09</t>
  </si>
  <si>
    <t>3.340,24</t>
  </si>
  <si>
    <t>1.873,15</t>
  </si>
  <si>
    <t>144,26</t>
  </si>
  <si>
    <t>1.728,89</t>
  </si>
  <si>
    <t>VALERIA FARIAS PINHO RODRIGUES</t>
  </si>
  <si>
    <t>2.746,67</t>
  </si>
  <si>
    <t>222,88</t>
  </si>
  <si>
    <t>2.523,79</t>
  </si>
  <si>
    <t>VALMIRA MARIA DA SILVA</t>
  </si>
  <si>
    <t>902.414.011-00</t>
  </si>
  <si>
    <t>3.394,94</t>
  </si>
  <si>
    <t>1.840,33</t>
  </si>
  <si>
    <t>141,30</t>
  </si>
  <si>
    <t>1.699,03</t>
  </si>
  <si>
    <t>VANESSA MARIA DA SILVA GOMES</t>
  </si>
  <si>
    <t>039.626.211-21</t>
  </si>
  <si>
    <t>6.436,69</t>
  </si>
  <si>
    <t>1.922,58</t>
  </si>
  <si>
    <t>4.514,11</t>
  </si>
  <si>
    <t>3.172,59</t>
  </si>
  <si>
    <t>269,30</t>
  </si>
  <si>
    <t>2.903,29</t>
  </si>
  <si>
    <t>VANESSA MOURA SENA DA MATA</t>
  </si>
  <si>
    <t>012.047.791-20</t>
  </si>
  <si>
    <t>2.065,62</t>
  </si>
  <si>
    <t>291,13</t>
  </si>
  <si>
    <t>1.774,49</t>
  </si>
  <si>
    <t>3.285,00</t>
  </si>
  <si>
    <t>412,33</t>
  </si>
  <si>
    <t>2.872,67</t>
  </si>
  <si>
    <t>VANIA ALVES MAGALHAES</t>
  </si>
  <si>
    <t>998.477.871-15</t>
  </si>
  <si>
    <t>VANUSIA DA SILVA LIMA</t>
  </si>
  <si>
    <t>014.945.631-00</t>
  </si>
  <si>
    <t>VERA LUCIA DA SILVA MARIANO</t>
  </si>
  <si>
    <t>585.161.311-49</t>
  </si>
  <si>
    <t>6.418,30</t>
  </si>
  <si>
    <t>1.920,37</t>
  </si>
  <si>
    <t>4.497,93</t>
  </si>
  <si>
    <t>VERONIKA PEIXOTO BRAZ</t>
  </si>
  <si>
    <t>067.750.891-39</t>
  </si>
  <si>
    <t>VICTOR RODRIGUES SANTOS</t>
  </si>
  <si>
    <t>068.555.263-22</t>
  </si>
  <si>
    <t>5.056,98</t>
  </si>
  <si>
    <t>1.876,04</t>
  </si>
  <si>
    <t>3.180,94</t>
  </si>
  <si>
    <t>VICTOR ROSA REIS</t>
  </si>
  <si>
    <t>017.021.381-19</t>
  </si>
  <si>
    <t>6.753,32</t>
  </si>
  <si>
    <t>1.960,58</t>
  </si>
  <si>
    <t>4.792,74</t>
  </si>
  <si>
    <t>VILANI BARBOSA DE OLIVEIRA ALCANTARA</t>
  </si>
  <si>
    <t>552.615.823-34</t>
  </si>
  <si>
    <t>VILMA BATISTA DA SILVA</t>
  </si>
  <si>
    <t>748.250.201-78</t>
  </si>
  <si>
    <t>3.157,81</t>
  </si>
  <si>
    <t>346,85</t>
  </si>
  <si>
    <t>2.810,96</t>
  </si>
  <si>
    <t>554,68</t>
  </si>
  <si>
    <t>1.201,40</t>
  </si>
  <si>
    <t>VIRGILIO AUGUSTO DE SOUSA SANTOS</t>
  </si>
  <si>
    <t>051.846.391-52</t>
  </si>
  <si>
    <t>5.459,10</t>
  </si>
  <si>
    <t>814,86</t>
  </si>
  <si>
    <t>4.644,24</t>
  </si>
  <si>
    <t>VITOR ANTONIO FREITAS NASCIMENTO</t>
  </si>
  <si>
    <t>033.967.291-96</t>
  </si>
  <si>
    <t>VITORIA CAROLINA DA CONCEICAO CARVALHO</t>
  </si>
  <si>
    <t>703.131.041-58</t>
  </si>
  <si>
    <t>VITORIA DE SOUZA RODRIGUES</t>
  </si>
  <si>
    <t>1.340,54</t>
  </si>
  <si>
    <t>300,46</t>
  </si>
  <si>
    <t>1.040,08</t>
  </si>
  <si>
    <t>VIVIAN MEIRELES FLORES DE ALMEIDA</t>
  </si>
  <si>
    <t>981.254.351-15</t>
  </si>
  <si>
    <t>348,10</t>
  </si>
  <si>
    <t>2.818,82</t>
  </si>
  <si>
    <t>3.437,50</t>
  </si>
  <si>
    <t>380,57</t>
  </si>
  <si>
    <t>3.056,93</t>
  </si>
  <si>
    <t>VIVIANE BARBOSA DE SOUSA</t>
  </si>
  <si>
    <t>3.566,02</t>
  </si>
  <si>
    <t>316,51</t>
  </si>
  <si>
    <t>3.249,51</t>
  </si>
  <si>
    <t>VIVIANE MOREIRA DA SILVA</t>
  </si>
  <si>
    <t>020.844.531-51</t>
  </si>
  <si>
    <t>2.086,70</t>
  </si>
  <si>
    <t>3.152,75</t>
  </si>
  <si>
    <t>383,61</t>
  </si>
  <si>
    <t>1.458,03</t>
  </si>
  <si>
    <t>VIVIANE VIEIRA DA SILVA</t>
  </si>
  <si>
    <t>859.022.411-20</t>
  </si>
  <si>
    <t>8.035,39</t>
  </si>
  <si>
    <t>2.121,64</t>
  </si>
  <si>
    <t>5.913,75</t>
  </si>
  <si>
    <t>WANESSA FREITAS DOS SANTOS</t>
  </si>
  <si>
    <t>057.127.801-94</t>
  </si>
  <si>
    <t>2.228,04</t>
  </si>
  <si>
    <t>176,20</t>
  </si>
  <si>
    <t>2.051,84</t>
  </si>
  <si>
    <t>WANESSA SOUZA SILVA</t>
  </si>
  <si>
    <t>705.007.371-77</t>
  </si>
  <si>
    <t>WERONICA TAMYRIE SILVA DE PAULA</t>
  </si>
  <si>
    <t>042.913.251-42</t>
  </si>
  <si>
    <t>WESLIANE COELHO SOARES MEIRELES</t>
  </si>
  <si>
    <t>645.112.001-49</t>
  </si>
  <si>
    <t>WOLNEY RODRIGUES LIMA</t>
  </si>
  <si>
    <t>954.689.001-49</t>
  </si>
  <si>
    <t>YANNE LARA COELHO CARVALHO</t>
  </si>
  <si>
    <t>069.228.241-64</t>
  </si>
  <si>
    <t>YASMIN BERTOLDO DA SILVA</t>
  </si>
  <si>
    <t>705.319.201-60</t>
  </si>
  <si>
    <t>296,19</t>
  </si>
  <si>
    <t>1.503,81</t>
  </si>
  <si>
    <t>ZELIA ROCHA DE MATOS</t>
  </si>
  <si>
    <t>317.089.431-53</t>
  </si>
  <si>
    <t>5.223,00</t>
  </si>
  <si>
    <t>1.843,03</t>
  </si>
  <si>
    <t>3.379,97</t>
  </si>
  <si>
    <t>1.804,10</t>
  </si>
  <si>
    <t>138,04</t>
  </si>
  <si>
    <t>1.666,06</t>
  </si>
  <si>
    <t>ZULEIDE BATISTA DOS SANTOS FARIAS</t>
  </si>
  <si>
    <t>903.589.451-00</t>
  </si>
  <si>
    <t>ANA PAULA SALLES</t>
  </si>
  <si>
    <t>MÉDICO</t>
  </si>
  <si>
    <t>007.145.881-64</t>
  </si>
  <si>
    <t>PRODUÇÃO</t>
  </si>
  <si>
    <t>12667/GO</t>
  </si>
  <si>
    <t>ARACELLE DELANE SILVA DE CARVALHO</t>
  </si>
  <si>
    <t>027.143.245-41</t>
  </si>
  <si>
    <t>PROD/</t>
  </si>
  <si>
    <t>23015/GO</t>
  </si>
  <si>
    <t>ARLEN RAMOS DE OLIVEIRA</t>
  </si>
  <si>
    <t>053.605.206-98</t>
  </si>
  <si>
    <t>15397/GO - 44162MG</t>
  </si>
  <si>
    <t>DIOGENES RODRIGUES DE LIMA</t>
  </si>
  <si>
    <t>008.196.711-00</t>
  </si>
  <si>
    <t>26083/GO</t>
  </si>
  <si>
    <t>GILMAR GOMES GONÇALVES FILHO</t>
  </si>
  <si>
    <t>032.826.041-06</t>
  </si>
  <si>
    <t>17030/GO</t>
  </si>
  <si>
    <t>GREGORY MATHEUS XAVIER DOS SANTOS</t>
  </si>
  <si>
    <t>052.041.821-28</t>
  </si>
  <si>
    <t>20H</t>
  </si>
  <si>
    <t>34615/GO</t>
  </si>
  <si>
    <t>IASMIN DANTAS SAKR KHOURI</t>
  </si>
  <si>
    <t>055.666.621-61</t>
  </si>
  <si>
    <t>26806 /GO</t>
  </si>
  <si>
    <t>JOSE CARLOS DELFINO</t>
  </si>
  <si>
    <t>512.581.701-59</t>
  </si>
  <si>
    <t>28512/GO</t>
  </si>
  <si>
    <t>LUCAS GOMES GONÇALVES</t>
  </si>
  <si>
    <t>032.880.691-99</t>
  </si>
  <si>
    <t>24512/GO</t>
  </si>
  <si>
    <t>MARIA LUIZA ABREU MEIRELES BRAZ</t>
  </si>
  <si>
    <t>006.577.161-38</t>
  </si>
  <si>
    <t>34653/GO</t>
  </si>
  <si>
    <t>OSMAN RODRIGUES RORIZ</t>
  </si>
  <si>
    <t>978.950.401-20</t>
  </si>
  <si>
    <t>14729/GO</t>
  </si>
  <si>
    <t>WANESSA CARVALHO PINTO</t>
  </si>
  <si>
    <t>037.314.593-45</t>
  </si>
  <si>
    <t>26059/GO</t>
  </si>
  <si>
    <t>LUID RODRIGUES VIDAL</t>
  </si>
  <si>
    <t>019.464.161-93</t>
  </si>
  <si>
    <t>15323/GO</t>
  </si>
  <si>
    <t>SANDRO MARCELO DE SOUZA MURATO</t>
  </si>
  <si>
    <t>037.853.106-92</t>
  </si>
  <si>
    <t>9256/GO</t>
  </si>
  <si>
    <t>ANA GABRIELA BATISTA PINHEIRO BRITO</t>
  </si>
  <si>
    <t>698.388.281-49</t>
  </si>
  <si>
    <t>PLANTÃO/PLANTÃO</t>
  </si>
  <si>
    <t>35767/GO</t>
  </si>
  <si>
    <t>KAMILLA GONÇALVES DE SOUZA</t>
  </si>
  <si>
    <t>861.859.342-72</t>
  </si>
  <si>
    <t>PLANTÃO</t>
  </si>
  <si>
    <t>30269/GO</t>
  </si>
  <si>
    <t>PEDRO HENRIQUE MEIRELES DE ARAUJO</t>
  </si>
  <si>
    <t>008.237.311-62</t>
  </si>
  <si>
    <t>31976/GO</t>
  </si>
  <si>
    <t>HELENTON MARANHÃO PORTO MARINHO</t>
  </si>
  <si>
    <t>908.700.851-15</t>
  </si>
  <si>
    <t>DIRETOR INTELLEXMED</t>
  </si>
  <si>
    <t>31654/GO</t>
  </si>
  <si>
    <t>MARILLIA ALVES DE LIMA</t>
  </si>
  <si>
    <t>701.898.341-02</t>
  </si>
  <si>
    <t>40H</t>
  </si>
  <si>
    <t>37626/GO</t>
  </si>
  <si>
    <t>GUSTAVO RIVELLI LAMBOGLIA</t>
  </si>
  <si>
    <t>022.469.241-03</t>
  </si>
  <si>
    <t>CIRURGIÃO</t>
  </si>
  <si>
    <t>22537/GO</t>
  </si>
  <si>
    <t>ISA CARLA DA SILVA JORGE</t>
  </si>
  <si>
    <t>051.857.121-12</t>
  </si>
  <si>
    <t>28053/GO</t>
  </si>
  <si>
    <t>LUCAS MARQUES VOLPONI</t>
  </si>
  <si>
    <t>034.561.511-52</t>
  </si>
  <si>
    <t>PLANTÃO/RT</t>
  </si>
  <si>
    <t>30572/GO</t>
  </si>
  <si>
    <t>RODOLFO PERSCH TONIN</t>
  </si>
  <si>
    <t>042.820.389-26</t>
  </si>
  <si>
    <t>24664/GO</t>
  </si>
  <si>
    <t>RODRIGO ARAUJO BELEM</t>
  </si>
  <si>
    <t>022.304.911-56</t>
  </si>
  <si>
    <t>28294/DF</t>
  </si>
  <si>
    <t>RODRIGO GALVÃO CARDOSO JUNIOR</t>
  </si>
  <si>
    <t>123.965.376-01</t>
  </si>
  <si>
    <t>RADIOLOGISTA</t>
  </si>
  <si>
    <t>37161 /GO</t>
  </si>
  <si>
    <t>SKARLATT QUEZIA PIRES SOUZA RIVELLI</t>
  </si>
  <si>
    <t>047.122.875-35</t>
  </si>
  <si>
    <t>DIARIA</t>
  </si>
  <si>
    <t>31847/GO</t>
  </si>
  <si>
    <t>VALDIR SOARES DA COSTA</t>
  </si>
  <si>
    <t>372.863.073-04</t>
  </si>
  <si>
    <t>8382/GO</t>
  </si>
  <si>
    <t>WENDELL SEGANTINE DE SOUZA FILHO</t>
  </si>
  <si>
    <t>700.486.521-56</t>
  </si>
  <si>
    <t>30267/GO</t>
  </si>
  <si>
    <t>CAMILA DE OLIVEIRA ROCHA</t>
  </si>
  <si>
    <t>034.498.451-60</t>
  </si>
  <si>
    <t>30265/GO</t>
  </si>
  <si>
    <t>FRANCISCO TEIXEIRA DE SOUSA</t>
  </si>
  <si>
    <t>872.963.301-04</t>
  </si>
  <si>
    <t>25785/GO</t>
  </si>
  <si>
    <t>GABRIELLA MARTUCCI MANCA</t>
  </si>
  <si>
    <t>470.094.618-05</t>
  </si>
  <si>
    <t>PLANTÃO/PLANTÃO/PLANTÃO</t>
  </si>
  <si>
    <t>35371/GO</t>
  </si>
  <si>
    <t>ANA PAULA DE FREITAS</t>
  </si>
  <si>
    <t>732.993.406-20</t>
  </si>
  <si>
    <t>8313/GO</t>
  </si>
  <si>
    <t>PAULO ROBERTO ALVES SEIXAS</t>
  </si>
  <si>
    <t>059.353.516-25</t>
  </si>
  <si>
    <t>17510/DF - 18579/GO</t>
  </si>
  <si>
    <t>SIMÃO EDUARDO GOMES DE SOUZA</t>
  </si>
  <si>
    <t>373.546.203-00</t>
  </si>
  <si>
    <t>24669/GO</t>
  </si>
  <si>
    <t>JOSE WALTER MARQUES FARIA</t>
  </si>
  <si>
    <t>219.431.761-49</t>
  </si>
  <si>
    <t>5741/GO</t>
  </si>
  <si>
    <t>RAFAEL RONNIELI CANDIDO CARDOSO</t>
  </si>
  <si>
    <t>035.476.931-60</t>
  </si>
  <si>
    <t>RT</t>
  </si>
  <si>
    <t>37645/GO</t>
  </si>
  <si>
    <t>NAZARETH CRISTINA SANTOS ARAUJO</t>
  </si>
  <si>
    <t>259.383.202-91</t>
  </si>
  <si>
    <t>11711/GO</t>
  </si>
  <si>
    <t>BRENO CASTRO NEVES</t>
  </si>
  <si>
    <t>030.177.991-13</t>
  </si>
  <si>
    <t>26727/GO</t>
  </si>
  <si>
    <t>CRISTIANY MARQUES DE MELO MILANEZ</t>
  </si>
  <si>
    <t>946.236.351-04</t>
  </si>
  <si>
    <t>21938/GO</t>
  </si>
  <si>
    <t>JOSÉ DONATO DE SOUSA NETTO</t>
  </si>
  <si>
    <t>034.270.931-31</t>
  </si>
  <si>
    <t>32914/GO</t>
  </si>
  <si>
    <t>JULIANA LUIZA ARAUJO DA SILVA</t>
  </si>
  <si>
    <t>030.289.981-22</t>
  </si>
  <si>
    <t>30576 /GO</t>
  </si>
  <si>
    <t>LARISSA GRACIELA BENEDETTI DA SILVA</t>
  </si>
  <si>
    <t>024.595.601-84</t>
  </si>
  <si>
    <t>17011/GO</t>
  </si>
  <si>
    <t>LUIZ FERNANDO SOUZA DA SILVA</t>
  </si>
  <si>
    <t>028.168.531-28</t>
  </si>
  <si>
    <t>27943/GO</t>
  </si>
  <si>
    <t>MARIANA RODRIGUES VIEIRA</t>
  </si>
  <si>
    <t>064.213.171-62</t>
  </si>
  <si>
    <t>31040/GO</t>
  </si>
  <si>
    <t>MATHEUS MACHADO MELO SPOSITO</t>
  </si>
  <si>
    <t>035.338.461-56</t>
  </si>
  <si>
    <t>30263/GO</t>
  </si>
  <si>
    <t>MATHEUS DOS SANTOS RORIZ</t>
  </si>
  <si>
    <t>053.686.941-30</t>
  </si>
  <si>
    <t>36836/GO</t>
  </si>
  <si>
    <t>MOZART BORGES DE PAULA</t>
  </si>
  <si>
    <t>125.796.566-26</t>
  </si>
  <si>
    <t>29899/GO</t>
  </si>
  <si>
    <t>THOMAS RAFAEL BATISTA SOTELO</t>
  </si>
  <si>
    <t>007.058.902-01</t>
  </si>
  <si>
    <t>32559/GO</t>
  </si>
  <si>
    <t>VITOR HUGO CARDOZO MEIRELES</t>
  </si>
  <si>
    <t>025.056.211-10</t>
  </si>
  <si>
    <t>29829/GO</t>
  </si>
  <si>
    <t>WENDER SOARES SANTIAGO</t>
  </si>
  <si>
    <t>043.591.881-88</t>
  </si>
  <si>
    <t>32944/GO</t>
  </si>
  <si>
    <t>DARIONE MELO DE OLIVEIRA</t>
  </si>
  <si>
    <t>34009/GO</t>
  </si>
  <si>
    <t>CARINA QUINTANILHA DE MORAES</t>
  </si>
  <si>
    <t>011.778.361-99</t>
  </si>
  <si>
    <t>37450/GO</t>
  </si>
  <si>
    <t>PATRICIA ALVES DE CASTRO PORTO MARINHO</t>
  </si>
  <si>
    <t>704.109.171-68</t>
  </si>
  <si>
    <t>SER</t>
  </si>
  <si>
    <t>29903/GO</t>
  </si>
  <si>
    <t>HELENA SPINDOLA CAMARGO CENCI</t>
  </si>
  <si>
    <t>022.382.161-62</t>
  </si>
  <si>
    <t>17032/GO</t>
  </si>
  <si>
    <t>RAFAELLA PERES RAMALHO</t>
  </si>
  <si>
    <t>063.835.281-90</t>
  </si>
  <si>
    <t>38869/GO</t>
  </si>
  <si>
    <t>VITOR HUGO MATIAS FREITAS VIEIRA</t>
  </si>
  <si>
    <t>701.570.051-43</t>
  </si>
  <si>
    <t>39611/GO</t>
  </si>
  <si>
    <t>ANYER JOEL ROJAS RICARDO</t>
  </si>
  <si>
    <t>802.476.409-13</t>
  </si>
  <si>
    <t>39634/GO</t>
  </si>
  <si>
    <t>JOÃO MARCOS PEREIRA NEIVA RODRIGUES</t>
  </si>
  <si>
    <t>065.857.991-60</t>
  </si>
  <si>
    <t>38774/GO</t>
  </si>
  <si>
    <t>ANDREY ARANTES TEODORO FILHO</t>
  </si>
  <si>
    <t>701.092.531-32</t>
  </si>
  <si>
    <t>39154/GO</t>
  </si>
  <si>
    <t>ALESSANDRA FERNANDES DA SILVA SOUZA</t>
  </si>
  <si>
    <t>052.129.581-56</t>
  </si>
  <si>
    <t>37824 /GO</t>
  </si>
  <si>
    <t>LUCAS NUNES FERREIRA</t>
  </si>
  <si>
    <t>047.339.301-86</t>
  </si>
  <si>
    <t>37708/GO</t>
  </si>
  <si>
    <t>ISABELLA RORIZ QUEIROZ</t>
  </si>
  <si>
    <t>549.433.428-76</t>
  </si>
  <si>
    <t>59380/GO</t>
  </si>
  <si>
    <t>MATHEUS CANEDO DE MELO</t>
  </si>
  <si>
    <t>701.197.791-02</t>
  </si>
  <si>
    <t>38949/GO</t>
  </si>
  <si>
    <t>GABRIELE DURANTE</t>
  </si>
  <si>
    <t>041.607.801-05</t>
  </si>
  <si>
    <t>35026/GO</t>
  </si>
  <si>
    <t>MARCELO BARRETO RORIZ FILHO</t>
  </si>
  <si>
    <t>069.994.281-07</t>
  </si>
  <si>
    <t>UBS - VOLANTE</t>
  </si>
  <si>
    <t>39547/GO</t>
  </si>
  <si>
    <t>ADERBAL JOÃO DE JESUS SOUZA</t>
  </si>
  <si>
    <t>874.136.551-87</t>
  </si>
  <si>
    <t>38382/GO</t>
  </si>
  <si>
    <t>FRANCISCA JANAINA CARVALHO DE SOUZA</t>
  </si>
  <si>
    <t>702.111.861-98</t>
  </si>
  <si>
    <t>20H/REMOÇÃO</t>
  </si>
  <si>
    <t>38253 /GO</t>
  </si>
  <si>
    <t>AMANDA DE AMORIM MEIRELES</t>
  </si>
  <si>
    <t>039.582.291-23</t>
  </si>
  <si>
    <t>40H/RT</t>
  </si>
  <si>
    <t>37569/GO</t>
  </si>
  <si>
    <t>PEDRO ANTÔNIO BONFIM DE SOUSA</t>
  </si>
  <si>
    <t>008.769.481-66</t>
  </si>
  <si>
    <t>21957/GO</t>
  </si>
  <si>
    <t>FABRÍCIO AURÉLIO MENEZES</t>
  </si>
  <si>
    <t>623.138.351-20</t>
  </si>
  <si>
    <t>20H/PLANTÃO</t>
  </si>
  <si>
    <t>30315/GO</t>
  </si>
  <si>
    <t>PAULA DO CARMO VASCONCELOS XAVIER</t>
  </si>
  <si>
    <t>018.823.591-43</t>
  </si>
  <si>
    <t>20H/PLANTÃO/RT</t>
  </si>
  <si>
    <t>27149/GO</t>
  </si>
  <si>
    <t>ANA LUÍSA BERTUOL BOAVENTURA</t>
  </si>
  <si>
    <t>070.841.371-86</t>
  </si>
  <si>
    <t>37571/GO</t>
  </si>
  <si>
    <t>LUIZ FERNANDO MELO LIMA</t>
  </si>
  <si>
    <t>094.511.716-73</t>
  </si>
  <si>
    <t>34634/GO</t>
  </si>
  <si>
    <t>LUCAS MARTINS LOPES</t>
  </si>
  <si>
    <t>065.290.561-73</t>
  </si>
  <si>
    <t>37337/GO</t>
  </si>
  <si>
    <t>IVO INÁCIO DA SILVA</t>
  </si>
  <si>
    <t>133.598.511-53</t>
  </si>
  <si>
    <t>2226/GO</t>
  </si>
  <si>
    <t>LUIZ PAULO BONFIM SILVA</t>
  </si>
  <si>
    <t>813.422.501-25</t>
  </si>
  <si>
    <t>40H/PLANTÃO</t>
  </si>
  <si>
    <t>36257/GO</t>
  </si>
  <si>
    <t>LAURA ABDALLA VIEIRA</t>
  </si>
  <si>
    <t>070.346.071-41</t>
  </si>
  <si>
    <t>34632/GO</t>
  </si>
  <si>
    <t>JULIA ALESSIO AMORIM</t>
  </si>
  <si>
    <t>100.444.279-30</t>
  </si>
  <si>
    <t>37081/GO</t>
  </si>
  <si>
    <t>DIEGO LUCIANO VAZ DE SOUZA</t>
  </si>
  <si>
    <t>028.305.181-79</t>
  </si>
  <si>
    <t>18542/GO</t>
  </si>
  <si>
    <t>BEATRIZ REIS AFONSO</t>
  </si>
  <si>
    <t>059.088.021-74</t>
  </si>
  <si>
    <t>33579/GO</t>
  </si>
  <si>
    <t>ALEF JORD SOUZA PIRES</t>
  </si>
  <si>
    <t>060.758.125-55</t>
  </si>
  <si>
    <t>31878/GO</t>
  </si>
  <si>
    <t>ALEXIA SILVA MACEDO</t>
  </si>
  <si>
    <t>125.815.036-02</t>
  </si>
  <si>
    <t>36903/GO</t>
  </si>
  <si>
    <t>ANDRE LEAL GODINHO NETO PRIMEIRO</t>
  </si>
  <si>
    <t>057.397.513-22</t>
  </si>
  <si>
    <t>34765/GO</t>
  </si>
  <si>
    <t>ERNANDI ARAUJO LIMA NETO</t>
  </si>
  <si>
    <t>053.527.594-31</t>
  </si>
  <si>
    <t>27439/GO</t>
  </si>
  <si>
    <t>FREDERICO FERNANDES QUEIROGA</t>
  </si>
  <si>
    <t>090.033.976-43</t>
  </si>
  <si>
    <t>37780/GO</t>
  </si>
  <si>
    <t>GABRIELA ALMEIDA LÔBO</t>
  </si>
  <si>
    <t>035.498.121-83</t>
  </si>
  <si>
    <t>35365/GO</t>
  </si>
  <si>
    <t>GABRIELA HUDSON CARNEIRO</t>
  </si>
  <si>
    <t>044.660.501-80</t>
  </si>
  <si>
    <t>38842/GO</t>
  </si>
  <si>
    <t>GUILHERME HENRIQUE ROS</t>
  </si>
  <si>
    <t>044.492.331-40</t>
  </si>
  <si>
    <t>38833/GO</t>
  </si>
  <si>
    <t>HENIA RODRIGUES COELHO</t>
  </si>
  <si>
    <t>887.008.521-04</t>
  </si>
  <si>
    <t>18589/GO</t>
  </si>
  <si>
    <t>JESSICA BRANDÃO BRETA</t>
  </si>
  <si>
    <t>046.262.271-12</t>
  </si>
  <si>
    <t>32809/GO</t>
  </si>
  <si>
    <t>JESSYCA MUNIZ RUFINO</t>
  </si>
  <si>
    <t>021.332.341-95</t>
  </si>
  <si>
    <t>35792/GO</t>
  </si>
  <si>
    <t>JOANA CAROLINE OLIVEIRDA DE FARIA</t>
  </si>
  <si>
    <t>029.510.331-09</t>
  </si>
  <si>
    <t>37320/GO</t>
  </si>
  <si>
    <t>LEONARDO VICTOR MENEZES PIMENTA</t>
  </si>
  <si>
    <t>061.086941-81</t>
  </si>
  <si>
    <t>36226/GO</t>
  </si>
  <si>
    <t>LUANA MENDANHA NETO</t>
  </si>
  <si>
    <t>042.111.851-28</t>
  </si>
  <si>
    <t>34617/GO</t>
  </si>
  <si>
    <t>MARIA CAROLINE SCHIAVANI GONGOLESKI</t>
  </si>
  <si>
    <t>034.637.941-52</t>
  </si>
  <si>
    <t>38453/GO</t>
  </si>
  <si>
    <t>THAYNA PEREIRA DA SILVA RODRIGUES</t>
  </si>
  <si>
    <t>022.544.061-08</t>
  </si>
  <si>
    <t>31864/GO</t>
  </si>
  <si>
    <t>THAYNARA GIOVANNA TITO DELFINO</t>
  </si>
  <si>
    <t>052.752.511-14</t>
  </si>
  <si>
    <t>32357/GO</t>
  </si>
  <si>
    <t>YAGO ORNELAS ATAIDE</t>
  </si>
  <si>
    <t>138.691.636-66</t>
  </si>
  <si>
    <t>39999/GO</t>
  </si>
  <si>
    <t>YGOR DE OLIVEIRA DO AMARAL</t>
  </si>
  <si>
    <t>003.861.681-56</t>
  </si>
  <si>
    <t>37116/GO</t>
  </si>
  <si>
    <t>ADELINA FEITOSA SOUSA NETA</t>
  </si>
  <si>
    <t>068.564.401-46</t>
  </si>
  <si>
    <t>39724/GO</t>
  </si>
  <si>
    <t>ANNA LUIZA ARANTES NERES BORGES</t>
  </si>
  <si>
    <t>700.224.911-80</t>
  </si>
  <si>
    <t>38943/GO</t>
  </si>
  <si>
    <t>NICYAN DANTAS FERREIRA</t>
  </si>
  <si>
    <t>021.252.371-64</t>
  </si>
  <si>
    <t>23386/GO</t>
  </si>
  <si>
    <t>PRISCILA NUNES MARTINS DE ALMEIDA</t>
  </si>
  <si>
    <t>719.015.401-07</t>
  </si>
  <si>
    <t>37992/GO</t>
  </si>
  <si>
    <t>RAFAELA FREITAS VARGAS</t>
  </si>
  <si>
    <t>073.458.371-06</t>
  </si>
  <si>
    <t>38802/GO</t>
  </si>
  <si>
    <t>RAIANE LAIS VALENÇA ALVES</t>
  </si>
  <si>
    <t>108.233.074-41</t>
  </si>
  <si>
    <t>39683/GO</t>
  </si>
  <si>
    <t>VANESSA HENRIQUES NOGUEIRA BUZOGANY</t>
  </si>
  <si>
    <t>038.844.441-07</t>
  </si>
  <si>
    <t>35703/DF</t>
  </si>
  <si>
    <t>BARBARA LUCENA PRADO</t>
  </si>
  <si>
    <t>961.783.372-72</t>
  </si>
  <si>
    <t>PLANTÃO/PRODUÇÃO</t>
  </si>
  <si>
    <t>31601/GO</t>
  </si>
  <si>
    <t>VINICIUS DE LIMA OLIVEIRA</t>
  </si>
  <si>
    <t>026.615.971-07</t>
  </si>
  <si>
    <t>38113/GO</t>
  </si>
  <si>
    <t>ANA LUIZA VELOSO DA CONCEIÇÃO</t>
  </si>
  <si>
    <t>065.453.591-92</t>
  </si>
  <si>
    <t>35810/GO</t>
  </si>
  <si>
    <t>AUGUSTO HENRIQUE TELES RODRIGUES</t>
  </si>
  <si>
    <t>027.559.541-24</t>
  </si>
  <si>
    <t>30880/GO</t>
  </si>
  <si>
    <t>BRENDA DE SOUSA OLIVEIRA</t>
  </si>
  <si>
    <t>619.825.588-36</t>
  </si>
  <si>
    <t>37819/GO</t>
  </si>
  <si>
    <t>BRUNO HENRIQUE AMANCIO DA SILVA</t>
  </si>
  <si>
    <t>050.395.811-57</t>
  </si>
  <si>
    <t>34382/GO</t>
  </si>
  <si>
    <t>HENRIQUE DANTONIO BRAZ</t>
  </si>
  <si>
    <t>077.996.951-02</t>
  </si>
  <si>
    <t>39558/GO</t>
  </si>
  <si>
    <t>JADE TORRES GOLDFELD NEIVA MORONI</t>
  </si>
  <si>
    <t>041.303.221-53</t>
  </si>
  <si>
    <t>38150/GO</t>
  </si>
  <si>
    <t>NATHALIA ALVES DO AMARAL</t>
  </si>
  <si>
    <t>048.283.331-93</t>
  </si>
  <si>
    <t>36111/GO</t>
  </si>
  <si>
    <t>NELISSA ABUD DE CASTRO</t>
  </si>
  <si>
    <t>002.013.471-13</t>
  </si>
  <si>
    <t>36416/GO</t>
  </si>
  <si>
    <t>ROMULO LELES DA SILVA ARAUJO</t>
  </si>
  <si>
    <t>018.258.161-66</t>
  </si>
  <si>
    <t>37771/GO</t>
  </si>
  <si>
    <t>VICTOR LUCAS JANUARIO MARQUES</t>
  </si>
  <si>
    <t>014.966.151-74</t>
  </si>
  <si>
    <t>28566/GO</t>
  </si>
  <si>
    <t>WENDELL DOS SANTOS MOTA</t>
  </si>
  <si>
    <t>788.007.221-72</t>
  </si>
  <si>
    <t>31934/GO</t>
  </si>
  <si>
    <t>BRUNNA MENDES FREITAS</t>
  </si>
  <si>
    <t>006.756.251-57</t>
  </si>
  <si>
    <t>31734/GO</t>
  </si>
  <si>
    <t>BRUNO RAMOS CARNEIRO</t>
  </si>
  <si>
    <t>068.816.041-73</t>
  </si>
  <si>
    <t>33584/GO</t>
  </si>
  <si>
    <t>ERIX DE SOUZA CASTRO</t>
  </si>
  <si>
    <t>021.648.435-92</t>
  </si>
  <si>
    <t>20395/GO</t>
  </si>
  <si>
    <t>GUILHERME MACHADO MOURA</t>
  </si>
  <si>
    <t>060.414.081-90</t>
  </si>
  <si>
    <t>34162/GO</t>
  </si>
  <si>
    <t>JULIANA SILVA FAVILLA</t>
  </si>
  <si>
    <t>060.558.881-30</t>
  </si>
  <si>
    <t>36342/GO</t>
  </si>
  <si>
    <t>LARA PRATA SILVA ALBUQUERQUE</t>
  </si>
  <si>
    <t>067.251.611-03</t>
  </si>
  <si>
    <t>36577/GO</t>
  </si>
  <si>
    <t>LAURA DOURADO PAIVA</t>
  </si>
  <si>
    <t>010.527.311-20</t>
  </si>
  <si>
    <t>35339/DF</t>
  </si>
  <si>
    <t>LAURA OLIVEIRA MELO</t>
  </si>
  <si>
    <t>069.574.611-14</t>
  </si>
  <si>
    <t>36682/GO</t>
  </si>
  <si>
    <t>LETICIA MIRANDA FARIAS</t>
  </si>
  <si>
    <t>048.039.721-09</t>
  </si>
  <si>
    <t>37836 /GO</t>
  </si>
  <si>
    <t>LUCAS SILVA RODRIGUES</t>
  </si>
  <si>
    <t>037.955.501-81</t>
  </si>
  <si>
    <t>37648/GO</t>
  </si>
  <si>
    <t>MOYARA RAFAELLA CORDEIRO</t>
  </si>
  <si>
    <t>023.582.341-41</t>
  </si>
  <si>
    <t>30264/GO</t>
  </si>
  <si>
    <t>RAFAEL TEIXEIRA BARBOSA</t>
  </si>
  <si>
    <t>975.326.491-72</t>
  </si>
  <si>
    <t>17584/GO</t>
  </si>
  <si>
    <t>RENATA BRAZ CAIXETA</t>
  </si>
  <si>
    <t>706.071.371-93</t>
  </si>
  <si>
    <t>38814/GO</t>
  </si>
  <si>
    <t>STHEFANY ORELLANA MARQUES</t>
  </si>
  <si>
    <t>756.074.761-20</t>
  </si>
  <si>
    <t>32721/GO</t>
  </si>
  <si>
    <t>VINICIUS RODRIGUES BORGES</t>
  </si>
  <si>
    <t>018.353.971-07</t>
  </si>
  <si>
    <t>34476/GO</t>
  </si>
  <si>
    <t>VITOR GONÇALVES FONSECA</t>
  </si>
  <si>
    <t>714.359.131-91</t>
  </si>
  <si>
    <t>29524/GO</t>
  </si>
  <si>
    <t>WALDERLENE SOARES QUEIROZ</t>
  </si>
  <si>
    <t>533.154.992-68</t>
  </si>
  <si>
    <t>28095/GO</t>
  </si>
  <si>
    <t>LUISA NUNES DO NASCIMENTO</t>
  </si>
  <si>
    <t>052.546.421-22</t>
  </si>
  <si>
    <t>33370/GO</t>
  </si>
  <si>
    <t>MARIANA QUEIROZ ABREU</t>
  </si>
  <si>
    <t>040.157.071-17</t>
  </si>
  <si>
    <t>34342/GO</t>
  </si>
  <si>
    <t>ADRIANA FREIRE CAMELO DE SOUSA</t>
  </si>
  <si>
    <t>977.135.621-68</t>
  </si>
  <si>
    <t>CLEIDIANE DO NASCIMENTO BEZERRA</t>
  </si>
  <si>
    <t>054.996.031-70</t>
  </si>
  <si>
    <t>CRISENE VERAS SANTANA AMARAL</t>
  </si>
  <si>
    <t>602.566.721-72</t>
  </si>
  <si>
    <t>DAYANA MESSIAS LOPES SILVA</t>
  </si>
  <si>
    <t>067.833.671-77</t>
  </si>
  <si>
    <t>GABRIELLA NUNES SANTOS</t>
  </si>
  <si>
    <t>088.620.931-52</t>
  </si>
  <si>
    <t>GENEZI DIAS GONCALVES</t>
  </si>
  <si>
    <t>903.244.201-53</t>
  </si>
  <si>
    <t>GISELE CRISTINA RODRIGUES DIAS</t>
  </si>
  <si>
    <t>031.694.371-19</t>
  </si>
  <si>
    <t>GISLENE DE OLIVEIRA MARQUES JUVINO</t>
  </si>
  <si>
    <t>011.091.361-29</t>
  </si>
  <si>
    <t>GLEUMA RIBEIRO DA SILVA LUSTOSA</t>
  </si>
  <si>
    <t>JEMIMA PEREIRA SILVA</t>
  </si>
  <si>
    <t>068.255.373-50</t>
  </si>
  <si>
    <t>JULIA VALDENIR PEREIRA DA CRUZ</t>
  </si>
  <si>
    <t>844.174.801-25</t>
  </si>
  <si>
    <t>LAENE JOAQUIM BORGES</t>
  </si>
  <si>
    <t>818.029.191-04</t>
  </si>
  <si>
    <t>LIAM ILDEFONSO MARTINS REZENDE</t>
  </si>
  <si>
    <t>024.780.771-08</t>
  </si>
  <si>
    <t>LIDIA MELO MENESES</t>
  </si>
  <si>
    <t>240.031.231-15</t>
  </si>
  <si>
    <t>MARCELA OLIVEIRA SANTOS</t>
  </si>
  <si>
    <t>047.650.581-07</t>
  </si>
  <si>
    <t>MARCOS DOS SANTOS LEITE</t>
  </si>
  <si>
    <t>608.912.943-76</t>
  </si>
  <si>
    <t>MARICLEIDE MOREIRA DOS SANTOS</t>
  </si>
  <si>
    <t>708.978.801-61</t>
  </si>
  <si>
    <t>MARILENE BATISTA DE SOUZA</t>
  </si>
  <si>
    <t>760.099.802-59</t>
  </si>
  <si>
    <t>NAYARA DE SOUZA SANTOS</t>
  </si>
  <si>
    <t>033.160.273-35</t>
  </si>
  <si>
    <t>RAYANA FERREIRA AGUIAR</t>
  </si>
  <si>
    <t>070.298.261-08</t>
  </si>
  <si>
    <t>VALMIRA FERREIRA DOS SANTOS</t>
  </si>
  <si>
    <t>287.529.885-20</t>
  </si>
  <si>
    <t>VITORIA ROMANA RODRIGUES DOS REIS</t>
  </si>
  <si>
    <t>071.078.671-99</t>
  </si>
  <si>
    <t>ALLEF LUCAS DE FREITAS COUTINHO</t>
  </si>
  <si>
    <t>042.666.471-07</t>
  </si>
  <si>
    <t>32650/DF</t>
  </si>
  <si>
    <t>ANA CLARA PELLIZZARO DA MOTTA</t>
  </si>
  <si>
    <t>049.132.121-09</t>
  </si>
  <si>
    <t>34399/DF</t>
  </si>
  <si>
    <t>ANIELE OTTONI</t>
  </si>
  <si>
    <t>000.467.151-18</t>
  </si>
  <si>
    <t>38274/GO</t>
  </si>
  <si>
    <t>BEATRIZ DO NASCIMENTO BACELAR</t>
  </si>
  <si>
    <t>078.012.801-05</t>
  </si>
  <si>
    <t>39846/GO</t>
  </si>
  <si>
    <t>FABIO PEREIRA DA SILVA JUNIOR</t>
  </si>
  <si>
    <t>004.069.691-08</t>
  </si>
  <si>
    <t>38190/GO</t>
  </si>
  <si>
    <t>FERNANDO PEREIRA DE MELO</t>
  </si>
  <si>
    <t>97838.086-05</t>
  </si>
  <si>
    <t>32776/GO</t>
  </si>
  <si>
    <t>JOÃO NIKOLAI VARGAS GONÇALVES</t>
  </si>
  <si>
    <t>059.075.441-63</t>
  </si>
  <si>
    <t>29780/GO</t>
  </si>
  <si>
    <t>MARIA EDUARDA BARROS GALVÃO</t>
  </si>
  <si>
    <t>053.625.491-54</t>
  </si>
  <si>
    <t>37820/GO</t>
  </si>
  <si>
    <t>NATHALIA LIMA DINIZ</t>
  </si>
  <si>
    <t>047.042.911-13</t>
  </si>
  <si>
    <t>ACELERA</t>
  </si>
  <si>
    <t>28229/DF</t>
  </si>
  <si>
    <t>THAIS DA SILVA MARQUES</t>
  </si>
  <si>
    <t>027.295.761-50</t>
  </si>
  <si>
    <t>40078/GO</t>
  </si>
  <si>
    <t>GASTOS PARCEIRO PATRIS</t>
  </si>
  <si>
    <t>MARÇO.26</t>
  </si>
  <si>
    <t>ABRIL.26</t>
  </si>
  <si>
    <t>MAIO.26</t>
  </si>
  <si>
    <t>JUNHO.26</t>
  </si>
  <si>
    <t>JULHO.26</t>
  </si>
  <si>
    <t>AGOSTO.26</t>
  </si>
  <si>
    <t>SETEMBRO.26</t>
  </si>
  <si>
    <t>OUTUBRO.26</t>
  </si>
  <si>
    <t>NOVEMBRO.26</t>
  </si>
  <si>
    <t>DEZEMBRO.26</t>
  </si>
  <si>
    <t>JANEIRO.27</t>
  </si>
  <si>
    <t>FEVEREIRO.27</t>
  </si>
  <si>
    <t>TOTAL</t>
  </si>
  <si>
    <t>GASTOS MENSAL CONTRATADOS</t>
  </si>
  <si>
    <t>SERVICOS DE ANESTESIOLOGIA DE LUZIANIA – SAL LTDA</t>
  </si>
  <si>
    <t>CLODOVIL CORREIA DE QUEIROZ MEI</t>
  </si>
  <si>
    <t>CORREIA &amp; CHADUD LTDA</t>
  </si>
  <si>
    <t>INTELLEXMED SERVIÇOS TECNOLÓGICOS E ESPECIALIZADOS LTDA</t>
  </si>
  <si>
    <t>ACF TREINAMENTOS ASSESSORIA E GESTÃO DE PESSOAS LTDA</t>
  </si>
  <si>
    <t>AUDIFOR CONSULTORES ASSOCIADOS SS LTDA</t>
  </si>
  <si>
    <t>INOVAR SOLUÇÕES ESTRATÉGICAS LTDA</t>
  </si>
  <si>
    <t>ALFA CONSULTORIA SERVICOS E GESTAO EM SAUDE LTDA</t>
  </si>
  <si>
    <t>NOVA CLINICA MEDICA &amp; DIAGNOSTICO LTDA</t>
  </si>
  <si>
    <t>D3 SOLUÇÕES LTDA</t>
  </si>
  <si>
    <t>ANGIO MASTER COMÉRCIO DE ARTIGOS MEDICOS LTDA</t>
  </si>
  <si>
    <t>66.157.761 ANGELO MIGUEL DIAS CAMPOS</t>
  </si>
  <si>
    <t>FOLHA DE PAGAMENTO</t>
  </si>
  <si>
    <t>MEDCORE ENGENHARIA LTDA</t>
  </si>
  <si>
    <t>-</t>
  </si>
  <si>
    <t>OUTROS/PG AVULSO</t>
  </si>
  <si>
    <t>RH</t>
  </si>
  <si>
    <t>INDICADOR</t>
  </si>
  <si>
    <t>SÉRIE</t>
  </si>
  <si>
    <t>TOTAL/MÉDIA</t>
  </si>
  <si>
    <t>TOTAL DE COLABORADORES CLT</t>
  </si>
  <si>
    <t>TOTAL DE MÉDICOS</t>
  </si>
  <si>
    <t>TOTAL DE ENFERMAGEM</t>
  </si>
  <si>
    <t>ADMISSÕES</t>
  </si>
  <si>
    <t>DESLIGAMENTOS</t>
  </si>
  <si>
    <t>TAXA DE TURNOVER</t>
  </si>
  <si>
    <t>META</t>
  </si>
  <si>
    <t>ABSENTEÍSMO</t>
  </si>
  <si>
    <t>AFASTAMENTOS</t>
  </si>
  <si>
    <t>ACIDENTES DE TRABALHO</t>
  </si>
  <si>
    <t>ATENÇÃO PRIMÁRIA</t>
  </si>
  <si>
    <t>CONSULTAS MÉDICAS</t>
  </si>
  <si>
    <t>CLÍNICA MÉDICA</t>
  </si>
  <si>
    <t>PRÉ-NATAL</t>
  </si>
  <si>
    <t>PRÉ-NATAL ALTO RISCO</t>
  </si>
  <si>
    <t>PUERPERAL</t>
  </si>
  <si>
    <t>RENOVAÇÕES DE RECEITAS</t>
  </si>
  <si>
    <t>CRESCIMENTO E DESENVOLVIMENTO</t>
  </si>
  <si>
    <t>NÍVEL SUPERIOR (EXCETO MÉDICO)</t>
  </si>
  <si>
    <t>ACOLHIMENTOS</t>
  </si>
  <si>
    <t>CURATIVOS</t>
  </si>
  <si>
    <t>CONSULTAS</t>
  </si>
  <si>
    <t>SAÚDE MENTAL</t>
  </si>
  <si>
    <t>CONSULTAS ESPECIALIZADAS (CAPS II)</t>
  </si>
  <si>
    <t>PSIQUIATRICA</t>
  </si>
  <si>
    <t>PSICOLOGICA</t>
  </si>
  <si>
    <t>NUTRIÇÃO</t>
  </si>
  <si>
    <t>CONSULTAS ESPECIALIZADAS (CAPS AD III)</t>
  </si>
  <si>
    <t>CONSULTAS ESPECIALIZADAS (CLÍNICA PSICOLOGIA)</t>
  </si>
  <si>
    <t>CONSULTAS/TERAPIAS</t>
  </si>
  <si>
    <t>ATENÇÃO SECUNDÁRIA</t>
  </si>
  <si>
    <t>CONSULTAS ESPECIALIZADAS (CAIS)</t>
  </si>
  <si>
    <t>DERMATOLOGICAS</t>
  </si>
  <si>
    <t>ORTOPÉDICAS</t>
  </si>
  <si>
    <t>CARDIOLOGICAS</t>
  </si>
  <si>
    <t>UROLOGICAS</t>
  </si>
  <si>
    <t>OFTAMOLOGICAS</t>
  </si>
  <si>
    <t>FISIOTERAPIA</t>
  </si>
  <si>
    <t>CONSULTAS ESPECIALIZADAS (MATERNO INFANTIL)</t>
  </si>
  <si>
    <t>PEDIATRICAS</t>
  </si>
  <si>
    <t>NEUROPED</t>
  </si>
  <si>
    <t>GENICOLOGICAS</t>
  </si>
  <si>
    <t>GINECOLOGICAS ONCOLÓGICA</t>
  </si>
  <si>
    <t>ALTO RISCO</t>
  </si>
  <si>
    <t>CONSULTAS ESPECIALIZADAS (FARMÁCIA CENTRAL)</t>
  </si>
  <si>
    <t>HMJI</t>
  </si>
  <si>
    <t>PACIENTES CLÍNICOS ATENDIDOS</t>
  </si>
  <si>
    <t>MÉDIA DIÁRIA</t>
  </si>
  <si>
    <t>ÓBITOS</t>
  </si>
  <si>
    <t>CIRURGIA GERAL</t>
  </si>
  <si>
    <t>CONSULTAS ESPECIALIZADAS</t>
  </si>
  <si>
    <t>UROLOGIA</t>
  </si>
  <si>
    <t>GINECOLOGIA</t>
  </si>
  <si>
    <t>EXAMES INTERNOS</t>
  </si>
  <si>
    <t>RAIO-X</t>
  </si>
  <si>
    <t>MAMOGRAFIAS</t>
  </si>
  <si>
    <t>ULTRASOM</t>
  </si>
  <si>
    <t>ELETROCARDIOGRAMA</t>
  </si>
  <si>
    <t>CIRURGIAS GRANDES</t>
  </si>
  <si>
    <t>PROCEDIMENTOS CIRÚRGICOS</t>
  </si>
  <si>
    <t>BIÓPSIAS</t>
  </si>
  <si>
    <t>VASECTOMIAS</t>
  </si>
  <si>
    <t>PEQUENAS CIRURGIAS</t>
  </si>
  <si>
    <t>RAQUIANESTESIA</t>
  </si>
  <si>
    <t>ANESTESIAS</t>
  </si>
  <si>
    <t>ANESTESIA GERAL</t>
  </si>
  <si>
    <t xml:space="preserve">BLOQUEIO </t>
  </si>
  <si>
    <t>ANESTESIA LOCAL</t>
  </si>
  <si>
    <t>UPA JARDIM INGÁ - UPA I</t>
  </si>
  <si>
    <t>PACIENTES RECEPCIONADOS</t>
  </si>
  <si>
    <t>ATENDIMENTOS MÉDICOS</t>
  </si>
  <si>
    <t>ATENDIMENTOS POR CLASSIFICAÇÃO DE RISCO</t>
  </si>
  <si>
    <t>NÃO URGENTE (AZUL)</t>
  </si>
  <si>
    <t>POUCO URGENTE (VERDE)</t>
  </si>
  <si>
    <t>URGENTE (AMARELO)</t>
  </si>
  <si>
    <t>MUITO URGENTE (LARANJA)</t>
  </si>
  <si>
    <t>EMERGÊNCIA (VERMELHO)</t>
  </si>
  <si>
    <t>Não informado</t>
  </si>
  <si>
    <t>TOTAL DE ATENDIMENTOS POR CLASSIFICAÇÃO DE RISCO</t>
  </si>
  <si>
    <t>PERCENTUAL DE ATENDIMENTOS POR CLASSIFICAÇÃO DE RISCOS</t>
  </si>
  <si>
    <t>Não Informado</t>
  </si>
  <si>
    <t>TEMPO DE ESPERA PARA CLASSIFICAÇÃO DE RISCO</t>
  </si>
  <si>
    <t>MÉDIA GERAL</t>
  </si>
  <si>
    <t>TEMPO MÉDIO DE ESPERA DE ATENDIMENTO MÉDICO POR CLASSIFICAÇÃO DE RISCO</t>
  </si>
  <si>
    <t>TEMPO DE PERMANÊNCIA DE PACIENTES INTERNADOS</t>
  </si>
  <si>
    <t>TEMPO MÉDIO DE PERMANÊNCIA GERAL</t>
  </si>
  <si>
    <t xml:space="preserve"> 32:47:45</t>
  </si>
  <si>
    <t>TEMPO DE PERMANÊNCIA DE PACIENTES SEM INTERNAÇÃO</t>
  </si>
  <si>
    <t>TEMPO MÉDIO DE PERMANÊNCIA ATENDIMENTOS DE PORTA</t>
  </si>
  <si>
    <t>TRANSFERÊNCIAS (REMOÇÕES)</t>
  </si>
  <si>
    <t>PERCENTUAL DE TRANSFERÊNCIAS PACIENTES INTERNADOS POR USA</t>
  </si>
  <si>
    <t>PATOLOGIA CLINICA</t>
  </si>
  <si>
    <t xml:space="preserve">ATENDIMENTOS DIVIDIDOS POR FAIXA ETARIA </t>
  </si>
  <si>
    <t>&lt; 1 ANO</t>
  </si>
  <si>
    <t>1 - 4 ANOS</t>
  </si>
  <si>
    <t>5 - 9 ANOS</t>
  </si>
  <si>
    <t>10 - 14 ANOS</t>
  </si>
  <si>
    <t>15 - 19 ANOS</t>
  </si>
  <si>
    <t>20 - 39 ANOS</t>
  </si>
  <si>
    <t>40 - 49 ANOS</t>
  </si>
  <si>
    <t>50 - 59 ANOS</t>
  </si>
  <si>
    <t>60 OU MAIS</t>
  </si>
  <si>
    <t>ATENDIMENTOS DE  PACIENTES</t>
  </si>
  <si>
    <t>DA CIDADE</t>
  </si>
  <si>
    <t>DE OUTRAS CIDADES</t>
  </si>
  <si>
    <t>UPA DE LUZIÂNIA - UPA II</t>
  </si>
  <si>
    <t>METAS</t>
  </si>
  <si>
    <t>METAS POR SUB-GRUPO PLANO DE TRABALHO</t>
  </si>
  <si>
    <t>AÇÕES COLETIVA</t>
  </si>
  <si>
    <t xml:space="preserve">META </t>
  </si>
  <si>
    <t>ATENÇÃO ESPECIALIZADA</t>
  </si>
  <si>
    <t>MÉDICOS</t>
  </si>
  <si>
    <t>ODONTOLOGIA</t>
  </si>
  <si>
    <t>ENFERMAGEM</t>
  </si>
  <si>
    <t>EQUIPE MULTIDISCIPLINAR (EXCETO MÉDICOS)</t>
  </si>
  <si>
    <t xml:space="preserve">TOTAL GERAL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</si>
</sst>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3">
    <numFmt numFmtId="164" formatCode="#,##0.0"/>
    <numFmt numFmtId="165" formatCode="#,##0.00%"/>
    <numFmt numFmtId="166" formatCode="h:mm:ss Am/Pm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000000"/>
      <name val="Aptos Narrow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6"/>
      <color rgb="FF000000"/>
      <name val="Calibri"/>
      <family val="2"/>
    </font>
    <font>
      <b/>
      <sz val="11"/>
      <color rgb="FFffffff"/>
      <name val="Calibri"/>
      <family val="2"/>
    </font>
    <font>
      <b/>
      <sz val="14"/>
      <color rgb="FFffffff"/>
      <name val="Aptos Narrow"/>
      <family val="2"/>
    </font>
    <font>
      <b/>
      <sz val="11"/>
      <color rgb="FFffffff"/>
      <name val="Aptos Narrow"/>
      <family val="2"/>
    </font>
    <font>
      <b/>
      <sz val="11"/>
      <color rgb="FF0f172a"/>
      <name val="Aptos Narrow"/>
      <family val="2"/>
    </font>
    <font>
      <b/>
      <sz val="11"/>
      <color rgb="FF000000"/>
      <name val="Aptos Narrow"/>
      <family val="2"/>
    </font>
    <font>
      <b/>
      <sz val="11"/>
      <color rgb="FF1e3a8a"/>
      <name val="Aptos Narrow"/>
      <family val="2"/>
    </font>
    <font>
      <sz val="16"/>
      <color rgb="FF000000"/>
      <name val="Aptos Narrow"/>
      <family val="2"/>
    </font>
    <font>
      <sz val="11"/>
      <color theme="1"/>
      <name val="Aptos Narrow"/>
      <family val="2"/>
    </font>
  </fonts>
  <fills count="26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c1e5f5"/>
      </patternFill>
    </fill>
    <fill>
      <patternFill patternType="solid">
        <fgColor rgb="FFd9d9d9"/>
      </patternFill>
    </fill>
    <fill>
      <patternFill patternType="solid">
        <fgColor rgb="FFffff00"/>
      </patternFill>
    </fill>
    <fill>
      <patternFill patternType="solid">
        <fgColor rgb="FF104862"/>
      </patternFill>
    </fill>
    <fill>
      <patternFill patternType="solid">
        <fgColor rgb="FFe5e5e5"/>
      </patternFill>
    </fill>
    <fill>
      <patternFill patternType="solid">
        <fgColor rgb="FF0f172a"/>
      </patternFill>
    </fill>
    <fill>
      <patternFill patternType="solid">
        <fgColor rgb="FF0f6cbd"/>
      </patternFill>
    </fill>
    <fill>
      <patternFill patternType="solid">
        <fgColor rgb="FFf8fafc"/>
      </patternFill>
    </fill>
    <fill>
      <patternFill patternType="solid">
        <fgColor rgb="FFfff8db"/>
      </patternFill>
    </fill>
    <fill>
      <patternFill patternType="solid">
        <fgColor rgb="FFeef2ff"/>
      </patternFill>
    </fill>
    <fill>
      <patternFill patternType="solid">
        <fgColor rgb="FFdbeafe"/>
      </patternFill>
    </fill>
    <fill>
      <patternFill patternType="solid">
        <fgColor rgb="FFe0f2fe"/>
      </patternFill>
    </fill>
    <fill>
      <patternFill patternType="solid">
        <fgColor rgb="FFbfdbfe"/>
      </patternFill>
    </fill>
    <fill>
      <patternFill patternType="solid">
        <fgColor rgb="FF0f4861"/>
      </patternFill>
    </fill>
    <fill>
      <patternFill patternType="solid">
        <fgColor rgb="FFdbe9f7"/>
      </patternFill>
    </fill>
    <fill>
      <patternFill patternType="solid">
        <fgColor rgb="FF002060"/>
      </patternFill>
    </fill>
    <fill>
      <patternFill patternType="solid">
        <fgColor rgb="FF00ff00"/>
      </patternFill>
    </fill>
    <fill>
      <patternFill patternType="solid">
        <fgColor rgb="FFdd5a09"/>
      </patternFill>
    </fill>
    <fill>
      <patternFill patternType="solid">
        <fgColor rgb="FFff0000"/>
      </patternFill>
    </fill>
    <fill>
      <patternFill patternType="solid">
        <fgColor rgb="FFbfbfbf"/>
      </patternFill>
    </fill>
    <fill>
      <patternFill patternType="solid">
        <fgColor rgb="FFffff65"/>
      </patternFill>
    </fill>
    <fill>
      <patternFill patternType="solid">
        <fgColor rgb="FF000000"/>
      </patternFill>
    </fill>
    <fill>
      <patternFill patternType="solid">
        <fgColor rgb="FFa6a6a6"/>
      </patternFill>
    </fill>
  </fills>
  <borders count="2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c6c6c6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c6c6c6"/>
      </left>
      <right style="medium">
        <color rgb="FF000000"/>
      </right>
      <top style="thin">
        <color rgb="FFc6c6c6"/>
      </top>
      <bottom style="medium">
        <color rgb="FF000000"/>
      </bottom>
      <diagonal/>
    </border>
    <border>
      <left/>
      <right/>
      <top/>
      <bottom/>
      <diagonal/>
    </border>
    <border>
      <left style="medium">
        <color rgb="FFcccccc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c6c6c6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c6c6c6"/>
      </top>
      <bottom style="thin">
        <color rgb="FFc6c6c6"/>
      </bottom>
      <diagonal/>
    </border>
    <border>
      <left/>
      <right style="medium">
        <color rgb="FF000000"/>
      </right>
      <top style="medium">
        <color rgb="FFcccccc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c6c6c6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166">
    <xf xfId="0" numFmtId="0" borderId="0" fontId="0" fillId="0"/>
    <xf xfId="0" numFmtId="0" borderId="1" applyBorder="1" fontId="1" applyFont="1" fillId="0" applyAlignment="1">
      <alignment horizontal="left"/>
    </xf>
    <xf xfId="0" numFmtId="0" borderId="1" applyBorder="1" fontId="1" applyFont="1" fillId="0" applyAlignment="1">
      <alignment horizontal="right"/>
    </xf>
    <xf xfId="0" numFmtId="0" borderId="1" applyBorder="1" fontId="2" applyFont="1" fillId="0" applyAlignment="1">
      <alignment horizontal="left"/>
    </xf>
    <xf xfId="0" numFmtId="0" borderId="1" applyBorder="1" fontId="2" applyFont="1" fillId="0" applyAlignment="1">
      <alignment horizontal="right"/>
    </xf>
    <xf xfId="0" numFmtId="3" applyNumberFormat="1" borderId="1" applyBorder="1" fontId="2" applyFont="1" fillId="0" applyAlignment="1">
      <alignment horizontal="right"/>
    </xf>
    <xf xfId="0" numFmtId="0" borderId="1" applyBorder="1" fontId="3" applyFont="1" fillId="2" applyFill="1" applyAlignment="1">
      <alignment horizontal="left"/>
    </xf>
    <xf xfId="0" numFmtId="0" borderId="1" applyBorder="1" fontId="3" applyFont="1" fillId="0" applyAlignment="1">
      <alignment horizontal="left"/>
    </xf>
    <xf xfId="0" numFmtId="0" borderId="1" applyBorder="1" fontId="3" applyFont="1" fillId="0" applyAlignment="1">
      <alignment horizontal="right"/>
    </xf>
    <xf xfId="0" numFmtId="0" borderId="0" fontId="0" fillId="0" applyAlignment="1">
      <alignment horizontal="general"/>
    </xf>
    <xf xfId="0" numFmtId="0" borderId="0" fontId="0" fillId="0" applyAlignment="1">
      <alignment horizontal="right"/>
    </xf>
    <xf xfId="0" numFmtId="3" applyNumberFormat="1" borderId="2" applyBorder="1" fontId="4" applyFont="1" fillId="2" applyFill="1" applyAlignment="1">
      <alignment horizontal="center"/>
    </xf>
    <xf xfId="0" numFmtId="0" borderId="3" applyBorder="1" fontId="4" applyFont="1" fillId="2" applyFill="1" applyAlignment="1">
      <alignment horizontal="center"/>
    </xf>
    <xf xfId="0" numFmtId="0" borderId="4" applyBorder="1" fontId="4" applyFont="1" fillId="2" applyFill="1" applyAlignment="1">
      <alignment horizontal="center"/>
    </xf>
    <xf xfId="0" numFmtId="0" borderId="5" applyBorder="1" fontId="4" applyFont="1" fillId="0" applyAlignment="1">
      <alignment horizontal="center"/>
    </xf>
    <xf xfId="0" numFmtId="0" borderId="6" applyBorder="1" fontId="4" applyFont="1" fillId="0" applyAlignment="1">
      <alignment horizontal="center"/>
    </xf>
    <xf xfId="0" numFmtId="3" applyNumberFormat="1" borderId="2" applyBorder="1" fontId="1" applyFont="1" fillId="0" applyAlignment="1">
      <alignment horizontal="center"/>
    </xf>
    <xf xfId="0" numFmtId="0" borderId="2" applyBorder="1" fontId="1" applyFont="1" fillId="0" applyAlignment="1">
      <alignment horizontal="center"/>
    </xf>
    <xf xfId="0" numFmtId="3" applyNumberFormat="1" borderId="2" applyBorder="1" fontId="1" applyFont="1" fillId="3" applyFill="1" applyAlignment="1">
      <alignment horizontal="center"/>
    </xf>
    <xf xfId="0" numFmtId="3" applyNumberFormat="1" borderId="2" applyBorder="1" fontId="1" applyFont="1" fillId="4" applyFill="1" applyAlignment="1">
      <alignment horizontal="center"/>
    </xf>
    <xf xfId="0" numFmtId="7" applyNumberFormat="1" borderId="2" applyBorder="1" fontId="1" applyFont="1" fillId="3" applyFill="1" applyAlignment="1">
      <alignment horizontal="center"/>
    </xf>
    <xf xfId="0" numFmtId="3" applyNumberFormat="1" borderId="7" applyBorder="1" fontId="5" applyFont="1" fillId="2" applyFill="1" applyAlignment="1">
      <alignment horizontal="right"/>
    </xf>
    <xf xfId="0" numFmtId="0" borderId="4" applyBorder="1" fontId="5" applyFont="1" fillId="2" applyFill="1" applyAlignment="1">
      <alignment horizontal="left"/>
    </xf>
    <xf xfId="0" numFmtId="0" borderId="4" applyBorder="1" fontId="5" applyFont="1" fillId="2" applyFill="1" applyAlignment="1">
      <alignment horizontal="center"/>
    </xf>
    <xf xfId="0" numFmtId="0" borderId="8" applyBorder="1" fontId="5" applyFont="1" fillId="0" applyAlignment="1">
      <alignment horizontal="center"/>
    </xf>
    <xf xfId="0" numFmtId="0" borderId="6" applyBorder="1" fontId="5" applyFont="1" fillId="0" applyAlignment="1">
      <alignment horizontal="right"/>
    </xf>
    <xf xfId="0" numFmtId="3" applyNumberFormat="1" borderId="2" applyBorder="1" fontId="5" applyFont="1" fillId="0" applyAlignment="1">
      <alignment horizontal="center"/>
    </xf>
    <xf xfId="0" numFmtId="0" borderId="2" applyBorder="1" fontId="5" applyFont="1" fillId="0" applyAlignment="1">
      <alignment horizontal="center"/>
    </xf>
    <xf xfId="0" numFmtId="3" applyNumberFormat="1" borderId="2" applyBorder="1" fontId="5" applyFont="1" fillId="3" applyFill="1" applyAlignment="1">
      <alignment horizontal="center"/>
    </xf>
    <xf xfId="0" numFmtId="3" applyNumberFormat="1" borderId="2" applyBorder="1" fontId="5" applyFont="1" fillId="4" applyFill="1" applyAlignment="1">
      <alignment horizontal="center"/>
    </xf>
    <xf xfId="0" numFmtId="4" applyNumberFormat="1" borderId="2" applyBorder="1" fontId="5" applyFont="1" fillId="3" applyFill="1" applyAlignment="1">
      <alignment horizontal="center"/>
    </xf>
    <xf xfId="0" numFmtId="0" borderId="9" applyBorder="1" fontId="5" applyFont="1" fillId="0" applyAlignment="1">
      <alignment horizontal="left"/>
    </xf>
    <xf xfId="0" numFmtId="3" applyNumberFormat="1" borderId="2" applyBorder="1" fontId="6" applyFont="1" fillId="0" applyAlignment="1">
      <alignment horizontal="center"/>
    </xf>
    <xf xfId="0" numFmtId="7" applyNumberFormat="1" borderId="2" applyBorder="1" fontId="5" applyFont="1" fillId="3" applyFill="1" applyAlignment="1">
      <alignment horizontal="center"/>
    </xf>
    <xf xfId="0" numFmtId="0" borderId="2" applyBorder="1" fontId="5" applyFont="1" fillId="0" applyAlignment="1">
      <alignment horizontal="left"/>
    </xf>
    <xf xfId="0" numFmtId="0" borderId="9" applyBorder="1" fontId="5" applyFont="1" fillId="0" applyAlignment="1">
      <alignment horizontal="center"/>
    </xf>
    <xf xfId="0" numFmtId="0" borderId="10" applyBorder="1" fontId="5" applyFont="1" fillId="0" applyAlignment="1">
      <alignment horizontal="left"/>
    </xf>
    <xf xfId="0" numFmtId="0" borderId="11" applyBorder="1" fontId="5" applyFont="1" fillId="0" applyAlignment="1">
      <alignment horizontal="center"/>
    </xf>
    <xf xfId="0" numFmtId="0" borderId="12" applyBorder="1" fontId="5" applyFont="1" fillId="0" applyAlignment="1">
      <alignment horizontal="right"/>
    </xf>
    <xf xfId="0" numFmtId="0" borderId="11" applyBorder="1" fontId="5" applyFont="1" fillId="0" applyAlignment="1">
      <alignment horizontal="left"/>
    </xf>
    <xf xfId="0" numFmtId="0" borderId="5" applyBorder="1" fontId="5" applyFont="1" fillId="0" applyAlignment="1">
      <alignment horizontal="center"/>
    </xf>
    <xf xfId="0" numFmtId="0" borderId="11" applyBorder="1" fontId="5" applyFont="1" fillId="5" applyFill="1" applyAlignment="1">
      <alignment horizontal="center"/>
    </xf>
    <xf xfId="0" numFmtId="0" borderId="13" applyBorder="1" fontId="5" applyFont="1" fillId="0" applyAlignment="1">
      <alignment horizontal="left"/>
    </xf>
    <xf xfId="0" numFmtId="3" applyNumberFormat="1" borderId="14" applyBorder="1" fontId="5" applyFont="1" fillId="2" applyFill="1" applyAlignment="1">
      <alignment horizontal="right"/>
    </xf>
    <xf xfId="0" numFmtId="3" applyNumberFormat="1" borderId="2" applyBorder="1" fontId="5" applyFont="1" fillId="2" applyFill="1" applyAlignment="1">
      <alignment horizontal="right"/>
    </xf>
    <xf xfId="0" numFmtId="0" borderId="15" applyBorder="1" fontId="5" applyFont="1" fillId="0" applyAlignment="1">
      <alignment horizontal="left"/>
    </xf>
    <xf xfId="0" numFmtId="0" borderId="16" applyBorder="1" fontId="5" applyFont="1" fillId="0" applyAlignment="1">
      <alignment horizontal="center"/>
    </xf>
    <xf xfId="0" numFmtId="0" borderId="17" applyBorder="1" fontId="5" applyFont="1" fillId="0" applyAlignment="1">
      <alignment horizontal="center"/>
    </xf>
    <xf xfId="0" numFmtId="0" borderId="18" applyBorder="1" fontId="5" applyFont="1" fillId="0" applyAlignment="1">
      <alignment horizontal="right"/>
    </xf>
    <xf xfId="0" numFmtId="0" borderId="19" applyBorder="1" fontId="5" applyFont="1" fillId="0" applyAlignment="1">
      <alignment horizontal="center"/>
    </xf>
    <xf xfId="0" numFmtId="3" applyNumberFormat="1" borderId="20" applyBorder="1" fontId="5" applyFont="1" fillId="3" applyFill="1" applyAlignment="1">
      <alignment horizontal="center"/>
    </xf>
    <xf xfId="0" numFmtId="3" applyNumberFormat="1" borderId="20" applyBorder="1" fontId="5" applyFont="1" fillId="4" applyFill="1" applyAlignment="1">
      <alignment horizontal="center"/>
    </xf>
    <xf xfId="0" numFmtId="0" borderId="21" applyBorder="1" fontId="5" applyFont="1" fillId="0" applyAlignment="1">
      <alignment horizontal="left"/>
    </xf>
    <xf xfId="0" numFmtId="0" borderId="22" applyBorder="1" fontId="5" applyFont="1" fillId="0" applyAlignment="1">
      <alignment horizontal="left"/>
    </xf>
    <xf xfId="0" numFmtId="0" borderId="19" applyBorder="1" fontId="5" applyFont="1" fillId="0" applyAlignment="1">
      <alignment horizontal="left"/>
    </xf>
    <xf xfId="0" numFmtId="3" applyNumberFormat="1" borderId="19" applyBorder="1" fontId="5" applyFont="1" fillId="0" applyAlignment="1">
      <alignment horizontal="center"/>
    </xf>
    <xf xfId="0" numFmtId="7" applyNumberFormat="1" borderId="20" applyBorder="1" fontId="5" applyFont="1" fillId="3" applyFill="1" applyAlignment="1">
      <alignment horizontal="center"/>
    </xf>
    <xf xfId="0" numFmtId="0" borderId="2" applyBorder="1" fontId="6" applyFont="1" fillId="0" applyAlignment="1">
      <alignment horizontal="center"/>
    </xf>
    <xf xfId="0" numFmtId="0" borderId="2" applyBorder="1" fontId="6" applyFont="1" fillId="0" applyAlignment="1">
      <alignment horizontal="right"/>
    </xf>
    <xf xfId="0" numFmtId="0" borderId="2" applyBorder="1" fontId="5" applyFont="1" fillId="2" applyFill="1" applyAlignment="1">
      <alignment horizontal="center"/>
    </xf>
    <xf xfId="0" numFmtId="3" applyNumberFormat="1" borderId="0" fontId="0" fillId="0" applyAlignment="1">
      <alignment horizontal="right"/>
    </xf>
    <xf xfId="0" numFmtId="0" borderId="0" fontId="0" fillId="0" applyAlignment="1">
      <alignment horizontal="center"/>
    </xf>
    <xf xfId="0" numFmtId="3" applyNumberFormat="1" borderId="0" fontId="0" fillId="0" applyAlignment="1">
      <alignment horizontal="center"/>
    </xf>
    <xf xfId="0" numFmtId="7" applyNumberFormat="1" borderId="0" fontId="0" fillId="0" applyAlignment="1">
      <alignment horizontal="center"/>
    </xf>
    <xf xfId="0" numFmtId="0" borderId="0" fontId="0" fillId="0" applyAlignment="1">
      <alignment wrapText="1"/>
    </xf>
    <xf xfId="0" numFmtId="0" borderId="5" applyBorder="1" fontId="7" applyFont="1" fillId="0" applyAlignment="1">
      <alignment horizontal="left" wrapText="1"/>
    </xf>
    <xf xfId="0" numFmtId="7" applyNumberFormat="1" borderId="5" applyBorder="1" fontId="7" applyFont="1" fillId="0" applyAlignment="1">
      <alignment horizontal="left" wrapText="1"/>
    </xf>
    <xf xfId="0" numFmtId="3" applyNumberFormat="1" borderId="5" applyBorder="1" fontId="7" applyFont="1" fillId="0" applyAlignment="1">
      <alignment horizontal="left" wrapText="1"/>
    </xf>
    <xf xfId="0" numFmtId="0" borderId="23" applyBorder="1" fontId="8" applyFont="1" fillId="6" applyFill="1" applyAlignment="1">
      <alignment horizontal="center" wrapText="1"/>
    </xf>
    <xf xfId="0" numFmtId="7" applyNumberFormat="1" borderId="23" applyBorder="1" fontId="8" applyFont="1" fillId="6" applyFill="1" applyAlignment="1">
      <alignment horizontal="center"/>
    </xf>
    <xf xfId="0" numFmtId="3" applyNumberFormat="1" borderId="23" applyBorder="1" fontId="8" applyFont="1" fillId="6" applyFill="1" applyAlignment="1">
      <alignment horizontal="center"/>
    </xf>
    <xf xfId="0" numFmtId="0" borderId="1" applyBorder="1" fontId="4" applyFont="1" fillId="7" applyFill="1" applyAlignment="1">
      <alignment horizontal="center" vertical="top" wrapText="1"/>
    </xf>
    <xf xfId="0" numFmtId="0" borderId="1" applyBorder="1" fontId="4" applyFont="1" fillId="7" applyFill="1" applyAlignment="1">
      <alignment horizontal="left"/>
    </xf>
    <xf xfId="0" numFmtId="7" applyNumberFormat="1" borderId="1" applyBorder="1" fontId="4" applyFont="1" fillId="7" applyFill="1" applyAlignment="1">
      <alignment horizontal="center"/>
    </xf>
    <xf xfId="0" numFmtId="3" applyNumberFormat="1" borderId="1" applyBorder="1" fontId="4" applyFont="1" fillId="7" applyFill="1" applyAlignment="1">
      <alignment horizontal="center"/>
    </xf>
    <xf xfId="0" numFmtId="0" borderId="1" applyBorder="1" fontId="4" applyFont="1" fillId="7" applyFill="1" applyAlignment="1">
      <alignment horizontal="center" wrapText="1"/>
    </xf>
    <xf xfId="0" numFmtId="0" borderId="5" applyBorder="1" fontId="2" applyFont="1" fillId="0" applyAlignment="1">
      <alignment horizontal="left" wrapText="1"/>
    </xf>
    <xf xfId="0" numFmtId="7" applyNumberFormat="1" borderId="5" applyBorder="1" fontId="2" applyFont="1" fillId="0" applyAlignment="1">
      <alignment horizontal="center"/>
    </xf>
    <xf xfId="0" numFmtId="3" applyNumberFormat="1" borderId="5" applyBorder="1" fontId="2" applyFont="1" fillId="0" applyAlignment="1">
      <alignment horizontal="center"/>
    </xf>
    <xf xfId="0" numFmtId="0" borderId="0" fontId="0" fillId="0" applyAlignment="1">
      <alignment horizontal="left" wrapText="1"/>
    </xf>
    <xf xfId="0" numFmtId="0" borderId="0" fontId="0" fillId="0" applyAlignment="1">
      <alignment horizontal="left"/>
    </xf>
    <xf xfId="0" numFmtId="0" borderId="0" fontId="0" fillId="0" applyAlignment="1">
      <alignment horizontal="general"/>
    </xf>
    <xf xfId="0" numFmtId="164" applyNumberFormat="1" borderId="0" fontId="0" fillId="0" applyAlignment="1">
      <alignment horizontal="general"/>
    </xf>
    <xf xfId="0" numFmtId="4" applyNumberFormat="1" borderId="0" fontId="0" fillId="0" applyAlignment="1">
      <alignment horizontal="general"/>
    </xf>
    <xf xfId="0" numFmtId="0" borderId="23" applyBorder="1" fontId="9" applyFont="1" fillId="8" applyFill="1" applyAlignment="1">
      <alignment horizontal="left"/>
    </xf>
    <xf xfId="0" numFmtId="164" applyNumberFormat="1" borderId="23" applyBorder="1" fontId="9" applyFont="1" fillId="8" applyFill="1" applyAlignment="1">
      <alignment horizontal="left"/>
    </xf>
    <xf xfId="0" numFmtId="4" applyNumberFormat="1" borderId="23" applyBorder="1" fontId="9" applyFont="1" fillId="8" applyFill="1" applyAlignment="1">
      <alignment horizontal="right"/>
    </xf>
    <xf xfId="0" numFmtId="0" borderId="1" applyBorder="1" fontId="10" applyFont="1" fillId="9" applyFill="1" applyAlignment="1">
      <alignment horizontal="center"/>
    </xf>
    <xf xfId="0" numFmtId="164" applyNumberFormat="1" borderId="1" applyBorder="1" fontId="10" applyFont="1" fillId="9" applyFill="1" applyAlignment="1">
      <alignment horizontal="center"/>
    </xf>
    <xf xfId="0" numFmtId="4" applyNumberFormat="1" borderId="1" applyBorder="1" fontId="10" applyFont="1" fillId="9" applyFill="1" applyAlignment="1">
      <alignment horizontal="center"/>
    </xf>
    <xf xfId="0" numFmtId="0" borderId="1" applyBorder="1" fontId="11" applyFont="1" fillId="5" applyFill="1" applyAlignment="1">
      <alignment horizontal="left" wrapText="1"/>
    </xf>
    <xf xfId="0" numFmtId="0" borderId="1" applyBorder="1" fontId="11" applyFont="1" fillId="10" applyFill="1" applyAlignment="1">
      <alignment horizontal="left"/>
    </xf>
    <xf xfId="0" numFmtId="164" applyNumberFormat="1" borderId="1" applyBorder="1" fontId="2" applyFont="1" fillId="11" applyFill="1" applyAlignment="1">
      <alignment horizontal="right" wrapText="1"/>
    </xf>
    <xf xfId="0" numFmtId="4" applyNumberFormat="1" borderId="1" applyBorder="1" fontId="2" applyFont="1" fillId="11" applyFill="1" applyAlignment="1">
      <alignment horizontal="right" wrapText="1"/>
    </xf>
    <xf xfId="0" numFmtId="164" applyNumberFormat="1" borderId="1" applyBorder="1" fontId="12" applyFont="1" fillId="12" applyFill="1" applyAlignment="1">
      <alignment horizontal="right" wrapText="1"/>
    </xf>
    <xf xfId="0" numFmtId="0" borderId="1" applyBorder="1" fontId="12" applyFont="1" fillId="2" applyFill="1" applyAlignment="1">
      <alignment horizontal="left" wrapText="1"/>
    </xf>
    <xf xfId="0" numFmtId="0" borderId="1" applyBorder="1" fontId="12" applyFont="1" fillId="2" applyFill="1" applyAlignment="1">
      <alignment horizontal="left"/>
    </xf>
    <xf xfId="0" numFmtId="164" applyNumberFormat="1" borderId="1" applyBorder="1" fontId="2" applyFont="1" fillId="2" applyFill="1" applyAlignment="1">
      <alignment horizontal="left" wrapText="1"/>
    </xf>
    <xf xfId="0" numFmtId="4" applyNumberFormat="1" borderId="1" applyBorder="1" fontId="2" applyFont="1" fillId="2" applyFill="1" applyAlignment="1">
      <alignment horizontal="right" wrapText="1"/>
    </xf>
    <xf xfId="0" numFmtId="0" borderId="1" applyBorder="1" fontId="2" applyFont="1" fillId="2" applyFill="1" applyAlignment="1">
      <alignment horizontal="left" wrapText="1"/>
    </xf>
    <xf xfId="0" numFmtId="164" applyNumberFormat="1" borderId="1" applyBorder="1" fontId="12" applyFont="1" fillId="2" applyFill="1" applyAlignment="1">
      <alignment horizontal="left" wrapText="1"/>
    </xf>
    <xf xfId="0" numFmtId="165" applyNumberFormat="1" borderId="1" applyBorder="1" fontId="2" applyFont="1" fillId="11" applyFill="1" applyAlignment="1">
      <alignment horizontal="right" wrapText="1"/>
    </xf>
    <xf xfId="0" numFmtId="0" borderId="1" applyBorder="1" fontId="13" applyFont="1" fillId="13" applyFill="1" applyAlignment="1">
      <alignment horizontal="left" wrapText="1"/>
    </xf>
    <xf xfId="0" numFmtId="0" borderId="1" applyBorder="1" fontId="13" applyFont="1" fillId="13" applyFill="1" applyAlignment="1">
      <alignment horizontal="left"/>
    </xf>
    <xf xfId="0" numFmtId="164" applyNumberFormat="1" borderId="1" applyBorder="1" fontId="13" applyFont="1" fillId="14" applyFill="1" applyAlignment="1">
      <alignment horizontal="right" wrapText="1"/>
    </xf>
    <xf xfId="0" numFmtId="4" applyNumberFormat="1" borderId="1" applyBorder="1" fontId="13" applyFont="1" fillId="14" applyFill="1" applyAlignment="1">
      <alignment horizontal="right" wrapText="1"/>
    </xf>
    <xf xfId="0" numFmtId="164" applyNumberFormat="1" borderId="1" applyBorder="1" fontId="13" applyFont="1" fillId="15" applyFill="1" applyAlignment="1">
      <alignment horizontal="right" wrapText="1"/>
    </xf>
    <xf xfId="0" numFmtId="164" applyNumberFormat="1" borderId="0" fontId="0" fillId="0" applyAlignment="1">
      <alignment horizontal="general"/>
    </xf>
    <xf xfId="0" numFmtId="4" applyNumberFormat="1" borderId="0" fontId="0" fillId="0" applyAlignment="1">
      <alignment horizontal="general"/>
    </xf>
    <xf xfId="0" numFmtId="0" borderId="5" applyBorder="1" fontId="14" applyFont="1" fillId="0" applyAlignment="1">
      <alignment horizontal="left" wrapText="1"/>
    </xf>
    <xf xfId="0" numFmtId="0" borderId="0" fontId="0" fillId="0" applyAlignment="1">
      <alignment horizontal="left"/>
    </xf>
    <xf xfId="0" numFmtId="3" applyNumberFormat="1" borderId="0" fontId="0" fillId="0" applyAlignment="1">
      <alignment horizontal="center"/>
    </xf>
    <xf xfId="0" numFmtId="0" borderId="0" fontId="0" fillId="0" applyAlignment="1">
      <alignment horizontal="center"/>
    </xf>
    <xf xfId="0" numFmtId="0" borderId="5" applyBorder="1" fontId="3" applyFont="1" fillId="0" applyAlignment="1">
      <alignment horizontal="center"/>
    </xf>
    <xf xfId="0" numFmtId="0" borderId="23" applyBorder="1" fontId="10" applyFont="1" fillId="16" applyFill="1" applyAlignment="1">
      <alignment horizontal="center" wrapText="1"/>
    </xf>
    <xf xfId="0" numFmtId="3" applyNumberFormat="1" borderId="23" applyBorder="1" fontId="10" applyFont="1" fillId="16" applyFill="1" applyAlignment="1">
      <alignment horizontal="center"/>
    </xf>
    <xf xfId="0" numFmtId="0" borderId="23" applyBorder="1" fontId="10" applyFont="1" fillId="16" applyFill="1" applyAlignment="1">
      <alignment horizontal="center"/>
    </xf>
    <xf xfId="0" numFmtId="0" borderId="5" applyBorder="1" fontId="15" applyFont="1" fillId="0" applyAlignment="1">
      <alignment horizontal="left"/>
    </xf>
    <xf xfId="0" numFmtId="0" borderId="23" applyBorder="1" fontId="12" applyFont="1" fillId="17" applyFill="1" applyAlignment="1">
      <alignment horizontal="center" vertical="top" wrapText="1"/>
    </xf>
    <xf xfId="0" numFmtId="0" borderId="23" applyBorder="1" fontId="12" applyFont="1" fillId="17" applyFill="1" applyAlignment="1">
      <alignment horizontal="left"/>
    </xf>
    <xf xfId="0" numFmtId="3" applyNumberFormat="1" borderId="23" applyBorder="1" fontId="12" applyFont="1" fillId="17" applyFill="1" applyAlignment="1">
      <alignment horizontal="center"/>
    </xf>
    <xf xfId="0" numFmtId="0" borderId="23" applyBorder="1" fontId="12" applyFont="1" fillId="17" applyFill="1" applyAlignment="1">
      <alignment horizontal="center"/>
    </xf>
    <xf xfId="0" numFmtId="0" borderId="23" applyBorder="1" fontId="12" applyFont="1" fillId="5" applyFill="1" applyAlignment="1">
      <alignment horizontal="left"/>
    </xf>
    <xf xfId="0" numFmtId="0" borderId="5" applyBorder="1" fontId="3" applyFont="1" fillId="0" applyAlignment="1">
      <alignment horizontal="left" wrapText="1"/>
    </xf>
    <xf xfId="0" numFmtId="3" applyNumberFormat="1" borderId="5" applyBorder="1" fontId="3" applyFont="1" fillId="0" applyAlignment="1">
      <alignment horizontal="center"/>
    </xf>
    <xf xfId="0" numFmtId="0" borderId="23" applyBorder="1" fontId="12" applyFont="1" fillId="17" applyFill="1" applyAlignment="1">
      <alignment horizontal="center" wrapText="1"/>
    </xf>
    <xf xfId="0" numFmtId="0" borderId="23" applyBorder="1" fontId="12" applyFont="1" fillId="17" applyFill="1" applyAlignment="1">
      <alignment horizontal="left" wrapText="1"/>
    </xf>
    <xf xfId="0" numFmtId="3" applyNumberFormat="1" borderId="23" applyBorder="1" fontId="3" applyFont="1" fillId="17" applyFill="1" applyAlignment="1">
      <alignment horizontal="center"/>
    </xf>
    <xf xfId="0" numFmtId="0" borderId="5" applyBorder="1" fontId="12" applyFont="1" fillId="0" applyAlignment="1">
      <alignment horizontal="left" wrapText="1"/>
    </xf>
    <xf xfId="0" numFmtId="3" applyNumberFormat="1" borderId="5" applyBorder="1" fontId="12" applyFont="1" fillId="0" applyAlignment="1">
      <alignment horizontal="center"/>
    </xf>
    <xf xfId="0" numFmtId="0" borderId="23" applyBorder="1" fontId="12" applyFont="1" fillId="17" applyFill="1" applyAlignment="1">
      <alignment horizontal="left" vertical="top" wrapText="1"/>
    </xf>
    <xf xfId="0" numFmtId="0" borderId="23" applyBorder="1" fontId="12" applyFont="1" fillId="5" applyFill="1" applyAlignment="1">
      <alignment horizontal="left" wrapText="1"/>
    </xf>
    <xf xfId="0" numFmtId="3" applyNumberFormat="1" borderId="23" applyBorder="1" fontId="3" applyFont="1" fillId="5" applyFill="1" applyAlignment="1">
      <alignment horizontal="center"/>
    </xf>
    <xf xfId="0" numFmtId="3" applyNumberFormat="1" borderId="23" applyBorder="1" fontId="12" applyFont="1" fillId="5" applyFill="1" applyAlignment="1">
      <alignment horizontal="center"/>
    </xf>
    <xf xfId="0" numFmtId="0" borderId="23" applyBorder="1" fontId="3" applyFont="1" fillId="5" applyFill="1" applyAlignment="1">
      <alignment horizontal="center"/>
    </xf>
    <xf xfId="0" numFmtId="165" applyNumberFormat="1" borderId="5" applyBorder="1" fontId="12" applyFont="1" fillId="0" applyAlignment="1">
      <alignment horizontal="center"/>
    </xf>
    <xf xfId="0" numFmtId="0" borderId="23" applyBorder="1" fontId="10" applyFont="1" fillId="18" applyFill="1" applyAlignment="1">
      <alignment horizontal="left" wrapText="1"/>
    </xf>
    <xf xfId="0" numFmtId="0" borderId="23" applyBorder="1" fontId="12" applyFont="1" fillId="19" applyFill="1" applyAlignment="1">
      <alignment horizontal="left" wrapText="1"/>
    </xf>
    <xf xfId="0" numFmtId="0" borderId="23" applyBorder="1" fontId="12" applyFont="1" fillId="20" applyFill="1" applyAlignment="1">
      <alignment horizontal="left" wrapText="1"/>
    </xf>
    <xf xfId="0" numFmtId="0" borderId="23" applyBorder="1" fontId="12" applyFont="1" fillId="21" applyFill="1" applyAlignment="1">
      <alignment horizontal="left" wrapText="1"/>
    </xf>
    <xf xfId="0" numFmtId="0" borderId="23" applyBorder="1" fontId="12" applyFont="1" fillId="22" applyFill="1" applyAlignment="1">
      <alignment horizontal="left" wrapText="1"/>
    </xf>
    <xf xfId="0" numFmtId="0" borderId="23" applyBorder="1" fontId="12" applyFont="1" fillId="23" applyFill="1" applyAlignment="1">
      <alignment horizontal="left" wrapText="1"/>
    </xf>
    <xf xfId="0" numFmtId="0" borderId="23" applyBorder="1" fontId="10" applyFont="1" fillId="16" applyFill="1" applyAlignment="1">
      <alignment horizontal="left" wrapText="1"/>
    </xf>
    <xf xfId="0" numFmtId="165" applyNumberFormat="1" borderId="23" applyBorder="1" fontId="3" applyFont="1" fillId="17" applyFill="1" applyAlignment="1">
      <alignment horizontal="center"/>
    </xf>
    <xf xfId="0" numFmtId="166" applyNumberFormat="1" borderId="23" applyBorder="1" fontId="12" applyFont="1" fillId="17" applyFill="1" applyAlignment="1">
      <alignment horizontal="center"/>
    </xf>
    <xf xfId="0" numFmtId="166" applyNumberFormat="1" borderId="23" applyBorder="1" fontId="3" applyFont="1" fillId="17" applyFill="1" applyAlignment="1">
      <alignment horizontal="center"/>
    </xf>
    <xf xfId="0" numFmtId="166" applyNumberFormat="1" borderId="23" applyBorder="1" fontId="3" applyFont="1" fillId="5" applyFill="1" applyAlignment="1">
      <alignment horizontal="center"/>
    </xf>
    <xf xfId="0" numFmtId="166" applyNumberFormat="1" borderId="23" applyBorder="1" fontId="12" applyFont="1" fillId="5" applyFill="1" applyAlignment="1">
      <alignment horizontal="center"/>
    </xf>
    <xf xfId="0" numFmtId="46" applyNumberFormat="1" borderId="23" applyBorder="1" fontId="3" applyFont="1" fillId="17" applyFill="1" applyAlignment="1">
      <alignment horizontal="center"/>
    </xf>
    <xf xfId="0" numFmtId="46" applyNumberFormat="1" borderId="5" applyBorder="1" fontId="12" applyFont="1" fillId="0" applyAlignment="1">
      <alignment horizontal="center"/>
    </xf>
    <xf xfId="0" numFmtId="46" applyNumberFormat="1" borderId="23" applyBorder="1" fontId="12" applyFont="1" fillId="17" applyFill="1" applyAlignment="1">
      <alignment horizontal="center"/>
    </xf>
    <xf xfId="0" numFmtId="0" borderId="23" applyBorder="1" fontId="3" applyFont="1" fillId="24" applyFill="1" applyAlignment="1">
      <alignment horizontal="left" wrapText="1"/>
    </xf>
    <xf xfId="0" numFmtId="0" borderId="23" applyBorder="1" fontId="3" applyFont="1" fillId="24" applyFill="1" applyAlignment="1">
      <alignment horizontal="center"/>
    </xf>
    <xf xfId="0" numFmtId="3" applyNumberFormat="1" borderId="23" applyBorder="1" fontId="3" applyFont="1" fillId="24" applyFill="1" applyAlignment="1">
      <alignment horizontal="center"/>
    </xf>
    <xf xfId="0" numFmtId="3" applyNumberFormat="1" borderId="5" applyBorder="1" fontId="14" applyFont="1" fillId="0" applyAlignment="1">
      <alignment horizontal="left" wrapText="1"/>
    </xf>
    <xf xfId="0" numFmtId="0" borderId="23" applyBorder="1" fontId="10" applyFont="1" fillId="6" applyFill="1" applyAlignment="1">
      <alignment horizontal="center" wrapText="1"/>
    </xf>
    <xf xfId="0" numFmtId="3" applyNumberFormat="1" borderId="23" applyBorder="1" fontId="10" applyFont="1" fillId="6" applyFill="1" applyAlignment="1">
      <alignment horizontal="center"/>
    </xf>
    <xf xfId="0" numFmtId="0" borderId="1" applyBorder="1" fontId="10" applyFont="1" fillId="6" applyFill="1" applyAlignment="1">
      <alignment horizontal="center" wrapText="1"/>
    </xf>
    <xf xfId="0" numFmtId="3" applyNumberFormat="1" borderId="1" applyBorder="1" fontId="10" applyFont="1" fillId="6" applyFill="1" applyAlignment="1">
      <alignment horizontal="center"/>
    </xf>
    <xf xfId="0" numFmtId="0" borderId="1" applyBorder="1" fontId="12" applyFont="1" fillId="7" applyFill="1" applyAlignment="1">
      <alignment horizontal="center" vertical="top" wrapText="1"/>
    </xf>
    <xf xfId="0" numFmtId="0" borderId="1" applyBorder="1" fontId="12" applyFont="1" fillId="25" applyFill="1" applyAlignment="1">
      <alignment horizontal="left"/>
    </xf>
    <xf xfId="0" numFmtId="3" applyNumberFormat="1" borderId="1" applyBorder="1" fontId="12" applyFont="1" fillId="25" applyFill="1" applyAlignment="1">
      <alignment horizontal="center"/>
    </xf>
    <xf xfId="0" numFmtId="0" borderId="1" applyBorder="1" fontId="12" applyFont="1" fillId="7" applyFill="1" applyAlignment="1">
      <alignment horizontal="center" wrapText="1"/>
    </xf>
    <xf xfId="0" numFmtId="0" borderId="1" applyBorder="1" fontId="12" applyFont="1" fillId="7" applyFill="1" applyAlignment="1">
      <alignment horizontal="left"/>
    </xf>
    <xf xfId="0" numFmtId="3" applyNumberFormat="1" borderId="1" applyBorder="1" fontId="12" applyFont="1" fillId="7" applyFill="1" applyAlignment="1">
      <alignment horizontal="center"/>
    </xf>
    <xf xfId="0" numFmtId="0" borderId="0" fontId="0" fillId="0" applyAlignment="1">
      <alignment horizontal="center" wrapText="1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worksheets/sheet8.xml" Type="http://schemas.openxmlformats.org/officeDocument/2006/relationships/worksheet" Id="rId8"/><Relationship Target="worksheets/sheet9.xml" Type="http://schemas.openxmlformats.org/officeDocument/2006/relationships/worksheet" Id="rId9"/><Relationship Target="worksheets/sheet10.xml" Type="http://schemas.openxmlformats.org/officeDocument/2006/relationships/worksheet" Id="rId10"/><Relationship Target="worksheets/sheet11.xml" Type="http://schemas.openxmlformats.org/officeDocument/2006/relationships/worksheet" Id="rId11"/><Relationship Target="sharedStrings.xml" Type="http://schemas.openxmlformats.org/officeDocument/2006/relationships/sharedStrings" Id="rId12"/><Relationship Target="styles.xml" Type="http://schemas.openxmlformats.org/officeDocument/2006/relationships/styles" Id="rId13"/><Relationship Target="theme/theme1.xml" Type="http://schemas.openxmlformats.org/officeDocument/2006/relationships/theme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00000"/>
      </a:dk2>
      <a:lt2>
        <a:srgbClr val="FFFFFF"/>
      </a:lt2>
      <a:accent1>
        <a:srgbClr val="156082"/>
      </a:accent1>
      <a:accent2>
        <a:srgbClr val="3BEF2D"/>
      </a:accent2>
      <a:accent3>
        <a:srgbClr val="FFFF00"/>
      </a:accent3>
      <a:accent4>
        <a:srgbClr val="FFC000"/>
      </a:accent4>
      <a:accent5>
        <a:srgbClr val="FF0000"/>
      </a:accent5>
      <a:accent6>
        <a:srgbClr val="BFBFBF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O18"/>
  <sheetViews>
    <sheetView workbookViewId="0"/>
  </sheetViews>
  <sheetFormatPr defaultRowHeight="15" x14ac:dyDescent="0.25"/>
  <cols>
    <col min="1" max="1" style="165" width="23.576428571428572" customWidth="1" bestFit="1"/>
    <col min="2" max="2" style="80" width="40.57642857142857" customWidth="1" bestFit="1"/>
    <col min="3" max="3" style="62" width="9.719285714285713" customWidth="1" bestFit="1"/>
    <col min="4" max="4" style="62" width="8.290714285714287" customWidth="1" bestFit="1"/>
    <col min="5" max="5" style="62" width="8.005" customWidth="1" bestFit="1"/>
    <col min="6" max="6" style="62" width="9.43357142857143" customWidth="1" bestFit="1"/>
    <col min="7" max="7" style="62" width="9.005" customWidth="1" bestFit="1"/>
    <col min="8" max="8" style="62" width="10.719285714285713" customWidth="1" bestFit="1"/>
    <col min="9" max="9" style="62" width="12.576428571428572" customWidth="1" bestFit="1"/>
    <col min="10" max="10" style="62" width="11.719285714285713" customWidth="1" bestFit="1"/>
    <col min="11" max="11" style="62" width="13.43357142857143" customWidth="1" bestFit="1"/>
    <col min="12" max="12" style="62" width="12.719285714285713" customWidth="1" bestFit="1"/>
    <col min="13" max="13" style="62" width="10.719285714285713" customWidth="1" bestFit="1"/>
    <col min="14" max="14" style="62" width="12.719285714285713" customWidth="1" bestFit="1"/>
    <col min="15" max="15" style="62" width="9.147857142857141" customWidth="1" bestFit="1"/>
  </cols>
  <sheetData>
    <row x14ac:dyDescent="0.25" r="1" customHeight="1" ht="49.5" customFormat="1" s="64">
      <c r="A1" s="109"/>
      <c r="B1" s="109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</row>
    <row x14ac:dyDescent="0.25" r="2" customHeight="1" ht="18.75">
      <c r="A2" s="155" t="s">
        <v>3267</v>
      </c>
      <c r="B2" s="155"/>
      <c r="C2" s="156"/>
      <c r="D2" s="156"/>
      <c r="E2" s="156"/>
      <c r="F2" s="156"/>
      <c r="G2" s="156"/>
      <c r="H2" s="156"/>
      <c r="I2" s="156"/>
      <c r="J2" s="156"/>
      <c r="K2" s="156"/>
      <c r="L2" s="156"/>
      <c r="M2" s="156"/>
      <c r="N2" s="156"/>
      <c r="O2" s="156"/>
    </row>
    <row x14ac:dyDescent="0.25" r="3" customHeight="1" ht="18.75">
      <c r="A3" s="157"/>
      <c r="B3" s="157"/>
      <c r="C3" s="158" t="s">
        <v>3127</v>
      </c>
      <c r="D3" s="158" t="s">
        <v>3128</v>
      </c>
      <c r="E3" s="158" t="s">
        <v>3129</v>
      </c>
      <c r="F3" s="158" t="s">
        <v>3130</v>
      </c>
      <c r="G3" s="158" t="s">
        <v>3131</v>
      </c>
      <c r="H3" s="158" t="s">
        <v>3132</v>
      </c>
      <c r="I3" s="158" t="s">
        <v>3133</v>
      </c>
      <c r="J3" s="158" t="s">
        <v>3134</v>
      </c>
      <c r="K3" s="158" t="s">
        <v>3135</v>
      </c>
      <c r="L3" s="158" t="s">
        <v>3136</v>
      </c>
      <c r="M3" s="158" t="s">
        <v>3137</v>
      </c>
      <c r="N3" s="158" t="s">
        <v>3138</v>
      </c>
      <c r="O3" s="158" t="s">
        <v>3139</v>
      </c>
    </row>
    <row x14ac:dyDescent="0.25" r="4" customHeight="1" ht="18.75">
      <c r="A4" s="159" t="s">
        <v>3268</v>
      </c>
      <c r="B4" s="160" t="s">
        <v>3269</v>
      </c>
      <c r="C4" s="161">
        <v>35794</v>
      </c>
      <c r="D4" s="161">
        <v>30587</v>
      </c>
      <c r="E4" s="161">
        <v>29897</v>
      </c>
      <c r="F4" s="161"/>
      <c r="G4" s="161"/>
      <c r="H4" s="161"/>
      <c r="I4" s="161"/>
      <c r="J4" s="161"/>
      <c r="K4" s="161"/>
      <c r="L4" s="161"/>
      <c r="M4" s="161"/>
      <c r="N4" s="161"/>
      <c r="O4" s="161">
        <f>SUM(C4:N4)</f>
      </c>
    </row>
    <row x14ac:dyDescent="0.25" r="5" customHeight="1" ht="18.75">
      <c r="A5" s="162"/>
      <c r="B5" s="160" t="s">
        <v>3270</v>
      </c>
      <c r="C5" s="161">
        <v>12251</v>
      </c>
      <c r="D5" s="161">
        <v>12251</v>
      </c>
      <c r="E5" s="161">
        <v>12251</v>
      </c>
      <c r="F5" s="161">
        <v>12251</v>
      </c>
      <c r="G5" s="161">
        <v>12251</v>
      </c>
      <c r="H5" s="161">
        <v>12251</v>
      </c>
      <c r="I5" s="161">
        <v>12251</v>
      </c>
      <c r="J5" s="161">
        <v>12251</v>
      </c>
      <c r="K5" s="161">
        <v>12251</v>
      </c>
      <c r="L5" s="161">
        <v>12251</v>
      </c>
      <c r="M5" s="161">
        <v>12251</v>
      </c>
      <c r="N5" s="161">
        <v>12251</v>
      </c>
      <c r="O5" s="161">
        <f>SUM(C5:N5)</f>
      </c>
    </row>
    <row x14ac:dyDescent="0.25" r="6" customHeight="1" ht="18.75">
      <c r="A6" s="162"/>
      <c r="B6" s="163" t="s">
        <v>3171</v>
      </c>
      <c r="C6" s="164">
        <v>50246</v>
      </c>
      <c r="D6" s="164">
        <v>49113</v>
      </c>
      <c r="E6" s="164">
        <v>47143</v>
      </c>
      <c r="F6" s="164"/>
      <c r="G6" s="164"/>
      <c r="H6" s="164"/>
      <c r="I6" s="164"/>
      <c r="J6" s="164"/>
      <c r="K6" s="164"/>
      <c r="L6" s="164"/>
      <c r="M6" s="164"/>
      <c r="N6" s="164"/>
      <c r="O6" s="164">
        <f>SUM(C6:N6)</f>
      </c>
    </row>
    <row x14ac:dyDescent="0.25" r="7" customHeight="1" ht="18.75">
      <c r="A7" s="162"/>
      <c r="B7" s="163" t="s">
        <v>3270</v>
      </c>
      <c r="C7" s="164">
        <v>45843</v>
      </c>
      <c r="D7" s="164">
        <v>45843</v>
      </c>
      <c r="E7" s="164">
        <v>45843</v>
      </c>
      <c r="F7" s="164">
        <v>45843</v>
      </c>
      <c r="G7" s="164">
        <v>45843</v>
      </c>
      <c r="H7" s="164">
        <v>45843</v>
      </c>
      <c r="I7" s="164">
        <v>45843</v>
      </c>
      <c r="J7" s="164">
        <v>45843</v>
      </c>
      <c r="K7" s="164">
        <v>45843</v>
      </c>
      <c r="L7" s="164">
        <v>45843</v>
      </c>
      <c r="M7" s="164">
        <v>45843</v>
      </c>
      <c r="N7" s="164">
        <v>45843</v>
      </c>
      <c r="O7" s="164">
        <f>SUM(C7:N7)</f>
      </c>
    </row>
    <row x14ac:dyDescent="0.25" r="8" customHeight="1" ht="18.75">
      <c r="A8" s="162"/>
      <c r="B8" s="160" t="s">
        <v>3271</v>
      </c>
      <c r="C8" s="161">
        <v>37060</v>
      </c>
      <c r="D8" s="161">
        <v>34175</v>
      </c>
      <c r="E8" s="161">
        <v>37018</v>
      </c>
      <c r="F8" s="161"/>
      <c r="G8" s="161"/>
      <c r="H8" s="161"/>
      <c r="I8" s="161"/>
      <c r="J8" s="161"/>
      <c r="K8" s="161"/>
      <c r="L8" s="161"/>
      <c r="M8" s="161"/>
      <c r="N8" s="161"/>
      <c r="O8" s="161">
        <f>SUM(C8:N8)</f>
      </c>
    </row>
    <row x14ac:dyDescent="0.25" r="9" customHeight="1" ht="18.75">
      <c r="A9" s="162"/>
      <c r="B9" s="160" t="s">
        <v>3270</v>
      </c>
      <c r="C9" s="161">
        <v>29249</v>
      </c>
      <c r="D9" s="161">
        <v>29249</v>
      </c>
      <c r="E9" s="161">
        <v>29249</v>
      </c>
      <c r="F9" s="161">
        <v>29249</v>
      </c>
      <c r="G9" s="161">
        <v>29249</v>
      </c>
      <c r="H9" s="161">
        <v>29249</v>
      </c>
      <c r="I9" s="161">
        <v>29249</v>
      </c>
      <c r="J9" s="161">
        <v>29249</v>
      </c>
      <c r="K9" s="161">
        <v>29249</v>
      </c>
      <c r="L9" s="161">
        <v>29249</v>
      </c>
      <c r="M9" s="161">
        <v>29249</v>
      </c>
      <c r="N9" s="161">
        <v>29249</v>
      </c>
      <c r="O9" s="161">
        <f>SUM(C9:N9)</f>
      </c>
    </row>
    <row x14ac:dyDescent="0.25" r="10" customHeight="1" ht="18.75">
      <c r="A10" s="162"/>
      <c r="B10" s="163" t="s">
        <v>3272</v>
      </c>
      <c r="C10" s="164">
        <v>4787</v>
      </c>
      <c r="D10" s="164">
        <v>7491</v>
      </c>
      <c r="E10" s="164">
        <v>5472</v>
      </c>
      <c r="F10" s="164"/>
      <c r="G10" s="164"/>
      <c r="H10" s="164"/>
      <c r="I10" s="164"/>
      <c r="J10" s="164"/>
      <c r="K10" s="164"/>
      <c r="L10" s="164"/>
      <c r="M10" s="164"/>
      <c r="N10" s="164"/>
      <c r="O10" s="164">
        <f>SUM(C10:N10)</f>
      </c>
    </row>
    <row x14ac:dyDescent="0.25" r="11" customHeight="1" ht="18.75">
      <c r="A11" s="162"/>
      <c r="B11" s="163" t="s">
        <v>3270</v>
      </c>
      <c r="C11" s="164">
        <v>4645</v>
      </c>
      <c r="D11" s="164">
        <v>4645</v>
      </c>
      <c r="E11" s="164">
        <v>4645</v>
      </c>
      <c r="F11" s="164">
        <v>4645</v>
      </c>
      <c r="G11" s="164">
        <v>4645</v>
      </c>
      <c r="H11" s="164">
        <v>4645</v>
      </c>
      <c r="I11" s="164">
        <v>4645</v>
      </c>
      <c r="J11" s="164">
        <v>4645</v>
      </c>
      <c r="K11" s="164">
        <v>4645</v>
      </c>
      <c r="L11" s="164">
        <v>4645</v>
      </c>
      <c r="M11" s="164">
        <v>4645</v>
      </c>
      <c r="N11" s="164">
        <v>4645</v>
      </c>
      <c r="O11" s="164">
        <f>SUM(C11:N11)</f>
      </c>
    </row>
    <row x14ac:dyDescent="0.25" r="12" customHeight="1" ht="18.75">
      <c r="A12" s="162"/>
      <c r="B12" s="160" t="s">
        <v>3273</v>
      </c>
      <c r="C12" s="161">
        <v>6952</v>
      </c>
      <c r="D12" s="161">
        <v>5794</v>
      </c>
      <c r="E12" s="161">
        <v>4903</v>
      </c>
      <c r="F12" s="161"/>
      <c r="G12" s="161"/>
      <c r="H12" s="161"/>
      <c r="I12" s="161"/>
      <c r="J12" s="161"/>
      <c r="K12" s="161"/>
      <c r="L12" s="161"/>
      <c r="M12" s="161"/>
      <c r="N12" s="161"/>
      <c r="O12" s="161">
        <f>SUM(C12:N12)</f>
      </c>
    </row>
    <row x14ac:dyDescent="0.25" r="13" customHeight="1" ht="18.75">
      <c r="A13" s="162"/>
      <c r="B13" s="160" t="s">
        <v>3270</v>
      </c>
      <c r="C13" s="161">
        <v>6133</v>
      </c>
      <c r="D13" s="161">
        <v>6133</v>
      </c>
      <c r="E13" s="161">
        <v>6133</v>
      </c>
      <c r="F13" s="161">
        <v>6133</v>
      </c>
      <c r="G13" s="161">
        <v>6133</v>
      </c>
      <c r="H13" s="161">
        <v>6133</v>
      </c>
      <c r="I13" s="161">
        <v>6133</v>
      </c>
      <c r="J13" s="161">
        <v>6133</v>
      </c>
      <c r="K13" s="161">
        <v>6133</v>
      </c>
      <c r="L13" s="161">
        <v>6133</v>
      </c>
      <c r="M13" s="161">
        <v>6133</v>
      </c>
      <c r="N13" s="161">
        <v>6133</v>
      </c>
      <c r="O13" s="161">
        <f>SUM(C13:N13)</f>
      </c>
    </row>
    <row x14ac:dyDescent="0.25" r="14" customHeight="1" ht="18.75">
      <c r="A14" s="162"/>
      <c r="B14" s="163" t="s">
        <v>3274</v>
      </c>
      <c r="C14" s="164">
        <v>187915</v>
      </c>
      <c r="D14" s="164">
        <v>180404</v>
      </c>
      <c r="E14" s="164">
        <v>177408</v>
      </c>
      <c r="F14" s="164"/>
      <c r="G14" s="164"/>
      <c r="H14" s="164"/>
      <c r="I14" s="164"/>
      <c r="J14" s="164"/>
      <c r="K14" s="164"/>
      <c r="L14" s="164"/>
      <c r="M14" s="164"/>
      <c r="N14" s="164"/>
      <c r="O14" s="164">
        <f>SUM(C14:N14)</f>
      </c>
    </row>
    <row x14ac:dyDescent="0.25" r="15" customHeight="1" ht="18.75">
      <c r="A15" s="162"/>
      <c r="B15" s="163" t="s">
        <v>3270</v>
      </c>
      <c r="C15" s="164">
        <v>158145</v>
      </c>
      <c r="D15" s="164">
        <v>158145</v>
      </c>
      <c r="E15" s="164">
        <v>158145</v>
      </c>
      <c r="F15" s="164">
        <v>158145</v>
      </c>
      <c r="G15" s="164">
        <v>158145</v>
      </c>
      <c r="H15" s="164">
        <v>158145</v>
      </c>
      <c r="I15" s="164">
        <v>158145</v>
      </c>
      <c r="J15" s="164">
        <v>158145</v>
      </c>
      <c r="K15" s="164">
        <v>158145</v>
      </c>
      <c r="L15" s="164">
        <v>158145</v>
      </c>
      <c r="M15" s="164">
        <v>158145</v>
      </c>
      <c r="N15" s="164">
        <v>158145</v>
      </c>
      <c r="O15" s="164">
        <f>SUM(C15:N15)</f>
      </c>
    </row>
    <row x14ac:dyDescent="0.25" r="16" customHeight="1" ht="18.75">
      <c r="A16" s="162"/>
      <c r="B16" s="160" t="s">
        <v>3275</v>
      </c>
      <c r="C16" s="161">
        <v>23862</v>
      </c>
      <c r="D16" s="161">
        <v>19205</v>
      </c>
      <c r="E16" s="161">
        <v>17536</v>
      </c>
      <c r="F16" s="161"/>
      <c r="G16" s="161"/>
      <c r="H16" s="161"/>
      <c r="I16" s="161"/>
      <c r="J16" s="161"/>
      <c r="K16" s="161"/>
      <c r="L16" s="161"/>
      <c r="M16" s="161"/>
      <c r="N16" s="161"/>
      <c r="O16" s="161">
        <f>SUM(C16:N16)</f>
      </c>
    </row>
    <row x14ac:dyDescent="0.25" r="17" customHeight="1" ht="18.75">
      <c r="A17" s="162"/>
      <c r="B17" s="160" t="s">
        <v>3270</v>
      </c>
      <c r="C17" s="161">
        <v>14621</v>
      </c>
      <c r="D17" s="161">
        <v>14621</v>
      </c>
      <c r="E17" s="161">
        <v>14621</v>
      </c>
      <c r="F17" s="161">
        <v>14621</v>
      </c>
      <c r="G17" s="161">
        <v>14621</v>
      </c>
      <c r="H17" s="161">
        <v>14621</v>
      </c>
      <c r="I17" s="161">
        <v>14621</v>
      </c>
      <c r="J17" s="161">
        <v>14621</v>
      </c>
      <c r="K17" s="161">
        <v>14621</v>
      </c>
      <c r="L17" s="161">
        <v>14621</v>
      </c>
      <c r="M17" s="161">
        <v>14621</v>
      </c>
      <c r="N17" s="161">
        <v>14621</v>
      </c>
      <c r="O17" s="161">
        <f>SUM(C17:N17)</f>
      </c>
    </row>
    <row x14ac:dyDescent="0.25" r="18" customHeight="1" ht="18.75">
      <c r="A18" s="162"/>
      <c r="B18" s="163" t="s">
        <v>3276</v>
      </c>
      <c r="C18" s="164">
        <f>C4+C6+C8+C10+C12+C14+C16+1252</f>
      </c>
      <c r="D18" s="164">
        <f>D4+D6+D8+D10+D12+D14+D16</f>
      </c>
      <c r="E18" s="164">
        <f>E4+E6+E8+E10+E12+E14+E16</f>
      </c>
      <c r="F18" s="164">
        <f>F4+F6+F8+F10+F12+F14+F16</f>
      </c>
      <c r="G18" s="164">
        <f>G4+G6+G8+G10+G12+G14+G16</f>
      </c>
      <c r="H18" s="164">
        <f>H4+H6+H8+H10+H12+H14+H16</f>
      </c>
      <c r="I18" s="164">
        <f>I4+I6+I8+I10+I12+I14+I16</f>
      </c>
      <c r="J18" s="164">
        <f>J4+J6+J8+J10+J12+J14+J16</f>
      </c>
      <c r="K18" s="164">
        <f>K4+K6+K8+K10+K12+K14+K16</f>
      </c>
      <c r="L18" s="164">
        <f>L4+L6+L8+L10+L12+L14+L16</f>
      </c>
      <c r="M18" s="164">
        <f>M4+M6+M8+M10+M12+M14+M16</f>
      </c>
      <c r="N18" s="164">
        <f>N4+N6+N8+N10+N12+N14+N16</f>
      </c>
      <c r="O18" s="164">
        <f>SUM(C18:N18)</f>
      </c>
    </row>
  </sheetData>
  <mergeCells count="3">
    <mergeCell ref="A1:O1"/>
    <mergeCell ref="A3:B3"/>
    <mergeCell ref="A4:A1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Z933"/>
  <sheetViews>
    <sheetView workbookViewId="0"/>
  </sheetViews>
  <sheetFormatPr defaultRowHeight="15" x14ac:dyDescent="0.25"/>
  <cols>
    <col min="1" max="1" style="80" width="32.29071428571429" customWidth="1" bestFit="1"/>
    <col min="2" max="2" style="80" width="56.71928571428572" customWidth="1" bestFit="1"/>
    <col min="3" max="3" style="62" width="15.290714285714287" customWidth="1" bestFit="1"/>
    <col min="4" max="4" style="62" width="15.290714285714287" customWidth="1" bestFit="1"/>
    <col min="5" max="5" style="62" width="15.290714285714287" customWidth="1" bestFit="1"/>
    <col min="6" max="6" style="62" width="15.290714285714287" customWidth="1" bestFit="1"/>
    <col min="7" max="7" style="62" width="15.290714285714287" customWidth="1" bestFit="1"/>
    <col min="8" max="8" style="62" width="15.290714285714287" customWidth="1" bestFit="1"/>
    <col min="9" max="9" style="62" width="15.290714285714287" customWidth="1" bestFit="1"/>
    <col min="10" max="10" style="62" width="15.290714285714287" customWidth="1" bestFit="1"/>
    <col min="11" max="11" style="62" width="15.290714285714287" customWidth="1" bestFit="1"/>
    <col min="12" max="12" style="62" width="15.290714285714287" customWidth="1" bestFit="1"/>
    <col min="13" max="13" style="62" width="15.290714285714287" customWidth="1" bestFit="1"/>
    <col min="14" max="14" style="62" width="15.290714285714287" customWidth="1" bestFit="1"/>
    <col min="15" max="15" style="62" width="21.290714285714284" customWidth="1" bestFit="1"/>
    <col min="16" max="16" style="61" width="9.290714285714287" customWidth="1" bestFit="1"/>
    <col min="17" max="17" style="61" width="8.862142857142858" customWidth="1" bestFit="1"/>
    <col min="18" max="18" style="61" width="8.862142857142858" customWidth="1" bestFit="1"/>
    <col min="19" max="19" style="61" width="8.862142857142858" customWidth="1" bestFit="1"/>
    <col min="20" max="20" style="61" width="8.862142857142858" customWidth="1" bestFit="1"/>
    <col min="21" max="21" style="61" width="8.862142857142858" customWidth="1" bestFit="1"/>
    <col min="22" max="22" style="61" width="8.862142857142858" customWidth="1" bestFit="1"/>
    <col min="23" max="23" style="61" width="8.862142857142858" customWidth="1" bestFit="1"/>
    <col min="24" max="24" style="61" width="8.862142857142858" customWidth="1" bestFit="1"/>
    <col min="25" max="25" style="61" width="8.862142857142858" customWidth="1" bestFit="1"/>
    <col min="26" max="26" style="61" width="8.862142857142858" customWidth="1" bestFit="1"/>
  </cols>
  <sheetData>
    <row x14ac:dyDescent="0.25" r="1" customHeight="1" ht="61.5">
      <c r="A1" s="109"/>
      <c r="B1" s="110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</row>
    <row x14ac:dyDescent="0.25" r="2" customHeight="1" ht="18.75">
      <c r="A2" s="114" t="s">
        <v>3266</v>
      </c>
      <c r="B2" s="114"/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</row>
    <row x14ac:dyDescent="0.25" r="3" customHeight="1" ht="18.75">
      <c r="A3" s="114"/>
      <c r="B3" s="117"/>
      <c r="C3" s="115" t="s">
        <v>3127</v>
      </c>
      <c r="D3" s="115" t="s">
        <v>3128</v>
      </c>
      <c r="E3" s="115" t="s">
        <v>3129</v>
      </c>
      <c r="F3" s="115" t="s">
        <v>3130</v>
      </c>
      <c r="G3" s="115" t="s">
        <v>3131</v>
      </c>
      <c r="H3" s="115" t="s">
        <v>3132</v>
      </c>
      <c r="I3" s="115" t="s">
        <v>3133</v>
      </c>
      <c r="J3" s="115" t="s">
        <v>3134</v>
      </c>
      <c r="K3" s="115" t="s">
        <v>3135</v>
      </c>
      <c r="L3" s="115" t="s">
        <v>3136</v>
      </c>
      <c r="M3" s="115" t="s">
        <v>3137</v>
      </c>
      <c r="N3" s="115" t="s">
        <v>3138</v>
      </c>
      <c r="O3" s="115" t="s">
        <v>3139</v>
      </c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</row>
    <row x14ac:dyDescent="0.25" r="4" customHeight="1" ht="18.75">
      <c r="A4" s="126" t="s">
        <v>3230</v>
      </c>
      <c r="B4" s="117"/>
      <c r="C4" s="127">
        <v>12302</v>
      </c>
      <c r="D4" s="127">
        <v>12413</v>
      </c>
      <c r="E4" s="127">
        <v>12525</v>
      </c>
      <c r="F4" s="127">
        <v>0</v>
      </c>
      <c r="G4" s="127">
        <v>0</v>
      </c>
      <c r="H4" s="127">
        <v>0</v>
      </c>
      <c r="I4" s="127">
        <v>0</v>
      </c>
      <c r="J4" s="127">
        <v>0</v>
      </c>
      <c r="K4" s="127">
        <v>0</v>
      </c>
      <c r="L4" s="127">
        <v>0</v>
      </c>
      <c r="M4" s="127">
        <v>0</v>
      </c>
      <c r="N4" s="127">
        <v>0</v>
      </c>
      <c r="O4" s="120">
        <f>SUM(C4:N4)</f>
      </c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</row>
    <row x14ac:dyDescent="0.25" r="5" customHeight="1" ht="18.75">
      <c r="A5" s="126" t="s">
        <v>3208</v>
      </c>
      <c r="B5" s="126"/>
      <c r="C5" s="127">
        <f>C4/31</f>
      </c>
      <c r="D5" s="127">
        <f>D4/30</f>
      </c>
      <c r="E5" s="127">
        <f>E4/31</f>
      </c>
      <c r="F5" s="127">
        <f>F4/30</f>
      </c>
      <c r="G5" s="127">
        <f>G4/31</f>
      </c>
      <c r="H5" s="127">
        <f>H4/31</f>
      </c>
      <c r="I5" s="127">
        <f>I4/30</f>
      </c>
      <c r="J5" s="127">
        <f>J4/31</f>
      </c>
      <c r="K5" s="127">
        <f>K4/30</f>
      </c>
      <c r="L5" s="127">
        <f>L4/31</f>
      </c>
      <c r="M5" s="127">
        <f>M4/31</f>
      </c>
      <c r="N5" s="127">
        <f>N4/28</f>
      </c>
      <c r="O5" s="120">
        <f>AVERAGE(C5:N5)</f>
      </c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</row>
    <row x14ac:dyDescent="0.25" r="6" customHeight="1" ht="10.5">
      <c r="A6" s="128"/>
      <c r="B6" s="128"/>
      <c r="C6" s="124"/>
      <c r="D6" s="124"/>
      <c r="E6" s="124"/>
      <c r="F6" s="124"/>
      <c r="G6" s="124"/>
      <c r="H6" s="124"/>
      <c r="I6" s="124"/>
      <c r="J6" s="124"/>
      <c r="K6" s="124"/>
      <c r="L6" s="124"/>
      <c r="M6" s="124"/>
      <c r="N6" s="124"/>
      <c r="O6" s="129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</row>
    <row x14ac:dyDescent="0.25" r="7" customHeight="1" ht="18.75">
      <c r="A7" s="114"/>
      <c r="B7" s="117"/>
      <c r="C7" s="115" t="s">
        <v>3127</v>
      </c>
      <c r="D7" s="115" t="s">
        <v>3128</v>
      </c>
      <c r="E7" s="115" t="s">
        <v>3129</v>
      </c>
      <c r="F7" s="115" t="s">
        <v>3130</v>
      </c>
      <c r="G7" s="115" t="s">
        <v>3131</v>
      </c>
      <c r="H7" s="115" t="s">
        <v>3132</v>
      </c>
      <c r="I7" s="115" t="s">
        <v>3133</v>
      </c>
      <c r="J7" s="115" t="s">
        <v>3134</v>
      </c>
      <c r="K7" s="115" t="s">
        <v>3135</v>
      </c>
      <c r="L7" s="115" t="s">
        <v>3136</v>
      </c>
      <c r="M7" s="115" t="s">
        <v>3137</v>
      </c>
      <c r="N7" s="115" t="s">
        <v>3138</v>
      </c>
      <c r="O7" s="115" t="s">
        <v>3139</v>
      </c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</row>
    <row x14ac:dyDescent="0.25" r="8" customHeight="1" ht="18.75">
      <c r="A8" s="126" t="s">
        <v>3231</v>
      </c>
      <c r="B8" s="117"/>
      <c r="C8" s="127">
        <v>11519</v>
      </c>
      <c r="D8" s="127">
        <v>11655</v>
      </c>
      <c r="E8" s="127">
        <v>11825</v>
      </c>
      <c r="F8" s="127">
        <v>0</v>
      </c>
      <c r="G8" s="127">
        <v>0</v>
      </c>
      <c r="H8" s="127">
        <v>0</v>
      </c>
      <c r="I8" s="127">
        <v>0</v>
      </c>
      <c r="J8" s="127">
        <v>0</v>
      </c>
      <c r="K8" s="127">
        <v>0</v>
      </c>
      <c r="L8" s="127">
        <v>0</v>
      </c>
      <c r="M8" s="127">
        <v>0</v>
      </c>
      <c r="N8" s="127">
        <v>0</v>
      </c>
      <c r="O8" s="120">
        <f>SUM(C8:N8)</f>
      </c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</row>
    <row x14ac:dyDescent="0.25" r="9" customHeight="1" ht="18.75">
      <c r="A9" s="131" t="s">
        <v>3167</v>
      </c>
      <c r="B9" s="117"/>
      <c r="C9" s="132">
        <v>8000</v>
      </c>
      <c r="D9" s="132">
        <v>8000</v>
      </c>
      <c r="E9" s="132">
        <v>8000</v>
      </c>
      <c r="F9" s="132">
        <v>8000</v>
      </c>
      <c r="G9" s="132">
        <v>8000</v>
      </c>
      <c r="H9" s="132">
        <v>8000</v>
      </c>
      <c r="I9" s="132">
        <v>8000</v>
      </c>
      <c r="J9" s="132">
        <v>8000</v>
      </c>
      <c r="K9" s="132">
        <v>8000</v>
      </c>
      <c r="L9" s="132">
        <v>8000</v>
      </c>
      <c r="M9" s="132">
        <v>8000</v>
      </c>
      <c r="N9" s="132">
        <v>8000</v>
      </c>
      <c r="O9" s="133">
        <f>SUM(C9:N9)</f>
      </c>
      <c r="P9" s="134"/>
      <c r="Q9" s="132"/>
      <c r="R9" s="134"/>
      <c r="S9" s="134"/>
      <c r="T9" s="134"/>
      <c r="U9" s="134"/>
      <c r="V9" s="134"/>
      <c r="W9" s="134"/>
      <c r="X9" s="134"/>
      <c r="Y9" s="134"/>
      <c r="Z9" s="134"/>
    </row>
    <row x14ac:dyDescent="0.25" r="10" customHeight="1" ht="10.5">
      <c r="A10" s="128"/>
      <c r="B10" s="128"/>
      <c r="C10" s="124"/>
      <c r="D10" s="124"/>
      <c r="E10" s="124"/>
      <c r="F10" s="124"/>
      <c r="G10" s="124"/>
      <c r="H10" s="124"/>
      <c r="I10" s="124"/>
      <c r="J10" s="124"/>
      <c r="K10" s="124"/>
      <c r="L10" s="124"/>
      <c r="M10" s="124"/>
      <c r="N10" s="124"/>
      <c r="O10" s="135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</row>
    <row x14ac:dyDescent="0.25" r="11" customHeight="1" ht="18.75">
      <c r="A11" s="114"/>
      <c r="B11" s="117"/>
      <c r="C11" s="115" t="s">
        <v>3127</v>
      </c>
      <c r="D11" s="115" t="s">
        <v>3128</v>
      </c>
      <c r="E11" s="115" t="s">
        <v>3129</v>
      </c>
      <c r="F11" s="115" t="s">
        <v>3130</v>
      </c>
      <c r="G11" s="115" t="s">
        <v>3131</v>
      </c>
      <c r="H11" s="115" t="s">
        <v>3132</v>
      </c>
      <c r="I11" s="115" t="s">
        <v>3133</v>
      </c>
      <c r="J11" s="115" t="s">
        <v>3134</v>
      </c>
      <c r="K11" s="115" t="s">
        <v>3135</v>
      </c>
      <c r="L11" s="115" t="s">
        <v>3136</v>
      </c>
      <c r="M11" s="115" t="s">
        <v>3137</v>
      </c>
      <c r="N11" s="115" t="s">
        <v>3138</v>
      </c>
      <c r="O11" s="115" t="s">
        <v>3139</v>
      </c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</row>
    <row x14ac:dyDescent="0.25" r="12" customHeight="1" ht="18.75">
      <c r="A12" s="130" t="s">
        <v>3232</v>
      </c>
      <c r="B12" s="136" t="s">
        <v>3233</v>
      </c>
      <c r="C12" s="127">
        <v>570</v>
      </c>
      <c r="D12" s="127">
        <v>596</v>
      </c>
      <c r="E12" s="127">
        <v>544</v>
      </c>
      <c r="F12" s="127">
        <v>0</v>
      </c>
      <c r="G12" s="127">
        <v>0</v>
      </c>
      <c r="H12" s="127">
        <v>0</v>
      </c>
      <c r="I12" s="127">
        <v>0</v>
      </c>
      <c r="J12" s="127">
        <v>0</v>
      </c>
      <c r="K12" s="127">
        <v>0</v>
      </c>
      <c r="L12" s="127">
        <v>0</v>
      </c>
      <c r="M12" s="127">
        <v>0</v>
      </c>
      <c r="N12" s="127">
        <v>0</v>
      </c>
      <c r="O12" s="120">
        <f>SUM(C12:N12)</f>
      </c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</row>
    <row x14ac:dyDescent="0.25" r="13" customHeight="1" ht="18.75">
      <c r="A13" s="117"/>
      <c r="B13" s="137" t="s">
        <v>3234</v>
      </c>
      <c r="C13" s="127">
        <v>8001</v>
      </c>
      <c r="D13" s="127">
        <v>8050</v>
      </c>
      <c r="E13" s="127">
        <v>8013</v>
      </c>
      <c r="F13" s="127">
        <v>0</v>
      </c>
      <c r="G13" s="127">
        <v>0</v>
      </c>
      <c r="H13" s="127">
        <v>0</v>
      </c>
      <c r="I13" s="127">
        <v>0</v>
      </c>
      <c r="J13" s="127">
        <v>0</v>
      </c>
      <c r="K13" s="127">
        <v>0</v>
      </c>
      <c r="L13" s="127">
        <v>0</v>
      </c>
      <c r="M13" s="127">
        <v>0</v>
      </c>
      <c r="N13" s="127">
        <v>0</v>
      </c>
      <c r="O13" s="120">
        <f>SUM(C13:N13)</f>
      </c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</row>
    <row x14ac:dyDescent="0.25" r="14" customHeight="1" ht="18.75">
      <c r="A14" s="117"/>
      <c r="B14" s="131" t="s">
        <v>3235</v>
      </c>
      <c r="C14" s="127">
        <v>2700</v>
      </c>
      <c r="D14" s="127">
        <v>2809</v>
      </c>
      <c r="E14" s="127">
        <v>2931</v>
      </c>
      <c r="F14" s="127">
        <v>0</v>
      </c>
      <c r="G14" s="127">
        <v>0</v>
      </c>
      <c r="H14" s="127">
        <v>0</v>
      </c>
      <c r="I14" s="127">
        <v>0</v>
      </c>
      <c r="J14" s="127">
        <v>0</v>
      </c>
      <c r="K14" s="127">
        <v>0</v>
      </c>
      <c r="L14" s="127">
        <v>0</v>
      </c>
      <c r="M14" s="127">
        <v>0</v>
      </c>
      <c r="N14" s="127">
        <v>0</v>
      </c>
      <c r="O14" s="120">
        <f>SUM(C14:N14)</f>
      </c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</row>
    <row x14ac:dyDescent="0.25" r="15" customHeight="1" ht="18.75">
      <c r="A15" s="117"/>
      <c r="B15" s="138" t="s">
        <v>3236</v>
      </c>
      <c r="C15" s="127">
        <v>355</v>
      </c>
      <c r="D15" s="127">
        <v>322</v>
      </c>
      <c r="E15" s="127">
        <v>328</v>
      </c>
      <c r="F15" s="127">
        <v>0</v>
      </c>
      <c r="G15" s="127">
        <v>0</v>
      </c>
      <c r="H15" s="127">
        <v>0</v>
      </c>
      <c r="I15" s="127">
        <v>0</v>
      </c>
      <c r="J15" s="127">
        <v>0</v>
      </c>
      <c r="K15" s="127">
        <v>0</v>
      </c>
      <c r="L15" s="127">
        <v>0</v>
      </c>
      <c r="M15" s="127">
        <v>0</v>
      </c>
      <c r="N15" s="127">
        <v>0</v>
      </c>
      <c r="O15" s="120">
        <f>SUM(C15:N15)</f>
      </c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</row>
    <row x14ac:dyDescent="0.25" r="16" customHeight="1" ht="18.75">
      <c r="A16" s="117"/>
      <c r="B16" s="139" t="s">
        <v>3237</v>
      </c>
      <c r="C16" s="127">
        <v>12</v>
      </c>
      <c r="D16" s="127">
        <v>20</v>
      </c>
      <c r="E16" s="127">
        <v>10</v>
      </c>
      <c r="F16" s="127">
        <v>0</v>
      </c>
      <c r="G16" s="127">
        <v>0</v>
      </c>
      <c r="H16" s="127">
        <v>0</v>
      </c>
      <c r="I16" s="127">
        <v>0</v>
      </c>
      <c r="J16" s="127">
        <v>0</v>
      </c>
      <c r="K16" s="127">
        <v>0</v>
      </c>
      <c r="L16" s="127">
        <v>0</v>
      </c>
      <c r="M16" s="127">
        <v>0</v>
      </c>
      <c r="N16" s="127">
        <v>0</v>
      </c>
      <c r="O16" s="120">
        <f>SUM(C16:N16)</f>
      </c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</row>
    <row x14ac:dyDescent="0.25" r="17" customHeight="1" ht="18.75">
      <c r="A17" s="117"/>
      <c r="B17" s="140" t="s">
        <v>3238</v>
      </c>
      <c r="C17" s="127">
        <v>664</v>
      </c>
      <c r="D17" s="127">
        <v>616</v>
      </c>
      <c r="E17" s="127">
        <v>146</v>
      </c>
      <c r="F17" s="127">
        <v>0</v>
      </c>
      <c r="G17" s="127">
        <v>0</v>
      </c>
      <c r="H17" s="127">
        <v>0</v>
      </c>
      <c r="I17" s="127">
        <v>0</v>
      </c>
      <c r="J17" s="127">
        <v>0</v>
      </c>
      <c r="K17" s="127">
        <v>0</v>
      </c>
      <c r="L17" s="127">
        <v>0</v>
      </c>
      <c r="M17" s="127">
        <v>0</v>
      </c>
      <c r="N17" s="127">
        <v>0</v>
      </c>
      <c r="O17" s="120">
        <f>SUM(C17:N17)</f>
      </c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</row>
    <row x14ac:dyDescent="0.25" r="18" customHeight="1" ht="18.75">
      <c r="A18" s="117"/>
      <c r="B18" s="141" t="s">
        <v>3239</v>
      </c>
      <c r="C18" s="120">
        <f>SUM(C12:C17)</f>
      </c>
      <c r="D18" s="120">
        <f>SUM(D12:D17)</f>
      </c>
      <c r="E18" s="120">
        <f>SUM(E12:E17)</f>
      </c>
      <c r="F18" s="120">
        <f>SUM(F12:F17)</f>
      </c>
      <c r="G18" s="120">
        <f>SUM(G12:G17)</f>
      </c>
      <c r="H18" s="120">
        <f>SUM(H12:H17)</f>
      </c>
      <c r="I18" s="120">
        <f>SUM(I12:I17)</f>
      </c>
      <c r="J18" s="120">
        <f>SUM(J12:J17)</f>
      </c>
      <c r="K18" s="120">
        <f>SUM(K12:K17)</f>
      </c>
      <c r="L18" s="120">
        <f>SUM(L12:L17)</f>
      </c>
      <c r="M18" s="120">
        <f>SUM(M12:M17)</f>
      </c>
      <c r="N18" s="120">
        <f>SUM(N12:N17)</f>
      </c>
      <c r="O18" s="120">
        <f>SUM(C18:N18)</f>
      </c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</row>
    <row x14ac:dyDescent="0.25" r="19" customHeight="1" ht="10.5">
      <c r="A19" s="128"/>
      <c r="B19" s="128"/>
      <c r="C19" s="124"/>
      <c r="D19" s="124"/>
      <c r="E19" s="124"/>
      <c r="F19" s="124"/>
      <c r="G19" s="124"/>
      <c r="H19" s="124"/>
      <c r="I19" s="124"/>
      <c r="J19" s="124"/>
      <c r="K19" s="124"/>
      <c r="L19" s="124"/>
      <c r="M19" s="124"/>
      <c r="N19" s="124"/>
      <c r="O19" s="129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</row>
    <row x14ac:dyDescent="0.25" r="20" customHeight="1" ht="14.25">
      <c r="A20" s="130" t="s">
        <v>3240</v>
      </c>
      <c r="B20" s="126" t="s">
        <v>3233</v>
      </c>
      <c r="C20" s="143">
        <f>C12/C18</f>
      </c>
      <c r="D20" s="143">
        <f>D12/D18</f>
      </c>
      <c r="E20" s="143">
        <f>E12/E18</f>
      </c>
      <c r="F20" s="127">
        <f>F12/F18</f>
      </c>
      <c r="G20" s="127">
        <f>G12/G18</f>
      </c>
      <c r="H20" s="127">
        <f>H12/H18</f>
      </c>
      <c r="I20" s="127">
        <f>I12/I18</f>
      </c>
      <c r="J20" s="127">
        <f>J12/J18</f>
      </c>
      <c r="K20" s="127">
        <f>K12/K18</f>
      </c>
      <c r="L20" s="127">
        <f>L12/L18</f>
      </c>
      <c r="M20" s="127">
        <f>M12/M18</f>
      </c>
      <c r="N20" s="127">
        <f>N12/N18</f>
      </c>
      <c r="O20" s="120">
        <f>AVERAGE(C20:N20)</f>
      </c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</row>
    <row x14ac:dyDescent="0.25" r="21" customHeight="1" ht="15.75">
      <c r="A21" s="117"/>
      <c r="B21" s="126" t="s">
        <v>3234</v>
      </c>
      <c r="C21" s="143">
        <f>C13/C18</f>
      </c>
      <c r="D21" s="143">
        <f>D13/D18</f>
      </c>
      <c r="E21" s="143">
        <f>E13/E18</f>
      </c>
      <c r="F21" s="127">
        <f>F13/F18</f>
      </c>
      <c r="G21" s="127">
        <f>G13/G18</f>
      </c>
      <c r="H21" s="127">
        <f>H13/H18</f>
      </c>
      <c r="I21" s="127">
        <f>I13/I18</f>
      </c>
      <c r="J21" s="127">
        <f>J13/J18</f>
      </c>
      <c r="K21" s="127">
        <f>K13/K18</f>
      </c>
      <c r="L21" s="127">
        <f>L13/L18</f>
      </c>
      <c r="M21" s="127">
        <f>M13/M18</f>
      </c>
      <c r="N21" s="127">
        <f>N13/N18</f>
      </c>
      <c r="O21" s="120">
        <f>AVERAGE(C21:N21)</f>
      </c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</row>
    <row x14ac:dyDescent="0.25" r="22" customHeight="1" ht="15.75">
      <c r="A22" s="117"/>
      <c r="B22" s="126" t="s">
        <v>3235</v>
      </c>
      <c r="C22" s="143">
        <f>C14/C18</f>
      </c>
      <c r="D22" s="143">
        <f>D14/D18</f>
      </c>
      <c r="E22" s="143">
        <f>E14/E18</f>
      </c>
      <c r="F22" s="127">
        <f>F14/F18</f>
      </c>
      <c r="G22" s="127">
        <f>G14/G18</f>
      </c>
      <c r="H22" s="127">
        <f>H14/H18</f>
      </c>
      <c r="I22" s="127">
        <f>I14/I18</f>
      </c>
      <c r="J22" s="127">
        <f>J14/J18</f>
      </c>
      <c r="K22" s="127">
        <f>K14/K18</f>
      </c>
      <c r="L22" s="127">
        <f>L14/L18</f>
      </c>
      <c r="M22" s="127">
        <f>M14/M18</f>
      </c>
      <c r="N22" s="127">
        <f>N14/N18</f>
      </c>
      <c r="O22" s="120">
        <f>AVERAGE(C22:N22)</f>
      </c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</row>
    <row x14ac:dyDescent="0.25" r="23" customHeight="1" ht="15.75">
      <c r="A23" s="117"/>
      <c r="B23" s="126" t="s">
        <v>3236</v>
      </c>
      <c r="C23" s="143">
        <f>C15/C18</f>
      </c>
      <c r="D23" s="143">
        <f>D15/D18</f>
      </c>
      <c r="E23" s="143">
        <f>E15/E18</f>
      </c>
      <c r="F23" s="127">
        <f>F15/F18</f>
      </c>
      <c r="G23" s="127">
        <f>G15/G18</f>
      </c>
      <c r="H23" s="127">
        <f>H15/H18</f>
      </c>
      <c r="I23" s="127">
        <f>I15/I18</f>
      </c>
      <c r="J23" s="127">
        <f>J15/J18</f>
      </c>
      <c r="K23" s="127">
        <f>K15/K18</f>
      </c>
      <c r="L23" s="127">
        <f>L15/L18</f>
      </c>
      <c r="M23" s="127">
        <f>M15/M18</f>
      </c>
      <c r="N23" s="127">
        <f>N15/N18</f>
      </c>
      <c r="O23" s="120">
        <f>AVERAGE(C23:N23)</f>
      </c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</row>
    <row x14ac:dyDescent="0.25" r="24" customHeight="1" ht="15.75">
      <c r="A24" s="117"/>
      <c r="B24" s="126" t="s">
        <v>3237</v>
      </c>
      <c r="C24" s="143">
        <f>C16/C18</f>
      </c>
      <c r="D24" s="143">
        <f>D16/D18</f>
      </c>
      <c r="E24" s="143">
        <f>E16/E18</f>
      </c>
      <c r="F24" s="127">
        <f>F16/F18</f>
      </c>
      <c r="G24" s="127">
        <f>G16/G18</f>
      </c>
      <c r="H24" s="127">
        <f>H16/H18</f>
      </c>
      <c r="I24" s="127">
        <f>I16/I18</f>
      </c>
      <c r="J24" s="127">
        <f>J16/J18</f>
      </c>
      <c r="K24" s="127">
        <f>K16/K18</f>
      </c>
      <c r="L24" s="127">
        <f>L16/L18</f>
      </c>
      <c r="M24" s="127">
        <f>M16/M18</f>
      </c>
      <c r="N24" s="127">
        <f>N16/N18</f>
      </c>
      <c r="O24" s="120">
        <f>AVERAGE(C24:N24)</f>
      </c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</row>
    <row x14ac:dyDescent="0.25" r="25" customHeight="1" ht="15.75">
      <c r="A25" s="117"/>
      <c r="B25" s="126" t="s">
        <v>3241</v>
      </c>
      <c r="C25" s="143">
        <f>C17/C18</f>
      </c>
      <c r="D25" s="143">
        <f>D17/D18</f>
      </c>
      <c r="E25" s="143">
        <f>E17/E18</f>
      </c>
      <c r="F25" s="127">
        <f>F17/F18</f>
      </c>
      <c r="G25" s="127">
        <f>G17/G18</f>
      </c>
      <c r="H25" s="127">
        <f>H17/H18</f>
      </c>
      <c r="I25" s="127">
        <f>I17/I18</f>
      </c>
      <c r="J25" s="127">
        <f>J17/J18</f>
      </c>
      <c r="K25" s="127">
        <f>K17/K18</f>
      </c>
      <c r="L25" s="127">
        <f>L17/L18</f>
      </c>
      <c r="M25" s="127">
        <f>M17/M18</f>
      </c>
      <c r="N25" s="127">
        <f>N17/N18</f>
      </c>
      <c r="O25" s="120">
        <f>AVERAGE(C25:N25)</f>
      </c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</row>
    <row x14ac:dyDescent="0.25" r="26" customHeight="1" ht="10.5">
      <c r="A26" s="128"/>
      <c r="B26" s="128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9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</row>
    <row x14ac:dyDescent="0.25" r="27" customHeight="1" ht="15.75">
      <c r="A27" s="114"/>
      <c r="B27" s="117"/>
      <c r="C27" s="115" t="s">
        <v>3127</v>
      </c>
      <c r="D27" s="115" t="s">
        <v>3128</v>
      </c>
      <c r="E27" s="115" t="s">
        <v>3129</v>
      </c>
      <c r="F27" s="115" t="s">
        <v>3130</v>
      </c>
      <c r="G27" s="115" t="s">
        <v>3131</v>
      </c>
      <c r="H27" s="115" t="s">
        <v>3132</v>
      </c>
      <c r="I27" s="115" t="s">
        <v>3133</v>
      </c>
      <c r="J27" s="115" t="s">
        <v>3134</v>
      </c>
      <c r="K27" s="115" t="s">
        <v>3135</v>
      </c>
      <c r="L27" s="115" t="s">
        <v>3136</v>
      </c>
      <c r="M27" s="115" t="s">
        <v>3137</v>
      </c>
      <c r="N27" s="115" t="s">
        <v>3138</v>
      </c>
      <c r="O27" s="115" t="s">
        <v>3139</v>
      </c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</row>
    <row x14ac:dyDescent="0.25" r="28" customHeight="1" ht="39">
      <c r="A28" s="126" t="s">
        <v>3242</v>
      </c>
      <c r="B28" s="126" t="s">
        <v>3243</v>
      </c>
      <c r="C28" s="144">
        <v>1.0098032407407407</v>
      </c>
      <c r="D28" s="145">
        <v>1.0078703703703704</v>
      </c>
      <c r="E28" s="145">
        <v>1.0078703703703704</v>
      </c>
      <c r="F28" s="145"/>
      <c r="G28" s="145"/>
      <c r="H28" s="145"/>
      <c r="I28" s="145"/>
      <c r="J28" s="145"/>
      <c r="K28" s="145"/>
      <c r="L28" s="145"/>
      <c r="M28" s="145"/>
      <c r="N28" s="145"/>
      <c r="O28" s="144">
        <f>AVERAGE(C28:N28)</f>
        <v>25568.875</v>
      </c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</row>
    <row x14ac:dyDescent="0.25" r="29" customHeight="1" ht="13.5">
      <c r="A29" s="131" t="s">
        <v>3167</v>
      </c>
      <c r="B29" s="131"/>
      <c r="C29" s="146">
        <v>1.0072685185185186</v>
      </c>
      <c r="D29" s="146">
        <v>1.0072685185185186</v>
      </c>
      <c r="E29" s="146">
        <v>1.0072685185185186</v>
      </c>
      <c r="F29" s="146">
        <v>1.0072685185185186</v>
      </c>
      <c r="G29" s="146">
        <v>1.0072685185185186</v>
      </c>
      <c r="H29" s="146">
        <v>1.0072685185185186</v>
      </c>
      <c r="I29" s="146">
        <v>1.0072685185185186</v>
      </c>
      <c r="J29" s="146">
        <v>1.0072685185185186</v>
      </c>
      <c r="K29" s="146">
        <v>1.0072685185185186</v>
      </c>
      <c r="L29" s="146">
        <v>1.0072685185185186</v>
      </c>
      <c r="M29" s="146">
        <v>1.0072685185185186</v>
      </c>
      <c r="N29" s="146">
        <v>1.0072685185185186</v>
      </c>
      <c r="O29" s="147"/>
      <c r="P29" s="134"/>
      <c r="Q29" s="134"/>
      <c r="R29" s="134"/>
      <c r="S29" s="134"/>
      <c r="T29" s="134"/>
      <c r="U29" s="134"/>
      <c r="V29" s="134"/>
      <c r="W29" s="134"/>
      <c r="X29" s="134"/>
      <c r="Y29" s="134"/>
      <c r="Z29" s="134"/>
    </row>
    <row x14ac:dyDescent="0.25" r="30" customHeight="1" ht="10.5">
      <c r="A30" s="128"/>
      <c r="B30" s="128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9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</row>
    <row x14ac:dyDescent="0.25" r="31" customHeight="1" ht="15.75">
      <c r="A31" s="114"/>
      <c r="B31" s="117"/>
      <c r="C31" s="115" t="s">
        <v>3127</v>
      </c>
      <c r="D31" s="115" t="s">
        <v>3128</v>
      </c>
      <c r="E31" s="115" t="s">
        <v>3129</v>
      </c>
      <c r="F31" s="115" t="s">
        <v>3130</v>
      </c>
      <c r="G31" s="115" t="s">
        <v>3131</v>
      </c>
      <c r="H31" s="115" t="s">
        <v>3132</v>
      </c>
      <c r="I31" s="115" t="s">
        <v>3133</v>
      </c>
      <c r="J31" s="115" t="s">
        <v>3134</v>
      </c>
      <c r="K31" s="115" t="s">
        <v>3135</v>
      </c>
      <c r="L31" s="115" t="s">
        <v>3136</v>
      </c>
      <c r="M31" s="115" t="s">
        <v>3137</v>
      </c>
      <c r="N31" s="115" t="s">
        <v>3138</v>
      </c>
      <c r="O31" s="115" t="s">
        <v>3139</v>
      </c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</row>
    <row x14ac:dyDescent="0.25" r="32" customHeight="1" ht="47.25">
      <c r="A32" s="126" t="s">
        <v>3244</v>
      </c>
      <c r="B32" s="126" t="s">
        <v>3243</v>
      </c>
      <c r="C32" s="144">
        <v>1.028113425925926</v>
      </c>
      <c r="D32" s="145">
        <v>1.0237962962962963</v>
      </c>
      <c r="E32" s="145">
        <v>1.0269791666666666</v>
      </c>
      <c r="F32" s="145"/>
      <c r="G32" s="145"/>
      <c r="H32" s="145"/>
      <c r="I32" s="145"/>
      <c r="J32" s="145"/>
      <c r="K32" s="145"/>
      <c r="L32" s="145"/>
      <c r="M32" s="145"/>
      <c r="N32" s="145"/>
      <c r="O32" s="144">
        <f>AVERAGE(C32:N32)</f>
        <v>25568.875</v>
      </c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</row>
    <row x14ac:dyDescent="0.25" r="33" customHeight="1" ht="10.5">
      <c r="A33" s="128"/>
      <c r="B33" s="128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9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</row>
    <row x14ac:dyDescent="0.25" r="34" customHeight="1" ht="15.75">
      <c r="A34" s="114"/>
      <c r="B34" s="117"/>
      <c r="C34" s="115" t="s">
        <v>3127</v>
      </c>
      <c r="D34" s="115" t="s">
        <v>3128</v>
      </c>
      <c r="E34" s="115" t="s">
        <v>3129</v>
      </c>
      <c r="F34" s="115" t="s">
        <v>3130</v>
      </c>
      <c r="G34" s="115" t="s">
        <v>3131</v>
      </c>
      <c r="H34" s="115" t="s">
        <v>3132</v>
      </c>
      <c r="I34" s="115" t="s">
        <v>3133</v>
      </c>
      <c r="J34" s="115" t="s">
        <v>3134</v>
      </c>
      <c r="K34" s="115" t="s">
        <v>3135</v>
      </c>
      <c r="L34" s="115" t="s">
        <v>3136</v>
      </c>
      <c r="M34" s="115" t="s">
        <v>3137</v>
      </c>
      <c r="N34" s="115" t="s">
        <v>3138</v>
      </c>
      <c r="O34" s="115" t="s">
        <v>3139</v>
      </c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</row>
    <row x14ac:dyDescent="0.25" r="35" customHeight="1" ht="30">
      <c r="A35" s="126" t="s">
        <v>3245</v>
      </c>
      <c r="B35" s="126" t="s">
        <v>3246</v>
      </c>
      <c r="C35" s="144">
        <v>1.333599537037037</v>
      </c>
      <c r="D35" s="150">
        <v>2.0722685185185186</v>
      </c>
      <c r="E35" s="145">
        <v>2.3915277777777777</v>
      </c>
      <c r="F35" s="145"/>
      <c r="G35" s="145"/>
      <c r="H35" s="145"/>
      <c r="I35" s="145"/>
      <c r="J35" s="145"/>
      <c r="K35" s="145"/>
      <c r="L35" s="145"/>
      <c r="M35" s="145"/>
      <c r="N35" s="145"/>
      <c r="O35" s="144">
        <f>AVERAGE(C35:N35)</f>
        <v>25568.875</v>
      </c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</row>
    <row x14ac:dyDescent="0.25" r="36" customHeight="1" ht="15.75">
      <c r="A36" s="128"/>
      <c r="B36" s="128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</row>
    <row x14ac:dyDescent="0.25" r="37" customHeight="1" ht="15.75">
      <c r="A37" s="114"/>
      <c r="B37" s="117"/>
      <c r="C37" s="115" t="s">
        <v>3127</v>
      </c>
      <c r="D37" s="115" t="s">
        <v>3128</v>
      </c>
      <c r="E37" s="115" t="s">
        <v>3129</v>
      </c>
      <c r="F37" s="115" t="s">
        <v>3130</v>
      </c>
      <c r="G37" s="115" t="s">
        <v>3131</v>
      </c>
      <c r="H37" s="115" t="s">
        <v>3132</v>
      </c>
      <c r="I37" s="115" t="s">
        <v>3133</v>
      </c>
      <c r="J37" s="115" t="s">
        <v>3134</v>
      </c>
      <c r="K37" s="115" t="s">
        <v>3135</v>
      </c>
      <c r="L37" s="115" t="s">
        <v>3136</v>
      </c>
      <c r="M37" s="115" t="s">
        <v>3137</v>
      </c>
      <c r="N37" s="115" t="s">
        <v>3138</v>
      </c>
      <c r="O37" s="115" t="s">
        <v>3139</v>
      </c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</row>
    <row x14ac:dyDescent="0.25" r="38" customHeight="1" ht="30">
      <c r="A38" s="126" t="s">
        <v>3248</v>
      </c>
      <c r="B38" s="126" t="s">
        <v>3249</v>
      </c>
      <c r="C38" s="144">
        <v>1.4375578703703704</v>
      </c>
      <c r="D38" s="145">
        <v>1.2636342592592593</v>
      </c>
      <c r="E38" s="145">
        <v>1.4058564814814813</v>
      </c>
      <c r="F38" s="145"/>
      <c r="G38" s="145"/>
      <c r="H38" s="145"/>
      <c r="I38" s="145"/>
      <c r="J38" s="145"/>
      <c r="K38" s="145"/>
      <c r="L38" s="145"/>
      <c r="M38" s="145"/>
      <c r="N38" s="145"/>
      <c r="O38" s="144">
        <f>AVERAGE(C38:N38)</f>
        <v>25568.875</v>
      </c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</row>
    <row x14ac:dyDescent="0.25" r="39" customHeight="1" ht="10.5">
      <c r="A39" s="128"/>
      <c r="B39" s="128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9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</row>
    <row x14ac:dyDescent="0.25" r="40" customHeight="1" ht="15.75">
      <c r="A40" s="114"/>
      <c r="B40" s="117"/>
      <c r="C40" s="115" t="s">
        <v>3127</v>
      </c>
      <c r="D40" s="115" t="s">
        <v>3128</v>
      </c>
      <c r="E40" s="115" t="s">
        <v>3129</v>
      </c>
      <c r="F40" s="115" t="s">
        <v>3130</v>
      </c>
      <c r="G40" s="115" t="s">
        <v>3131</v>
      </c>
      <c r="H40" s="115" t="s">
        <v>3132</v>
      </c>
      <c r="I40" s="115" t="s">
        <v>3133</v>
      </c>
      <c r="J40" s="115" t="s">
        <v>3134</v>
      </c>
      <c r="K40" s="115" t="s">
        <v>3135</v>
      </c>
      <c r="L40" s="115" t="s">
        <v>3136</v>
      </c>
      <c r="M40" s="115" t="s">
        <v>3137</v>
      </c>
      <c r="N40" s="115" t="s">
        <v>3138</v>
      </c>
      <c r="O40" s="115" t="s">
        <v>3139</v>
      </c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</row>
    <row x14ac:dyDescent="0.25" r="41" customHeight="1" ht="15.75">
      <c r="A41" s="126" t="s">
        <v>3250</v>
      </c>
      <c r="B41" s="126" t="s">
        <v>3251</v>
      </c>
      <c r="C41" s="127">
        <v>24</v>
      </c>
      <c r="D41" s="127">
        <v>18</v>
      </c>
      <c r="E41" s="127">
        <v>30</v>
      </c>
      <c r="F41" s="127">
        <v>0</v>
      </c>
      <c r="G41" s="127">
        <v>0</v>
      </c>
      <c r="H41" s="127">
        <v>0</v>
      </c>
      <c r="I41" s="127">
        <v>0</v>
      </c>
      <c r="J41" s="127">
        <v>0</v>
      </c>
      <c r="K41" s="127">
        <v>0</v>
      </c>
      <c r="L41" s="127">
        <v>0</v>
      </c>
      <c r="M41" s="127">
        <v>0</v>
      </c>
      <c r="N41" s="127">
        <v>0</v>
      </c>
      <c r="O41" s="120">
        <f>SUM(C41:N41)</f>
      </c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</row>
    <row x14ac:dyDescent="0.25" r="42" customHeight="1" ht="10.5">
      <c r="A42" s="128"/>
      <c r="B42" s="128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9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</row>
    <row x14ac:dyDescent="0.25" r="43" customHeight="1" ht="15.75">
      <c r="A43" s="114"/>
      <c r="B43" s="117"/>
      <c r="C43" s="115" t="s">
        <v>3127</v>
      </c>
      <c r="D43" s="115" t="s">
        <v>3128</v>
      </c>
      <c r="E43" s="115" t="s">
        <v>3129</v>
      </c>
      <c r="F43" s="115" t="s">
        <v>3130</v>
      </c>
      <c r="G43" s="115" t="s">
        <v>3131</v>
      </c>
      <c r="H43" s="115" t="s">
        <v>3132</v>
      </c>
      <c r="I43" s="115" t="s">
        <v>3133</v>
      </c>
      <c r="J43" s="115" t="s">
        <v>3134</v>
      </c>
      <c r="K43" s="115" t="s">
        <v>3135</v>
      </c>
      <c r="L43" s="115" t="s">
        <v>3136</v>
      </c>
      <c r="M43" s="115" t="s">
        <v>3137</v>
      </c>
      <c r="N43" s="115" t="s">
        <v>3138</v>
      </c>
      <c r="O43" s="115" t="s">
        <v>3139</v>
      </c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</row>
    <row x14ac:dyDescent="0.25" r="44" customHeight="1" ht="15.75">
      <c r="A44" s="130" t="s">
        <v>3214</v>
      </c>
      <c r="B44" s="126" t="s">
        <v>3215</v>
      </c>
      <c r="C44" s="127">
        <v>1975</v>
      </c>
      <c r="D44" s="127">
        <v>1913</v>
      </c>
      <c r="E44" s="127">
        <v>2156</v>
      </c>
      <c r="F44" s="127">
        <v>0</v>
      </c>
      <c r="G44" s="127">
        <v>0</v>
      </c>
      <c r="H44" s="127">
        <v>0</v>
      </c>
      <c r="I44" s="127">
        <v>0</v>
      </c>
      <c r="J44" s="127">
        <v>0</v>
      </c>
      <c r="K44" s="127">
        <v>0</v>
      </c>
      <c r="L44" s="127">
        <v>0</v>
      </c>
      <c r="M44" s="127">
        <v>0</v>
      </c>
      <c r="N44" s="127">
        <v>0</v>
      </c>
      <c r="O44" s="120">
        <f>SUM(C44:N44)</f>
      </c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</row>
    <row x14ac:dyDescent="0.25" r="45" customHeight="1" ht="15.75">
      <c r="A45" s="117"/>
      <c r="B45" s="126" t="s">
        <v>3252</v>
      </c>
      <c r="C45" s="127">
        <v>1718</v>
      </c>
      <c r="D45" s="127">
        <v>1725</v>
      </c>
      <c r="E45" s="127">
        <v>1887</v>
      </c>
      <c r="F45" s="127">
        <v>0</v>
      </c>
      <c r="G45" s="127">
        <v>0</v>
      </c>
      <c r="H45" s="127">
        <v>0</v>
      </c>
      <c r="I45" s="127">
        <v>0</v>
      </c>
      <c r="J45" s="127">
        <v>0</v>
      </c>
      <c r="K45" s="127">
        <v>0</v>
      </c>
      <c r="L45" s="127">
        <v>0</v>
      </c>
      <c r="M45" s="127">
        <v>0</v>
      </c>
      <c r="N45" s="127">
        <v>0</v>
      </c>
      <c r="O45" s="120">
        <f>SUM(C45:N45)</f>
      </c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</row>
    <row x14ac:dyDescent="0.25" r="46" customHeight="1" ht="15.75">
      <c r="A46" s="117"/>
      <c r="B46" s="126" t="s">
        <v>3218</v>
      </c>
      <c r="C46" s="127">
        <v>47</v>
      </c>
      <c r="D46" s="127">
        <v>83</v>
      </c>
      <c r="E46" s="127">
        <v>75</v>
      </c>
      <c r="F46" s="127">
        <v>0</v>
      </c>
      <c r="G46" s="127">
        <v>0</v>
      </c>
      <c r="H46" s="127">
        <v>0</v>
      </c>
      <c r="I46" s="127">
        <v>0</v>
      </c>
      <c r="J46" s="127">
        <v>0</v>
      </c>
      <c r="K46" s="127">
        <v>0</v>
      </c>
      <c r="L46" s="127">
        <v>0</v>
      </c>
      <c r="M46" s="127">
        <v>0</v>
      </c>
      <c r="N46" s="127">
        <v>0</v>
      </c>
      <c r="O46" s="120">
        <f>SUM(C46:N46)</f>
      </c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</row>
    <row x14ac:dyDescent="0.25" r="47" customHeight="1" ht="15.75">
      <c r="A47" s="117"/>
      <c r="B47" s="126" t="s">
        <v>3139</v>
      </c>
      <c r="C47" s="120">
        <f>SUM(C44:C46)</f>
      </c>
      <c r="D47" s="120">
        <f>SUM(D44:D46)</f>
      </c>
      <c r="E47" s="120">
        <f>SUM(E44:E46)</f>
      </c>
      <c r="F47" s="120">
        <f>SUM(F44:F46)</f>
      </c>
      <c r="G47" s="120">
        <f>SUM(G44:G46)</f>
      </c>
      <c r="H47" s="120">
        <f>SUM(H44:H46)</f>
      </c>
      <c r="I47" s="120">
        <f>SUM(I44:I46)</f>
      </c>
      <c r="J47" s="120">
        <f>SUM(J44:J46)</f>
      </c>
      <c r="K47" s="120">
        <f>SUM(K44:K46)</f>
      </c>
      <c r="L47" s="120">
        <f>SUM(L44:L46)</f>
      </c>
      <c r="M47" s="120">
        <f>SUM(M44:M46)</f>
      </c>
      <c r="N47" s="120">
        <f>SUM(N44:N46)</f>
      </c>
      <c r="O47" s="120">
        <f>SUM(C47:N47)</f>
      </c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</row>
    <row x14ac:dyDescent="0.25" r="48" customHeight="1" ht="10.5">
      <c r="A48" s="123"/>
      <c r="B48" s="123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</row>
    <row x14ac:dyDescent="0.25" r="49" customHeight="1" ht="15.75">
      <c r="A49" s="114"/>
      <c r="B49" s="117"/>
      <c r="C49" s="115" t="s">
        <v>3127</v>
      </c>
      <c r="D49" s="115" t="s">
        <v>3128</v>
      </c>
      <c r="E49" s="115" t="s">
        <v>3129</v>
      </c>
      <c r="F49" s="115" t="s">
        <v>3130</v>
      </c>
      <c r="G49" s="115" t="s">
        <v>3131</v>
      </c>
      <c r="H49" s="115" t="s">
        <v>3132</v>
      </c>
      <c r="I49" s="115" t="s">
        <v>3133</v>
      </c>
      <c r="J49" s="115" t="s">
        <v>3134</v>
      </c>
      <c r="K49" s="115" t="s">
        <v>3135</v>
      </c>
      <c r="L49" s="115" t="s">
        <v>3136</v>
      </c>
      <c r="M49" s="115" t="s">
        <v>3137</v>
      </c>
      <c r="N49" s="115" t="s">
        <v>3138</v>
      </c>
      <c r="O49" s="115" t="s">
        <v>3139</v>
      </c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</row>
    <row x14ac:dyDescent="0.25" r="50" customHeight="1" ht="15.75">
      <c r="A50" s="130" t="s">
        <v>3253</v>
      </c>
      <c r="B50" s="119" t="s">
        <v>3254</v>
      </c>
      <c r="C50" s="127">
        <v>183</v>
      </c>
      <c r="D50" s="127">
        <v>237</v>
      </c>
      <c r="E50" s="127">
        <v>188</v>
      </c>
      <c r="F50" s="127">
        <v>0</v>
      </c>
      <c r="G50" s="127">
        <v>0</v>
      </c>
      <c r="H50" s="127">
        <v>0</v>
      </c>
      <c r="I50" s="127">
        <v>0</v>
      </c>
      <c r="J50" s="127">
        <v>0</v>
      </c>
      <c r="K50" s="127">
        <v>0</v>
      </c>
      <c r="L50" s="127">
        <v>0</v>
      </c>
      <c r="M50" s="127">
        <v>0</v>
      </c>
      <c r="N50" s="127">
        <v>0</v>
      </c>
      <c r="O50" s="120">
        <f>SUM(C50:N50)</f>
      </c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</row>
    <row x14ac:dyDescent="0.25" r="51" customHeight="1" ht="15.75">
      <c r="A51" s="117"/>
      <c r="B51" s="119" t="s">
        <v>3255</v>
      </c>
      <c r="C51" s="127">
        <v>914</v>
      </c>
      <c r="D51" s="127">
        <v>945</v>
      </c>
      <c r="E51" s="127">
        <v>961</v>
      </c>
      <c r="F51" s="127">
        <v>0</v>
      </c>
      <c r="G51" s="127">
        <v>0</v>
      </c>
      <c r="H51" s="127">
        <v>0</v>
      </c>
      <c r="I51" s="127">
        <v>0</v>
      </c>
      <c r="J51" s="127">
        <v>0</v>
      </c>
      <c r="K51" s="127">
        <v>0</v>
      </c>
      <c r="L51" s="127">
        <v>0</v>
      </c>
      <c r="M51" s="127">
        <v>0</v>
      </c>
      <c r="N51" s="127">
        <v>0</v>
      </c>
      <c r="O51" s="120">
        <f>SUM(C51:N51)</f>
      </c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</row>
    <row x14ac:dyDescent="0.25" r="52" customHeight="1" ht="15.75">
      <c r="A52" s="117"/>
      <c r="B52" s="119" t="s">
        <v>3256</v>
      </c>
      <c r="C52" s="127">
        <v>847</v>
      </c>
      <c r="D52" s="127">
        <v>797</v>
      </c>
      <c r="E52" s="127">
        <v>971</v>
      </c>
      <c r="F52" s="127">
        <v>0</v>
      </c>
      <c r="G52" s="127">
        <v>0</v>
      </c>
      <c r="H52" s="127">
        <v>0</v>
      </c>
      <c r="I52" s="127">
        <v>0</v>
      </c>
      <c r="J52" s="127">
        <v>0</v>
      </c>
      <c r="K52" s="127">
        <v>0</v>
      </c>
      <c r="L52" s="127">
        <v>0</v>
      </c>
      <c r="M52" s="127">
        <v>0</v>
      </c>
      <c r="N52" s="127">
        <v>0</v>
      </c>
      <c r="O52" s="120">
        <f>SUM(C52:N52)</f>
      </c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</row>
    <row x14ac:dyDescent="0.25" r="53" customHeight="1" ht="15.75">
      <c r="A53" s="117"/>
      <c r="B53" s="119" t="s">
        <v>3257</v>
      </c>
      <c r="C53" s="127">
        <v>706</v>
      </c>
      <c r="D53" s="127">
        <v>768</v>
      </c>
      <c r="E53" s="127">
        <v>936</v>
      </c>
      <c r="F53" s="127">
        <v>0</v>
      </c>
      <c r="G53" s="127">
        <v>0</v>
      </c>
      <c r="H53" s="127">
        <v>0</v>
      </c>
      <c r="I53" s="127">
        <v>0</v>
      </c>
      <c r="J53" s="127">
        <v>0</v>
      </c>
      <c r="K53" s="127">
        <v>0</v>
      </c>
      <c r="L53" s="127">
        <v>0</v>
      </c>
      <c r="M53" s="127">
        <v>0</v>
      </c>
      <c r="N53" s="127">
        <v>0</v>
      </c>
      <c r="O53" s="120">
        <f>SUM(C53:N53)</f>
      </c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</row>
    <row x14ac:dyDescent="0.25" r="54" customHeight="1" ht="15.75">
      <c r="A54" s="117"/>
      <c r="B54" s="119" t="s">
        <v>3258</v>
      </c>
      <c r="C54" s="127">
        <v>976</v>
      </c>
      <c r="D54" s="127">
        <v>1042</v>
      </c>
      <c r="E54" s="127">
        <v>984</v>
      </c>
      <c r="F54" s="127">
        <v>0</v>
      </c>
      <c r="G54" s="127">
        <v>0</v>
      </c>
      <c r="H54" s="127">
        <v>0</v>
      </c>
      <c r="I54" s="127">
        <v>0</v>
      </c>
      <c r="J54" s="127">
        <v>0</v>
      </c>
      <c r="K54" s="127">
        <v>0</v>
      </c>
      <c r="L54" s="127">
        <v>0</v>
      </c>
      <c r="M54" s="127">
        <v>0</v>
      </c>
      <c r="N54" s="127">
        <v>0</v>
      </c>
      <c r="O54" s="120">
        <f>SUM(C54:N54)</f>
      </c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</row>
    <row x14ac:dyDescent="0.25" r="55" customHeight="1" ht="15.75">
      <c r="A55" s="117"/>
      <c r="B55" s="119" t="s">
        <v>3259</v>
      </c>
      <c r="C55" s="127">
        <v>4754</v>
      </c>
      <c r="D55" s="127">
        <v>4708</v>
      </c>
      <c r="E55" s="127">
        <v>4501</v>
      </c>
      <c r="F55" s="127">
        <v>0</v>
      </c>
      <c r="G55" s="127">
        <v>0</v>
      </c>
      <c r="H55" s="127">
        <v>0</v>
      </c>
      <c r="I55" s="127">
        <v>0</v>
      </c>
      <c r="J55" s="127">
        <v>0</v>
      </c>
      <c r="K55" s="127">
        <v>0</v>
      </c>
      <c r="L55" s="127">
        <v>0</v>
      </c>
      <c r="M55" s="127">
        <v>0</v>
      </c>
      <c r="N55" s="127">
        <v>0</v>
      </c>
      <c r="O55" s="120">
        <f>SUM(C55:N55)</f>
      </c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</row>
    <row x14ac:dyDescent="0.25" r="56" customHeight="1" ht="15.75">
      <c r="A56" s="117"/>
      <c r="B56" s="119" t="s">
        <v>3260</v>
      </c>
      <c r="C56" s="127">
        <v>1523</v>
      </c>
      <c r="D56" s="127">
        <v>1532</v>
      </c>
      <c r="E56" s="127">
        <v>1607</v>
      </c>
      <c r="F56" s="127">
        <v>0</v>
      </c>
      <c r="G56" s="127">
        <v>0</v>
      </c>
      <c r="H56" s="127">
        <v>0</v>
      </c>
      <c r="I56" s="127">
        <v>0</v>
      </c>
      <c r="J56" s="127">
        <v>0</v>
      </c>
      <c r="K56" s="127">
        <v>0</v>
      </c>
      <c r="L56" s="127">
        <v>0</v>
      </c>
      <c r="M56" s="127">
        <v>0</v>
      </c>
      <c r="N56" s="127">
        <v>0</v>
      </c>
      <c r="O56" s="120">
        <f>SUM(C56:N56)</f>
      </c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</row>
    <row x14ac:dyDescent="0.25" r="57" customHeight="1" ht="15.75">
      <c r="A57" s="117"/>
      <c r="B57" s="119" t="s">
        <v>3261</v>
      </c>
      <c r="C57" s="127">
        <v>1060</v>
      </c>
      <c r="D57" s="127">
        <v>1095</v>
      </c>
      <c r="E57" s="127">
        <v>1078</v>
      </c>
      <c r="F57" s="127">
        <v>0</v>
      </c>
      <c r="G57" s="127">
        <v>0</v>
      </c>
      <c r="H57" s="127">
        <v>0</v>
      </c>
      <c r="I57" s="127">
        <v>0</v>
      </c>
      <c r="J57" s="127">
        <v>0</v>
      </c>
      <c r="K57" s="127">
        <v>0</v>
      </c>
      <c r="L57" s="127">
        <v>0</v>
      </c>
      <c r="M57" s="127">
        <v>0</v>
      </c>
      <c r="N57" s="127">
        <v>0</v>
      </c>
      <c r="O57" s="120">
        <f>SUM(C57:N57)</f>
      </c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</row>
    <row x14ac:dyDescent="0.25" r="58" customHeight="1" ht="15.75">
      <c r="A58" s="117"/>
      <c r="B58" s="119" t="s">
        <v>3262</v>
      </c>
      <c r="C58" s="127">
        <v>1339</v>
      </c>
      <c r="D58" s="127">
        <v>1289</v>
      </c>
      <c r="E58" s="127">
        <v>1299</v>
      </c>
      <c r="F58" s="127">
        <v>0</v>
      </c>
      <c r="G58" s="127">
        <v>0</v>
      </c>
      <c r="H58" s="127">
        <v>0</v>
      </c>
      <c r="I58" s="127">
        <v>0</v>
      </c>
      <c r="J58" s="127">
        <v>0</v>
      </c>
      <c r="K58" s="127">
        <v>0</v>
      </c>
      <c r="L58" s="127">
        <v>0</v>
      </c>
      <c r="M58" s="127">
        <v>0</v>
      </c>
      <c r="N58" s="127">
        <v>0</v>
      </c>
      <c r="O58" s="120">
        <f>SUM(C58:N58)</f>
      </c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</row>
    <row x14ac:dyDescent="0.25" r="59" customHeight="1" ht="15.75">
      <c r="A59" s="117"/>
      <c r="B59" s="119" t="s">
        <v>3139</v>
      </c>
      <c r="C59" s="127">
        <f>SUM(C50:C58)</f>
      </c>
      <c r="D59" s="127">
        <f>SUM(D50:D58)</f>
      </c>
      <c r="E59" s="127">
        <f>SUM(E50:E58)</f>
      </c>
      <c r="F59" s="127">
        <f>SUM(F50:F58)</f>
      </c>
      <c r="G59" s="127">
        <f>SUM(G50:G58)</f>
      </c>
      <c r="H59" s="127">
        <f>SUM(H50:H58)</f>
      </c>
      <c r="I59" s="127">
        <f>SUM(I50:I58)</f>
      </c>
      <c r="J59" s="127">
        <f>SUM(J50:J58)</f>
      </c>
      <c r="K59" s="127">
        <f>SUM(K50:K58)</f>
      </c>
      <c r="L59" s="127">
        <f>SUM(L50:L58)</f>
      </c>
      <c r="M59" s="127">
        <f>SUM(M50:M58)</f>
      </c>
      <c r="N59" s="127">
        <f>SUM(N50:N58)</f>
      </c>
      <c r="O59" s="120">
        <f>SUM(C59:N59)</f>
      </c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</row>
    <row x14ac:dyDescent="0.25" r="60" customHeight="1" ht="11.25">
      <c r="A60" s="123"/>
      <c r="B60" s="113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</row>
    <row x14ac:dyDescent="0.25" r="61" customHeight="1" ht="15.75">
      <c r="A61" s="114"/>
      <c r="B61" s="117"/>
      <c r="C61" s="115" t="s">
        <v>3127</v>
      </c>
      <c r="D61" s="115" t="s">
        <v>3128</v>
      </c>
      <c r="E61" s="115" t="s">
        <v>3129</v>
      </c>
      <c r="F61" s="115" t="s">
        <v>3130</v>
      </c>
      <c r="G61" s="115" t="s">
        <v>3131</v>
      </c>
      <c r="H61" s="115" t="s">
        <v>3132</v>
      </c>
      <c r="I61" s="115" t="s">
        <v>3133</v>
      </c>
      <c r="J61" s="115" t="s">
        <v>3134</v>
      </c>
      <c r="K61" s="115" t="s">
        <v>3135</v>
      </c>
      <c r="L61" s="115" t="s">
        <v>3136</v>
      </c>
      <c r="M61" s="115" t="s">
        <v>3137</v>
      </c>
      <c r="N61" s="115" t="s">
        <v>3138</v>
      </c>
      <c r="O61" s="115" t="s">
        <v>3139</v>
      </c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</row>
    <row x14ac:dyDescent="0.25" r="62" customHeight="1" ht="14.25">
      <c r="A62" s="130" t="s">
        <v>3263</v>
      </c>
      <c r="B62" s="119" t="s">
        <v>3264</v>
      </c>
      <c r="C62" s="127">
        <v>12097</v>
      </c>
      <c r="D62" s="127">
        <v>11610</v>
      </c>
      <c r="E62" s="127">
        <v>43353</v>
      </c>
      <c r="F62" s="127">
        <v>0</v>
      </c>
      <c r="G62" s="127">
        <v>0</v>
      </c>
      <c r="H62" s="127">
        <v>0</v>
      </c>
      <c r="I62" s="127">
        <v>0</v>
      </c>
      <c r="J62" s="127">
        <v>0</v>
      </c>
      <c r="K62" s="127">
        <v>0</v>
      </c>
      <c r="L62" s="127">
        <v>0</v>
      </c>
      <c r="M62" s="127">
        <v>0</v>
      </c>
      <c r="N62" s="127">
        <v>0</v>
      </c>
      <c r="O62" s="120">
        <f>SUM(C62:N62)</f>
      </c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</row>
    <row x14ac:dyDescent="0.25" r="63" customHeight="1" ht="15.75">
      <c r="A63" s="117"/>
      <c r="B63" s="119" t="s">
        <v>3265</v>
      </c>
      <c r="C63" s="127">
        <v>205</v>
      </c>
      <c r="D63" s="127">
        <v>803</v>
      </c>
      <c r="E63" s="127">
        <v>713</v>
      </c>
      <c r="F63" s="127">
        <v>0</v>
      </c>
      <c r="G63" s="127">
        <v>0</v>
      </c>
      <c r="H63" s="127">
        <v>0</v>
      </c>
      <c r="I63" s="127">
        <v>0</v>
      </c>
      <c r="J63" s="127">
        <v>0</v>
      </c>
      <c r="K63" s="127">
        <v>0</v>
      </c>
      <c r="L63" s="127">
        <v>0</v>
      </c>
      <c r="M63" s="127">
        <v>0</v>
      </c>
      <c r="N63" s="127">
        <v>0</v>
      </c>
      <c r="O63" s="120">
        <f>SUM(C63:N63)</f>
      </c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</row>
    <row x14ac:dyDescent="0.25" r="64" customHeight="1" ht="15.75">
      <c r="A64" s="117"/>
      <c r="B64" s="119" t="s">
        <v>3139</v>
      </c>
      <c r="C64" s="120">
        <f>SUM(C62:C63)</f>
      </c>
      <c r="D64" s="120">
        <f>SUM(D62:D63)</f>
      </c>
      <c r="E64" s="120">
        <f>SUM(E62:E63)</f>
      </c>
      <c r="F64" s="120">
        <f>SUM(F62:F63)</f>
      </c>
      <c r="G64" s="120">
        <f>SUM(G62:G63)</f>
      </c>
      <c r="H64" s="120">
        <f>SUM(H62:H63)</f>
      </c>
      <c r="I64" s="120">
        <f>SUM(I62:I63)</f>
      </c>
      <c r="J64" s="120">
        <f>SUM(J62:J63)</f>
      </c>
      <c r="K64" s="120">
        <f>SUM(K62:K63)</f>
      </c>
      <c r="L64" s="120">
        <f>SUM(L62:L63)</f>
      </c>
      <c r="M64" s="120">
        <f>SUM(M62:M63)</f>
      </c>
      <c r="N64" s="120">
        <f>SUM(N62:N63)</f>
      </c>
      <c r="O64" s="120">
        <f>SUM(C64:N64)</f>
      </c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</row>
    <row x14ac:dyDescent="0.25" r="65" customHeight="1" ht="10.5">
      <c r="A65" s="123"/>
      <c r="B65" s="113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</row>
    <row x14ac:dyDescent="0.25" r="66" customHeight="1" ht="15.75">
      <c r="A66" s="114"/>
      <c r="B66" s="117"/>
      <c r="C66" s="115" t="s">
        <v>3127</v>
      </c>
      <c r="D66" s="115" t="s">
        <v>3128</v>
      </c>
      <c r="E66" s="115" t="s">
        <v>3129</v>
      </c>
      <c r="F66" s="115" t="s">
        <v>3130</v>
      </c>
      <c r="G66" s="115" t="s">
        <v>3131</v>
      </c>
      <c r="H66" s="115" t="s">
        <v>3132</v>
      </c>
      <c r="I66" s="115" t="s">
        <v>3133</v>
      </c>
      <c r="J66" s="115" t="s">
        <v>3134</v>
      </c>
      <c r="K66" s="115" t="s">
        <v>3135</v>
      </c>
      <c r="L66" s="115" t="s">
        <v>3136</v>
      </c>
      <c r="M66" s="115" t="s">
        <v>3137</v>
      </c>
      <c r="N66" s="115" t="s">
        <v>3138</v>
      </c>
      <c r="O66" s="115" t="s">
        <v>3139</v>
      </c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</row>
    <row x14ac:dyDescent="0.25" r="67" customHeight="1" ht="15.75">
      <c r="A67" s="126" t="s">
        <v>3209</v>
      </c>
      <c r="B67" s="119" t="s">
        <v>3139</v>
      </c>
      <c r="C67" s="120">
        <v>10</v>
      </c>
      <c r="D67" s="127">
        <v>13</v>
      </c>
      <c r="E67" s="127">
        <v>12</v>
      </c>
      <c r="F67" s="127">
        <v>0</v>
      </c>
      <c r="G67" s="127">
        <v>0</v>
      </c>
      <c r="H67" s="127">
        <v>0</v>
      </c>
      <c r="I67" s="127">
        <v>0</v>
      </c>
      <c r="J67" s="127">
        <v>0</v>
      </c>
      <c r="K67" s="127">
        <v>0</v>
      </c>
      <c r="L67" s="127">
        <v>0</v>
      </c>
      <c r="M67" s="127">
        <v>0</v>
      </c>
      <c r="N67" s="127">
        <v>0</v>
      </c>
      <c r="O67" s="120">
        <f>SUM(C67:N67)</f>
      </c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</row>
    <row x14ac:dyDescent="0.25" r="68" customHeight="1" ht="10.5">
      <c r="A68" s="151"/>
      <c r="B68" s="152"/>
      <c r="C68" s="153"/>
      <c r="D68" s="153"/>
      <c r="E68" s="153"/>
      <c r="F68" s="153"/>
      <c r="G68" s="153"/>
      <c r="H68" s="153"/>
      <c r="I68" s="153"/>
      <c r="J68" s="153"/>
      <c r="K68" s="153"/>
      <c r="L68" s="153"/>
      <c r="M68" s="153"/>
      <c r="N68" s="153"/>
      <c r="O68" s="15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</row>
    <row x14ac:dyDescent="0.25" r="69" customHeight="1" ht="15.75">
      <c r="A69" s="123"/>
      <c r="B69" s="123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</row>
    <row x14ac:dyDescent="0.25" r="70" customHeight="1" ht="15.75">
      <c r="A70" s="123"/>
      <c r="B70" s="123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</row>
    <row x14ac:dyDescent="0.25" r="71" customHeight="1" ht="15.75">
      <c r="A71" s="123"/>
      <c r="B71" s="123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</row>
    <row x14ac:dyDescent="0.25" r="72" customHeight="1" ht="15.75">
      <c r="A72" s="123"/>
      <c r="B72" s="123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</row>
    <row x14ac:dyDescent="0.25" r="73" customHeight="1" ht="15.75">
      <c r="A73" s="123"/>
      <c r="B73" s="123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</row>
    <row x14ac:dyDescent="0.25" r="74" customHeight="1" ht="15.75">
      <c r="A74" s="123"/>
      <c r="B74" s="123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</row>
    <row x14ac:dyDescent="0.25" r="75" customHeight="1" ht="15.75">
      <c r="A75" s="123"/>
      <c r="B75" s="123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</row>
    <row x14ac:dyDescent="0.25" r="76" customHeight="1" ht="15.75">
      <c r="A76" s="123"/>
      <c r="B76" s="123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</row>
    <row x14ac:dyDescent="0.25" r="77" customHeight="1" ht="15.75">
      <c r="A77" s="123"/>
      <c r="B77" s="123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</row>
    <row x14ac:dyDescent="0.25" r="78" customHeight="1" ht="15.75">
      <c r="A78" s="123"/>
      <c r="B78" s="123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</row>
    <row x14ac:dyDescent="0.25" r="79" customHeight="1" ht="15.75">
      <c r="A79" s="123"/>
      <c r="B79" s="123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</row>
    <row x14ac:dyDescent="0.25" r="80" customHeight="1" ht="15.75">
      <c r="A80" s="123"/>
      <c r="B80" s="123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</row>
    <row x14ac:dyDescent="0.25" r="81" customHeight="1" ht="15.75">
      <c r="A81" s="123"/>
      <c r="B81" s="123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</row>
    <row x14ac:dyDescent="0.25" r="82" customHeight="1" ht="15.75">
      <c r="A82" s="123"/>
      <c r="B82" s="123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</row>
    <row x14ac:dyDescent="0.25" r="83" customHeight="1" ht="15.75">
      <c r="A83" s="123"/>
      <c r="B83" s="123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</row>
    <row x14ac:dyDescent="0.25" r="84" customHeight="1" ht="15.75">
      <c r="A84" s="123"/>
      <c r="B84" s="123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</row>
    <row x14ac:dyDescent="0.25" r="85" customHeight="1" ht="15.75">
      <c r="A85" s="123"/>
      <c r="B85" s="123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</row>
    <row x14ac:dyDescent="0.25" r="86" customHeight="1" ht="15.75">
      <c r="A86" s="123"/>
      <c r="B86" s="123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</row>
    <row x14ac:dyDescent="0.25" r="87" customHeight="1" ht="15.75">
      <c r="A87" s="123"/>
      <c r="B87" s="123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</row>
    <row x14ac:dyDescent="0.25" r="88" customHeight="1" ht="15.75">
      <c r="A88" s="123"/>
      <c r="B88" s="123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</row>
    <row x14ac:dyDescent="0.25" r="89" customHeight="1" ht="15.75">
      <c r="A89" s="123"/>
      <c r="B89" s="123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</row>
    <row x14ac:dyDescent="0.25" r="90" customHeight="1" ht="15.75">
      <c r="A90" s="123"/>
      <c r="B90" s="123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</row>
    <row x14ac:dyDescent="0.25" r="91" customHeight="1" ht="15.75">
      <c r="A91" s="123"/>
      <c r="B91" s="123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</row>
    <row x14ac:dyDescent="0.25" r="92" customHeight="1" ht="15.75">
      <c r="A92" s="123"/>
      <c r="B92" s="123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</row>
    <row x14ac:dyDescent="0.25" r="93" customHeight="1" ht="15.75">
      <c r="A93" s="123"/>
      <c r="B93" s="123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</row>
    <row x14ac:dyDescent="0.25" r="94" customHeight="1" ht="15.75">
      <c r="A94" s="123"/>
      <c r="B94" s="123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</row>
    <row x14ac:dyDescent="0.25" r="95" customHeight="1" ht="15.75">
      <c r="A95" s="123"/>
      <c r="B95" s="123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</row>
    <row x14ac:dyDescent="0.25" r="96" customHeight="1" ht="15.75">
      <c r="A96" s="123"/>
      <c r="B96" s="123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</row>
    <row x14ac:dyDescent="0.25" r="97" customHeight="1" ht="15.75">
      <c r="A97" s="123"/>
      <c r="B97" s="123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</row>
    <row x14ac:dyDescent="0.25" r="98" customHeight="1" ht="15.75">
      <c r="A98" s="123"/>
      <c r="B98" s="123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</row>
    <row x14ac:dyDescent="0.25" r="99" customHeight="1" ht="15.75">
      <c r="A99" s="123"/>
      <c r="B99" s="123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</row>
    <row x14ac:dyDescent="0.25" r="100" customHeight="1" ht="15.75">
      <c r="A100" s="123"/>
      <c r="B100" s="123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</row>
    <row x14ac:dyDescent="0.25" r="101" customHeight="1" ht="15.75">
      <c r="A101" s="123"/>
      <c r="B101" s="123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</row>
    <row x14ac:dyDescent="0.25" r="102" customHeight="1" ht="15.75">
      <c r="A102" s="123"/>
      <c r="B102" s="123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</row>
    <row x14ac:dyDescent="0.25" r="103" customHeight="1" ht="15.75">
      <c r="A103" s="123"/>
      <c r="B103" s="123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</row>
    <row x14ac:dyDescent="0.25" r="104" customHeight="1" ht="15.75">
      <c r="A104" s="123"/>
      <c r="B104" s="123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</row>
    <row x14ac:dyDescent="0.25" r="105" customHeight="1" ht="15.75">
      <c r="A105" s="123"/>
      <c r="B105" s="123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</row>
    <row x14ac:dyDescent="0.25" r="106" customHeight="1" ht="15.75">
      <c r="A106" s="123"/>
      <c r="B106" s="123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</row>
    <row x14ac:dyDescent="0.25" r="107" customHeight="1" ht="15.75">
      <c r="A107" s="123"/>
      <c r="B107" s="123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</row>
    <row x14ac:dyDescent="0.25" r="108" customHeight="1" ht="15.75">
      <c r="A108" s="123"/>
      <c r="B108" s="123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</row>
    <row x14ac:dyDescent="0.25" r="109" customHeight="1" ht="15.75">
      <c r="A109" s="123"/>
      <c r="B109" s="123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</row>
    <row x14ac:dyDescent="0.25" r="110" customHeight="1" ht="15.75">
      <c r="A110" s="123"/>
      <c r="B110" s="123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</row>
    <row x14ac:dyDescent="0.25" r="111" customHeight="1" ht="15.75">
      <c r="A111" s="123"/>
      <c r="B111" s="123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</row>
    <row x14ac:dyDescent="0.25" r="112" customHeight="1" ht="15.75">
      <c r="A112" s="123"/>
      <c r="B112" s="123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</row>
    <row x14ac:dyDescent="0.25" r="113" customHeight="1" ht="15.75">
      <c r="A113" s="123"/>
      <c r="B113" s="123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</row>
    <row x14ac:dyDescent="0.25" r="114" customHeight="1" ht="15.75">
      <c r="A114" s="123"/>
      <c r="B114" s="123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</row>
    <row x14ac:dyDescent="0.25" r="115" customHeight="1" ht="15.75">
      <c r="A115" s="123"/>
      <c r="B115" s="123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</row>
    <row x14ac:dyDescent="0.25" r="116" customHeight="1" ht="15.75">
      <c r="A116" s="123"/>
      <c r="B116" s="123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</row>
    <row x14ac:dyDescent="0.25" r="117" customHeight="1" ht="15.75">
      <c r="A117" s="123"/>
      <c r="B117" s="123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</row>
    <row x14ac:dyDescent="0.25" r="118" customHeight="1" ht="15.75">
      <c r="A118" s="123"/>
      <c r="B118" s="123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</row>
    <row x14ac:dyDescent="0.25" r="119" customHeight="1" ht="15.75">
      <c r="A119" s="123"/>
      <c r="B119" s="123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</row>
    <row x14ac:dyDescent="0.25" r="120" customHeight="1" ht="15.75">
      <c r="A120" s="123"/>
      <c r="B120" s="123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</row>
    <row x14ac:dyDescent="0.25" r="121" customHeight="1" ht="15.75">
      <c r="A121" s="123"/>
      <c r="B121" s="123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</row>
    <row x14ac:dyDescent="0.25" r="122" customHeight="1" ht="15.75">
      <c r="A122" s="123"/>
      <c r="B122" s="123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</row>
    <row x14ac:dyDescent="0.25" r="123" customHeight="1" ht="15.75">
      <c r="A123" s="123"/>
      <c r="B123" s="123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</row>
    <row x14ac:dyDescent="0.25" r="124" customHeight="1" ht="15.75">
      <c r="A124" s="123"/>
      <c r="B124" s="123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</row>
    <row x14ac:dyDescent="0.25" r="125" customHeight="1" ht="15.75">
      <c r="A125" s="123"/>
      <c r="B125" s="123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</row>
    <row x14ac:dyDescent="0.25" r="126" customHeight="1" ht="15.75">
      <c r="A126" s="123"/>
      <c r="B126" s="123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</row>
    <row x14ac:dyDescent="0.25" r="127" customHeight="1" ht="15.75">
      <c r="A127" s="123"/>
      <c r="B127" s="123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</row>
    <row x14ac:dyDescent="0.25" r="128" customHeight="1" ht="15.75">
      <c r="A128" s="123"/>
      <c r="B128" s="123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</row>
    <row x14ac:dyDescent="0.25" r="129" customHeight="1" ht="15.75">
      <c r="A129" s="123"/>
      <c r="B129" s="123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</row>
    <row x14ac:dyDescent="0.25" r="130" customHeight="1" ht="15.75">
      <c r="A130" s="123"/>
      <c r="B130" s="123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</row>
    <row x14ac:dyDescent="0.25" r="131" customHeight="1" ht="15.75">
      <c r="A131" s="123"/>
      <c r="B131" s="123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</row>
    <row x14ac:dyDescent="0.25" r="132" customHeight="1" ht="15.75">
      <c r="A132" s="123"/>
      <c r="B132" s="123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</row>
    <row x14ac:dyDescent="0.25" r="133" customHeight="1" ht="15.75">
      <c r="A133" s="123"/>
      <c r="B133" s="123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</row>
    <row x14ac:dyDescent="0.25" r="134" customHeight="1" ht="15.75">
      <c r="A134" s="123"/>
      <c r="B134" s="123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</row>
    <row x14ac:dyDescent="0.25" r="135" customHeight="1" ht="15.75">
      <c r="A135" s="123"/>
      <c r="B135" s="123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</row>
    <row x14ac:dyDescent="0.25" r="136" customHeight="1" ht="15.75">
      <c r="A136" s="123"/>
      <c r="B136" s="123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</row>
    <row x14ac:dyDescent="0.25" r="137" customHeight="1" ht="15.75">
      <c r="A137" s="123"/>
      <c r="B137" s="123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</row>
    <row x14ac:dyDescent="0.25" r="138" customHeight="1" ht="15.75">
      <c r="A138" s="123"/>
      <c r="B138" s="123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</row>
    <row x14ac:dyDescent="0.25" r="139" customHeight="1" ht="15.75">
      <c r="A139" s="123"/>
      <c r="B139" s="123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</row>
    <row x14ac:dyDescent="0.25" r="140" customHeight="1" ht="15.75">
      <c r="A140" s="123"/>
      <c r="B140" s="123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</row>
    <row x14ac:dyDescent="0.25" r="141" customHeight="1" ht="15.75">
      <c r="A141" s="123"/>
      <c r="B141" s="123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</row>
    <row x14ac:dyDescent="0.25" r="142" customHeight="1" ht="15.75">
      <c r="A142" s="123"/>
      <c r="B142" s="123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</row>
    <row x14ac:dyDescent="0.25" r="143" customHeight="1" ht="15.75">
      <c r="A143" s="123"/>
      <c r="B143" s="123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</row>
    <row x14ac:dyDescent="0.25" r="144" customHeight="1" ht="15.75">
      <c r="A144" s="123"/>
      <c r="B144" s="123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</row>
    <row x14ac:dyDescent="0.25" r="145" customHeight="1" ht="15.75">
      <c r="A145" s="123"/>
      <c r="B145" s="123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</row>
    <row x14ac:dyDescent="0.25" r="146" customHeight="1" ht="15.75">
      <c r="A146" s="123"/>
      <c r="B146" s="123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</row>
    <row x14ac:dyDescent="0.25" r="147" customHeight="1" ht="15.75">
      <c r="A147" s="123"/>
      <c r="B147" s="123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</row>
    <row x14ac:dyDescent="0.25" r="148" customHeight="1" ht="15.75">
      <c r="A148" s="123"/>
      <c r="B148" s="123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</row>
    <row x14ac:dyDescent="0.25" r="149" customHeight="1" ht="15.75">
      <c r="A149" s="123"/>
      <c r="B149" s="123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</row>
    <row x14ac:dyDescent="0.25" r="150" customHeight="1" ht="15.75">
      <c r="A150" s="123"/>
      <c r="B150" s="123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</row>
    <row x14ac:dyDescent="0.25" r="151" customHeight="1" ht="15.75">
      <c r="A151" s="123"/>
      <c r="B151" s="123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</row>
    <row x14ac:dyDescent="0.25" r="152" customHeight="1" ht="15.75">
      <c r="A152" s="123"/>
      <c r="B152" s="123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</row>
    <row x14ac:dyDescent="0.25" r="153" customHeight="1" ht="15.75">
      <c r="A153" s="123"/>
      <c r="B153" s="123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</row>
    <row x14ac:dyDescent="0.25" r="154" customHeight="1" ht="15.75">
      <c r="A154" s="123"/>
      <c r="B154" s="123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</row>
    <row x14ac:dyDescent="0.25" r="155" customHeight="1" ht="15.75">
      <c r="A155" s="123"/>
      <c r="B155" s="123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</row>
    <row x14ac:dyDescent="0.25" r="156" customHeight="1" ht="15.75">
      <c r="A156" s="123"/>
      <c r="B156" s="123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</row>
    <row x14ac:dyDescent="0.25" r="157" customHeight="1" ht="15.75">
      <c r="A157" s="123"/>
      <c r="B157" s="123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</row>
    <row x14ac:dyDescent="0.25" r="158" customHeight="1" ht="15.75">
      <c r="A158" s="123"/>
      <c r="B158" s="123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</row>
    <row x14ac:dyDescent="0.25" r="159" customHeight="1" ht="15.75">
      <c r="A159" s="123"/>
      <c r="B159" s="123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</row>
    <row x14ac:dyDescent="0.25" r="160" customHeight="1" ht="15.75">
      <c r="A160" s="123"/>
      <c r="B160" s="123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</row>
    <row x14ac:dyDescent="0.25" r="161" customHeight="1" ht="15.75">
      <c r="A161" s="123"/>
      <c r="B161" s="123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</row>
    <row x14ac:dyDescent="0.25" r="162" customHeight="1" ht="15.75">
      <c r="A162" s="123"/>
      <c r="B162" s="123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</row>
    <row x14ac:dyDescent="0.25" r="163" customHeight="1" ht="15.75">
      <c r="A163" s="123"/>
      <c r="B163" s="123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</row>
    <row x14ac:dyDescent="0.25" r="164" customHeight="1" ht="15.75">
      <c r="A164" s="123"/>
      <c r="B164" s="123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</row>
    <row x14ac:dyDescent="0.25" r="165" customHeight="1" ht="15.75">
      <c r="A165" s="123"/>
      <c r="B165" s="123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</row>
    <row x14ac:dyDescent="0.25" r="166" customHeight="1" ht="15.75">
      <c r="A166" s="123"/>
      <c r="B166" s="123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</row>
    <row x14ac:dyDescent="0.25" r="167" customHeight="1" ht="15.75">
      <c r="A167" s="123"/>
      <c r="B167" s="123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</row>
    <row x14ac:dyDescent="0.25" r="168" customHeight="1" ht="15.75">
      <c r="A168" s="123"/>
      <c r="B168" s="123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</row>
    <row x14ac:dyDescent="0.25" r="169" customHeight="1" ht="15.75">
      <c r="A169" s="123"/>
      <c r="B169" s="123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</row>
    <row x14ac:dyDescent="0.25" r="170" customHeight="1" ht="15.75">
      <c r="A170" s="123"/>
      <c r="B170" s="123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</row>
    <row x14ac:dyDescent="0.25" r="171" customHeight="1" ht="15.75">
      <c r="A171" s="123"/>
      <c r="B171" s="123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</row>
    <row x14ac:dyDescent="0.25" r="172" customHeight="1" ht="15.75">
      <c r="A172" s="123"/>
      <c r="B172" s="123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</row>
    <row x14ac:dyDescent="0.25" r="173" customHeight="1" ht="15.75">
      <c r="A173" s="123"/>
      <c r="B173" s="123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</row>
    <row x14ac:dyDescent="0.25" r="174" customHeight="1" ht="15.75">
      <c r="A174" s="123"/>
      <c r="B174" s="123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</row>
    <row x14ac:dyDescent="0.25" r="175" customHeight="1" ht="15.75">
      <c r="A175" s="123"/>
      <c r="B175" s="123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</row>
    <row x14ac:dyDescent="0.25" r="176" customHeight="1" ht="15.75">
      <c r="A176" s="123"/>
      <c r="B176" s="123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</row>
    <row x14ac:dyDescent="0.25" r="177" customHeight="1" ht="15.75">
      <c r="A177" s="123"/>
      <c r="B177" s="123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</row>
    <row x14ac:dyDescent="0.25" r="178" customHeight="1" ht="15.75">
      <c r="A178" s="123"/>
      <c r="B178" s="123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</row>
    <row x14ac:dyDescent="0.25" r="179" customHeight="1" ht="15.75">
      <c r="A179" s="123"/>
      <c r="B179" s="123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</row>
    <row x14ac:dyDescent="0.25" r="180" customHeight="1" ht="15.75">
      <c r="A180" s="123"/>
      <c r="B180" s="123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</row>
    <row x14ac:dyDescent="0.25" r="181" customHeight="1" ht="15.75">
      <c r="A181" s="123"/>
      <c r="B181" s="123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</row>
    <row x14ac:dyDescent="0.25" r="182" customHeight="1" ht="15.75">
      <c r="A182" s="123"/>
      <c r="B182" s="123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</row>
    <row x14ac:dyDescent="0.25" r="183" customHeight="1" ht="15.75">
      <c r="A183" s="123"/>
      <c r="B183" s="123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</row>
    <row x14ac:dyDescent="0.25" r="184" customHeight="1" ht="15.75">
      <c r="A184" s="123"/>
      <c r="B184" s="123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</row>
    <row x14ac:dyDescent="0.25" r="185" customHeight="1" ht="15.75">
      <c r="A185" s="123"/>
      <c r="B185" s="123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</row>
    <row x14ac:dyDescent="0.25" r="186" customHeight="1" ht="15.75">
      <c r="A186" s="123"/>
      <c r="B186" s="123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</row>
    <row x14ac:dyDescent="0.25" r="187" customHeight="1" ht="15.75">
      <c r="A187" s="123"/>
      <c r="B187" s="123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</row>
    <row x14ac:dyDescent="0.25" r="188" customHeight="1" ht="15.75">
      <c r="A188" s="123"/>
      <c r="B188" s="123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</row>
    <row x14ac:dyDescent="0.25" r="189" customHeight="1" ht="15.75">
      <c r="A189" s="123"/>
      <c r="B189" s="123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</row>
    <row x14ac:dyDescent="0.25" r="190" customHeight="1" ht="15.75">
      <c r="A190" s="123"/>
      <c r="B190" s="123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</row>
    <row x14ac:dyDescent="0.25" r="191" customHeight="1" ht="15.75">
      <c r="A191" s="123"/>
      <c r="B191" s="123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</row>
    <row x14ac:dyDescent="0.25" r="192" customHeight="1" ht="15.75">
      <c r="A192" s="123"/>
      <c r="B192" s="123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</row>
    <row x14ac:dyDescent="0.25" r="193" customHeight="1" ht="15.75">
      <c r="A193" s="123"/>
      <c r="B193" s="123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</row>
    <row x14ac:dyDescent="0.25" r="194" customHeight="1" ht="15.75">
      <c r="A194" s="123"/>
      <c r="B194" s="123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</row>
    <row x14ac:dyDescent="0.25" r="195" customHeight="1" ht="15.75">
      <c r="A195" s="123"/>
      <c r="B195" s="123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</row>
    <row x14ac:dyDescent="0.25" r="196" customHeight="1" ht="15.75">
      <c r="A196" s="123"/>
      <c r="B196" s="123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</row>
    <row x14ac:dyDescent="0.25" r="197" customHeight="1" ht="15.75">
      <c r="A197" s="123"/>
      <c r="B197" s="123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</row>
    <row x14ac:dyDescent="0.25" r="198" customHeight="1" ht="15.75">
      <c r="A198" s="123"/>
      <c r="B198" s="123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</row>
    <row x14ac:dyDescent="0.25" r="199" customHeight="1" ht="15.75">
      <c r="A199" s="123"/>
      <c r="B199" s="123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</row>
    <row x14ac:dyDescent="0.25" r="200" customHeight="1" ht="15.75">
      <c r="A200" s="123"/>
      <c r="B200" s="123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</row>
    <row x14ac:dyDescent="0.25" r="201" customHeight="1" ht="15.75">
      <c r="A201" s="123"/>
      <c r="B201" s="123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</row>
    <row x14ac:dyDescent="0.25" r="202" customHeight="1" ht="15.75">
      <c r="A202" s="123"/>
      <c r="B202" s="123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</row>
    <row x14ac:dyDescent="0.25" r="203" customHeight="1" ht="15.75">
      <c r="A203" s="123"/>
      <c r="B203" s="123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</row>
    <row x14ac:dyDescent="0.25" r="204" customHeight="1" ht="15.75">
      <c r="A204" s="123"/>
      <c r="B204" s="123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</row>
    <row x14ac:dyDescent="0.25" r="205" customHeight="1" ht="15.75">
      <c r="A205" s="123"/>
      <c r="B205" s="123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</row>
    <row x14ac:dyDescent="0.25" r="206" customHeight="1" ht="15.75">
      <c r="A206" s="123"/>
      <c r="B206" s="123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</row>
    <row x14ac:dyDescent="0.25" r="207" customHeight="1" ht="15.75">
      <c r="A207" s="123"/>
      <c r="B207" s="123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</row>
    <row x14ac:dyDescent="0.25" r="208" customHeight="1" ht="15.75">
      <c r="A208" s="123"/>
      <c r="B208" s="123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</row>
    <row x14ac:dyDescent="0.25" r="209" customHeight="1" ht="15.75">
      <c r="A209" s="123"/>
      <c r="B209" s="123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</row>
    <row x14ac:dyDescent="0.25" r="210" customHeight="1" ht="15.75">
      <c r="A210" s="123"/>
      <c r="B210" s="123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</row>
    <row x14ac:dyDescent="0.25" r="211" customHeight="1" ht="15.75">
      <c r="A211" s="123"/>
      <c r="B211" s="123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</row>
    <row x14ac:dyDescent="0.25" r="212" customHeight="1" ht="15.75">
      <c r="A212" s="123"/>
      <c r="B212" s="123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</row>
    <row x14ac:dyDescent="0.25" r="213" customHeight="1" ht="15.75">
      <c r="A213" s="123"/>
      <c r="B213" s="123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</row>
    <row x14ac:dyDescent="0.25" r="214" customHeight="1" ht="15.75">
      <c r="A214" s="123"/>
      <c r="B214" s="123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</row>
    <row x14ac:dyDescent="0.25" r="215" customHeight="1" ht="15.75">
      <c r="A215" s="123"/>
      <c r="B215" s="123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</row>
    <row x14ac:dyDescent="0.25" r="216" customHeight="1" ht="15.75">
      <c r="A216" s="123"/>
      <c r="B216" s="123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</row>
    <row x14ac:dyDescent="0.25" r="217" customHeight="1" ht="15.75">
      <c r="A217" s="123"/>
      <c r="B217" s="123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</row>
    <row x14ac:dyDescent="0.25" r="218" customHeight="1" ht="15.75">
      <c r="A218" s="123"/>
      <c r="B218" s="123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</row>
    <row x14ac:dyDescent="0.25" r="219" customHeight="1" ht="15.75">
      <c r="A219" s="123"/>
      <c r="B219" s="123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</row>
    <row x14ac:dyDescent="0.25" r="220" customHeight="1" ht="15.75">
      <c r="A220" s="123"/>
      <c r="B220" s="123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</row>
    <row x14ac:dyDescent="0.25" r="221" customHeight="1" ht="15.75">
      <c r="A221" s="123"/>
      <c r="B221" s="123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</row>
    <row x14ac:dyDescent="0.25" r="222" customHeight="1" ht="15.75">
      <c r="A222" s="123"/>
      <c r="B222" s="123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</row>
    <row x14ac:dyDescent="0.25" r="223" customHeight="1" ht="15.75">
      <c r="A223" s="123"/>
      <c r="B223" s="123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</row>
    <row x14ac:dyDescent="0.25" r="224" customHeight="1" ht="15.75">
      <c r="A224" s="123"/>
      <c r="B224" s="123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</row>
    <row x14ac:dyDescent="0.25" r="225" customHeight="1" ht="15.75">
      <c r="A225" s="123"/>
      <c r="B225" s="123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</row>
    <row x14ac:dyDescent="0.25" r="226" customHeight="1" ht="15.75">
      <c r="A226" s="123"/>
      <c r="B226" s="123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</row>
    <row x14ac:dyDescent="0.25" r="227" customHeight="1" ht="15.75">
      <c r="A227" s="123"/>
      <c r="B227" s="123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</row>
    <row x14ac:dyDescent="0.25" r="228" customHeight="1" ht="15.75">
      <c r="A228" s="123"/>
      <c r="B228" s="123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</row>
    <row x14ac:dyDescent="0.25" r="229" customHeight="1" ht="15.75">
      <c r="A229" s="123"/>
      <c r="B229" s="123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</row>
    <row x14ac:dyDescent="0.25" r="230" customHeight="1" ht="15.75">
      <c r="A230" s="123"/>
      <c r="B230" s="123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</row>
    <row x14ac:dyDescent="0.25" r="231" customHeight="1" ht="15.75">
      <c r="A231" s="123"/>
      <c r="B231" s="123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</row>
    <row x14ac:dyDescent="0.25" r="232" customHeight="1" ht="15.75">
      <c r="A232" s="123"/>
      <c r="B232" s="123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</row>
    <row x14ac:dyDescent="0.25" r="233" customHeight="1" ht="15.75">
      <c r="A233" s="123"/>
      <c r="B233" s="123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</row>
    <row x14ac:dyDescent="0.25" r="234" customHeight="1" ht="15.75">
      <c r="A234" s="123"/>
      <c r="B234" s="123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</row>
    <row x14ac:dyDescent="0.25" r="235" customHeight="1" ht="15.75">
      <c r="A235" s="123"/>
      <c r="B235" s="123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</row>
    <row x14ac:dyDescent="0.25" r="236" customHeight="1" ht="15.75">
      <c r="A236" s="123"/>
      <c r="B236" s="123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</row>
    <row x14ac:dyDescent="0.25" r="237" customHeight="1" ht="15.75">
      <c r="A237" s="123"/>
      <c r="B237" s="123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</row>
    <row x14ac:dyDescent="0.25" r="238" customHeight="1" ht="15.75">
      <c r="A238" s="123"/>
      <c r="B238" s="123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</row>
    <row x14ac:dyDescent="0.25" r="239" customHeight="1" ht="15.75">
      <c r="A239" s="123"/>
      <c r="B239" s="123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</row>
    <row x14ac:dyDescent="0.25" r="240" customHeight="1" ht="15.75">
      <c r="A240" s="123"/>
      <c r="B240" s="123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</row>
    <row x14ac:dyDescent="0.25" r="241" customHeight="1" ht="15.75">
      <c r="A241" s="123"/>
      <c r="B241" s="123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</row>
    <row x14ac:dyDescent="0.25" r="242" customHeight="1" ht="15.75">
      <c r="A242" s="123"/>
      <c r="B242" s="123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</row>
    <row x14ac:dyDescent="0.25" r="243" customHeight="1" ht="15.75">
      <c r="A243" s="123"/>
      <c r="B243" s="123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</row>
    <row x14ac:dyDescent="0.25" r="244" customHeight="1" ht="15.75">
      <c r="A244" s="123"/>
      <c r="B244" s="123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</row>
    <row x14ac:dyDescent="0.25" r="245" customHeight="1" ht="15.75">
      <c r="A245" s="123"/>
      <c r="B245" s="123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</row>
    <row x14ac:dyDescent="0.25" r="246" customHeight="1" ht="15.75">
      <c r="A246" s="123"/>
      <c r="B246" s="123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</row>
    <row x14ac:dyDescent="0.25" r="247" customHeight="1" ht="15.75">
      <c r="A247" s="123"/>
      <c r="B247" s="123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</row>
    <row x14ac:dyDescent="0.25" r="248" customHeight="1" ht="15.75">
      <c r="A248" s="123"/>
      <c r="B248" s="123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</row>
    <row x14ac:dyDescent="0.25" r="249" customHeight="1" ht="15.75">
      <c r="A249" s="123"/>
      <c r="B249" s="123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</row>
    <row x14ac:dyDescent="0.25" r="250" customHeight="1" ht="15.75">
      <c r="A250" s="123"/>
      <c r="B250" s="123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</row>
    <row x14ac:dyDescent="0.25" r="251" customHeight="1" ht="15.75">
      <c r="A251" s="123"/>
      <c r="B251" s="123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</row>
    <row x14ac:dyDescent="0.25" r="252" customHeight="1" ht="15.75">
      <c r="A252" s="123"/>
      <c r="B252" s="123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</row>
    <row x14ac:dyDescent="0.25" r="253" customHeight="1" ht="15.75">
      <c r="A253" s="123"/>
      <c r="B253" s="123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</row>
    <row x14ac:dyDescent="0.25" r="254" customHeight="1" ht="15.75">
      <c r="A254" s="123"/>
      <c r="B254" s="123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</row>
    <row x14ac:dyDescent="0.25" r="255" customHeight="1" ht="15.75">
      <c r="A255" s="123"/>
      <c r="B255" s="123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</row>
    <row x14ac:dyDescent="0.25" r="256" customHeight="1" ht="15.75">
      <c r="A256" s="123"/>
      <c r="B256" s="123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</row>
    <row x14ac:dyDescent="0.25" r="257" customHeight="1" ht="15.75">
      <c r="A257" s="123"/>
      <c r="B257" s="123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</row>
    <row x14ac:dyDescent="0.25" r="258" customHeight="1" ht="15.75">
      <c r="A258" s="123"/>
      <c r="B258" s="123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</row>
    <row x14ac:dyDescent="0.25" r="259" customHeight="1" ht="15.75">
      <c r="A259" s="123"/>
      <c r="B259" s="123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</row>
    <row x14ac:dyDescent="0.25" r="260" customHeight="1" ht="15.75">
      <c r="A260" s="123"/>
      <c r="B260" s="123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</row>
    <row x14ac:dyDescent="0.25" r="261" customHeight="1" ht="15.75">
      <c r="A261" s="123"/>
      <c r="B261" s="123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</row>
    <row x14ac:dyDescent="0.25" r="262" customHeight="1" ht="15.75">
      <c r="A262" s="123"/>
      <c r="B262" s="123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</row>
    <row x14ac:dyDescent="0.25" r="263" customHeight="1" ht="15.75">
      <c r="A263" s="123"/>
      <c r="B263" s="123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</row>
    <row x14ac:dyDescent="0.25" r="264" customHeight="1" ht="15.75">
      <c r="A264" s="123"/>
      <c r="B264" s="123"/>
      <c r="C264" s="124"/>
      <c r="D264" s="124"/>
      <c r="E264" s="124"/>
      <c r="F264" s="124"/>
      <c r="G264" s="124"/>
      <c r="H264" s="124"/>
      <c r="I264" s="124"/>
      <c r="J264" s="124"/>
      <c r="K264" s="124"/>
      <c r="L264" s="124"/>
      <c r="M264" s="124"/>
      <c r="N264" s="124"/>
      <c r="O264" s="124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</row>
    <row x14ac:dyDescent="0.25" r="265" customHeight="1" ht="15.75">
      <c r="A265" s="123"/>
      <c r="B265" s="123"/>
      <c r="C265" s="124"/>
      <c r="D265" s="124"/>
      <c r="E265" s="124"/>
      <c r="F265" s="124"/>
      <c r="G265" s="124"/>
      <c r="H265" s="124"/>
      <c r="I265" s="124"/>
      <c r="J265" s="124"/>
      <c r="K265" s="124"/>
      <c r="L265" s="124"/>
      <c r="M265" s="124"/>
      <c r="N265" s="124"/>
      <c r="O265" s="124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</row>
    <row x14ac:dyDescent="0.25" r="266" customHeight="1" ht="15.75">
      <c r="A266" s="123"/>
      <c r="B266" s="123"/>
      <c r="C266" s="124"/>
      <c r="D266" s="124"/>
      <c r="E266" s="124"/>
      <c r="F266" s="124"/>
      <c r="G266" s="124"/>
      <c r="H266" s="124"/>
      <c r="I266" s="124"/>
      <c r="J266" s="124"/>
      <c r="K266" s="124"/>
      <c r="L266" s="124"/>
      <c r="M266" s="124"/>
      <c r="N266" s="124"/>
      <c r="O266" s="124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</row>
    <row x14ac:dyDescent="0.25" r="267" customHeight="1" ht="15.75">
      <c r="A267" s="123"/>
      <c r="B267" s="123"/>
      <c r="C267" s="124"/>
      <c r="D267" s="124"/>
      <c r="E267" s="124"/>
      <c r="F267" s="124"/>
      <c r="G267" s="124"/>
      <c r="H267" s="124"/>
      <c r="I267" s="124"/>
      <c r="J267" s="124"/>
      <c r="K267" s="124"/>
      <c r="L267" s="124"/>
      <c r="M267" s="124"/>
      <c r="N267" s="124"/>
      <c r="O267" s="124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</row>
    <row x14ac:dyDescent="0.25" r="268" customHeight="1" ht="15.75">
      <c r="A268" s="123"/>
      <c r="B268" s="123"/>
      <c r="C268" s="124"/>
      <c r="D268" s="124"/>
      <c r="E268" s="124"/>
      <c r="F268" s="124"/>
      <c r="G268" s="124"/>
      <c r="H268" s="124"/>
      <c r="I268" s="124"/>
      <c r="J268" s="124"/>
      <c r="K268" s="124"/>
      <c r="L268" s="124"/>
      <c r="M268" s="124"/>
      <c r="N268" s="124"/>
      <c r="O268" s="124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</row>
    <row x14ac:dyDescent="0.25" r="269" customHeight="1" ht="15.75">
      <c r="A269" s="123"/>
      <c r="B269" s="123"/>
      <c r="C269" s="124"/>
      <c r="D269" s="124"/>
      <c r="E269" s="124"/>
      <c r="F269" s="124"/>
      <c r="G269" s="124"/>
      <c r="H269" s="124"/>
      <c r="I269" s="124"/>
      <c r="J269" s="124"/>
      <c r="K269" s="124"/>
      <c r="L269" s="124"/>
      <c r="M269" s="124"/>
      <c r="N269" s="124"/>
      <c r="O269" s="124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</row>
    <row x14ac:dyDescent="0.25" r="270" customHeight="1" ht="15.75">
      <c r="A270" s="123"/>
      <c r="B270" s="123"/>
      <c r="C270" s="124"/>
      <c r="D270" s="124"/>
      <c r="E270" s="124"/>
      <c r="F270" s="124"/>
      <c r="G270" s="124"/>
      <c r="H270" s="124"/>
      <c r="I270" s="124"/>
      <c r="J270" s="124"/>
      <c r="K270" s="124"/>
      <c r="L270" s="124"/>
      <c r="M270" s="124"/>
      <c r="N270" s="124"/>
      <c r="O270" s="124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</row>
    <row x14ac:dyDescent="0.25" r="271" customHeight="1" ht="15.75">
      <c r="A271" s="123"/>
      <c r="B271" s="123"/>
      <c r="C271" s="124"/>
      <c r="D271" s="124"/>
      <c r="E271" s="124"/>
      <c r="F271" s="124"/>
      <c r="G271" s="124"/>
      <c r="H271" s="124"/>
      <c r="I271" s="124"/>
      <c r="J271" s="124"/>
      <c r="K271" s="124"/>
      <c r="L271" s="124"/>
      <c r="M271" s="124"/>
      <c r="N271" s="124"/>
      <c r="O271" s="124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</row>
    <row x14ac:dyDescent="0.25" r="272" customHeight="1" ht="15.75">
      <c r="A272" s="123"/>
      <c r="B272" s="123"/>
      <c r="C272" s="124"/>
      <c r="D272" s="124"/>
      <c r="E272" s="124"/>
      <c r="F272" s="124"/>
      <c r="G272" s="124"/>
      <c r="H272" s="124"/>
      <c r="I272" s="124"/>
      <c r="J272" s="124"/>
      <c r="K272" s="124"/>
      <c r="L272" s="124"/>
      <c r="M272" s="124"/>
      <c r="N272" s="124"/>
      <c r="O272" s="124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</row>
    <row x14ac:dyDescent="0.25" r="273" customHeight="1" ht="15.75">
      <c r="A273" s="123"/>
      <c r="B273" s="123"/>
      <c r="C273" s="124"/>
      <c r="D273" s="124"/>
      <c r="E273" s="124"/>
      <c r="F273" s="124"/>
      <c r="G273" s="124"/>
      <c r="H273" s="124"/>
      <c r="I273" s="124"/>
      <c r="J273" s="124"/>
      <c r="K273" s="124"/>
      <c r="L273" s="124"/>
      <c r="M273" s="124"/>
      <c r="N273" s="124"/>
      <c r="O273" s="124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</row>
    <row x14ac:dyDescent="0.25" r="274" customHeight="1" ht="15.75">
      <c r="A274" s="123"/>
      <c r="B274" s="123"/>
      <c r="C274" s="124"/>
      <c r="D274" s="124"/>
      <c r="E274" s="124"/>
      <c r="F274" s="124"/>
      <c r="G274" s="124"/>
      <c r="H274" s="124"/>
      <c r="I274" s="124"/>
      <c r="J274" s="124"/>
      <c r="K274" s="124"/>
      <c r="L274" s="124"/>
      <c r="M274" s="124"/>
      <c r="N274" s="124"/>
      <c r="O274" s="124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</row>
    <row x14ac:dyDescent="0.25" r="275" customHeight="1" ht="15.75">
      <c r="A275" s="123"/>
      <c r="B275" s="123"/>
      <c r="C275" s="124"/>
      <c r="D275" s="124"/>
      <c r="E275" s="124"/>
      <c r="F275" s="124"/>
      <c r="G275" s="124"/>
      <c r="H275" s="124"/>
      <c r="I275" s="124"/>
      <c r="J275" s="124"/>
      <c r="K275" s="124"/>
      <c r="L275" s="124"/>
      <c r="M275" s="124"/>
      <c r="N275" s="124"/>
      <c r="O275" s="124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</row>
    <row x14ac:dyDescent="0.25" r="276" customHeight="1" ht="15.75">
      <c r="A276" s="123"/>
      <c r="B276" s="123"/>
      <c r="C276" s="124"/>
      <c r="D276" s="124"/>
      <c r="E276" s="124"/>
      <c r="F276" s="124"/>
      <c r="G276" s="124"/>
      <c r="H276" s="124"/>
      <c r="I276" s="124"/>
      <c r="J276" s="124"/>
      <c r="K276" s="124"/>
      <c r="L276" s="124"/>
      <c r="M276" s="124"/>
      <c r="N276" s="124"/>
      <c r="O276" s="124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</row>
    <row x14ac:dyDescent="0.25" r="277" customHeight="1" ht="15.75">
      <c r="A277" s="123"/>
      <c r="B277" s="123"/>
      <c r="C277" s="124"/>
      <c r="D277" s="124"/>
      <c r="E277" s="124"/>
      <c r="F277" s="124"/>
      <c r="G277" s="124"/>
      <c r="H277" s="124"/>
      <c r="I277" s="124"/>
      <c r="J277" s="124"/>
      <c r="K277" s="124"/>
      <c r="L277" s="124"/>
      <c r="M277" s="124"/>
      <c r="N277" s="124"/>
      <c r="O277" s="124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</row>
    <row x14ac:dyDescent="0.25" r="278" customHeight="1" ht="15.75">
      <c r="A278" s="123"/>
      <c r="B278" s="123"/>
      <c r="C278" s="124"/>
      <c r="D278" s="124"/>
      <c r="E278" s="124"/>
      <c r="F278" s="124"/>
      <c r="G278" s="124"/>
      <c r="H278" s="124"/>
      <c r="I278" s="124"/>
      <c r="J278" s="124"/>
      <c r="K278" s="124"/>
      <c r="L278" s="124"/>
      <c r="M278" s="124"/>
      <c r="N278" s="124"/>
      <c r="O278" s="124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</row>
    <row x14ac:dyDescent="0.25" r="279" customHeight="1" ht="15.75">
      <c r="A279" s="123"/>
      <c r="B279" s="123"/>
      <c r="C279" s="124"/>
      <c r="D279" s="124"/>
      <c r="E279" s="124"/>
      <c r="F279" s="124"/>
      <c r="G279" s="124"/>
      <c r="H279" s="124"/>
      <c r="I279" s="124"/>
      <c r="J279" s="124"/>
      <c r="K279" s="124"/>
      <c r="L279" s="124"/>
      <c r="M279" s="124"/>
      <c r="N279" s="124"/>
      <c r="O279" s="124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</row>
    <row x14ac:dyDescent="0.25" r="280" customHeight="1" ht="15.75">
      <c r="A280" s="123"/>
      <c r="B280" s="123"/>
      <c r="C280" s="124"/>
      <c r="D280" s="124"/>
      <c r="E280" s="124"/>
      <c r="F280" s="124"/>
      <c r="G280" s="124"/>
      <c r="H280" s="124"/>
      <c r="I280" s="124"/>
      <c r="J280" s="124"/>
      <c r="K280" s="124"/>
      <c r="L280" s="124"/>
      <c r="M280" s="124"/>
      <c r="N280" s="124"/>
      <c r="O280" s="124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</row>
    <row x14ac:dyDescent="0.25" r="281" customHeight="1" ht="15.75">
      <c r="A281" s="123"/>
      <c r="B281" s="123"/>
      <c r="C281" s="124"/>
      <c r="D281" s="124"/>
      <c r="E281" s="124"/>
      <c r="F281" s="124"/>
      <c r="G281" s="124"/>
      <c r="H281" s="124"/>
      <c r="I281" s="124"/>
      <c r="J281" s="124"/>
      <c r="K281" s="124"/>
      <c r="L281" s="124"/>
      <c r="M281" s="124"/>
      <c r="N281" s="124"/>
      <c r="O281" s="124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</row>
    <row x14ac:dyDescent="0.25" r="282" customHeight="1" ht="15.75">
      <c r="A282" s="123"/>
      <c r="B282" s="123"/>
      <c r="C282" s="124"/>
      <c r="D282" s="124"/>
      <c r="E282" s="124"/>
      <c r="F282" s="124"/>
      <c r="G282" s="124"/>
      <c r="H282" s="124"/>
      <c r="I282" s="124"/>
      <c r="J282" s="124"/>
      <c r="K282" s="124"/>
      <c r="L282" s="124"/>
      <c r="M282" s="124"/>
      <c r="N282" s="124"/>
      <c r="O282" s="124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</row>
    <row x14ac:dyDescent="0.25" r="283" customHeight="1" ht="15.75">
      <c r="A283" s="123"/>
      <c r="B283" s="123"/>
      <c r="C283" s="124"/>
      <c r="D283" s="124"/>
      <c r="E283" s="124"/>
      <c r="F283" s="124"/>
      <c r="G283" s="124"/>
      <c r="H283" s="124"/>
      <c r="I283" s="124"/>
      <c r="J283" s="124"/>
      <c r="K283" s="124"/>
      <c r="L283" s="124"/>
      <c r="M283" s="124"/>
      <c r="N283" s="124"/>
      <c r="O283" s="124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</row>
    <row x14ac:dyDescent="0.25" r="284" customHeight="1" ht="15.75">
      <c r="A284" s="123"/>
      <c r="B284" s="123"/>
      <c r="C284" s="124"/>
      <c r="D284" s="124"/>
      <c r="E284" s="124"/>
      <c r="F284" s="124"/>
      <c r="G284" s="124"/>
      <c r="H284" s="124"/>
      <c r="I284" s="124"/>
      <c r="J284" s="124"/>
      <c r="K284" s="124"/>
      <c r="L284" s="124"/>
      <c r="M284" s="124"/>
      <c r="N284" s="124"/>
      <c r="O284" s="124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</row>
    <row x14ac:dyDescent="0.25" r="285" customHeight="1" ht="15.75">
      <c r="A285" s="123"/>
      <c r="B285" s="123"/>
      <c r="C285" s="124"/>
      <c r="D285" s="124"/>
      <c r="E285" s="124"/>
      <c r="F285" s="124"/>
      <c r="G285" s="124"/>
      <c r="H285" s="124"/>
      <c r="I285" s="124"/>
      <c r="J285" s="124"/>
      <c r="K285" s="124"/>
      <c r="L285" s="124"/>
      <c r="M285" s="124"/>
      <c r="N285" s="124"/>
      <c r="O285" s="124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</row>
    <row x14ac:dyDescent="0.25" r="286" customHeight="1" ht="15.75">
      <c r="A286" s="123"/>
      <c r="B286" s="123"/>
      <c r="C286" s="124"/>
      <c r="D286" s="124"/>
      <c r="E286" s="124"/>
      <c r="F286" s="124"/>
      <c r="G286" s="124"/>
      <c r="H286" s="124"/>
      <c r="I286" s="124"/>
      <c r="J286" s="124"/>
      <c r="K286" s="124"/>
      <c r="L286" s="124"/>
      <c r="M286" s="124"/>
      <c r="N286" s="124"/>
      <c r="O286" s="124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</row>
    <row x14ac:dyDescent="0.25" r="287" customHeight="1" ht="15.75">
      <c r="A287" s="123"/>
      <c r="B287" s="123"/>
      <c r="C287" s="124"/>
      <c r="D287" s="124"/>
      <c r="E287" s="124"/>
      <c r="F287" s="124"/>
      <c r="G287" s="124"/>
      <c r="H287" s="124"/>
      <c r="I287" s="124"/>
      <c r="J287" s="124"/>
      <c r="K287" s="124"/>
      <c r="L287" s="124"/>
      <c r="M287" s="124"/>
      <c r="N287" s="124"/>
      <c r="O287" s="124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</row>
    <row x14ac:dyDescent="0.25" r="288" customHeight="1" ht="15.75">
      <c r="A288" s="123"/>
      <c r="B288" s="123"/>
      <c r="C288" s="124"/>
      <c r="D288" s="124"/>
      <c r="E288" s="124"/>
      <c r="F288" s="124"/>
      <c r="G288" s="124"/>
      <c r="H288" s="124"/>
      <c r="I288" s="124"/>
      <c r="J288" s="124"/>
      <c r="K288" s="124"/>
      <c r="L288" s="124"/>
      <c r="M288" s="124"/>
      <c r="N288" s="124"/>
      <c r="O288" s="124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</row>
    <row x14ac:dyDescent="0.25" r="289" customHeight="1" ht="15.75">
      <c r="A289" s="123"/>
      <c r="B289" s="123"/>
      <c r="C289" s="124"/>
      <c r="D289" s="124"/>
      <c r="E289" s="124"/>
      <c r="F289" s="124"/>
      <c r="G289" s="124"/>
      <c r="H289" s="124"/>
      <c r="I289" s="124"/>
      <c r="J289" s="124"/>
      <c r="K289" s="124"/>
      <c r="L289" s="124"/>
      <c r="M289" s="124"/>
      <c r="N289" s="124"/>
      <c r="O289" s="124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</row>
    <row x14ac:dyDescent="0.25" r="290" customHeight="1" ht="15.75">
      <c r="A290" s="123"/>
      <c r="B290" s="123"/>
      <c r="C290" s="124"/>
      <c r="D290" s="124"/>
      <c r="E290" s="124"/>
      <c r="F290" s="124"/>
      <c r="G290" s="124"/>
      <c r="H290" s="124"/>
      <c r="I290" s="124"/>
      <c r="J290" s="124"/>
      <c r="K290" s="124"/>
      <c r="L290" s="124"/>
      <c r="M290" s="124"/>
      <c r="N290" s="124"/>
      <c r="O290" s="124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</row>
    <row x14ac:dyDescent="0.25" r="291" customHeight="1" ht="15.75">
      <c r="A291" s="123"/>
      <c r="B291" s="123"/>
      <c r="C291" s="124"/>
      <c r="D291" s="124"/>
      <c r="E291" s="124"/>
      <c r="F291" s="124"/>
      <c r="G291" s="124"/>
      <c r="H291" s="124"/>
      <c r="I291" s="124"/>
      <c r="J291" s="124"/>
      <c r="K291" s="124"/>
      <c r="L291" s="124"/>
      <c r="M291" s="124"/>
      <c r="N291" s="124"/>
      <c r="O291" s="124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</row>
    <row x14ac:dyDescent="0.25" r="292" customHeight="1" ht="15.75">
      <c r="A292" s="123"/>
      <c r="B292" s="123"/>
      <c r="C292" s="124"/>
      <c r="D292" s="124"/>
      <c r="E292" s="124"/>
      <c r="F292" s="124"/>
      <c r="G292" s="124"/>
      <c r="H292" s="124"/>
      <c r="I292" s="124"/>
      <c r="J292" s="124"/>
      <c r="K292" s="124"/>
      <c r="L292" s="124"/>
      <c r="M292" s="124"/>
      <c r="N292" s="124"/>
      <c r="O292" s="124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</row>
    <row x14ac:dyDescent="0.25" r="293" customHeight="1" ht="15.75">
      <c r="A293" s="123"/>
      <c r="B293" s="123"/>
      <c r="C293" s="124"/>
      <c r="D293" s="124"/>
      <c r="E293" s="124"/>
      <c r="F293" s="124"/>
      <c r="G293" s="124"/>
      <c r="H293" s="124"/>
      <c r="I293" s="124"/>
      <c r="J293" s="124"/>
      <c r="K293" s="124"/>
      <c r="L293" s="124"/>
      <c r="M293" s="124"/>
      <c r="N293" s="124"/>
      <c r="O293" s="124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</row>
    <row x14ac:dyDescent="0.25" r="294" customHeight="1" ht="15.75">
      <c r="A294" s="123"/>
      <c r="B294" s="123"/>
      <c r="C294" s="124"/>
      <c r="D294" s="124"/>
      <c r="E294" s="124"/>
      <c r="F294" s="124"/>
      <c r="G294" s="124"/>
      <c r="H294" s="124"/>
      <c r="I294" s="124"/>
      <c r="J294" s="124"/>
      <c r="K294" s="124"/>
      <c r="L294" s="124"/>
      <c r="M294" s="124"/>
      <c r="N294" s="124"/>
      <c r="O294" s="124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</row>
    <row x14ac:dyDescent="0.25" r="295" customHeight="1" ht="15.75">
      <c r="A295" s="123"/>
      <c r="B295" s="123"/>
      <c r="C295" s="124"/>
      <c r="D295" s="124"/>
      <c r="E295" s="124"/>
      <c r="F295" s="124"/>
      <c r="G295" s="124"/>
      <c r="H295" s="124"/>
      <c r="I295" s="124"/>
      <c r="J295" s="124"/>
      <c r="K295" s="124"/>
      <c r="L295" s="124"/>
      <c r="M295" s="124"/>
      <c r="N295" s="124"/>
      <c r="O295" s="124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</row>
    <row x14ac:dyDescent="0.25" r="296" customHeight="1" ht="15.75">
      <c r="A296" s="123"/>
      <c r="B296" s="123"/>
      <c r="C296" s="124"/>
      <c r="D296" s="124"/>
      <c r="E296" s="124"/>
      <c r="F296" s="124"/>
      <c r="G296" s="124"/>
      <c r="H296" s="124"/>
      <c r="I296" s="124"/>
      <c r="J296" s="124"/>
      <c r="K296" s="124"/>
      <c r="L296" s="124"/>
      <c r="M296" s="124"/>
      <c r="N296" s="124"/>
      <c r="O296" s="124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</row>
    <row x14ac:dyDescent="0.25" r="297" customHeight="1" ht="15.75">
      <c r="A297" s="123"/>
      <c r="B297" s="123"/>
      <c r="C297" s="124"/>
      <c r="D297" s="124"/>
      <c r="E297" s="124"/>
      <c r="F297" s="124"/>
      <c r="G297" s="124"/>
      <c r="H297" s="124"/>
      <c r="I297" s="124"/>
      <c r="J297" s="124"/>
      <c r="K297" s="124"/>
      <c r="L297" s="124"/>
      <c r="M297" s="124"/>
      <c r="N297" s="124"/>
      <c r="O297" s="124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</row>
    <row x14ac:dyDescent="0.25" r="298" customHeight="1" ht="15.75">
      <c r="A298" s="123"/>
      <c r="B298" s="123"/>
      <c r="C298" s="124"/>
      <c r="D298" s="124"/>
      <c r="E298" s="124"/>
      <c r="F298" s="124"/>
      <c r="G298" s="124"/>
      <c r="H298" s="124"/>
      <c r="I298" s="124"/>
      <c r="J298" s="124"/>
      <c r="K298" s="124"/>
      <c r="L298" s="124"/>
      <c r="M298" s="124"/>
      <c r="N298" s="124"/>
      <c r="O298" s="124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</row>
    <row x14ac:dyDescent="0.25" r="299" customHeight="1" ht="15.75">
      <c r="A299" s="123"/>
      <c r="B299" s="123"/>
      <c r="C299" s="124"/>
      <c r="D299" s="124"/>
      <c r="E299" s="124"/>
      <c r="F299" s="124"/>
      <c r="G299" s="124"/>
      <c r="H299" s="124"/>
      <c r="I299" s="124"/>
      <c r="J299" s="124"/>
      <c r="K299" s="124"/>
      <c r="L299" s="124"/>
      <c r="M299" s="124"/>
      <c r="N299" s="124"/>
      <c r="O299" s="124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</row>
    <row x14ac:dyDescent="0.25" r="300" customHeight="1" ht="15.75">
      <c r="A300" s="123"/>
      <c r="B300" s="123"/>
      <c r="C300" s="124"/>
      <c r="D300" s="124"/>
      <c r="E300" s="124"/>
      <c r="F300" s="124"/>
      <c r="G300" s="124"/>
      <c r="H300" s="124"/>
      <c r="I300" s="124"/>
      <c r="J300" s="124"/>
      <c r="K300" s="124"/>
      <c r="L300" s="124"/>
      <c r="M300" s="124"/>
      <c r="N300" s="124"/>
      <c r="O300" s="124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</row>
    <row x14ac:dyDescent="0.25" r="301" customHeight="1" ht="15.75">
      <c r="A301" s="123"/>
      <c r="B301" s="123"/>
      <c r="C301" s="124"/>
      <c r="D301" s="124"/>
      <c r="E301" s="124"/>
      <c r="F301" s="124"/>
      <c r="G301" s="124"/>
      <c r="H301" s="124"/>
      <c r="I301" s="124"/>
      <c r="J301" s="124"/>
      <c r="K301" s="124"/>
      <c r="L301" s="124"/>
      <c r="M301" s="124"/>
      <c r="N301" s="124"/>
      <c r="O301" s="124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</row>
    <row x14ac:dyDescent="0.25" r="302" customHeight="1" ht="15.75">
      <c r="A302" s="123"/>
      <c r="B302" s="123"/>
      <c r="C302" s="124"/>
      <c r="D302" s="124"/>
      <c r="E302" s="124"/>
      <c r="F302" s="124"/>
      <c r="G302" s="124"/>
      <c r="H302" s="124"/>
      <c r="I302" s="124"/>
      <c r="J302" s="124"/>
      <c r="K302" s="124"/>
      <c r="L302" s="124"/>
      <c r="M302" s="124"/>
      <c r="N302" s="124"/>
      <c r="O302" s="124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</row>
    <row x14ac:dyDescent="0.25" r="303" customHeight="1" ht="15.75">
      <c r="A303" s="123"/>
      <c r="B303" s="123"/>
      <c r="C303" s="124"/>
      <c r="D303" s="124"/>
      <c r="E303" s="124"/>
      <c r="F303" s="124"/>
      <c r="G303" s="124"/>
      <c r="H303" s="124"/>
      <c r="I303" s="124"/>
      <c r="J303" s="124"/>
      <c r="K303" s="124"/>
      <c r="L303" s="124"/>
      <c r="M303" s="124"/>
      <c r="N303" s="124"/>
      <c r="O303" s="124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</row>
    <row x14ac:dyDescent="0.25" r="304" customHeight="1" ht="15.75">
      <c r="A304" s="123"/>
      <c r="B304" s="123"/>
      <c r="C304" s="124"/>
      <c r="D304" s="124"/>
      <c r="E304" s="124"/>
      <c r="F304" s="124"/>
      <c r="G304" s="124"/>
      <c r="H304" s="124"/>
      <c r="I304" s="124"/>
      <c r="J304" s="124"/>
      <c r="K304" s="124"/>
      <c r="L304" s="124"/>
      <c r="M304" s="124"/>
      <c r="N304" s="124"/>
      <c r="O304" s="124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</row>
    <row x14ac:dyDescent="0.25" r="305" customHeight="1" ht="15.75">
      <c r="A305" s="123"/>
      <c r="B305" s="123"/>
      <c r="C305" s="124"/>
      <c r="D305" s="124"/>
      <c r="E305" s="124"/>
      <c r="F305" s="124"/>
      <c r="G305" s="124"/>
      <c r="H305" s="124"/>
      <c r="I305" s="124"/>
      <c r="J305" s="124"/>
      <c r="K305" s="124"/>
      <c r="L305" s="124"/>
      <c r="M305" s="124"/>
      <c r="N305" s="124"/>
      <c r="O305" s="124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</row>
    <row x14ac:dyDescent="0.25" r="306" customHeight="1" ht="15.75">
      <c r="A306" s="123"/>
      <c r="B306" s="123"/>
      <c r="C306" s="124"/>
      <c r="D306" s="124"/>
      <c r="E306" s="124"/>
      <c r="F306" s="124"/>
      <c r="G306" s="124"/>
      <c r="H306" s="124"/>
      <c r="I306" s="124"/>
      <c r="J306" s="124"/>
      <c r="K306" s="124"/>
      <c r="L306" s="124"/>
      <c r="M306" s="124"/>
      <c r="N306" s="124"/>
      <c r="O306" s="124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</row>
    <row x14ac:dyDescent="0.25" r="307" customHeight="1" ht="15.75">
      <c r="A307" s="123"/>
      <c r="B307" s="123"/>
      <c r="C307" s="124"/>
      <c r="D307" s="124"/>
      <c r="E307" s="124"/>
      <c r="F307" s="124"/>
      <c r="G307" s="124"/>
      <c r="H307" s="124"/>
      <c r="I307" s="124"/>
      <c r="J307" s="124"/>
      <c r="K307" s="124"/>
      <c r="L307" s="124"/>
      <c r="M307" s="124"/>
      <c r="N307" s="124"/>
      <c r="O307" s="124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</row>
    <row x14ac:dyDescent="0.25" r="308" customHeight="1" ht="15.75">
      <c r="A308" s="123"/>
      <c r="B308" s="123"/>
      <c r="C308" s="124"/>
      <c r="D308" s="124"/>
      <c r="E308" s="124"/>
      <c r="F308" s="124"/>
      <c r="G308" s="124"/>
      <c r="H308" s="124"/>
      <c r="I308" s="124"/>
      <c r="J308" s="124"/>
      <c r="K308" s="124"/>
      <c r="L308" s="124"/>
      <c r="M308" s="124"/>
      <c r="N308" s="124"/>
      <c r="O308" s="124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</row>
    <row x14ac:dyDescent="0.25" r="309" customHeight="1" ht="15.75">
      <c r="A309" s="123"/>
      <c r="B309" s="123"/>
      <c r="C309" s="124"/>
      <c r="D309" s="124"/>
      <c r="E309" s="124"/>
      <c r="F309" s="124"/>
      <c r="G309" s="124"/>
      <c r="H309" s="124"/>
      <c r="I309" s="124"/>
      <c r="J309" s="124"/>
      <c r="K309" s="124"/>
      <c r="L309" s="124"/>
      <c r="M309" s="124"/>
      <c r="N309" s="124"/>
      <c r="O309" s="124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</row>
    <row x14ac:dyDescent="0.25" r="310" customHeight="1" ht="15.75">
      <c r="A310" s="123"/>
      <c r="B310" s="123"/>
      <c r="C310" s="124"/>
      <c r="D310" s="124"/>
      <c r="E310" s="124"/>
      <c r="F310" s="124"/>
      <c r="G310" s="124"/>
      <c r="H310" s="124"/>
      <c r="I310" s="124"/>
      <c r="J310" s="124"/>
      <c r="K310" s="124"/>
      <c r="L310" s="124"/>
      <c r="M310" s="124"/>
      <c r="N310" s="124"/>
      <c r="O310" s="124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</row>
    <row x14ac:dyDescent="0.25" r="311" customHeight="1" ht="15.75">
      <c r="A311" s="123"/>
      <c r="B311" s="123"/>
      <c r="C311" s="124"/>
      <c r="D311" s="124"/>
      <c r="E311" s="124"/>
      <c r="F311" s="124"/>
      <c r="G311" s="124"/>
      <c r="H311" s="124"/>
      <c r="I311" s="124"/>
      <c r="J311" s="124"/>
      <c r="K311" s="124"/>
      <c r="L311" s="124"/>
      <c r="M311" s="124"/>
      <c r="N311" s="124"/>
      <c r="O311" s="124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</row>
    <row x14ac:dyDescent="0.25" r="312" customHeight="1" ht="15.75">
      <c r="A312" s="123"/>
      <c r="B312" s="123"/>
      <c r="C312" s="124"/>
      <c r="D312" s="124"/>
      <c r="E312" s="124"/>
      <c r="F312" s="124"/>
      <c r="G312" s="124"/>
      <c r="H312" s="124"/>
      <c r="I312" s="124"/>
      <c r="J312" s="124"/>
      <c r="K312" s="124"/>
      <c r="L312" s="124"/>
      <c r="M312" s="124"/>
      <c r="N312" s="124"/>
      <c r="O312" s="124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</row>
    <row x14ac:dyDescent="0.25" r="313" customHeight="1" ht="15.75">
      <c r="A313" s="123"/>
      <c r="B313" s="123"/>
      <c r="C313" s="124"/>
      <c r="D313" s="124"/>
      <c r="E313" s="124"/>
      <c r="F313" s="124"/>
      <c r="G313" s="124"/>
      <c r="H313" s="124"/>
      <c r="I313" s="124"/>
      <c r="J313" s="124"/>
      <c r="K313" s="124"/>
      <c r="L313" s="124"/>
      <c r="M313" s="124"/>
      <c r="N313" s="124"/>
      <c r="O313" s="124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</row>
    <row x14ac:dyDescent="0.25" r="314" customHeight="1" ht="15.75">
      <c r="A314" s="123"/>
      <c r="B314" s="123"/>
      <c r="C314" s="124"/>
      <c r="D314" s="124"/>
      <c r="E314" s="124"/>
      <c r="F314" s="124"/>
      <c r="G314" s="124"/>
      <c r="H314" s="124"/>
      <c r="I314" s="124"/>
      <c r="J314" s="124"/>
      <c r="K314" s="124"/>
      <c r="L314" s="124"/>
      <c r="M314" s="124"/>
      <c r="N314" s="124"/>
      <c r="O314" s="124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</row>
    <row x14ac:dyDescent="0.25" r="315" customHeight="1" ht="15.75">
      <c r="A315" s="123"/>
      <c r="B315" s="123"/>
      <c r="C315" s="124"/>
      <c r="D315" s="124"/>
      <c r="E315" s="124"/>
      <c r="F315" s="124"/>
      <c r="G315" s="124"/>
      <c r="H315" s="124"/>
      <c r="I315" s="124"/>
      <c r="J315" s="124"/>
      <c r="K315" s="124"/>
      <c r="L315" s="124"/>
      <c r="M315" s="124"/>
      <c r="N315" s="124"/>
      <c r="O315" s="124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</row>
    <row x14ac:dyDescent="0.25" r="316" customHeight="1" ht="15.75">
      <c r="A316" s="123"/>
      <c r="B316" s="123"/>
      <c r="C316" s="124"/>
      <c r="D316" s="124"/>
      <c r="E316" s="124"/>
      <c r="F316" s="124"/>
      <c r="G316" s="124"/>
      <c r="H316" s="124"/>
      <c r="I316" s="124"/>
      <c r="J316" s="124"/>
      <c r="K316" s="124"/>
      <c r="L316" s="124"/>
      <c r="M316" s="124"/>
      <c r="N316" s="124"/>
      <c r="O316" s="124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</row>
    <row x14ac:dyDescent="0.25" r="317" customHeight="1" ht="15.75">
      <c r="A317" s="123"/>
      <c r="B317" s="123"/>
      <c r="C317" s="124"/>
      <c r="D317" s="124"/>
      <c r="E317" s="124"/>
      <c r="F317" s="124"/>
      <c r="G317" s="124"/>
      <c r="H317" s="124"/>
      <c r="I317" s="124"/>
      <c r="J317" s="124"/>
      <c r="K317" s="124"/>
      <c r="L317" s="124"/>
      <c r="M317" s="124"/>
      <c r="N317" s="124"/>
      <c r="O317" s="124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</row>
    <row x14ac:dyDescent="0.25" r="318" customHeight="1" ht="15.75">
      <c r="A318" s="123"/>
      <c r="B318" s="123"/>
      <c r="C318" s="124"/>
      <c r="D318" s="124"/>
      <c r="E318" s="124"/>
      <c r="F318" s="124"/>
      <c r="G318" s="124"/>
      <c r="H318" s="124"/>
      <c r="I318" s="124"/>
      <c r="J318" s="124"/>
      <c r="K318" s="124"/>
      <c r="L318" s="124"/>
      <c r="M318" s="124"/>
      <c r="N318" s="124"/>
      <c r="O318" s="124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</row>
    <row x14ac:dyDescent="0.25" r="319" customHeight="1" ht="15.75">
      <c r="A319" s="123"/>
      <c r="B319" s="123"/>
      <c r="C319" s="124"/>
      <c r="D319" s="124"/>
      <c r="E319" s="124"/>
      <c r="F319" s="124"/>
      <c r="G319" s="124"/>
      <c r="H319" s="124"/>
      <c r="I319" s="124"/>
      <c r="J319" s="124"/>
      <c r="K319" s="124"/>
      <c r="L319" s="124"/>
      <c r="M319" s="124"/>
      <c r="N319" s="124"/>
      <c r="O319" s="124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</row>
    <row x14ac:dyDescent="0.25" r="320" customHeight="1" ht="15.75">
      <c r="A320" s="123"/>
      <c r="B320" s="123"/>
      <c r="C320" s="124"/>
      <c r="D320" s="124"/>
      <c r="E320" s="124"/>
      <c r="F320" s="124"/>
      <c r="G320" s="124"/>
      <c r="H320" s="124"/>
      <c r="I320" s="124"/>
      <c r="J320" s="124"/>
      <c r="K320" s="124"/>
      <c r="L320" s="124"/>
      <c r="M320" s="124"/>
      <c r="N320" s="124"/>
      <c r="O320" s="124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</row>
    <row x14ac:dyDescent="0.25" r="321" customHeight="1" ht="15.75">
      <c r="A321" s="123"/>
      <c r="B321" s="123"/>
      <c r="C321" s="124"/>
      <c r="D321" s="124"/>
      <c r="E321" s="124"/>
      <c r="F321" s="124"/>
      <c r="G321" s="124"/>
      <c r="H321" s="124"/>
      <c r="I321" s="124"/>
      <c r="J321" s="124"/>
      <c r="K321" s="124"/>
      <c r="L321" s="124"/>
      <c r="M321" s="124"/>
      <c r="N321" s="124"/>
      <c r="O321" s="124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</row>
    <row x14ac:dyDescent="0.25" r="322" customHeight="1" ht="15.75">
      <c r="A322" s="123"/>
      <c r="B322" s="123"/>
      <c r="C322" s="124"/>
      <c r="D322" s="124"/>
      <c r="E322" s="124"/>
      <c r="F322" s="124"/>
      <c r="G322" s="124"/>
      <c r="H322" s="124"/>
      <c r="I322" s="124"/>
      <c r="J322" s="124"/>
      <c r="K322" s="124"/>
      <c r="L322" s="124"/>
      <c r="M322" s="124"/>
      <c r="N322" s="124"/>
      <c r="O322" s="124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</row>
    <row x14ac:dyDescent="0.25" r="323" customHeight="1" ht="15.75">
      <c r="A323" s="123"/>
      <c r="B323" s="123"/>
      <c r="C323" s="124"/>
      <c r="D323" s="124"/>
      <c r="E323" s="124"/>
      <c r="F323" s="124"/>
      <c r="G323" s="124"/>
      <c r="H323" s="124"/>
      <c r="I323" s="124"/>
      <c r="J323" s="124"/>
      <c r="K323" s="124"/>
      <c r="L323" s="124"/>
      <c r="M323" s="124"/>
      <c r="N323" s="124"/>
      <c r="O323" s="124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</row>
    <row x14ac:dyDescent="0.25" r="324" customHeight="1" ht="15.75">
      <c r="A324" s="123"/>
      <c r="B324" s="123"/>
      <c r="C324" s="124"/>
      <c r="D324" s="124"/>
      <c r="E324" s="124"/>
      <c r="F324" s="124"/>
      <c r="G324" s="124"/>
      <c r="H324" s="124"/>
      <c r="I324" s="124"/>
      <c r="J324" s="124"/>
      <c r="K324" s="124"/>
      <c r="L324" s="124"/>
      <c r="M324" s="124"/>
      <c r="N324" s="124"/>
      <c r="O324" s="124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</row>
    <row x14ac:dyDescent="0.25" r="325" customHeight="1" ht="15.75">
      <c r="A325" s="123"/>
      <c r="B325" s="123"/>
      <c r="C325" s="124"/>
      <c r="D325" s="124"/>
      <c r="E325" s="124"/>
      <c r="F325" s="124"/>
      <c r="G325" s="124"/>
      <c r="H325" s="124"/>
      <c r="I325" s="124"/>
      <c r="J325" s="124"/>
      <c r="K325" s="124"/>
      <c r="L325" s="124"/>
      <c r="M325" s="124"/>
      <c r="N325" s="124"/>
      <c r="O325" s="124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</row>
    <row x14ac:dyDescent="0.25" r="326" customHeight="1" ht="15.75">
      <c r="A326" s="123"/>
      <c r="B326" s="123"/>
      <c r="C326" s="124"/>
      <c r="D326" s="124"/>
      <c r="E326" s="124"/>
      <c r="F326" s="124"/>
      <c r="G326" s="124"/>
      <c r="H326" s="124"/>
      <c r="I326" s="124"/>
      <c r="J326" s="124"/>
      <c r="K326" s="124"/>
      <c r="L326" s="124"/>
      <c r="M326" s="124"/>
      <c r="N326" s="124"/>
      <c r="O326" s="124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</row>
    <row x14ac:dyDescent="0.25" r="327" customHeight="1" ht="15.75">
      <c r="A327" s="123"/>
      <c r="B327" s="123"/>
      <c r="C327" s="124"/>
      <c r="D327" s="124"/>
      <c r="E327" s="124"/>
      <c r="F327" s="124"/>
      <c r="G327" s="124"/>
      <c r="H327" s="124"/>
      <c r="I327" s="124"/>
      <c r="J327" s="124"/>
      <c r="K327" s="124"/>
      <c r="L327" s="124"/>
      <c r="M327" s="124"/>
      <c r="N327" s="124"/>
      <c r="O327" s="124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</row>
    <row x14ac:dyDescent="0.25" r="328" customHeight="1" ht="15.75">
      <c r="A328" s="123"/>
      <c r="B328" s="123"/>
      <c r="C328" s="124"/>
      <c r="D328" s="124"/>
      <c r="E328" s="124"/>
      <c r="F328" s="124"/>
      <c r="G328" s="124"/>
      <c r="H328" s="124"/>
      <c r="I328" s="124"/>
      <c r="J328" s="124"/>
      <c r="K328" s="124"/>
      <c r="L328" s="124"/>
      <c r="M328" s="124"/>
      <c r="N328" s="124"/>
      <c r="O328" s="124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</row>
    <row x14ac:dyDescent="0.25" r="329" customHeight="1" ht="15.75">
      <c r="A329" s="123"/>
      <c r="B329" s="123"/>
      <c r="C329" s="124"/>
      <c r="D329" s="124"/>
      <c r="E329" s="124"/>
      <c r="F329" s="124"/>
      <c r="G329" s="124"/>
      <c r="H329" s="124"/>
      <c r="I329" s="124"/>
      <c r="J329" s="124"/>
      <c r="K329" s="124"/>
      <c r="L329" s="124"/>
      <c r="M329" s="124"/>
      <c r="N329" s="124"/>
      <c r="O329" s="124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</row>
    <row x14ac:dyDescent="0.25" r="330" customHeight="1" ht="15.75">
      <c r="A330" s="123"/>
      <c r="B330" s="123"/>
      <c r="C330" s="124"/>
      <c r="D330" s="124"/>
      <c r="E330" s="124"/>
      <c r="F330" s="124"/>
      <c r="G330" s="124"/>
      <c r="H330" s="124"/>
      <c r="I330" s="124"/>
      <c r="J330" s="124"/>
      <c r="K330" s="124"/>
      <c r="L330" s="124"/>
      <c r="M330" s="124"/>
      <c r="N330" s="124"/>
      <c r="O330" s="124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</row>
    <row x14ac:dyDescent="0.25" r="331" customHeight="1" ht="15.75">
      <c r="A331" s="123"/>
      <c r="B331" s="123"/>
      <c r="C331" s="124"/>
      <c r="D331" s="124"/>
      <c r="E331" s="124"/>
      <c r="F331" s="124"/>
      <c r="G331" s="124"/>
      <c r="H331" s="124"/>
      <c r="I331" s="124"/>
      <c r="J331" s="124"/>
      <c r="K331" s="124"/>
      <c r="L331" s="124"/>
      <c r="M331" s="124"/>
      <c r="N331" s="124"/>
      <c r="O331" s="124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</row>
    <row x14ac:dyDescent="0.25" r="332" customHeight="1" ht="15.75">
      <c r="A332" s="123"/>
      <c r="B332" s="123"/>
      <c r="C332" s="124"/>
      <c r="D332" s="124"/>
      <c r="E332" s="124"/>
      <c r="F332" s="124"/>
      <c r="G332" s="124"/>
      <c r="H332" s="124"/>
      <c r="I332" s="124"/>
      <c r="J332" s="124"/>
      <c r="K332" s="124"/>
      <c r="L332" s="124"/>
      <c r="M332" s="124"/>
      <c r="N332" s="124"/>
      <c r="O332" s="124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</row>
    <row x14ac:dyDescent="0.25" r="333" customHeight="1" ht="15.75">
      <c r="A333" s="123"/>
      <c r="B333" s="123"/>
      <c r="C333" s="124"/>
      <c r="D333" s="124"/>
      <c r="E333" s="124"/>
      <c r="F333" s="124"/>
      <c r="G333" s="124"/>
      <c r="H333" s="124"/>
      <c r="I333" s="124"/>
      <c r="J333" s="124"/>
      <c r="K333" s="124"/>
      <c r="L333" s="124"/>
      <c r="M333" s="124"/>
      <c r="N333" s="124"/>
      <c r="O333" s="124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</row>
    <row x14ac:dyDescent="0.25" r="334" customHeight="1" ht="15.75">
      <c r="A334" s="123"/>
      <c r="B334" s="123"/>
      <c r="C334" s="124"/>
      <c r="D334" s="124"/>
      <c r="E334" s="124"/>
      <c r="F334" s="124"/>
      <c r="G334" s="124"/>
      <c r="H334" s="124"/>
      <c r="I334" s="124"/>
      <c r="J334" s="124"/>
      <c r="K334" s="124"/>
      <c r="L334" s="124"/>
      <c r="M334" s="124"/>
      <c r="N334" s="124"/>
      <c r="O334" s="124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</row>
    <row x14ac:dyDescent="0.25" r="335" customHeight="1" ht="15.75">
      <c r="A335" s="123"/>
      <c r="B335" s="123"/>
      <c r="C335" s="124"/>
      <c r="D335" s="124"/>
      <c r="E335" s="124"/>
      <c r="F335" s="124"/>
      <c r="G335" s="124"/>
      <c r="H335" s="124"/>
      <c r="I335" s="124"/>
      <c r="J335" s="124"/>
      <c r="K335" s="124"/>
      <c r="L335" s="124"/>
      <c r="M335" s="124"/>
      <c r="N335" s="124"/>
      <c r="O335" s="124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</row>
    <row x14ac:dyDescent="0.25" r="336" customHeight="1" ht="15.75">
      <c r="A336" s="123"/>
      <c r="B336" s="123"/>
      <c r="C336" s="124"/>
      <c r="D336" s="124"/>
      <c r="E336" s="124"/>
      <c r="F336" s="124"/>
      <c r="G336" s="124"/>
      <c r="H336" s="124"/>
      <c r="I336" s="124"/>
      <c r="J336" s="124"/>
      <c r="K336" s="124"/>
      <c r="L336" s="124"/>
      <c r="M336" s="124"/>
      <c r="N336" s="124"/>
      <c r="O336" s="124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</row>
    <row x14ac:dyDescent="0.25" r="337" customHeight="1" ht="15.75">
      <c r="A337" s="123"/>
      <c r="B337" s="123"/>
      <c r="C337" s="124"/>
      <c r="D337" s="124"/>
      <c r="E337" s="124"/>
      <c r="F337" s="124"/>
      <c r="G337" s="124"/>
      <c r="H337" s="124"/>
      <c r="I337" s="124"/>
      <c r="J337" s="124"/>
      <c r="K337" s="124"/>
      <c r="L337" s="124"/>
      <c r="M337" s="124"/>
      <c r="N337" s="124"/>
      <c r="O337" s="124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</row>
    <row x14ac:dyDescent="0.25" r="338" customHeight="1" ht="15.75">
      <c r="A338" s="123"/>
      <c r="B338" s="123"/>
      <c r="C338" s="124"/>
      <c r="D338" s="124"/>
      <c r="E338" s="124"/>
      <c r="F338" s="124"/>
      <c r="G338" s="124"/>
      <c r="H338" s="124"/>
      <c r="I338" s="124"/>
      <c r="J338" s="124"/>
      <c r="K338" s="124"/>
      <c r="L338" s="124"/>
      <c r="M338" s="124"/>
      <c r="N338" s="124"/>
      <c r="O338" s="124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</row>
    <row x14ac:dyDescent="0.25" r="339" customHeight="1" ht="15.75">
      <c r="A339" s="123"/>
      <c r="B339" s="123"/>
      <c r="C339" s="124"/>
      <c r="D339" s="124"/>
      <c r="E339" s="124"/>
      <c r="F339" s="124"/>
      <c r="G339" s="124"/>
      <c r="H339" s="124"/>
      <c r="I339" s="124"/>
      <c r="J339" s="124"/>
      <c r="K339" s="124"/>
      <c r="L339" s="124"/>
      <c r="M339" s="124"/>
      <c r="N339" s="124"/>
      <c r="O339" s="124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</row>
    <row x14ac:dyDescent="0.25" r="340" customHeight="1" ht="15.75">
      <c r="A340" s="123"/>
      <c r="B340" s="123"/>
      <c r="C340" s="124"/>
      <c r="D340" s="124"/>
      <c r="E340" s="124"/>
      <c r="F340" s="124"/>
      <c r="G340" s="124"/>
      <c r="H340" s="124"/>
      <c r="I340" s="124"/>
      <c r="J340" s="124"/>
      <c r="K340" s="124"/>
      <c r="L340" s="124"/>
      <c r="M340" s="124"/>
      <c r="N340" s="124"/>
      <c r="O340" s="124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</row>
    <row x14ac:dyDescent="0.25" r="341" customHeight="1" ht="15.75">
      <c r="A341" s="123"/>
      <c r="B341" s="123"/>
      <c r="C341" s="124"/>
      <c r="D341" s="124"/>
      <c r="E341" s="124"/>
      <c r="F341" s="124"/>
      <c r="G341" s="124"/>
      <c r="H341" s="124"/>
      <c r="I341" s="124"/>
      <c r="J341" s="124"/>
      <c r="K341" s="124"/>
      <c r="L341" s="124"/>
      <c r="M341" s="124"/>
      <c r="N341" s="124"/>
      <c r="O341" s="124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</row>
    <row x14ac:dyDescent="0.25" r="342" customHeight="1" ht="15.75">
      <c r="A342" s="123"/>
      <c r="B342" s="123"/>
      <c r="C342" s="124"/>
      <c r="D342" s="124"/>
      <c r="E342" s="124"/>
      <c r="F342" s="124"/>
      <c r="G342" s="124"/>
      <c r="H342" s="124"/>
      <c r="I342" s="124"/>
      <c r="J342" s="124"/>
      <c r="K342" s="124"/>
      <c r="L342" s="124"/>
      <c r="M342" s="124"/>
      <c r="N342" s="124"/>
      <c r="O342" s="124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</row>
    <row x14ac:dyDescent="0.25" r="343" customHeight="1" ht="15.75">
      <c r="A343" s="123"/>
      <c r="B343" s="123"/>
      <c r="C343" s="124"/>
      <c r="D343" s="124"/>
      <c r="E343" s="124"/>
      <c r="F343" s="124"/>
      <c r="G343" s="124"/>
      <c r="H343" s="124"/>
      <c r="I343" s="124"/>
      <c r="J343" s="124"/>
      <c r="K343" s="124"/>
      <c r="L343" s="124"/>
      <c r="M343" s="124"/>
      <c r="N343" s="124"/>
      <c r="O343" s="124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</row>
    <row x14ac:dyDescent="0.25" r="344" customHeight="1" ht="15.75">
      <c r="A344" s="123"/>
      <c r="B344" s="123"/>
      <c r="C344" s="124"/>
      <c r="D344" s="124"/>
      <c r="E344" s="124"/>
      <c r="F344" s="124"/>
      <c r="G344" s="124"/>
      <c r="H344" s="124"/>
      <c r="I344" s="124"/>
      <c r="J344" s="124"/>
      <c r="K344" s="124"/>
      <c r="L344" s="124"/>
      <c r="M344" s="124"/>
      <c r="N344" s="124"/>
      <c r="O344" s="124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</row>
    <row x14ac:dyDescent="0.25" r="345" customHeight="1" ht="15.75">
      <c r="A345" s="123"/>
      <c r="B345" s="123"/>
      <c r="C345" s="124"/>
      <c r="D345" s="124"/>
      <c r="E345" s="124"/>
      <c r="F345" s="124"/>
      <c r="G345" s="124"/>
      <c r="H345" s="124"/>
      <c r="I345" s="124"/>
      <c r="J345" s="124"/>
      <c r="K345" s="124"/>
      <c r="L345" s="124"/>
      <c r="M345" s="124"/>
      <c r="N345" s="124"/>
      <c r="O345" s="124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</row>
    <row x14ac:dyDescent="0.25" r="346" customHeight="1" ht="15.75">
      <c r="A346" s="123"/>
      <c r="B346" s="123"/>
      <c r="C346" s="124"/>
      <c r="D346" s="124"/>
      <c r="E346" s="124"/>
      <c r="F346" s="124"/>
      <c r="G346" s="124"/>
      <c r="H346" s="124"/>
      <c r="I346" s="124"/>
      <c r="J346" s="124"/>
      <c r="K346" s="124"/>
      <c r="L346" s="124"/>
      <c r="M346" s="124"/>
      <c r="N346" s="124"/>
      <c r="O346" s="124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</row>
    <row x14ac:dyDescent="0.25" r="347" customHeight="1" ht="15.75">
      <c r="A347" s="123"/>
      <c r="B347" s="123"/>
      <c r="C347" s="124"/>
      <c r="D347" s="124"/>
      <c r="E347" s="124"/>
      <c r="F347" s="124"/>
      <c r="G347" s="124"/>
      <c r="H347" s="124"/>
      <c r="I347" s="124"/>
      <c r="J347" s="124"/>
      <c r="K347" s="124"/>
      <c r="L347" s="124"/>
      <c r="M347" s="124"/>
      <c r="N347" s="124"/>
      <c r="O347" s="124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</row>
    <row x14ac:dyDescent="0.25" r="348" customHeight="1" ht="15.75">
      <c r="A348" s="123"/>
      <c r="B348" s="123"/>
      <c r="C348" s="124"/>
      <c r="D348" s="124"/>
      <c r="E348" s="124"/>
      <c r="F348" s="124"/>
      <c r="G348" s="124"/>
      <c r="H348" s="124"/>
      <c r="I348" s="124"/>
      <c r="J348" s="124"/>
      <c r="K348" s="124"/>
      <c r="L348" s="124"/>
      <c r="M348" s="124"/>
      <c r="N348" s="124"/>
      <c r="O348" s="124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</row>
    <row x14ac:dyDescent="0.25" r="349" customHeight="1" ht="15.75">
      <c r="A349" s="123"/>
      <c r="B349" s="123"/>
      <c r="C349" s="124"/>
      <c r="D349" s="124"/>
      <c r="E349" s="124"/>
      <c r="F349" s="124"/>
      <c r="G349" s="124"/>
      <c r="H349" s="124"/>
      <c r="I349" s="124"/>
      <c r="J349" s="124"/>
      <c r="K349" s="124"/>
      <c r="L349" s="124"/>
      <c r="M349" s="124"/>
      <c r="N349" s="124"/>
      <c r="O349" s="124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</row>
    <row x14ac:dyDescent="0.25" r="350" customHeight="1" ht="15.75">
      <c r="A350" s="123"/>
      <c r="B350" s="123"/>
      <c r="C350" s="124"/>
      <c r="D350" s="124"/>
      <c r="E350" s="124"/>
      <c r="F350" s="124"/>
      <c r="G350" s="124"/>
      <c r="H350" s="124"/>
      <c r="I350" s="124"/>
      <c r="J350" s="124"/>
      <c r="K350" s="124"/>
      <c r="L350" s="124"/>
      <c r="M350" s="124"/>
      <c r="N350" s="124"/>
      <c r="O350" s="124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</row>
    <row x14ac:dyDescent="0.25" r="351" customHeight="1" ht="15.75">
      <c r="A351" s="123"/>
      <c r="B351" s="123"/>
      <c r="C351" s="124"/>
      <c r="D351" s="124"/>
      <c r="E351" s="124"/>
      <c r="F351" s="124"/>
      <c r="G351" s="124"/>
      <c r="H351" s="124"/>
      <c r="I351" s="124"/>
      <c r="J351" s="124"/>
      <c r="K351" s="124"/>
      <c r="L351" s="124"/>
      <c r="M351" s="124"/>
      <c r="N351" s="124"/>
      <c r="O351" s="124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</row>
    <row x14ac:dyDescent="0.25" r="352" customHeight="1" ht="15.75">
      <c r="A352" s="123"/>
      <c r="B352" s="123"/>
      <c r="C352" s="124"/>
      <c r="D352" s="124"/>
      <c r="E352" s="124"/>
      <c r="F352" s="124"/>
      <c r="G352" s="124"/>
      <c r="H352" s="124"/>
      <c r="I352" s="124"/>
      <c r="J352" s="124"/>
      <c r="K352" s="124"/>
      <c r="L352" s="124"/>
      <c r="M352" s="124"/>
      <c r="N352" s="124"/>
      <c r="O352" s="124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</row>
    <row x14ac:dyDescent="0.25" r="353" customHeight="1" ht="15.75">
      <c r="A353" s="123"/>
      <c r="B353" s="123"/>
      <c r="C353" s="124"/>
      <c r="D353" s="124"/>
      <c r="E353" s="124"/>
      <c r="F353" s="124"/>
      <c r="G353" s="124"/>
      <c r="H353" s="124"/>
      <c r="I353" s="124"/>
      <c r="J353" s="124"/>
      <c r="K353" s="124"/>
      <c r="L353" s="124"/>
      <c r="M353" s="124"/>
      <c r="N353" s="124"/>
      <c r="O353" s="124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</row>
    <row x14ac:dyDescent="0.25" r="354" customHeight="1" ht="15.75">
      <c r="A354" s="123"/>
      <c r="B354" s="123"/>
      <c r="C354" s="124"/>
      <c r="D354" s="124"/>
      <c r="E354" s="124"/>
      <c r="F354" s="124"/>
      <c r="G354" s="124"/>
      <c r="H354" s="124"/>
      <c r="I354" s="124"/>
      <c r="J354" s="124"/>
      <c r="K354" s="124"/>
      <c r="L354" s="124"/>
      <c r="M354" s="124"/>
      <c r="N354" s="124"/>
      <c r="O354" s="124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</row>
    <row x14ac:dyDescent="0.25" r="355" customHeight="1" ht="15.75">
      <c r="A355" s="123"/>
      <c r="B355" s="123"/>
      <c r="C355" s="124"/>
      <c r="D355" s="124"/>
      <c r="E355" s="124"/>
      <c r="F355" s="124"/>
      <c r="G355" s="124"/>
      <c r="H355" s="124"/>
      <c r="I355" s="124"/>
      <c r="J355" s="124"/>
      <c r="K355" s="124"/>
      <c r="L355" s="124"/>
      <c r="M355" s="124"/>
      <c r="N355" s="124"/>
      <c r="O355" s="124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</row>
    <row x14ac:dyDescent="0.25" r="356" customHeight="1" ht="15.75">
      <c r="A356" s="123"/>
      <c r="B356" s="123"/>
      <c r="C356" s="124"/>
      <c r="D356" s="124"/>
      <c r="E356" s="124"/>
      <c r="F356" s="124"/>
      <c r="G356" s="124"/>
      <c r="H356" s="124"/>
      <c r="I356" s="124"/>
      <c r="J356" s="124"/>
      <c r="K356" s="124"/>
      <c r="L356" s="124"/>
      <c r="M356" s="124"/>
      <c r="N356" s="124"/>
      <c r="O356" s="124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</row>
    <row x14ac:dyDescent="0.25" r="357" customHeight="1" ht="15.75">
      <c r="A357" s="123"/>
      <c r="B357" s="123"/>
      <c r="C357" s="124"/>
      <c r="D357" s="124"/>
      <c r="E357" s="124"/>
      <c r="F357" s="124"/>
      <c r="G357" s="124"/>
      <c r="H357" s="124"/>
      <c r="I357" s="124"/>
      <c r="J357" s="124"/>
      <c r="K357" s="124"/>
      <c r="L357" s="124"/>
      <c r="M357" s="124"/>
      <c r="N357" s="124"/>
      <c r="O357" s="124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</row>
    <row x14ac:dyDescent="0.25" r="358" customHeight="1" ht="15.75">
      <c r="A358" s="123"/>
      <c r="B358" s="123"/>
      <c r="C358" s="124"/>
      <c r="D358" s="124"/>
      <c r="E358" s="124"/>
      <c r="F358" s="124"/>
      <c r="G358" s="124"/>
      <c r="H358" s="124"/>
      <c r="I358" s="124"/>
      <c r="J358" s="124"/>
      <c r="K358" s="124"/>
      <c r="L358" s="124"/>
      <c r="M358" s="124"/>
      <c r="N358" s="124"/>
      <c r="O358" s="124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</row>
    <row x14ac:dyDescent="0.25" r="359" customHeight="1" ht="15.75">
      <c r="A359" s="123"/>
      <c r="B359" s="123"/>
      <c r="C359" s="124"/>
      <c r="D359" s="124"/>
      <c r="E359" s="124"/>
      <c r="F359" s="124"/>
      <c r="G359" s="124"/>
      <c r="H359" s="124"/>
      <c r="I359" s="124"/>
      <c r="J359" s="124"/>
      <c r="K359" s="124"/>
      <c r="L359" s="124"/>
      <c r="M359" s="124"/>
      <c r="N359" s="124"/>
      <c r="O359" s="124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</row>
    <row x14ac:dyDescent="0.25" r="360" customHeight="1" ht="15.75">
      <c r="A360" s="123"/>
      <c r="B360" s="123"/>
      <c r="C360" s="124"/>
      <c r="D360" s="124"/>
      <c r="E360" s="124"/>
      <c r="F360" s="124"/>
      <c r="G360" s="124"/>
      <c r="H360" s="124"/>
      <c r="I360" s="124"/>
      <c r="J360" s="124"/>
      <c r="K360" s="124"/>
      <c r="L360" s="124"/>
      <c r="M360" s="124"/>
      <c r="N360" s="124"/>
      <c r="O360" s="124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</row>
    <row x14ac:dyDescent="0.25" r="361" customHeight="1" ht="15.75">
      <c r="A361" s="123"/>
      <c r="B361" s="123"/>
      <c r="C361" s="124"/>
      <c r="D361" s="124"/>
      <c r="E361" s="124"/>
      <c r="F361" s="124"/>
      <c r="G361" s="124"/>
      <c r="H361" s="124"/>
      <c r="I361" s="124"/>
      <c r="J361" s="124"/>
      <c r="K361" s="124"/>
      <c r="L361" s="124"/>
      <c r="M361" s="124"/>
      <c r="N361" s="124"/>
      <c r="O361" s="124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</row>
    <row x14ac:dyDescent="0.25" r="362" customHeight="1" ht="15.75">
      <c r="A362" s="123"/>
      <c r="B362" s="123"/>
      <c r="C362" s="124"/>
      <c r="D362" s="124"/>
      <c r="E362" s="124"/>
      <c r="F362" s="124"/>
      <c r="G362" s="124"/>
      <c r="H362" s="124"/>
      <c r="I362" s="124"/>
      <c r="J362" s="124"/>
      <c r="K362" s="124"/>
      <c r="L362" s="124"/>
      <c r="M362" s="124"/>
      <c r="N362" s="124"/>
      <c r="O362" s="124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</row>
    <row x14ac:dyDescent="0.25" r="363" customHeight="1" ht="15.75">
      <c r="A363" s="123"/>
      <c r="B363" s="123"/>
      <c r="C363" s="124"/>
      <c r="D363" s="124"/>
      <c r="E363" s="124"/>
      <c r="F363" s="124"/>
      <c r="G363" s="124"/>
      <c r="H363" s="124"/>
      <c r="I363" s="124"/>
      <c r="J363" s="124"/>
      <c r="K363" s="124"/>
      <c r="L363" s="124"/>
      <c r="M363" s="124"/>
      <c r="N363" s="124"/>
      <c r="O363" s="124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</row>
    <row x14ac:dyDescent="0.25" r="364" customHeight="1" ht="15.75">
      <c r="A364" s="123"/>
      <c r="B364" s="123"/>
      <c r="C364" s="124"/>
      <c r="D364" s="124"/>
      <c r="E364" s="124"/>
      <c r="F364" s="124"/>
      <c r="G364" s="124"/>
      <c r="H364" s="124"/>
      <c r="I364" s="124"/>
      <c r="J364" s="124"/>
      <c r="K364" s="124"/>
      <c r="L364" s="124"/>
      <c r="M364" s="124"/>
      <c r="N364" s="124"/>
      <c r="O364" s="124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</row>
    <row x14ac:dyDescent="0.25" r="365" customHeight="1" ht="15.75">
      <c r="A365" s="123"/>
      <c r="B365" s="123"/>
      <c r="C365" s="124"/>
      <c r="D365" s="124"/>
      <c r="E365" s="124"/>
      <c r="F365" s="124"/>
      <c r="G365" s="124"/>
      <c r="H365" s="124"/>
      <c r="I365" s="124"/>
      <c r="J365" s="124"/>
      <c r="K365" s="124"/>
      <c r="L365" s="124"/>
      <c r="M365" s="124"/>
      <c r="N365" s="124"/>
      <c r="O365" s="124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</row>
    <row x14ac:dyDescent="0.25" r="366" customHeight="1" ht="15.75">
      <c r="A366" s="123"/>
      <c r="B366" s="123"/>
      <c r="C366" s="124"/>
      <c r="D366" s="124"/>
      <c r="E366" s="124"/>
      <c r="F366" s="124"/>
      <c r="G366" s="124"/>
      <c r="H366" s="124"/>
      <c r="I366" s="124"/>
      <c r="J366" s="124"/>
      <c r="K366" s="124"/>
      <c r="L366" s="124"/>
      <c r="M366" s="124"/>
      <c r="N366" s="124"/>
      <c r="O366" s="124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</row>
    <row x14ac:dyDescent="0.25" r="367" customHeight="1" ht="15.75">
      <c r="A367" s="123"/>
      <c r="B367" s="123"/>
      <c r="C367" s="124"/>
      <c r="D367" s="124"/>
      <c r="E367" s="124"/>
      <c r="F367" s="124"/>
      <c r="G367" s="124"/>
      <c r="H367" s="124"/>
      <c r="I367" s="124"/>
      <c r="J367" s="124"/>
      <c r="K367" s="124"/>
      <c r="L367" s="124"/>
      <c r="M367" s="124"/>
      <c r="N367" s="124"/>
      <c r="O367" s="124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</row>
    <row x14ac:dyDescent="0.25" r="368" customHeight="1" ht="15.75">
      <c r="A368" s="123"/>
      <c r="B368" s="123"/>
      <c r="C368" s="124"/>
      <c r="D368" s="124"/>
      <c r="E368" s="124"/>
      <c r="F368" s="124"/>
      <c r="G368" s="124"/>
      <c r="H368" s="124"/>
      <c r="I368" s="124"/>
      <c r="J368" s="124"/>
      <c r="K368" s="124"/>
      <c r="L368" s="124"/>
      <c r="M368" s="124"/>
      <c r="N368" s="124"/>
      <c r="O368" s="124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</row>
    <row x14ac:dyDescent="0.25" r="369" customHeight="1" ht="15.75">
      <c r="A369" s="123"/>
      <c r="B369" s="123"/>
      <c r="C369" s="124"/>
      <c r="D369" s="124"/>
      <c r="E369" s="124"/>
      <c r="F369" s="124"/>
      <c r="G369" s="124"/>
      <c r="H369" s="124"/>
      <c r="I369" s="124"/>
      <c r="J369" s="124"/>
      <c r="K369" s="124"/>
      <c r="L369" s="124"/>
      <c r="M369" s="124"/>
      <c r="N369" s="124"/>
      <c r="O369" s="124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</row>
    <row x14ac:dyDescent="0.25" r="370" customHeight="1" ht="15.75">
      <c r="A370" s="123"/>
      <c r="B370" s="123"/>
      <c r="C370" s="124"/>
      <c r="D370" s="124"/>
      <c r="E370" s="124"/>
      <c r="F370" s="124"/>
      <c r="G370" s="124"/>
      <c r="H370" s="124"/>
      <c r="I370" s="124"/>
      <c r="J370" s="124"/>
      <c r="K370" s="124"/>
      <c r="L370" s="124"/>
      <c r="M370" s="124"/>
      <c r="N370" s="124"/>
      <c r="O370" s="124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</row>
    <row x14ac:dyDescent="0.25" r="371" customHeight="1" ht="15.75">
      <c r="A371" s="123"/>
      <c r="B371" s="123"/>
      <c r="C371" s="124"/>
      <c r="D371" s="124"/>
      <c r="E371" s="124"/>
      <c r="F371" s="124"/>
      <c r="G371" s="124"/>
      <c r="H371" s="124"/>
      <c r="I371" s="124"/>
      <c r="J371" s="124"/>
      <c r="K371" s="124"/>
      <c r="L371" s="124"/>
      <c r="M371" s="124"/>
      <c r="N371" s="124"/>
      <c r="O371" s="124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</row>
    <row x14ac:dyDescent="0.25" r="372" customHeight="1" ht="15.75">
      <c r="A372" s="123"/>
      <c r="B372" s="123"/>
      <c r="C372" s="124"/>
      <c r="D372" s="124"/>
      <c r="E372" s="124"/>
      <c r="F372" s="124"/>
      <c r="G372" s="124"/>
      <c r="H372" s="124"/>
      <c r="I372" s="124"/>
      <c r="J372" s="124"/>
      <c r="K372" s="124"/>
      <c r="L372" s="124"/>
      <c r="M372" s="124"/>
      <c r="N372" s="124"/>
      <c r="O372" s="124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</row>
    <row x14ac:dyDescent="0.25" r="373" customHeight="1" ht="15.75">
      <c r="A373" s="123"/>
      <c r="B373" s="123"/>
      <c r="C373" s="124"/>
      <c r="D373" s="124"/>
      <c r="E373" s="124"/>
      <c r="F373" s="124"/>
      <c r="G373" s="124"/>
      <c r="H373" s="124"/>
      <c r="I373" s="124"/>
      <c r="J373" s="124"/>
      <c r="K373" s="124"/>
      <c r="L373" s="124"/>
      <c r="M373" s="124"/>
      <c r="N373" s="124"/>
      <c r="O373" s="124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</row>
    <row x14ac:dyDescent="0.25" r="374" customHeight="1" ht="15.75">
      <c r="A374" s="123"/>
      <c r="B374" s="123"/>
      <c r="C374" s="124"/>
      <c r="D374" s="124"/>
      <c r="E374" s="124"/>
      <c r="F374" s="124"/>
      <c r="G374" s="124"/>
      <c r="H374" s="124"/>
      <c r="I374" s="124"/>
      <c r="J374" s="124"/>
      <c r="K374" s="124"/>
      <c r="L374" s="124"/>
      <c r="M374" s="124"/>
      <c r="N374" s="124"/>
      <c r="O374" s="124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</row>
    <row x14ac:dyDescent="0.25" r="375" customHeight="1" ht="15.75">
      <c r="A375" s="123"/>
      <c r="B375" s="123"/>
      <c r="C375" s="124"/>
      <c r="D375" s="124"/>
      <c r="E375" s="124"/>
      <c r="F375" s="124"/>
      <c r="G375" s="124"/>
      <c r="H375" s="124"/>
      <c r="I375" s="124"/>
      <c r="J375" s="124"/>
      <c r="K375" s="124"/>
      <c r="L375" s="124"/>
      <c r="M375" s="124"/>
      <c r="N375" s="124"/>
      <c r="O375" s="124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</row>
    <row x14ac:dyDescent="0.25" r="376" customHeight="1" ht="15.75">
      <c r="A376" s="123"/>
      <c r="B376" s="123"/>
      <c r="C376" s="124"/>
      <c r="D376" s="124"/>
      <c r="E376" s="124"/>
      <c r="F376" s="124"/>
      <c r="G376" s="124"/>
      <c r="H376" s="124"/>
      <c r="I376" s="124"/>
      <c r="J376" s="124"/>
      <c r="K376" s="124"/>
      <c r="L376" s="124"/>
      <c r="M376" s="124"/>
      <c r="N376" s="124"/>
      <c r="O376" s="124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</row>
    <row x14ac:dyDescent="0.25" r="377" customHeight="1" ht="15.75">
      <c r="A377" s="123"/>
      <c r="B377" s="123"/>
      <c r="C377" s="124"/>
      <c r="D377" s="124"/>
      <c r="E377" s="124"/>
      <c r="F377" s="124"/>
      <c r="G377" s="124"/>
      <c r="H377" s="124"/>
      <c r="I377" s="124"/>
      <c r="J377" s="124"/>
      <c r="K377" s="124"/>
      <c r="L377" s="124"/>
      <c r="M377" s="124"/>
      <c r="N377" s="124"/>
      <c r="O377" s="124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</row>
    <row x14ac:dyDescent="0.25" r="378" customHeight="1" ht="15.75">
      <c r="A378" s="123"/>
      <c r="B378" s="123"/>
      <c r="C378" s="124"/>
      <c r="D378" s="124"/>
      <c r="E378" s="124"/>
      <c r="F378" s="124"/>
      <c r="G378" s="124"/>
      <c r="H378" s="124"/>
      <c r="I378" s="124"/>
      <c r="J378" s="124"/>
      <c r="K378" s="124"/>
      <c r="L378" s="124"/>
      <c r="M378" s="124"/>
      <c r="N378" s="124"/>
      <c r="O378" s="124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</row>
    <row x14ac:dyDescent="0.25" r="379" customHeight="1" ht="15.75">
      <c r="A379" s="123"/>
      <c r="B379" s="123"/>
      <c r="C379" s="124"/>
      <c r="D379" s="124"/>
      <c r="E379" s="124"/>
      <c r="F379" s="124"/>
      <c r="G379" s="124"/>
      <c r="H379" s="124"/>
      <c r="I379" s="124"/>
      <c r="J379" s="124"/>
      <c r="K379" s="124"/>
      <c r="L379" s="124"/>
      <c r="M379" s="124"/>
      <c r="N379" s="124"/>
      <c r="O379" s="124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</row>
    <row x14ac:dyDescent="0.25" r="380" customHeight="1" ht="15.75">
      <c r="A380" s="123"/>
      <c r="B380" s="123"/>
      <c r="C380" s="124"/>
      <c r="D380" s="124"/>
      <c r="E380" s="124"/>
      <c r="F380" s="124"/>
      <c r="G380" s="124"/>
      <c r="H380" s="124"/>
      <c r="I380" s="124"/>
      <c r="J380" s="124"/>
      <c r="K380" s="124"/>
      <c r="L380" s="124"/>
      <c r="M380" s="124"/>
      <c r="N380" s="124"/>
      <c r="O380" s="124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</row>
    <row x14ac:dyDescent="0.25" r="381" customHeight="1" ht="15.75">
      <c r="A381" s="123"/>
      <c r="B381" s="123"/>
      <c r="C381" s="124"/>
      <c r="D381" s="124"/>
      <c r="E381" s="124"/>
      <c r="F381" s="124"/>
      <c r="G381" s="124"/>
      <c r="H381" s="124"/>
      <c r="I381" s="124"/>
      <c r="J381" s="124"/>
      <c r="K381" s="124"/>
      <c r="L381" s="124"/>
      <c r="M381" s="124"/>
      <c r="N381" s="124"/>
      <c r="O381" s="124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</row>
    <row x14ac:dyDescent="0.25" r="382" customHeight="1" ht="15.75">
      <c r="A382" s="123"/>
      <c r="B382" s="123"/>
      <c r="C382" s="124"/>
      <c r="D382" s="124"/>
      <c r="E382" s="124"/>
      <c r="F382" s="124"/>
      <c r="G382" s="124"/>
      <c r="H382" s="124"/>
      <c r="I382" s="124"/>
      <c r="J382" s="124"/>
      <c r="K382" s="124"/>
      <c r="L382" s="124"/>
      <c r="M382" s="124"/>
      <c r="N382" s="124"/>
      <c r="O382" s="124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</row>
    <row x14ac:dyDescent="0.25" r="383" customHeight="1" ht="15.75">
      <c r="A383" s="123"/>
      <c r="B383" s="123"/>
      <c r="C383" s="124"/>
      <c r="D383" s="124"/>
      <c r="E383" s="124"/>
      <c r="F383" s="124"/>
      <c r="G383" s="124"/>
      <c r="H383" s="124"/>
      <c r="I383" s="124"/>
      <c r="J383" s="124"/>
      <c r="K383" s="124"/>
      <c r="L383" s="124"/>
      <c r="M383" s="124"/>
      <c r="N383" s="124"/>
      <c r="O383" s="124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</row>
    <row x14ac:dyDescent="0.25" r="384" customHeight="1" ht="15.75">
      <c r="A384" s="123"/>
      <c r="B384" s="123"/>
      <c r="C384" s="124"/>
      <c r="D384" s="124"/>
      <c r="E384" s="124"/>
      <c r="F384" s="124"/>
      <c r="G384" s="124"/>
      <c r="H384" s="124"/>
      <c r="I384" s="124"/>
      <c r="J384" s="124"/>
      <c r="K384" s="124"/>
      <c r="L384" s="124"/>
      <c r="M384" s="124"/>
      <c r="N384" s="124"/>
      <c r="O384" s="124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</row>
    <row x14ac:dyDescent="0.25" r="385" customHeight="1" ht="15.75">
      <c r="A385" s="123"/>
      <c r="B385" s="123"/>
      <c r="C385" s="124"/>
      <c r="D385" s="124"/>
      <c r="E385" s="124"/>
      <c r="F385" s="124"/>
      <c r="G385" s="124"/>
      <c r="H385" s="124"/>
      <c r="I385" s="124"/>
      <c r="J385" s="124"/>
      <c r="K385" s="124"/>
      <c r="L385" s="124"/>
      <c r="M385" s="124"/>
      <c r="N385" s="124"/>
      <c r="O385" s="124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</row>
    <row x14ac:dyDescent="0.25" r="386" customHeight="1" ht="15.75">
      <c r="A386" s="123"/>
      <c r="B386" s="123"/>
      <c r="C386" s="124"/>
      <c r="D386" s="124"/>
      <c r="E386" s="124"/>
      <c r="F386" s="124"/>
      <c r="G386" s="124"/>
      <c r="H386" s="124"/>
      <c r="I386" s="124"/>
      <c r="J386" s="124"/>
      <c r="K386" s="124"/>
      <c r="L386" s="124"/>
      <c r="M386" s="124"/>
      <c r="N386" s="124"/>
      <c r="O386" s="124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</row>
    <row x14ac:dyDescent="0.25" r="387" customHeight="1" ht="15.75">
      <c r="A387" s="123"/>
      <c r="B387" s="123"/>
      <c r="C387" s="124"/>
      <c r="D387" s="124"/>
      <c r="E387" s="124"/>
      <c r="F387" s="124"/>
      <c r="G387" s="124"/>
      <c r="H387" s="124"/>
      <c r="I387" s="124"/>
      <c r="J387" s="124"/>
      <c r="K387" s="124"/>
      <c r="L387" s="124"/>
      <c r="M387" s="124"/>
      <c r="N387" s="124"/>
      <c r="O387" s="124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</row>
    <row x14ac:dyDescent="0.25" r="388" customHeight="1" ht="15.75">
      <c r="A388" s="123"/>
      <c r="B388" s="123"/>
      <c r="C388" s="124"/>
      <c r="D388" s="124"/>
      <c r="E388" s="124"/>
      <c r="F388" s="124"/>
      <c r="G388" s="124"/>
      <c r="H388" s="124"/>
      <c r="I388" s="124"/>
      <c r="J388" s="124"/>
      <c r="K388" s="124"/>
      <c r="L388" s="124"/>
      <c r="M388" s="124"/>
      <c r="N388" s="124"/>
      <c r="O388" s="124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</row>
    <row x14ac:dyDescent="0.25" r="389" customHeight="1" ht="15.75">
      <c r="A389" s="123"/>
      <c r="B389" s="123"/>
      <c r="C389" s="124"/>
      <c r="D389" s="124"/>
      <c r="E389" s="124"/>
      <c r="F389" s="124"/>
      <c r="G389" s="124"/>
      <c r="H389" s="124"/>
      <c r="I389" s="124"/>
      <c r="J389" s="124"/>
      <c r="K389" s="124"/>
      <c r="L389" s="124"/>
      <c r="M389" s="124"/>
      <c r="N389" s="124"/>
      <c r="O389" s="124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</row>
    <row x14ac:dyDescent="0.25" r="390" customHeight="1" ht="15.75">
      <c r="A390" s="123"/>
      <c r="B390" s="123"/>
      <c r="C390" s="124"/>
      <c r="D390" s="124"/>
      <c r="E390" s="124"/>
      <c r="F390" s="124"/>
      <c r="G390" s="124"/>
      <c r="H390" s="124"/>
      <c r="I390" s="124"/>
      <c r="J390" s="124"/>
      <c r="K390" s="124"/>
      <c r="L390" s="124"/>
      <c r="M390" s="124"/>
      <c r="N390" s="124"/>
      <c r="O390" s="124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</row>
    <row x14ac:dyDescent="0.25" r="391" customHeight="1" ht="15.75">
      <c r="A391" s="123"/>
      <c r="B391" s="123"/>
      <c r="C391" s="124"/>
      <c r="D391" s="124"/>
      <c r="E391" s="124"/>
      <c r="F391" s="124"/>
      <c r="G391" s="124"/>
      <c r="H391" s="124"/>
      <c r="I391" s="124"/>
      <c r="J391" s="124"/>
      <c r="K391" s="124"/>
      <c r="L391" s="124"/>
      <c r="M391" s="124"/>
      <c r="N391" s="124"/>
      <c r="O391" s="124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</row>
    <row x14ac:dyDescent="0.25" r="392" customHeight="1" ht="15.75">
      <c r="A392" s="123"/>
      <c r="B392" s="123"/>
      <c r="C392" s="124"/>
      <c r="D392" s="124"/>
      <c r="E392" s="124"/>
      <c r="F392" s="124"/>
      <c r="G392" s="124"/>
      <c r="H392" s="124"/>
      <c r="I392" s="124"/>
      <c r="J392" s="124"/>
      <c r="K392" s="124"/>
      <c r="L392" s="124"/>
      <c r="M392" s="124"/>
      <c r="N392" s="124"/>
      <c r="O392" s="124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</row>
    <row x14ac:dyDescent="0.25" r="393" customHeight="1" ht="15.75">
      <c r="A393" s="123"/>
      <c r="B393" s="123"/>
      <c r="C393" s="124"/>
      <c r="D393" s="124"/>
      <c r="E393" s="124"/>
      <c r="F393" s="124"/>
      <c r="G393" s="124"/>
      <c r="H393" s="124"/>
      <c r="I393" s="124"/>
      <c r="J393" s="124"/>
      <c r="K393" s="124"/>
      <c r="L393" s="124"/>
      <c r="M393" s="124"/>
      <c r="N393" s="124"/>
      <c r="O393" s="124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</row>
    <row x14ac:dyDescent="0.25" r="394" customHeight="1" ht="15.75">
      <c r="A394" s="123"/>
      <c r="B394" s="123"/>
      <c r="C394" s="124"/>
      <c r="D394" s="124"/>
      <c r="E394" s="124"/>
      <c r="F394" s="124"/>
      <c r="G394" s="124"/>
      <c r="H394" s="124"/>
      <c r="I394" s="124"/>
      <c r="J394" s="124"/>
      <c r="K394" s="124"/>
      <c r="L394" s="124"/>
      <c r="M394" s="124"/>
      <c r="N394" s="124"/>
      <c r="O394" s="124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</row>
    <row x14ac:dyDescent="0.25" r="395" customHeight="1" ht="15.75">
      <c r="A395" s="123"/>
      <c r="B395" s="123"/>
      <c r="C395" s="124"/>
      <c r="D395" s="124"/>
      <c r="E395" s="124"/>
      <c r="F395" s="124"/>
      <c r="G395" s="124"/>
      <c r="H395" s="124"/>
      <c r="I395" s="124"/>
      <c r="J395" s="124"/>
      <c r="K395" s="124"/>
      <c r="L395" s="124"/>
      <c r="M395" s="124"/>
      <c r="N395" s="124"/>
      <c r="O395" s="124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</row>
    <row x14ac:dyDescent="0.25" r="396" customHeight="1" ht="15.75">
      <c r="A396" s="123"/>
      <c r="B396" s="123"/>
      <c r="C396" s="124"/>
      <c r="D396" s="124"/>
      <c r="E396" s="124"/>
      <c r="F396" s="124"/>
      <c r="G396" s="124"/>
      <c r="H396" s="124"/>
      <c r="I396" s="124"/>
      <c r="J396" s="124"/>
      <c r="K396" s="124"/>
      <c r="L396" s="124"/>
      <c r="M396" s="124"/>
      <c r="N396" s="124"/>
      <c r="O396" s="124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</row>
    <row x14ac:dyDescent="0.25" r="397" customHeight="1" ht="15.75">
      <c r="A397" s="123"/>
      <c r="B397" s="123"/>
      <c r="C397" s="124"/>
      <c r="D397" s="124"/>
      <c r="E397" s="124"/>
      <c r="F397" s="124"/>
      <c r="G397" s="124"/>
      <c r="H397" s="124"/>
      <c r="I397" s="124"/>
      <c r="J397" s="124"/>
      <c r="K397" s="124"/>
      <c r="L397" s="124"/>
      <c r="M397" s="124"/>
      <c r="N397" s="124"/>
      <c r="O397" s="124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</row>
    <row x14ac:dyDescent="0.25" r="398" customHeight="1" ht="15.75">
      <c r="A398" s="123"/>
      <c r="B398" s="123"/>
      <c r="C398" s="124"/>
      <c r="D398" s="124"/>
      <c r="E398" s="124"/>
      <c r="F398" s="124"/>
      <c r="G398" s="124"/>
      <c r="H398" s="124"/>
      <c r="I398" s="124"/>
      <c r="J398" s="124"/>
      <c r="K398" s="124"/>
      <c r="L398" s="124"/>
      <c r="M398" s="124"/>
      <c r="N398" s="124"/>
      <c r="O398" s="124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</row>
    <row x14ac:dyDescent="0.25" r="399" customHeight="1" ht="15.75">
      <c r="A399" s="123"/>
      <c r="B399" s="123"/>
      <c r="C399" s="124"/>
      <c r="D399" s="124"/>
      <c r="E399" s="124"/>
      <c r="F399" s="124"/>
      <c r="G399" s="124"/>
      <c r="H399" s="124"/>
      <c r="I399" s="124"/>
      <c r="J399" s="124"/>
      <c r="K399" s="124"/>
      <c r="L399" s="124"/>
      <c r="M399" s="124"/>
      <c r="N399" s="124"/>
      <c r="O399" s="124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</row>
    <row x14ac:dyDescent="0.25" r="400" customHeight="1" ht="15.75">
      <c r="A400" s="123"/>
      <c r="B400" s="123"/>
      <c r="C400" s="124"/>
      <c r="D400" s="124"/>
      <c r="E400" s="124"/>
      <c r="F400" s="124"/>
      <c r="G400" s="124"/>
      <c r="H400" s="124"/>
      <c r="I400" s="124"/>
      <c r="J400" s="124"/>
      <c r="K400" s="124"/>
      <c r="L400" s="124"/>
      <c r="M400" s="124"/>
      <c r="N400" s="124"/>
      <c r="O400" s="124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</row>
    <row x14ac:dyDescent="0.25" r="401" customHeight="1" ht="15.75">
      <c r="A401" s="123"/>
      <c r="B401" s="123"/>
      <c r="C401" s="124"/>
      <c r="D401" s="124"/>
      <c r="E401" s="124"/>
      <c r="F401" s="124"/>
      <c r="G401" s="124"/>
      <c r="H401" s="124"/>
      <c r="I401" s="124"/>
      <c r="J401" s="124"/>
      <c r="K401" s="124"/>
      <c r="L401" s="124"/>
      <c r="M401" s="124"/>
      <c r="N401" s="124"/>
      <c r="O401" s="124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</row>
    <row x14ac:dyDescent="0.25" r="402" customHeight="1" ht="15.75">
      <c r="A402" s="123"/>
      <c r="B402" s="123"/>
      <c r="C402" s="124"/>
      <c r="D402" s="124"/>
      <c r="E402" s="124"/>
      <c r="F402" s="124"/>
      <c r="G402" s="124"/>
      <c r="H402" s="124"/>
      <c r="I402" s="124"/>
      <c r="J402" s="124"/>
      <c r="K402" s="124"/>
      <c r="L402" s="124"/>
      <c r="M402" s="124"/>
      <c r="N402" s="124"/>
      <c r="O402" s="124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</row>
    <row x14ac:dyDescent="0.25" r="403" customHeight="1" ht="15.75">
      <c r="A403" s="123"/>
      <c r="B403" s="123"/>
      <c r="C403" s="124"/>
      <c r="D403" s="124"/>
      <c r="E403" s="124"/>
      <c r="F403" s="124"/>
      <c r="G403" s="124"/>
      <c r="H403" s="124"/>
      <c r="I403" s="124"/>
      <c r="J403" s="124"/>
      <c r="K403" s="124"/>
      <c r="L403" s="124"/>
      <c r="M403" s="124"/>
      <c r="N403" s="124"/>
      <c r="O403" s="124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</row>
    <row x14ac:dyDescent="0.25" r="404" customHeight="1" ht="15.75">
      <c r="A404" s="123"/>
      <c r="B404" s="123"/>
      <c r="C404" s="124"/>
      <c r="D404" s="124"/>
      <c r="E404" s="124"/>
      <c r="F404" s="124"/>
      <c r="G404" s="124"/>
      <c r="H404" s="124"/>
      <c r="I404" s="124"/>
      <c r="J404" s="124"/>
      <c r="K404" s="124"/>
      <c r="L404" s="124"/>
      <c r="M404" s="124"/>
      <c r="N404" s="124"/>
      <c r="O404" s="124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</row>
    <row x14ac:dyDescent="0.25" r="405" customHeight="1" ht="15.75">
      <c r="A405" s="123"/>
      <c r="B405" s="123"/>
      <c r="C405" s="124"/>
      <c r="D405" s="124"/>
      <c r="E405" s="124"/>
      <c r="F405" s="124"/>
      <c r="G405" s="124"/>
      <c r="H405" s="124"/>
      <c r="I405" s="124"/>
      <c r="J405" s="124"/>
      <c r="K405" s="124"/>
      <c r="L405" s="124"/>
      <c r="M405" s="124"/>
      <c r="N405" s="124"/>
      <c r="O405" s="124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</row>
    <row x14ac:dyDescent="0.25" r="406" customHeight="1" ht="15.75">
      <c r="A406" s="123"/>
      <c r="B406" s="123"/>
      <c r="C406" s="124"/>
      <c r="D406" s="124"/>
      <c r="E406" s="124"/>
      <c r="F406" s="124"/>
      <c r="G406" s="124"/>
      <c r="H406" s="124"/>
      <c r="I406" s="124"/>
      <c r="J406" s="124"/>
      <c r="K406" s="124"/>
      <c r="L406" s="124"/>
      <c r="M406" s="124"/>
      <c r="N406" s="124"/>
      <c r="O406" s="124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</row>
    <row x14ac:dyDescent="0.25" r="407" customHeight="1" ht="15.75">
      <c r="A407" s="123"/>
      <c r="B407" s="123"/>
      <c r="C407" s="124"/>
      <c r="D407" s="124"/>
      <c r="E407" s="124"/>
      <c r="F407" s="124"/>
      <c r="G407" s="124"/>
      <c r="H407" s="124"/>
      <c r="I407" s="124"/>
      <c r="J407" s="124"/>
      <c r="K407" s="124"/>
      <c r="L407" s="124"/>
      <c r="M407" s="124"/>
      <c r="N407" s="124"/>
      <c r="O407" s="124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</row>
    <row x14ac:dyDescent="0.25" r="408" customHeight="1" ht="15.75">
      <c r="A408" s="123"/>
      <c r="B408" s="123"/>
      <c r="C408" s="124"/>
      <c r="D408" s="124"/>
      <c r="E408" s="124"/>
      <c r="F408" s="124"/>
      <c r="G408" s="124"/>
      <c r="H408" s="124"/>
      <c r="I408" s="124"/>
      <c r="J408" s="124"/>
      <c r="K408" s="124"/>
      <c r="L408" s="124"/>
      <c r="M408" s="124"/>
      <c r="N408" s="124"/>
      <c r="O408" s="124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</row>
    <row x14ac:dyDescent="0.25" r="409" customHeight="1" ht="15.75">
      <c r="A409" s="123"/>
      <c r="B409" s="123"/>
      <c r="C409" s="124"/>
      <c r="D409" s="124"/>
      <c r="E409" s="124"/>
      <c r="F409" s="124"/>
      <c r="G409" s="124"/>
      <c r="H409" s="124"/>
      <c r="I409" s="124"/>
      <c r="J409" s="124"/>
      <c r="K409" s="124"/>
      <c r="L409" s="124"/>
      <c r="M409" s="124"/>
      <c r="N409" s="124"/>
      <c r="O409" s="124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</row>
    <row x14ac:dyDescent="0.25" r="410" customHeight="1" ht="15.75">
      <c r="A410" s="123"/>
      <c r="B410" s="123"/>
      <c r="C410" s="124"/>
      <c r="D410" s="124"/>
      <c r="E410" s="124"/>
      <c r="F410" s="124"/>
      <c r="G410" s="124"/>
      <c r="H410" s="124"/>
      <c r="I410" s="124"/>
      <c r="J410" s="124"/>
      <c r="K410" s="124"/>
      <c r="L410" s="124"/>
      <c r="M410" s="124"/>
      <c r="N410" s="124"/>
      <c r="O410" s="124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</row>
    <row x14ac:dyDescent="0.25" r="411" customHeight="1" ht="15.75">
      <c r="A411" s="123"/>
      <c r="B411" s="123"/>
      <c r="C411" s="124"/>
      <c r="D411" s="124"/>
      <c r="E411" s="124"/>
      <c r="F411" s="124"/>
      <c r="G411" s="124"/>
      <c r="H411" s="124"/>
      <c r="I411" s="124"/>
      <c r="J411" s="124"/>
      <c r="K411" s="124"/>
      <c r="L411" s="124"/>
      <c r="M411" s="124"/>
      <c r="N411" s="124"/>
      <c r="O411" s="124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</row>
    <row x14ac:dyDescent="0.25" r="412" customHeight="1" ht="15.75">
      <c r="A412" s="123"/>
      <c r="B412" s="123"/>
      <c r="C412" s="124"/>
      <c r="D412" s="124"/>
      <c r="E412" s="124"/>
      <c r="F412" s="124"/>
      <c r="G412" s="124"/>
      <c r="H412" s="124"/>
      <c r="I412" s="124"/>
      <c r="J412" s="124"/>
      <c r="K412" s="124"/>
      <c r="L412" s="124"/>
      <c r="M412" s="124"/>
      <c r="N412" s="124"/>
      <c r="O412" s="124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</row>
    <row x14ac:dyDescent="0.25" r="413" customHeight="1" ht="15.75">
      <c r="A413" s="123"/>
      <c r="B413" s="123"/>
      <c r="C413" s="124"/>
      <c r="D413" s="124"/>
      <c r="E413" s="124"/>
      <c r="F413" s="124"/>
      <c r="G413" s="124"/>
      <c r="H413" s="124"/>
      <c r="I413" s="124"/>
      <c r="J413" s="124"/>
      <c r="K413" s="124"/>
      <c r="L413" s="124"/>
      <c r="M413" s="124"/>
      <c r="N413" s="124"/>
      <c r="O413" s="124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</row>
    <row x14ac:dyDescent="0.25" r="414" customHeight="1" ht="15.75">
      <c r="A414" s="123"/>
      <c r="B414" s="123"/>
      <c r="C414" s="124"/>
      <c r="D414" s="124"/>
      <c r="E414" s="124"/>
      <c r="F414" s="124"/>
      <c r="G414" s="124"/>
      <c r="H414" s="124"/>
      <c r="I414" s="124"/>
      <c r="J414" s="124"/>
      <c r="K414" s="124"/>
      <c r="L414" s="124"/>
      <c r="M414" s="124"/>
      <c r="N414" s="124"/>
      <c r="O414" s="124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</row>
    <row x14ac:dyDescent="0.25" r="415" customHeight="1" ht="15.75">
      <c r="A415" s="123"/>
      <c r="B415" s="123"/>
      <c r="C415" s="124"/>
      <c r="D415" s="124"/>
      <c r="E415" s="124"/>
      <c r="F415" s="124"/>
      <c r="G415" s="124"/>
      <c r="H415" s="124"/>
      <c r="I415" s="124"/>
      <c r="J415" s="124"/>
      <c r="K415" s="124"/>
      <c r="L415" s="124"/>
      <c r="M415" s="124"/>
      <c r="N415" s="124"/>
      <c r="O415" s="124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</row>
    <row x14ac:dyDescent="0.25" r="416" customHeight="1" ht="15.75">
      <c r="A416" s="123"/>
      <c r="B416" s="123"/>
      <c r="C416" s="124"/>
      <c r="D416" s="124"/>
      <c r="E416" s="124"/>
      <c r="F416" s="124"/>
      <c r="G416" s="124"/>
      <c r="H416" s="124"/>
      <c r="I416" s="124"/>
      <c r="J416" s="124"/>
      <c r="K416" s="124"/>
      <c r="L416" s="124"/>
      <c r="M416" s="124"/>
      <c r="N416" s="124"/>
      <c r="O416" s="124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</row>
    <row x14ac:dyDescent="0.25" r="417" customHeight="1" ht="15.75">
      <c r="A417" s="123"/>
      <c r="B417" s="123"/>
      <c r="C417" s="124"/>
      <c r="D417" s="124"/>
      <c r="E417" s="124"/>
      <c r="F417" s="124"/>
      <c r="G417" s="124"/>
      <c r="H417" s="124"/>
      <c r="I417" s="124"/>
      <c r="J417" s="124"/>
      <c r="K417" s="124"/>
      <c r="L417" s="124"/>
      <c r="M417" s="124"/>
      <c r="N417" s="124"/>
      <c r="O417" s="124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</row>
    <row x14ac:dyDescent="0.25" r="418" customHeight="1" ht="15.75">
      <c r="A418" s="123"/>
      <c r="B418" s="123"/>
      <c r="C418" s="124"/>
      <c r="D418" s="124"/>
      <c r="E418" s="124"/>
      <c r="F418" s="124"/>
      <c r="G418" s="124"/>
      <c r="H418" s="124"/>
      <c r="I418" s="124"/>
      <c r="J418" s="124"/>
      <c r="K418" s="124"/>
      <c r="L418" s="124"/>
      <c r="M418" s="124"/>
      <c r="N418" s="124"/>
      <c r="O418" s="124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</row>
    <row x14ac:dyDescent="0.25" r="419" customHeight="1" ht="15.75">
      <c r="A419" s="123"/>
      <c r="B419" s="123"/>
      <c r="C419" s="124"/>
      <c r="D419" s="124"/>
      <c r="E419" s="124"/>
      <c r="F419" s="124"/>
      <c r="G419" s="124"/>
      <c r="H419" s="124"/>
      <c r="I419" s="124"/>
      <c r="J419" s="124"/>
      <c r="K419" s="124"/>
      <c r="L419" s="124"/>
      <c r="M419" s="124"/>
      <c r="N419" s="124"/>
      <c r="O419" s="124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</row>
    <row x14ac:dyDescent="0.25" r="420" customHeight="1" ht="15.75">
      <c r="A420" s="123"/>
      <c r="B420" s="123"/>
      <c r="C420" s="124"/>
      <c r="D420" s="124"/>
      <c r="E420" s="124"/>
      <c r="F420" s="124"/>
      <c r="G420" s="124"/>
      <c r="H420" s="124"/>
      <c r="I420" s="124"/>
      <c r="J420" s="124"/>
      <c r="K420" s="124"/>
      <c r="L420" s="124"/>
      <c r="M420" s="124"/>
      <c r="N420" s="124"/>
      <c r="O420" s="124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</row>
    <row x14ac:dyDescent="0.25" r="421" customHeight="1" ht="15.75">
      <c r="A421" s="123"/>
      <c r="B421" s="123"/>
      <c r="C421" s="124"/>
      <c r="D421" s="124"/>
      <c r="E421" s="124"/>
      <c r="F421" s="124"/>
      <c r="G421" s="124"/>
      <c r="H421" s="124"/>
      <c r="I421" s="124"/>
      <c r="J421" s="124"/>
      <c r="K421" s="124"/>
      <c r="L421" s="124"/>
      <c r="M421" s="124"/>
      <c r="N421" s="124"/>
      <c r="O421" s="124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</row>
    <row x14ac:dyDescent="0.25" r="422" customHeight="1" ht="15.75">
      <c r="A422" s="123"/>
      <c r="B422" s="123"/>
      <c r="C422" s="124"/>
      <c r="D422" s="124"/>
      <c r="E422" s="124"/>
      <c r="F422" s="124"/>
      <c r="G422" s="124"/>
      <c r="H422" s="124"/>
      <c r="I422" s="124"/>
      <c r="J422" s="124"/>
      <c r="K422" s="124"/>
      <c r="L422" s="124"/>
      <c r="M422" s="124"/>
      <c r="N422" s="124"/>
      <c r="O422" s="124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</row>
    <row x14ac:dyDescent="0.25" r="423" customHeight="1" ht="15.75">
      <c r="A423" s="123"/>
      <c r="B423" s="123"/>
      <c r="C423" s="124"/>
      <c r="D423" s="124"/>
      <c r="E423" s="124"/>
      <c r="F423" s="124"/>
      <c r="G423" s="124"/>
      <c r="H423" s="124"/>
      <c r="I423" s="124"/>
      <c r="J423" s="124"/>
      <c r="K423" s="124"/>
      <c r="L423" s="124"/>
      <c r="M423" s="124"/>
      <c r="N423" s="124"/>
      <c r="O423" s="124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</row>
    <row x14ac:dyDescent="0.25" r="424" customHeight="1" ht="15.75">
      <c r="A424" s="123"/>
      <c r="B424" s="123"/>
      <c r="C424" s="124"/>
      <c r="D424" s="124"/>
      <c r="E424" s="124"/>
      <c r="F424" s="124"/>
      <c r="G424" s="124"/>
      <c r="H424" s="124"/>
      <c r="I424" s="124"/>
      <c r="J424" s="124"/>
      <c r="K424" s="124"/>
      <c r="L424" s="124"/>
      <c r="M424" s="124"/>
      <c r="N424" s="124"/>
      <c r="O424" s="124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</row>
    <row x14ac:dyDescent="0.25" r="425" customHeight="1" ht="15.75">
      <c r="A425" s="123"/>
      <c r="B425" s="123"/>
      <c r="C425" s="124"/>
      <c r="D425" s="124"/>
      <c r="E425" s="124"/>
      <c r="F425" s="124"/>
      <c r="G425" s="124"/>
      <c r="H425" s="124"/>
      <c r="I425" s="124"/>
      <c r="J425" s="124"/>
      <c r="K425" s="124"/>
      <c r="L425" s="124"/>
      <c r="M425" s="124"/>
      <c r="N425" s="124"/>
      <c r="O425" s="124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</row>
    <row x14ac:dyDescent="0.25" r="426" customHeight="1" ht="15.75">
      <c r="A426" s="123"/>
      <c r="B426" s="123"/>
      <c r="C426" s="124"/>
      <c r="D426" s="124"/>
      <c r="E426" s="124"/>
      <c r="F426" s="124"/>
      <c r="G426" s="124"/>
      <c r="H426" s="124"/>
      <c r="I426" s="124"/>
      <c r="J426" s="124"/>
      <c r="K426" s="124"/>
      <c r="L426" s="124"/>
      <c r="M426" s="124"/>
      <c r="N426" s="124"/>
      <c r="O426" s="124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</row>
    <row x14ac:dyDescent="0.25" r="427" customHeight="1" ht="15.75">
      <c r="A427" s="123"/>
      <c r="B427" s="123"/>
      <c r="C427" s="124"/>
      <c r="D427" s="124"/>
      <c r="E427" s="124"/>
      <c r="F427" s="124"/>
      <c r="G427" s="124"/>
      <c r="H427" s="124"/>
      <c r="I427" s="124"/>
      <c r="J427" s="124"/>
      <c r="K427" s="124"/>
      <c r="L427" s="124"/>
      <c r="M427" s="124"/>
      <c r="N427" s="124"/>
      <c r="O427" s="124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</row>
    <row x14ac:dyDescent="0.25" r="428" customHeight="1" ht="15.75">
      <c r="A428" s="123"/>
      <c r="B428" s="123"/>
      <c r="C428" s="124"/>
      <c r="D428" s="124"/>
      <c r="E428" s="124"/>
      <c r="F428" s="124"/>
      <c r="G428" s="124"/>
      <c r="H428" s="124"/>
      <c r="I428" s="124"/>
      <c r="J428" s="124"/>
      <c r="K428" s="124"/>
      <c r="L428" s="124"/>
      <c r="M428" s="124"/>
      <c r="N428" s="124"/>
      <c r="O428" s="124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</row>
    <row x14ac:dyDescent="0.25" r="429" customHeight="1" ht="15.75">
      <c r="A429" s="123"/>
      <c r="B429" s="123"/>
      <c r="C429" s="124"/>
      <c r="D429" s="124"/>
      <c r="E429" s="124"/>
      <c r="F429" s="124"/>
      <c r="G429" s="124"/>
      <c r="H429" s="124"/>
      <c r="I429" s="124"/>
      <c r="J429" s="124"/>
      <c r="K429" s="124"/>
      <c r="L429" s="124"/>
      <c r="M429" s="124"/>
      <c r="N429" s="124"/>
      <c r="O429" s="124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</row>
    <row x14ac:dyDescent="0.25" r="430" customHeight="1" ht="15.75">
      <c r="A430" s="123"/>
      <c r="B430" s="123"/>
      <c r="C430" s="124"/>
      <c r="D430" s="124"/>
      <c r="E430" s="124"/>
      <c r="F430" s="124"/>
      <c r="G430" s="124"/>
      <c r="H430" s="124"/>
      <c r="I430" s="124"/>
      <c r="J430" s="124"/>
      <c r="K430" s="124"/>
      <c r="L430" s="124"/>
      <c r="M430" s="124"/>
      <c r="N430" s="124"/>
      <c r="O430" s="124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</row>
    <row x14ac:dyDescent="0.25" r="431" customHeight="1" ht="15.75">
      <c r="A431" s="123"/>
      <c r="B431" s="123"/>
      <c r="C431" s="124"/>
      <c r="D431" s="124"/>
      <c r="E431" s="124"/>
      <c r="F431" s="124"/>
      <c r="G431" s="124"/>
      <c r="H431" s="124"/>
      <c r="I431" s="124"/>
      <c r="J431" s="124"/>
      <c r="K431" s="124"/>
      <c r="L431" s="124"/>
      <c r="M431" s="124"/>
      <c r="N431" s="124"/>
      <c r="O431" s="124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</row>
    <row x14ac:dyDescent="0.25" r="432" customHeight="1" ht="15.75">
      <c r="A432" s="123"/>
      <c r="B432" s="123"/>
      <c r="C432" s="124"/>
      <c r="D432" s="124"/>
      <c r="E432" s="124"/>
      <c r="F432" s="124"/>
      <c r="G432" s="124"/>
      <c r="H432" s="124"/>
      <c r="I432" s="124"/>
      <c r="J432" s="124"/>
      <c r="K432" s="124"/>
      <c r="L432" s="124"/>
      <c r="M432" s="124"/>
      <c r="N432" s="124"/>
      <c r="O432" s="124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</row>
    <row x14ac:dyDescent="0.25" r="433" customHeight="1" ht="15.75">
      <c r="A433" s="123"/>
      <c r="B433" s="123"/>
      <c r="C433" s="124"/>
      <c r="D433" s="124"/>
      <c r="E433" s="124"/>
      <c r="F433" s="124"/>
      <c r="G433" s="124"/>
      <c r="H433" s="124"/>
      <c r="I433" s="124"/>
      <c r="J433" s="124"/>
      <c r="K433" s="124"/>
      <c r="L433" s="124"/>
      <c r="M433" s="124"/>
      <c r="N433" s="124"/>
      <c r="O433" s="124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</row>
    <row x14ac:dyDescent="0.25" r="434" customHeight="1" ht="15.75">
      <c r="A434" s="123"/>
      <c r="B434" s="123"/>
      <c r="C434" s="124"/>
      <c r="D434" s="124"/>
      <c r="E434" s="124"/>
      <c r="F434" s="124"/>
      <c r="G434" s="124"/>
      <c r="H434" s="124"/>
      <c r="I434" s="124"/>
      <c r="J434" s="124"/>
      <c r="K434" s="124"/>
      <c r="L434" s="124"/>
      <c r="M434" s="124"/>
      <c r="N434" s="124"/>
      <c r="O434" s="124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</row>
    <row x14ac:dyDescent="0.25" r="435" customHeight="1" ht="15.75">
      <c r="A435" s="123"/>
      <c r="B435" s="123"/>
      <c r="C435" s="124"/>
      <c r="D435" s="124"/>
      <c r="E435" s="124"/>
      <c r="F435" s="124"/>
      <c r="G435" s="124"/>
      <c r="H435" s="124"/>
      <c r="I435" s="124"/>
      <c r="J435" s="124"/>
      <c r="K435" s="124"/>
      <c r="L435" s="124"/>
      <c r="M435" s="124"/>
      <c r="N435" s="124"/>
      <c r="O435" s="124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</row>
    <row x14ac:dyDescent="0.25" r="436" customHeight="1" ht="15.75">
      <c r="A436" s="123"/>
      <c r="B436" s="123"/>
      <c r="C436" s="124"/>
      <c r="D436" s="124"/>
      <c r="E436" s="124"/>
      <c r="F436" s="124"/>
      <c r="G436" s="124"/>
      <c r="H436" s="124"/>
      <c r="I436" s="124"/>
      <c r="J436" s="124"/>
      <c r="K436" s="124"/>
      <c r="L436" s="124"/>
      <c r="M436" s="124"/>
      <c r="N436" s="124"/>
      <c r="O436" s="124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</row>
    <row x14ac:dyDescent="0.25" r="437" customHeight="1" ht="15.75">
      <c r="A437" s="123"/>
      <c r="B437" s="123"/>
      <c r="C437" s="124"/>
      <c r="D437" s="124"/>
      <c r="E437" s="124"/>
      <c r="F437" s="124"/>
      <c r="G437" s="124"/>
      <c r="H437" s="124"/>
      <c r="I437" s="124"/>
      <c r="J437" s="124"/>
      <c r="K437" s="124"/>
      <c r="L437" s="124"/>
      <c r="M437" s="124"/>
      <c r="N437" s="124"/>
      <c r="O437" s="124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</row>
    <row x14ac:dyDescent="0.25" r="438" customHeight="1" ht="15.75">
      <c r="A438" s="123"/>
      <c r="B438" s="123"/>
      <c r="C438" s="124"/>
      <c r="D438" s="124"/>
      <c r="E438" s="124"/>
      <c r="F438" s="124"/>
      <c r="G438" s="124"/>
      <c r="H438" s="124"/>
      <c r="I438" s="124"/>
      <c r="J438" s="124"/>
      <c r="K438" s="124"/>
      <c r="L438" s="124"/>
      <c r="M438" s="124"/>
      <c r="N438" s="124"/>
      <c r="O438" s="124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</row>
    <row x14ac:dyDescent="0.25" r="439" customHeight="1" ht="15.75">
      <c r="A439" s="123"/>
      <c r="B439" s="123"/>
      <c r="C439" s="124"/>
      <c r="D439" s="124"/>
      <c r="E439" s="124"/>
      <c r="F439" s="124"/>
      <c r="G439" s="124"/>
      <c r="H439" s="124"/>
      <c r="I439" s="124"/>
      <c r="J439" s="124"/>
      <c r="K439" s="124"/>
      <c r="L439" s="124"/>
      <c r="M439" s="124"/>
      <c r="N439" s="124"/>
      <c r="O439" s="124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</row>
    <row x14ac:dyDescent="0.25" r="440" customHeight="1" ht="15.75">
      <c r="A440" s="123"/>
      <c r="B440" s="123"/>
      <c r="C440" s="124"/>
      <c r="D440" s="124"/>
      <c r="E440" s="124"/>
      <c r="F440" s="124"/>
      <c r="G440" s="124"/>
      <c r="H440" s="124"/>
      <c r="I440" s="124"/>
      <c r="J440" s="124"/>
      <c r="K440" s="124"/>
      <c r="L440" s="124"/>
      <c r="M440" s="124"/>
      <c r="N440" s="124"/>
      <c r="O440" s="124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</row>
    <row x14ac:dyDescent="0.25" r="441" customHeight="1" ht="15.75">
      <c r="A441" s="123"/>
      <c r="B441" s="123"/>
      <c r="C441" s="124"/>
      <c r="D441" s="124"/>
      <c r="E441" s="124"/>
      <c r="F441" s="124"/>
      <c r="G441" s="124"/>
      <c r="H441" s="124"/>
      <c r="I441" s="124"/>
      <c r="J441" s="124"/>
      <c r="K441" s="124"/>
      <c r="L441" s="124"/>
      <c r="M441" s="124"/>
      <c r="N441" s="124"/>
      <c r="O441" s="124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</row>
    <row x14ac:dyDescent="0.25" r="442" customHeight="1" ht="15.75">
      <c r="A442" s="123"/>
      <c r="B442" s="123"/>
      <c r="C442" s="124"/>
      <c r="D442" s="124"/>
      <c r="E442" s="124"/>
      <c r="F442" s="124"/>
      <c r="G442" s="124"/>
      <c r="H442" s="124"/>
      <c r="I442" s="124"/>
      <c r="J442" s="124"/>
      <c r="K442" s="124"/>
      <c r="L442" s="124"/>
      <c r="M442" s="124"/>
      <c r="N442" s="124"/>
      <c r="O442" s="124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</row>
    <row x14ac:dyDescent="0.25" r="443" customHeight="1" ht="15.75">
      <c r="A443" s="123"/>
      <c r="B443" s="123"/>
      <c r="C443" s="124"/>
      <c r="D443" s="124"/>
      <c r="E443" s="124"/>
      <c r="F443" s="124"/>
      <c r="G443" s="124"/>
      <c r="H443" s="124"/>
      <c r="I443" s="124"/>
      <c r="J443" s="124"/>
      <c r="K443" s="124"/>
      <c r="L443" s="124"/>
      <c r="M443" s="124"/>
      <c r="N443" s="124"/>
      <c r="O443" s="124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</row>
    <row x14ac:dyDescent="0.25" r="444" customHeight="1" ht="15.75">
      <c r="A444" s="123"/>
      <c r="B444" s="123"/>
      <c r="C444" s="124"/>
      <c r="D444" s="124"/>
      <c r="E444" s="124"/>
      <c r="F444" s="124"/>
      <c r="G444" s="124"/>
      <c r="H444" s="124"/>
      <c r="I444" s="124"/>
      <c r="J444" s="124"/>
      <c r="K444" s="124"/>
      <c r="L444" s="124"/>
      <c r="M444" s="124"/>
      <c r="N444" s="124"/>
      <c r="O444" s="124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</row>
    <row x14ac:dyDescent="0.25" r="445" customHeight="1" ht="15.75">
      <c r="A445" s="123"/>
      <c r="B445" s="123"/>
      <c r="C445" s="124"/>
      <c r="D445" s="124"/>
      <c r="E445" s="124"/>
      <c r="F445" s="124"/>
      <c r="G445" s="124"/>
      <c r="H445" s="124"/>
      <c r="I445" s="124"/>
      <c r="J445" s="124"/>
      <c r="K445" s="124"/>
      <c r="L445" s="124"/>
      <c r="M445" s="124"/>
      <c r="N445" s="124"/>
      <c r="O445" s="124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</row>
    <row x14ac:dyDescent="0.25" r="446" customHeight="1" ht="15.75">
      <c r="A446" s="123"/>
      <c r="B446" s="123"/>
      <c r="C446" s="124"/>
      <c r="D446" s="124"/>
      <c r="E446" s="124"/>
      <c r="F446" s="124"/>
      <c r="G446" s="124"/>
      <c r="H446" s="124"/>
      <c r="I446" s="124"/>
      <c r="J446" s="124"/>
      <c r="K446" s="124"/>
      <c r="L446" s="124"/>
      <c r="M446" s="124"/>
      <c r="N446" s="124"/>
      <c r="O446" s="124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</row>
    <row x14ac:dyDescent="0.25" r="447" customHeight="1" ht="15.75">
      <c r="A447" s="123"/>
      <c r="B447" s="123"/>
      <c r="C447" s="124"/>
      <c r="D447" s="124"/>
      <c r="E447" s="124"/>
      <c r="F447" s="124"/>
      <c r="G447" s="124"/>
      <c r="H447" s="124"/>
      <c r="I447" s="124"/>
      <c r="J447" s="124"/>
      <c r="K447" s="124"/>
      <c r="L447" s="124"/>
      <c r="M447" s="124"/>
      <c r="N447" s="124"/>
      <c r="O447" s="124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</row>
    <row x14ac:dyDescent="0.25" r="448" customHeight="1" ht="15.75">
      <c r="A448" s="123"/>
      <c r="B448" s="123"/>
      <c r="C448" s="124"/>
      <c r="D448" s="124"/>
      <c r="E448" s="124"/>
      <c r="F448" s="124"/>
      <c r="G448" s="124"/>
      <c r="H448" s="124"/>
      <c r="I448" s="124"/>
      <c r="J448" s="124"/>
      <c r="K448" s="124"/>
      <c r="L448" s="124"/>
      <c r="M448" s="124"/>
      <c r="N448" s="124"/>
      <c r="O448" s="124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</row>
    <row x14ac:dyDescent="0.25" r="449" customHeight="1" ht="15.75">
      <c r="A449" s="123"/>
      <c r="B449" s="123"/>
      <c r="C449" s="124"/>
      <c r="D449" s="124"/>
      <c r="E449" s="124"/>
      <c r="F449" s="124"/>
      <c r="G449" s="124"/>
      <c r="H449" s="124"/>
      <c r="I449" s="124"/>
      <c r="J449" s="124"/>
      <c r="K449" s="124"/>
      <c r="L449" s="124"/>
      <c r="M449" s="124"/>
      <c r="N449" s="124"/>
      <c r="O449" s="124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</row>
    <row x14ac:dyDescent="0.25" r="450" customHeight="1" ht="15.75">
      <c r="A450" s="123"/>
      <c r="B450" s="123"/>
      <c r="C450" s="124"/>
      <c r="D450" s="124"/>
      <c r="E450" s="124"/>
      <c r="F450" s="124"/>
      <c r="G450" s="124"/>
      <c r="H450" s="124"/>
      <c r="I450" s="124"/>
      <c r="J450" s="124"/>
      <c r="K450" s="124"/>
      <c r="L450" s="124"/>
      <c r="M450" s="124"/>
      <c r="N450" s="124"/>
      <c r="O450" s="124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</row>
    <row x14ac:dyDescent="0.25" r="451" customHeight="1" ht="15.75">
      <c r="A451" s="123"/>
      <c r="B451" s="123"/>
      <c r="C451" s="124"/>
      <c r="D451" s="124"/>
      <c r="E451" s="124"/>
      <c r="F451" s="124"/>
      <c r="G451" s="124"/>
      <c r="H451" s="124"/>
      <c r="I451" s="124"/>
      <c r="J451" s="124"/>
      <c r="K451" s="124"/>
      <c r="L451" s="124"/>
      <c r="M451" s="124"/>
      <c r="N451" s="124"/>
      <c r="O451" s="124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</row>
    <row x14ac:dyDescent="0.25" r="452" customHeight="1" ht="15.75">
      <c r="A452" s="123"/>
      <c r="B452" s="123"/>
      <c r="C452" s="124"/>
      <c r="D452" s="124"/>
      <c r="E452" s="124"/>
      <c r="F452" s="124"/>
      <c r="G452" s="124"/>
      <c r="H452" s="124"/>
      <c r="I452" s="124"/>
      <c r="J452" s="124"/>
      <c r="K452" s="124"/>
      <c r="L452" s="124"/>
      <c r="M452" s="124"/>
      <c r="N452" s="124"/>
      <c r="O452" s="124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</row>
    <row x14ac:dyDescent="0.25" r="453" customHeight="1" ht="15.75">
      <c r="A453" s="123"/>
      <c r="B453" s="123"/>
      <c r="C453" s="124"/>
      <c r="D453" s="124"/>
      <c r="E453" s="124"/>
      <c r="F453" s="124"/>
      <c r="G453" s="124"/>
      <c r="H453" s="124"/>
      <c r="I453" s="124"/>
      <c r="J453" s="124"/>
      <c r="K453" s="124"/>
      <c r="L453" s="124"/>
      <c r="M453" s="124"/>
      <c r="N453" s="124"/>
      <c r="O453" s="124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</row>
    <row x14ac:dyDescent="0.25" r="454" customHeight="1" ht="15.75">
      <c r="A454" s="123"/>
      <c r="B454" s="123"/>
      <c r="C454" s="124"/>
      <c r="D454" s="124"/>
      <c r="E454" s="124"/>
      <c r="F454" s="124"/>
      <c r="G454" s="124"/>
      <c r="H454" s="124"/>
      <c r="I454" s="124"/>
      <c r="J454" s="124"/>
      <c r="K454" s="124"/>
      <c r="L454" s="124"/>
      <c r="M454" s="124"/>
      <c r="N454" s="124"/>
      <c r="O454" s="124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</row>
    <row x14ac:dyDescent="0.25" r="455" customHeight="1" ht="15.75">
      <c r="A455" s="123"/>
      <c r="B455" s="123"/>
      <c r="C455" s="124"/>
      <c r="D455" s="124"/>
      <c r="E455" s="124"/>
      <c r="F455" s="124"/>
      <c r="G455" s="124"/>
      <c r="H455" s="124"/>
      <c r="I455" s="124"/>
      <c r="J455" s="124"/>
      <c r="K455" s="124"/>
      <c r="L455" s="124"/>
      <c r="M455" s="124"/>
      <c r="N455" s="124"/>
      <c r="O455" s="124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</row>
    <row x14ac:dyDescent="0.25" r="456" customHeight="1" ht="15.75">
      <c r="A456" s="123"/>
      <c r="B456" s="123"/>
      <c r="C456" s="124"/>
      <c r="D456" s="124"/>
      <c r="E456" s="124"/>
      <c r="F456" s="124"/>
      <c r="G456" s="124"/>
      <c r="H456" s="124"/>
      <c r="I456" s="124"/>
      <c r="J456" s="124"/>
      <c r="K456" s="124"/>
      <c r="L456" s="124"/>
      <c r="M456" s="124"/>
      <c r="N456" s="124"/>
      <c r="O456" s="124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</row>
    <row x14ac:dyDescent="0.25" r="457" customHeight="1" ht="15.75">
      <c r="A457" s="123"/>
      <c r="B457" s="123"/>
      <c r="C457" s="124"/>
      <c r="D457" s="124"/>
      <c r="E457" s="124"/>
      <c r="F457" s="124"/>
      <c r="G457" s="124"/>
      <c r="H457" s="124"/>
      <c r="I457" s="124"/>
      <c r="J457" s="124"/>
      <c r="K457" s="124"/>
      <c r="L457" s="124"/>
      <c r="M457" s="124"/>
      <c r="N457" s="124"/>
      <c r="O457" s="124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</row>
    <row x14ac:dyDescent="0.25" r="458" customHeight="1" ht="15.75">
      <c r="A458" s="123"/>
      <c r="B458" s="123"/>
      <c r="C458" s="124"/>
      <c r="D458" s="124"/>
      <c r="E458" s="124"/>
      <c r="F458" s="124"/>
      <c r="G458" s="124"/>
      <c r="H458" s="124"/>
      <c r="I458" s="124"/>
      <c r="J458" s="124"/>
      <c r="K458" s="124"/>
      <c r="L458" s="124"/>
      <c r="M458" s="124"/>
      <c r="N458" s="124"/>
      <c r="O458" s="124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</row>
    <row x14ac:dyDescent="0.25" r="459" customHeight="1" ht="15.75">
      <c r="A459" s="123"/>
      <c r="B459" s="123"/>
      <c r="C459" s="124"/>
      <c r="D459" s="124"/>
      <c r="E459" s="124"/>
      <c r="F459" s="124"/>
      <c r="G459" s="124"/>
      <c r="H459" s="124"/>
      <c r="I459" s="124"/>
      <c r="J459" s="124"/>
      <c r="K459" s="124"/>
      <c r="L459" s="124"/>
      <c r="M459" s="124"/>
      <c r="N459" s="124"/>
      <c r="O459" s="124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</row>
    <row x14ac:dyDescent="0.25" r="460" customHeight="1" ht="15.75">
      <c r="A460" s="123"/>
      <c r="B460" s="123"/>
      <c r="C460" s="124"/>
      <c r="D460" s="124"/>
      <c r="E460" s="124"/>
      <c r="F460" s="124"/>
      <c r="G460" s="124"/>
      <c r="H460" s="124"/>
      <c r="I460" s="124"/>
      <c r="J460" s="124"/>
      <c r="K460" s="124"/>
      <c r="L460" s="124"/>
      <c r="M460" s="124"/>
      <c r="N460" s="124"/>
      <c r="O460" s="124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</row>
    <row x14ac:dyDescent="0.25" r="461" customHeight="1" ht="15.75">
      <c r="A461" s="123"/>
      <c r="B461" s="123"/>
      <c r="C461" s="124"/>
      <c r="D461" s="124"/>
      <c r="E461" s="124"/>
      <c r="F461" s="124"/>
      <c r="G461" s="124"/>
      <c r="H461" s="124"/>
      <c r="I461" s="124"/>
      <c r="J461" s="124"/>
      <c r="K461" s="124"/>
      <c r="L461" s="124"/>
      <c r="M461" s="124"/>
      <c r="N461" s="124"/>
      <c r="O461" s="124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</row>
    <row x14ac:dyDescent="0.25" r="462" customHeight="1" ht="15.75">
      <c r="A462" s="123"/>
      <c r="B462" s="123"/>
      <c r="C462" s="124"/>
      <c r="D462" s="124"/>
      <c r="E462" s="124"/>
      <c r="F462" s="124"/>
      <c r="G462" s="124"/>
      <c r="H462" s="124"/>
      <c r="I462" s="124"/>
      <c r="J462" s="124"/>
      <c r="K462" s="124"/>
      <c r="L462" s="124"/>
      <c r="M462" s="124"/>
      <c r="N462" s="124"/>
      <c r="O462" s="124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</row>
    <row x14ac:dyDescent="0.25" r="463" customHeight="1" ht="15.75">
      <c r="A463" s="123"/>
      <c r="B463" s="123"/>
      <c r="C463" s="124"/>
      <c r="D463" s="124"/>
      <c r="E463" s="124"/>
      <c r="F463" s="124"/>
      <c r="G463" s="124"/>
      <c r="H463" s="124"/>
      <c r="I463" s="124"/>
      <c r="J463" s="124"/>
      <c r="K463" s="124"/>
      <c r="L463" s="124"/>
      <c r="M463" s="124"/>
      <c r="N463" s="124"/>
      <c r="O463" s="124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</row>
    <row x14ac:dyDescent="0.25" r="464" customHeight="1" ht="15.75">
      <c r="A464" s="123"/>
      <c r="B464" s="123"/>
      <c r="C464" s="124"/>
      <c r="D464" s="124"/>
      <c r="E464" s="124"/>
      <c r="F464" s="124"/>
      <c r="G464" s="124"/>
      <c r="H464" s="124"/>
      <c r="I464" s="124"/>
      <c r="J464" s="124"/>
      <c r="K464" s="124"/>
      <c r="L464" s="124"/>
      <c r="M464" s="124"/>
      <c r="N464" s="124"/>
      <c r="O464" s="124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</row>
    <row x14ac:dyDescent="0.25" r="465" customHeight="1" ht="15.75">
      <c r="A465" s="123"/>
      <c r="B465" s="123"/>
      <c r="C465" s="124"/>
      <c r="D465" s="124"/>
      <c r="E465" s="124"/>
      <c r="F465" s="124"/>
      <c r="G465" s="124"/>
      <c r="H465" s="124"/>
      <c r="I465" s="124"/>
      <c r="J465" s="124"/>
      <c r="K465" s="124"/>
      <c r="L465" s="124"/>
      <c r="M465" s="124"/>
      <c r="N465" s="124"/>
      <c r="O465" s="124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</row>
    <row x14ac:dyDescent="0.25" r="466" customHeight="1" ht="15.75">
      <c r="A466" s="123"/>
      <c r="B466" s="123"/>
      <c r="C466" s="124"/>
      <c r="D466" s="124"/>
      <c r="E466" s="124"/>
      <c r="F466" s="124"/>
      <c r="G466" s="124"/>
      <c r="H466" s="124"/>
      <c r="I466" s="124"/>
      <c r="J466" s="124"/>
      <c r="K466" s="124"/>
      <c r="L466" s="124"/>
      <c r="M466" s="124"/>
      <c r="N466" s="124"/>
      <c r="O466" s="124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</row>
    <row x14ac:dyDescent="0.25" r="467" customHeight="1" ht="15.75">
      <c r="A467" s="123"/>
      <c r="B467" s="123"/>
      <c r="C467" s="124"/>
      <c r="D467" s="124"/>
      <c r="E467" s="124"/>
      <c r="F467" s="124"/>
      <c r="G467" s="124"/>
      <c r="H467" s="124"/>
      <c r="I467" s="124"/>
      <c r="J467" s="124"/>
      <c r="K467" s="124"/>
      <c r="L467" s="124"/>
      <c r="M467" s="124"/>
      <c r="N467" s="124"/>
      <c r="O467" s="124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</row>
    <row x14ac:dyDescent="0.25" r="468" customHeight="1" ht="15.75">
      <c r="A468" s="123"/>
      <c r="B468" s="123"/>
      <c r="C468" s="124"/>
      <c r="D468" s="124"/>
      <c r="E468" s="124"/>
      <c r="F468" s="124"/>
      <c r="G468" s="124"/>
      <c r="H468" s="124"/>
      <c r="I468" s="124"/>
      <c r="J468" s="124"/>
      <c r="K468" s="124"/>
      <c r="L468" s="124"/>
      <c r="M468" s="124"/>
      <c r="N468" s="124"/>
      <c r="O468" s="124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</row>
    <row x14ac:dyDescent="0.25" r="469" customHeight="1" ht="15.75">
      <c r="A469" s="123"/>
      <c r="B469" s="123"/>
      <c r="C469" s="124"/>
      <c r="D469" s="124"/>
      <c r="E469" s="124"/>
      <c r="F469" s="124"/>
      <c r="G469" s="124"/>
      <c r="H469" s="124"/>
      <c r="I469" s="124"/>
      <c r="J469" s="124"/>
      <c r="K469" s="124"/>
      <c r="L469" s="124"/>
      <c r="M469" s="124"/>
      <c r="N469" s="124"/>
      <c r="O469" s="124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</row>
    <row x14ac:dyDescent="0.25" r="470" customHeight="1" ht="15.75">
      <c r="A470" s="123"/>
      <c r="B470" s="123"/>
      <c r="C470" s="124"/>
      <c r="D470" s="124"/>
      <c r="E470" s="124"/>
      <c r="F470" s="124"/>
      <c r="G470" s="124"/>
      <c r="H470" s="124"/>
      <c r="I470" s="124"/>
      <c r="J470" s="124"/>
      <c r="K470" s="124"/>
      <c r="L470" s="124"/>
      <c r="M470" s="124"/>
      <c r="N470" s="124"/>
      <c r="O470" s="124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</row>
    <row x14ac:dyDescent="0.25" r="471" customHeight="1" ht="15.75">
      <c r="A471" s="123"/>
      <c r="B471" s="123"/>
      <c r="C471" s="124"/>
      <c r="D471" s="124"/>
      <c r="E471" s="124"/>
      <c r="F471" s="124"/>
      <c r="G471" s="124"/>
      <c r="H471" s="124"/>
      <c r="I471" s="124"/>
      <c r="J471" s="124"/>
      <c r="K471" s="124"/>
      <c r="L471" s="124"/>
      <c r="M471" s="124"/>
      <c r="N471" s="124"/>
      <c r="O471" s="124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</row>
    <row x14ac:dyDescent="0.25" r="472" customHeight="1" ht="15.75">
      <c r="A472" s="123"/>
      <c r="B472" s="123"/>
      <c r="C472" s="124"/>
      <c r="D472" s="124"/>
      <c r="E472" s="124"/>
      <c r="F472" s="124"/>
      <c r="G472" s="124"/>
      <c r="H472" s="124"/>
      <c r="I472" s="124"/>
      <c r="J472" s="124"/>
      <c r="K472" s="124"/>
      <c r="L472" s="124"/>
      <c r="M472" s="124"/>
      <c r="N472" s="124"/>
      <c r="O472" s="124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</row>
    <row x14ac:dyDescent="0.25" r="473" customHeight="1" ht="15.75">
      <c r="A473" s="123"/>
      <c r="B473" s="123"/>
      <c r="C473" s="124"/>
      <c r="D473" s="124"/>
      <c r="E473" s="124"/>
      <c r="F473" s="124"/>
      <c r="G473" s="124"/>
      <c r="H473" s="124"/>
      <c r="I473" s="124"/>
      <c r="J473" s="124"/>
      <c r="K473" s="124"/>
      <c r="L473" s="124"/>
      <c r="M473" s="124"/>
      <c r="N473" s="124"/>
      <c r="O473" s="124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</row>
    <row x14ac:dyDescent="0.25" r="474" customHeight="1" ht="15.75">
      <c r="A474" s="123"/>
      <c r="B474" s="123"/>
      <c r="C474" s="124"/>
      <c r="D474" s="124"/>
      <c r="E474" s="124"/>
      <c r="F474" s="124"/>
      <c r="G474" s="124"/>
      <c r="H474" s="124"/>
      <c r="I474" s="124"/>
      <c r="J474" s="124"/>
      <c r="K474" s="124"/>
      <c r="L474" s="124"/>
      <c r="M474" s="124"/>
      <c r="N474" s="124"/>
      <c r="O474" s="124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</row>
    <row x14ac:dyDescent="0.25" r="475" customHeight="1" ht="15.75">
      <c r="A475" s="123"/>
      <c r="B475" s="123"/>
      <c r="C475" s="124"/>
      <c r="D475" s="124"/>
      <c r="E475" s="124"/>
      <c r="F475" s="124"/>
      <c r="G475" s="124"/>
      <c r="H475" s="124"/>
      <c r="I475" s="124"/>
      <c r="J475" s="124"/>
      <c r="K475" s="124"/>
      <c r="L475" s="124"/>
      <c r="M475" s="124"/>
      <c r="N475" s="124"/>
      <c r="O475" s="124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</row>
    <row x14ac:dyDescent="0.25" r="476" customHeight="1" ht="15.75">
      <c r="A476" s="123"/>
      <c r="B476" s="123"/>
      <c r="C476" s="124"/>
      <c r="D476" s="124"/>
      <c r="E476" s="124"/>
      <c r="F476" s="124"/>
      <c r="G476" s="124"/>
      <c r="H476" s="124"/>
      <c r="I476" s="124"/>
      <c r="J476" s="124"/>
      <c r="K476" s="124"/>
      <c r="L476" s="124"/>
      <c r="M476" s="124"/>
      <c r="N476" s="124"/>
      <c r="O476" s="124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</row>
    <row x14ac:dyDescent="0.25" r="477" customHeight="1" ht="15.75">
      <c r="A477" s="123"/>
      <c r="B477" s="123"/>
      <c r="C477" s="124"/>
      <c r="D477" s="124"/>
      <c r="E477" s="124"/>
      <c r="F477" s="124"/>
      <c r="G477" s="124"/>
      <c r="H477" s="124"/>
      <c r="I477" s="124"/>
      <c r="J477" s="124"/>
      <c r="K477" s="124"/>
      <c r="L477" s="124"/>
      <c r="M477" s="124"/>
      <c r="N477" s="124"/>
      <c r="O477" s="124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</row>
    <row x14ac:dyDescent="0.25" r="478" customHeight="1" ht="15.75">
      <c r="A478" s="123"/>
      <c r="B478" s="123"/>
      <c r="C478" s="124"/>
      <c r="D478" s="124"/>
      <c r="E478" s="124"/>
      <c r="F478" s="124"/>
      <c r="G478" s="124"/>
      <c r="H478" s="124"/>
      <c r="I478" s="124"/>
      <c r="J478" s="124"/>
      <c r="K478" s="124"/>
      <c r="L478" s="124"/>
      <c r="M478" s="124"/>
      <c r="N478" s="124"/>
      <c r="O478" s="124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</row>
    <row x14ac:dyDescent="0.25" r="479" customHeight="1" ht="15.75">
      <c r="A479" s="123"/>
      <c r="B479" s="123"/>
      <c r="C479" s="124"/>
      <c r="D479" s="124"/>
      <c r="E479" s="124"/>
      <c r="F479" s="124"/>
      <c r="G479" s="124"/>
      <c r="H479" s="124"/>
      <c r="I479" s="124"/>
      <c r="J479" s="124"/>
      <c r="K479" s="124"/>
      <c r="L479" s="124"/>
      <c r="M479" s="124"/>
      <c r="N479" s="124"/>
      <c r="O479" s="124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</row>
    <row x14ac:dyDescent="0.25" r="480" customHeight="1" ht="15.75">
      <c r="A480" s="123"/>
      <c r="B480" s="123"/>
      <c r="C480" s="124"/>
      <c r="D480" s="124"/>
      <c r="E480" s="124"/>
      <c r="F480" s="124"/>
      <c r="G480" s="124"/>
      <c r="H480" s="124"/>
      <c r="I480" s="124"/>
      <c r="J480" s="124"/>
      <c r="K480" s="124"/>
      <c r="L480" s="124"/>
      <c r="M480" s="124"/>
      <c r="N480" s="124"/>
      <c r="O480" s="124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</row>
    <row x14ac:dyDescent="0.25" r="481" customHeight="1" ht="15.75">
      <c r="A481" s="123"/>
      <c r="B481" s="123"/>
      <c r="C481" s="124"/>
      <c r="D481" s="124"/>
      <c r="E481" s="124"/>
      <c r="F481" s="124"/>
      <c r="G481" s="124"/>
      <c r="H481" s="124"/>
      <c r="I481" s="124"/>
      <c r="J481" s="124"/>
      <c r="K481" s="124"/>
      <c r="L481" s="124"/>
      <c r="M481" s="124"/>
      <c r="N481" s="124"/>
      <c r="O481" s="124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</row>
    <row x14ac:dyDescent="0.25" r="482" customHeight="1" ht="15.75">
      <c r="A482" s="123"/>
      <c r="B482" s="123"/>
      <c r="C482" s="124"/>
      <c r="D482" s="124"/>
      <c r="E482" s="124"/>
      <c r="F482" s="124"/>
      <c r="G482" s="124"/>
      <c r="H482" s="124"/>
      <c r="I482" s="124"/>
      <c r="J482" s="124"/>
      <c r="K482" s="124"/>
      <c r="L482" s="124"/>
      <c r="M482" s="124"/>
      <c r="N482" s="124"/>
      <c r="O482" s="124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</row>
    <row x14ac:dyDescent="0.25" r="483" customHeight="1" ht="15.75">
      <c r="A483" s="123"/>
      <c r="B483" s="123"/>
      <c r="C483" s="124"/>
      <c r="D483" s="124"/>
      <c r="E483" s="124"/>
      <c r="F483" s="124"/>
      <c r="G483" s="124"/>
      <c r="H483" s="124"/>
      <c r="I483" s="124"/>
      <c r="J483" s="124"/>
      <c r="K483" s="124"/>
      <c r="L483" s="124"/>
      <c r="M483" s="124"/>
      <c r="N483" s="124"/>
      <c r="O483" s="124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</row>
    <row x14ac:dyDescent="0.25" r="484" customHeight="1" ht="15.75">
      <c r="A484" s="123"/>
      <c r="B484" s="123"/>
      <c r="C484" s="124"/>
      <c r="D484" s="124"/>
      <c r="E484" s="124"/>
      <c r="F484" s="124"/>
      <c r="G484" s="124"/>
      <c r="H484" s="124"/>
      <c r="I484" s="124"/>
      <c r="J484" s="124"/>
      <c r="K484" s="124"/>
      <c r="L484" s="124"/>
      <c r="M484" s="124"/>
      <c r="N484" s="124"/>
      <c r="O484" s="124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</row>
    <row x14ac:dyDescent="0.25" r="485" customHeight="1" ht="15.75">
      <c r="A485" s="123"/>
      <c r="B485" s="123"/>
      <c r="C485" s="124"/>
      <c r="D485" s="124"/>
      <c r="E485" s="124"/>
      <c r="F485" s="124"/>
      <c r="G485" s="124"/>
      <c r="H485" s="124"/>
      <c r="I485" s="124"/>
      <c r="J485" s="124"/>
      <c r="K485" s="124"/>
      <c r="L485" s="124"/>
      <c r="M485" s="124"/>
      <c r="N485" s="124"/>
      <c r="O485" s="124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</row>
    <row x14ac:dyDescent="0.25" r="486" customHeight="1" ht="15.75">
      <c r="A486" s="123"/>
      <c r="B486" s="123"/>
      <c r="C486" s="124"/>
      <c r="D486" s="124"/>
      <c r="E486" s="124"/>
      <c r="F486" s="124"/>
      <c r="G486" s="124"/>
      <c r="H486" s="124"/>
      <c r="I486" s="124"/>
      <c r="J486" s="124"/>
      <c r="K486" s="124"/>
      <c r="L486" s="124"/>
      <c r="M486" s="124"/>
      <c r="N486" s="124"/>
      <c r="O486" s="124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</row>
    <row x14ac:dyDescent="0.25" r="487" customHeight="1" ht="15.75">
      <c r="A487" s="123"/>
      <c r="B487" s="123"/>
      <c r="C487" s="124"/>
      <c r="D487" s="124"/>
      <c r="E487" s="124"/>
      <c r="F487" s="124"/>
      <c r="G487" s="124"/>
      <c r="H487" s="124"/>
      <c r="I487" s="124"/>
      <c r="J487" s="124"/>
      <c r="K487" s="124"/>
      <c r="L487" s="124"/>
      <c r="M487" s="124"/>
      <c r="N487" s="124"/>
      <c r="O487" s="124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</row>
    <row x14ac:dyDescent="0.25" r="488" customHeight="1" ht="15.75">
      <c r="A488" s="123"/>
      <c r="B488" s="123"/>
      <c r="C488" s="124"/>
      <c r="D488" s="124"/>
      <c r="E488" s="124"/>
      <c r="F488" s="124"/>
      <c r="G488" s="124"/>
      <c r="H488" s="124"/>
      <c r="I488" s="124"/>
      <c r="J488" s="124"/>
      <c r="K488" s="124"/>
      <c r="L488" s="124"/>
      <c r="M488" s="124"/>
      <c r="N488" s="124"/>
      <c r="O488" s="124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</row>
    <row x14ac:dyDescent="0.25" r="489" customHeight="1" ht="15.75">
      <c r="A489" s="123"/>
      <c r="B489" s="123"/>
      <c r="C489" s="124"/>
      <c r="D489" s="124"/>
      <c r="E489" s="124"/>
      <c r="F489" s="124"/>
      <c r="G489" s="124"/>
      <c r="H489" s="124"/>
      <c r="I489" s="124"/>
      <c r="J489" s="124"/>
      <c r="K489" s="124"/>
      <c r="L489" s="124"/>
      <c r="M489" s="124"/>
      <c r="N489" s="124"/>
      <c r="O489" s="124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</row>
    <row x14ac:dyDescent="0.25" r="490" customHeight="1" ht="15.75">
      <c r="A490" s="123"/>
      <c r="B490" s="123"/>
      <c r="C490" s="124"/>
      <c r="D490" s="124"/>
      <c r="E490" s="124"/>
      <c r="F490" s="124"/>
      <c r="G490" s="124"/>
      <c r="H490" s="124"/>
      <c r="I490" s="124"/>
      <c r="J490" s="124"/>
      <c r="K490" s="124"/>
      <c r="L490" s="124"/>
      <c r="M490" s="124"/>
      <c r="N490" s="124"/>
      <c r="O490" s="124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</row>
    <row x14ac:dyDescent="0.25" r="491" customHeight="1" ht="15.75">
      <c r="A491" s="123"/>
      <c r="B491" s="123"/>
      <c r="C491" s="124"/>
      <c r="D491" s="124"/>
      <c r="E491" s="124"/>
      <c r="F491" s="124"/>
      <c r="G491" s="124"/>
      <c r="H491" s="124"/>
      <c r="I491" s="124"/>
      <c r="J491" s="124"/>
      <c r="K491" s="124"/>
      <c r="L491" s="124"/>
      <c r="M491" s="124"/>
      <c r="N491" s="124"/>
      <c r="O491" s="124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</row>
    <row x14ac:dyDescent="0.25" r="492" customHeight="1" ht="15.75">
      <c r="A492" s="123"/>
      <c r="B492" s="123"/>
      <c r="C492" s="124"/>
      <c r="D492" s="124"/>
      <c r="E492" s="124"/>
      <c r="F492" s="124"/>
      <c r="G492" s="124"/>
      <c r="H492" s="124"/>
      <c r="I492" s="124"/>
      <c r="J492" s="124"/>
      <c r="K492" s="124"/>
      <c r="L492" s="124"/>
      <c r="M492" s="124"/>
      <c r="N492" s="124"/>
      <c r="O492" s="124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</row>
    <row x14ac:dyDescent="0.25" r="493" customHeight="1" ht="15.75">
      <c r="A493" s="123"/>
      <c r="B493" s="123"/>
      <c r="C493" s="124"/>
      <c r="D493" s="124"/>
      <c r="E493" s="124"/>
      <c r="F493" s="124"/>
      <c r="G493" s="124"/>
      <c r="H493" s="124"/>
      <c r="I493" s="124"/>
      <c r="J493" s="124"/>
      <c r="K493" s="124"/>
      <c r="L493" s="124"/>
      <c r="M493" s="124"/>
      <c r="N493" s="124"/>
      <c r="O493" s="124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</row>
    <row x14ac:dyDescent="0.25" r="494" customHeight="1" ht="15.75">
      <c r="A494" s="123"/>
      <c r="B494" s="123"/>
      <c r="C494" s="124"/>
      <c r="D494" s="124"/>
      <c r="E494" s="124"/>
      <c r="F494" s="124"/>
      <c r="G494" s="124"/>
      <c r="H494" s="124"/>
      <c r="I494" s="124"/>
      <c r="J494" s="124"/>
      <c r="K494" s="124"/>
      <c r="L494" s="124"/>
      <c r="M494" s="124"/>
      <c r="N494" s="124"/>
      <c r="O494" s="124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</row>
    <row x14ac:dyDescent="0.25" r="495" customHeight="1" ht="15.75">
      <c r="A495" s="123"/>
      <c r="B495" s="123"/>
      <c r="C495" s="124"/>
      <c r="D495" s="124"/>
      <c r="E495" s="124"/>
      <c r="F495" s="124"/>
      <c r="G495" s="124"/>
      <c r="H495" s="124"/>
      <c r="I495" s="124"/>
      <c r="J495" s="124"/>
      <c r="K495" s="124"/>
      <c r="L495" s="124"/>
      <c r="M495" s="124"/>
      <c r="N495" s="124"/>
      <c r="O495" s="124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</row>
    <row x14ac:dyDescent="0.25" r="496" customHeight="1" ht="15.75">
      <c r="A496" s="123"/>
      <c r="B496" s="123"/>
      <c r="C496" s="124"/>
      <c r="D496" s="124"/>
      <c r="E496" s="124"/>
      <c r="F496" s="124"/>
      <c r="G496" s="124"/>
      <c r="H496" s="124"/>
      <c r="I496" s="124"/>
      <c r="J496" s="124"/>
      <c r="K496" s="124"/>
      <c r="L496" s="124"/>
      <c r="M496" s="124"/>
      <c r="N496" s="124"/>
      <c r="O496" s="124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</row>
    <row x14ac:dyDescent="0.25" r="497" customHeight="1" ht="15.75">
      <c r="A497" s="123"/>
      <c r="B497" s="123"/>
      <c r="C497" s="124"/>
      <c r="D497" s="124"/>
      <c r="E497" s="124"/>
      <c r="F497" s="124"/>
      <c r="G497" s="124"/>
      <c r="H497" s="124"/>
      <c r="I497" s="124"/>
      <c r="J497" s="124"/>
      <c r="K497" s="124"/>
      <c r="L497" s="124"/>
      <c r="M497" s="124"/>
      <c r="N497" s="124"/>
      <c r="O497" s="124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</row>
    <row x14ac:dyDescent="0.25" r="498" customHeight="1" ht="15.75">
      <c r="A498" s="123"/>
      <c r="B498" s="123"/>
      <c r="C498" s="124"/>
      <c r="D498" s="124"/>
      <c r="E498" s="124"/>
      <c r="F498" s="124"/>
      <c r="G498" s="124"/>
      <c r="H498" s="124"/>
      <c r="I498" s="124"/>
      <c r="J498" s="124"/>
      <c r="K498" s="124"/>
      <c r="L498" s="124"/>
      <c r="M498" s="124"/>
      <c r="N498" s="124"/>
      <c r="O498" s="124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</row>
    <row x14ac:dyDescent="0.25" r="499" customHeight="1" ht="15.75">
      <c r="A499" s="123"/>
      <c r="B499" s="123"/>
      <c r="C499" s="124"/>
      <c r="D499" s="124"/>
      <c r="E499" s="124"/>
      <c r="F499" s="124"/>
      <c r="G499" s="124"/>
      <c r="H499" s="124"/>
      <c r="I499" s="124"/>
      <c r="J499" s="124"/>
      <c r="K499" s="124"/>
      <c r="L499" s="124"/>
      <c r="M499" s="124"/>
      <c r="N499" s="124"/>
      <c r="O499" s="124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</row>
    <row x14ac:dyDescent="0.25" r="500" customHeight="1" ht="15.75">
      <c r="A500" s="123"/>
      <c r="B500" s="123"/>
      <c r="C500" s="124"/>
      <c r="D500" s="124"/>
      <c r="E500" s="124"/>
      <c r="F500" s="124"/>
      <c r="G500" s="124"/>
      <c r="H500" s="124"/>
      <c r="I500" s="124"/>
      <c r="J500" s="124"/>
      <c r="K500" s="124"/>
      <c r="L500" s="124"/>
      <c r="M500" s="124"/>
      <c r="N500" s="124"/>
      <c r="O500" s="124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</row>
    <row x14ac:dyDescent="0.25" r="501" customHeight="1" ht="15.75">
      <c r="A501" s="123"/>
      <c r="B501" s="123"/>
      <c r="C501" s="124"/>
      <c r="D501" s="124"/>
      <c r="E501" s="124"/>
      <c r="F501" s="124"/>
      <c r="G501" s="124"/>
      <c r="H501" s="124"/>
      <c r="I501" s="124"/>
      <c r="J501" s="124"/>
      <c r="K501" s="124"/>
      <c r="L501" s="124"/>
      <c r="M501" s="124"/>
      <c r="N501" s="124"/>
      <c r="O501" s="124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</row>
    <row x14ac:dyDescent="0.25" r="502" customHeight="1" ht="15.75">
      <c r="A502" s="123"/>
      <c r="B502" s="123"/>
      <c r="C502" s="124"/>
      <c r="D502" s="124"/>
      <c r="E502" s="124"/>
      <c r="F502" s="124"/>
      <c r="G502" s="124"/>
      <c r="H502" s="124"/>
      <c r="I502" s="124"/>
      <c r="J502" s="124"/>
      <c r="K502" s="124"/>
      <c r="L502" s="124"/>
      <c r="M502" s="124"/>
      <c r="N502" s="124"/>
      <c r="O502" s="124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</row>
    <row x14ac:dyDescent="0.25" r="503" customHeight="1" ht="15.75">
      <c r="A503" s="123"/>
      <c r="B503" s="123"/>
      <c r="C503" s="124"/>
      <c r="D503" s="124"/>
      <c r="E503" s="124"/>
      <c r="F503" s="124"/>
      <c r="G503" s="124"/>
      <c r="H503" s="124"/>
      <c r="I503" s="124"/>
      <c r="J503" s="124"/>
      <c r="K503" s="124"/>
      <c r="L503" s="124"/>
      <c r="M503" s="124"/>
      <c r="N503" s="124"/>
      <c r="O503" s="124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</row>
    <row x14ac:dyDescent="0.25" r="504" customHeight="1" ht="15.75">
      <c r="A504" s="123"/>
      <c r="B504" s="123"/>
      <c r="C504" s="124"/>
      <c r="D504" s="124"/>
      <c r="E504" s="124"/>
      <c r="F504" s="124"/>
      <c r="G504" s="124"/>
      <c r="H504" s="124"/>
      <c r="I504" s="124"/>
      <c r="J504" s="124"/>
      <c r="K504" s="124"/>
      <c r="L504" s="124"/>
      <c r="M504" s="124"/>
      <c r="N504" s="124"/>
      <c r="O504" s="124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</row>
    <row x14ac:dyDescent="0.25" r="505" customHeight="1" ht="15.75">
      <c r="A505" s="123"/>
      <c r="B505" s="123"/>
      <c r="C505" s="124"/>
      <c r="D505" s="124"/>
      <c r="E505" s="124"/>
      <c r="F505" s="124"/>
      <c r="G505" s="124"/>
      <c r="H505" s="124"/>
      <c r="I505" s="124"/>
      <c r="J505" s="124"/>
      <c r="K505" s="124"/>
      <c r="L505" s="124"/>
      <c r="M505" s="124"/>
      <c r="N505" s="124"/>
      <c r="O505" s="124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</row>
    <row x14ac:dyDescent="0.25" r="506" customHeight="1" ht="15.75">
      <c r="A506" s="123"/>
      <c r="B506" s="123"/>
      <c r="C506" s="124"/>
      <c r="D506" s="124"/>
      <c r="E506" s="124"/>
      <c r="F506" s="124"/>
      <c r="G506" s="124"/>
      <c r="H506" s="124"/>
      <c r="I506" s="124"/>
      <c r="J506" s="124"/>
      <c r="K506" s="124"/>
      <c r="L506" s="124"/>
      <c r="M506" s="124"/>
      <c r="N506" s="124"/>
      <c r="O506" s="124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</row>
    <row x14ac:dyDescent="0.25" r="507" customHeight="1" ht="15.75">
      <c r="A507" s="123"/>
      <c r="B507" s="123"/>
      <c r="C507" s="124"/>
      <c r="D507" s="124"/>
      <c r="E507" s="124"/>
      <c r="F507" s="124"/>
      <c r="G507" s="124"/>
      <c r="H507" s="124"/>
      <c r="I507" s="124"/>
      <c r="J507" s="124"/>
      <c r="K507" s="124"/>
      <c r="L507" s="124"/>
      <c r="M507" s="124"/>
      <c r="N507" s="124"/>
      <c r="O507" s="124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</row>
    <row x14ac:dyDescent="0.25" r="508" customHeight="1" ht="15.75">
      <c r="A508" s="123"/>
      <c r="B508" s="123"/>
      <c r="C508" s="124"/>
      <c r="D508" s="124"/>
      <c r="E508" s="124"/>
      <c r="F508" s="124"/>
      <c r="G508" s="124"/>
      <c r="H508" s="124"/>
      <c r="I508" s="124"/>
      <c r="J508" s="124"/>
      <c r="K508" s="124"/>
      <c r="L508" s="124"/>
      <c r="M508" s="124"/>
      <c r="N508" s="124"/>
      <c r="O508" s="124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</row>
    <row x14ac:dyDescent="0.25" r="509" customHeight="1" ht="15.75">
      <c r="A509" s="123"/>
      <c r="B509" s="123"/>
      <c r="C509" s="124"/>
      <c r="D509" s="124"/>
      <c r="E509" s="124"/>
      <c r="F509" s="124"/>
      <c r="G509" s="124"/>
      <c r="H509" s="124"/>
      <c r="I509" s="124"/>
      <c r="J509" s="124"/>
      <c r="K509" s="124"/>
      <c r="L509" s="124"/>
      <c r="M509" s="124"/>
      <c r="N509" s="124"/>
      <c r="O509" s="124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</row>
    <row x14ac:dyDescent="0.25" r="510" customHeight="1" ht="15.75">
      <c r="A510" s="123"/>
      <c r="B510" s="123"/>
      <c r="C510" s="124"/>
      <c r="D510" s="124"/>
      <c r="E510" s="124"/>
      <c r="F510" s="124"/>
      <c r="G510" s="124"/>
      <c r="H510" s="124"/>
      <c r="I510" s="124"/>
      <c r="J510" s="124"/>
      <c r="K510" s="124"/>
      <c r="L510" s="124"/>
      <c r="M510" s="124"/>
      <c r="N510" s="124"/>
      <c r="O510" s="124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</row>
    <row x14ac:dyDescent="0.25" r="511" customHeight="1" ht="15.75">
      <c r="A511" s="123"/>
      <c r="B511" s="123"/>
      <c r="C511" s="124"/>
      <c r="D511" s="124"/>
      <c r="E511" s="124"/>
      <c r="F511" s="124"/>
      <c r="G511" s="124"/>
      <c r="H511" s="124"/>
      <c r="I511" s="124"/>
      <c r="J511" s="124"/>
      <c r="K511" s="124"/>
      <c r="L511" s="124"/>
      <c r="M511" s="124"/>
      <c r="N511" s="124"/>
      <c r="O511" s="124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</row>
    <row x14ac:dyDescent="0.25" r="512" customHeight="1" ht="15.75">
      <c r="A512" s="123"/>
      <c r="B512" s="123"/>
      <c r="C512" s="124"/>
      <c r="D512" s="124"/>
      <c r="E512" s="124"/>
      <c r="F512" s="124"/>
      <c r="G512" s="124"/>
      <c r="H512" s="124"/>
      <c r="I512" s="124"/>
      <c r="J512" s="124"/>
      <c r="K512" s="124"/>
      <c r="L512" s="124"/>
      <c r="M512" s="124"/>
      <c r="N512" s="124"/>
      <c r="O512" s="124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</row>
    <row x14ac:dyDescent="0.25" r="513" customHeight="1" ht="15.75">
      <c r="A513" s="123"/>
      <c r="B513" s="123"/>
      <c r="C513" s="124"/>
      <c r="D513" s="124"/>
      <c r="E513" s="124"/>
      <c r="F513" s="124"/>
      <c r="G513" s="124"/>
      <c r="H513" s="124"/>
      <c r="I513" s="124"/>
      <c r="J513" s="124"/>
      <c r="K513" s="124"/>
      <c r="L513" s="124"/>
      <c r="M513" s="124"/>
      <c r="N513" s="124"/>
      <c r="O513" s="124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</row>
    <row x14ac:dyDescent="0.25" r="514" customHeight="1" ht="15.75">
      <c r="A514" s="123"/>
      <c r="B514" s="123"/>
      <c r="C514" s="124"/>
      <c r="D514" s="124"/>
      <c r="E514" s="124"/>
      <c r="F514" s="124"/>
      <c r="G514" s="124"/>
      <c r="H514" s="124"/>
      <c r="I514" s="124"/>
      <c r="J514" s="124"/>
      <c r="K514" s="124"/>
      <c r="L514" s="124"/>
      <c r="M514" s="124"/>
      <c r="N514" s="124"/>
      <c r="O514" s="124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</row>
    <row x14ac:dyDescent="0.25" r="515" customHeight="1" ht="15.75">
      <c r="A515" s="123"/>
      <c r="B515" s="123"/>
      <c r="C515" s="124"/>
      <c r="D515" s="124"/>
      <c r="E515" s="124"/>
      <c r="F515" s="124"/>
      <c r="G515" s="124"/>
      <c r="H515" s="124"/>
      <c r="I515" s="124"/>
      <c r="J515" s="124"/>
      <c r="K515" s="124"/>
      <c r="L515" s="124"/>
      <c r="M515" s="124"/>
      <c r="N515" s="124"/>
      <c r="O515" s="124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</row>
    <row x14ac:dyDescent="0.25" r="516" customHeight="1" ht="15.75">
      <c r="A516" s="123"/>
      <c r="B516" s="123"/>
      <c r="C516" s="124"/>
      <c r="D516" s="124"/>
      <c r="E516" s="124"/>
      <c r="F516" s="124"/>
      <c r="G516" s="124"/>
      <c r="H516" s="124"/>
      <c r="I516" s="124"/>
      <c r="J516" s="124"/>
      <c r="K516" s="124"/>
      <c r="L516" s="124"/>
      <c r="M516" s="124"/>
      <c r="N516" s="124"/>
      <c r="O516" s="124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</row>
    <row x14ac:dyDescent="0.25" r="517" customHeight="1" ht="15.75">
      <c r="A517" s="123"/>
      <c r="B517" s="123"/>
      <c r="C517" s="124"/>
      <c r="D517" s="124"/>
      <c r="E517" s="124"/>
      <c r="F517" s="124"/>
      <c r="G517" s="124"/>
      <c r="H517" s="124"/>
      <c r="I517" s="124"/>
      <c r="J517" s="124"/>
      <c r="K517" s="124"/>
      <c r="L517" s="124"/>
      <c r="M517" s="124"/>
      <c r="N517" s="124"/>
      <c r="O517" s="124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</row>
    <row x14ac:dyDescent="0.25" r="518" customHeight="1" ht="15.75">
      <c r="A518" s="123"/>
      <c r="B518" s="123"/>
      <c r="C518" s="124"/>
      <c r="D518" s="124"/>
      <c r="E518" s="124"/>
      <c r="F518" s="124"/>
      <c r="G518" s="124"/>
      <c r="H518" s="124"/>
      <c r="I518" s="124"/>
      <c r="J518" s="124"/>
      <c r="K518" s="124"/>
      <c r="L518" s="124"/>
      <c r="M518" s="124"/>
      <c r="N518" s="124"/>
      <c r="O518" s="124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</row>
    <row x14ac:dyDescent="0.25" r="519" customHeight="1" ht="15.75">
      <c r="A519" s="123"/>
      <c r="B519" s="123"/>
      <c r="C519" s="124"/>
      <c r="D519" s="124"/>
      <c r="E519" s="124"/>
      <c r="F519" s="124"/>
      <c r="G519" s="124"/>
      <c r="H519" s="124"/>
      <c r="I519" s="124"/>
      <c r="J519" s="124"/>
      <c r="K519" s="124"/>
      <c r="L519" s="124"/>
      <c r="M519" s="124"/>
      <c r="N519" s="124"/>
      <c r="O519" s="124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</row>
    <row x14ac:dyDescent="0.25" r="520" customHeight="1" ht="15.75">
      <c r="A520" s="123"/>
      <c r="B520" s="123"/>
      <c r="C520" s="124"/>
      <c r="D520" s="124"/>
      <c r="E520" s="124"/>
      <c r="F520" s="124"/>
      <c r="G520" s="124"/>
      <c r="H520" s="124"/>
      <c r="I520" s="124"/>
      <c r="J520" s="124"/>
      <c r="K520" s="124"/>
      <c r="L520" s="124"/>
      <c r="M520" s="124"/>
      <c r="N520" s="124"/>
      <c r="O520" s="124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</row>
    <row x14ac:dyDescent="0.25" r="521" customHeight="1" ht="15.75">
      <c r="A521" s="123"/>
      <c r="B521" s="123"/>
      <c r="C521" s="124"/>
      <c r="D521" s="124"/>
      <c r="E521" s="124"/>
      <c r="F521" s="124"/>
      <c r="G521" s="124"/>
      <c r="H521" s="124"/>
      <c r="I521" s="124"/>
      <c r="J521" s="124"/>
      <c r="K521" s="124"/>
      <c r="L521" s="124"/>
      <c r="M521" s="124"/>
      <c r="N521" s="124"/>
      <c r="O521" s="124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</row>
    <row x14ac:dyDescent="0.25" r="522" customHeight="1" ht="15.75">
      <c r="A522" s="123"/>
      <c r="B522" s="123"/>
      <c r="C522" s="124"/>
      <c r="D522" s="124"/>
      <c r="E522" s="124"/>
      <c r="F522" s="124"/>
      <c r="G522" s="124"/>
      <c r="H522" s="124"/>
      <c r="I522" s="124"/>
      <c r="J522" s="124"/>
      <c r="K522" s="124"/>
      <c r="L522" s="124"/>
      <c r="M522" s="124"/>
      <c r="N522" s="124"/>
      <c r="O522" s="124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</row>
    <row x14ac:dyDescent="0.25" r="523" customHeight="1" ht="15.75">
      <c r="A523" s="123"/>
      <c r="B523" s="123"/>
      <c r="C523" s="124"/>
      <c r="D523" s="124"/>
      <c r="E523" s="124"/>
      <c r="F523" s="124"/>
      <c r="G523" s="124"/>
      <c r="H523" s="124"/>
      <c r="I523" s="124"/>
      <c r="J523" s="124"/>
      <c r="K523" s="124"/>
      <c r="L523" s="124"/>
      <c r="M523" s="124"/>
      <c r="N523" s="124"/>
      <c r="O523" s="124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</row>
    <row x14ac:dyDescent="0.25" r="524" customHeight="1" ht="15.75">
      <c r="A524" s="123"/>
      <c r="B524" s="123"/>
      <c r="C524" s="124"/>
      <c r="D524" s="124"/>
      <c r="E524" s="124"/>
      <c r="F524" s="124"/>
      <c r="G524" s="124"/>
      <c r="H524" s="124"/>
      <c r="I524" s="124"/>
      <c r="J524" s="124"/>
      <c r="K524" s="124"/>
      <c r="L524" s="124"/>
      <c r="M524" s="124"/>
      <c r="N524" s="124"/>
      <c r="O524" s="124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</row>
    <row x14ac:dyDescent="0.25" r="525" customHeight="1" ht="15.75">
      <c r="A525" s="123"/>
      <c r="B525" s="123"/>
      <c r="C525" s="124"/>
      <c r="D525" s="124"/>
      <c r="E525" s="124"/>
      <c r="F525" s="124"/>
      <c r="G525" s="124"/>
      <c r="H525" s="124"/>
      <c r="I525" s="124"/>
      <c r="J525" s="124"/>
      <c r="K525" s="124"/>
      <c r="L525" s="124"/>
      <c r="M525" s="124"/>
      <c r="N525" s="124"/>
      <c r="O525" s="124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</row>
    <row x14ac:dyDescent="0.25" r="526" customHeight="1" ht="15.75">
      <c r="A526" s="123"/>
      <c r="B526" s="123"/>
      <c r="C526" s="124"/>
      <c r="D526" s="124"/>
      <c r="E526" s="124"/>
      <c r="F526" s="124"/>
      <c r="G526" s="124"/>
      <c r="H526" s="124"/>
      <c r="I526" s="124"/>
      <c r="J526" s="124"/>
      <c r="K526" s="124"/>
      <c r="L526" s="124"/>
      <c r="M526" s="124"/>
      <c r="N526" s="124"/>
      <c r="O526" s="124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</row>
    <row x14ac:dyDescent="0.25" r="527" customHeight="1" ht="15.75">
      <c r="A527" s="123"/>
      <c r="B527" s="123"/>
      <c r="C527" s="124"/>
      <c r="D527" s="124"/>
      <c r="E527" s="124"/>
      <c r="F527" s="124"/>
      <c r="G527" s="124"/>
      <c r="H527" s="124"/>
      <c r="I527" s="124"/>
      <c r="J527" s="124"/>
      <c r="K527" s="124"/>
      <c r="L527" s="124"/>
      <c r="M527" s="124"/>
      <c r="N527" s="124"/>
      <c r="O527" s="124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</row>
    <row x14ac:dyDescent="0.25" r="528" customHeight="1" ht="15.75">
      <c r="A528" s="123"/>
      <c r="B528" s="123"/>
      <c r="C528" s="124"/>
      <c r="D528" s="124"/>
      <c r="E528" s="124"/>
      <c r="F528" s="124"/>
      <c r="G528" s="124"/>
      <c r="H528" s="124"/>
      <c r="I528" s="124"/>
      <c r="J528" s="124"/>
      <c r="K528" s="124"/>
      <c r="L528" s="124"/>
      <c r="M528" s="124"/>
      <c r="N528" s="124"/>
      <c r="O528" s="124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</row>
    <row x14ac:dyDescent="0.25" r="529" customHeight="1" ht="15.75">
      <c r="A529" s="123"/>
      <c r="B529" s="123"/>
      <c r="C529" s="124"/>
      <c r="D529" s="124"/>
      <c r="E529" s="124"/>
      <c r="F529" s="124"/>
      <c r="G529" s="124"/>
      <c r="H529" s="124"/>
      <c r="I529" s="124"/>
      <c r="J529" s="124"/>
      <c r="K529" s="124"/>
      <c r="L529" s="124"/>
      <c r="M529" s="124"/>
      <c r="N529" s="124"/>
      <c r="O529" s="124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</row>
    <row x14ac:dyDescent="0.25" r="530" customHeight="1" ht="15.75">
      <c r="A530" s="123"/>
      <c r="B530" s="123"/>
      <c r="C530" s="124"/>
      <c r="D530" s="124"/>
      <c r="E530" s="124"/>
      <c r="F530" s="124"/>
      <c r="G530" s="124"/>
      <c r="H530" s="124"/>
      <c r="I530" s="124"/>
      <c r="J530" s="124"/>
      <c r="K530" s="124"/>
      <c r="L530" s="124"/>
      <c r="M530" s="124"/>
      <c r="N530" s="124"/>
      <c r="O530" s="124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</row>
    <row x14ac:dyDescent="0.25" r="531" customHeight="1" ht="15.75">
      <c r="A531" s="123"/>
      <c r="B531" s="123"/>
      <c r="C531" s="124"/>
      <c r="D531" s="124"/>
      <c r="E531" s="124"/>
      <c r="F531" s="124"/>
      <c r="G531" s="124"/>
      <c r="H531" s="124"/>
      <c r="I531" s="124"/>
      <c r="J531" s="124"/>
      <c r="K531" s="124"/>
      <c r="L531" s="124"/>
      <c r="M531" s="124"/>
      <c r="N531" s="124"/>
      <c r="O531" s="124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</row>
    <row x14ac:dyDescent="0.25" r="532" customHeight="1" ht="15.75">
      <c r="A532" s="123"/>
      <c r="B532" s="123"/>
      <c r="C532" s="124"/>
      <c r="D532" s="124"/>
      <c r="E532" s="124"/>
      <c r="F532" s="124"/>
      <c r="G532" s="124"/>
      <c r="H532" s="124"/>
      <c r="I532" s="124"/>
      <c r="J532" s="124"/>
      <c r="K532" s="124"/>
      <c r="L532" s="124"/>
      <c r="M532" s="124"/>
      <c r="N532" s="124"/>
      <c r="O532" s="124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</row>
    <row x14ac:dyDescent="0.25" r="533" customHeight="1" ht="15.75">
      <c r="A533" s="123"/>
      <c r="B533" s="123"/>
      <c r="C533" s="124"/>
      <c r="D533" s="124"/>
      <c r="E533" s="124"/>
      <c r="F533" s="124"/>
      <c r="G533" s="124"/>
      <c r="H533" s="124"/>
      <c r="I533" s="124"/>
      <c r="J533" s="124"/>
      <c r="K533" s="124"/>
      <c r="L533" s="124"/>
      <c r="M533" s="124"/>
      <c r="N533" s="124"/>
      <c r="O533" s="124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</row>
    <row x14ac:dyDescent="0.25" r="534" customHeight="1" ht="15.75">
      <c r="A534" s="123"/>
      <c r="B534" s="123"/>
      <c r="C534" s="124"/>
      <c r="D534" s="124"/>
      <c r="E534" s="124"/>
      <c r="F534" s="124"/>
      <c r="G534" s="124"/>
      <c r="H534" s="124"/>
      <c r="I534" s="124"/>
      <c r="J534" s="124"/>
      <c r="K534" s="124"/>
      <c r="L534" s="124"/>
      <c r="M534" s="124"/>
      <c r="N534" s="124"/>
      <c r="O534" s="124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</row>
    <row x14ac:dyDescent="0.25" r="535" customHeight="1" ht="15.75">
      <c r="A535" s="123"/>
      <c r="B535" s="123"/>
      <c r="C535" s="124"/>
      <c r="D535" s="124"/>
      <c r="E535" s="124"/>
      <c r="F535" s="124"/>
      <c r="G535" s="124"/>
      <c r="H535" s="124"/>
      <c r="I535" s="124"/>
      <c r="J535" s="124"/>
      <c r="K535" s="124"/>
      <c r="L535" s="124"/>
      <c r="M535" s="124"/>
      <c r="N535" s="124"/>
      <c r="O535" s="124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</row>
    <row x14ac:dyDescent="0.25" r="536" customHeight="1" ht="15.75">
      <c r="A536" s="123"/>
      <c r="B536" s="123"/>
      <c r="C536" s="124"/>
      <c r="D536" s="124"/>
      <c r="E536" s="124"/>
      <c r="F536" s="124"/>
      <c r="G536" s="124"/>
      <c r="H536" s="124"/>
      <c r="I536" s="124"/>
      <c r="J536" s="124"/>
      <c r="K536" s="124"/>
      <c r="L536" s="124"/>
      <c r="M536" s="124"/>
      <c r="N536" s="124"/>
      <c r="O536" s="124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</row>
    <row x14ac:dyDescent="0.25" r="537" customHeight="1" ht="15.75">
      <c r="A537" s="123"/>
      <c r="B537" s="123"/>
      <c r="C537" s="124"/>
      <c r="D537" s="124"/>
      <c r="E537" s="124"/>
      <c r="F537" s="124"/>
      <c r="G537" s="124"/>
      <c r="H537" s="124"/>
      <c r="I537" s="124"/>
      <c r="J537" s="124"/>
      <c r="K537" s="124"/>
      <c r="L537" s="124"/>
      <c r="M537" s="124"/>
      <c r="N537" s="124"/>
      <c r="O537" s="124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</row>
    <row x14ac:dyDescent="0.25" r="538" customHeight="1" ht="15.75">
      <c r="A538" s="123"/>
      <c r="B538" s="123"/>
      <c r="C538" s="124"/>
      <c r="D538" s="124"/>
      <c r="E538" s="124"/>
      <c r="F538" s="124"/>
      <c r="G538" s="124"/>
      <c r="H538" s="124"/>
      <c r="I538" s="124"/>
      <c r="J538" s="124"/>
      <c r="K538" s="124"/>
      <c r="L538" s="124"/>
      <c r="M538" s="124"/>
      <c r="N538" s="124"/>
      <c r="O538" s="124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</row>
    <row x14ac:dyDescent="0.25" r="539" customHeight="1" ht="15.75">
      <c r="A539" s="123"/>
      <c r="B539" s="123"/>
      <c r="C539" s="124"/>
      <c r="D539" s="124"/>
      <c r="E539" s="124"/>
      <c r="F539" s="124"/>
      <c r="G539" s="124"/>
      <c r="H539" s="124"/>
      <c r="I539" s="124"/>
      <c r="J539" s="124"/>
      <c r="K539" s="124"/>
      <c r="L539" s="124"/>
      <c r="M539" s="124"/>
      <c r="N539" s="124"/>
      <c r="O539" s="124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</row>
    <row x14ac:dyDescent="0.25" r="540" customHeight="1" ht="15.75">
      <c r="A540" s="123"/>
      <c r="B540" s="123"/>
      <c r="C540" s="124"/>
      <c r="D540" s="124"/>
      <c r="E540" s="124"/>
      <c r="F540" s="124"/>
      <c r="G540" s="124"/>
      <c r="H540" s="124"/>
      <c r="I540" s="124"/>
      <c r="J540" s="124"/>
      <c r="K540" s="124"/>
      <c r="L540" s="124"/>
      <c r="M540" s="124"/>
      <c r="N540" s="124"/>
      <c r="O540" s="124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</row>
    <row x14ac:dyDescent="0.25" r="541" customHeight="1" ht="15.75">
      <c r="A541" s="123"/>
      <c r="B541" s="123"/>
      <c r="C541" s="124"/>
      <c r="D541" s="124"/>
      <c r="E541" s="124"/>
      <c r="F541" s="124"/>
      <c r="G541" s="124"/>
      <c r="H541" s="124"/>
      <c r="I541" s="124"/>
      <c r="J541" s="124"/>
      <c r="K541" s="124"/>
      <c r="L541" s="124"/>
      <c r="M541" s="124"/>
      <c r="N541" s="124"/>
      <c r="O541" s="124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</row>
    <row x14ac:dyDescent="0.25" r="542" customHeight="1" ht="15.75">
      <c r="A542" s="123"/>
      <c r="B542" s="123"/>
      <c r="C542" s="124"/>
      <c r="D542" s="124"/>
      <c r="E542" s="124"/>
      <c r="F542" s="124"/>
      <c r="G542" s="124"/>
      <c r="H542" s="124"/>
      <c r="I542" s="124"/>
      <c r="J542" s="124"/>
      <c r="K542" s="124"/>
      <c r="L542" s="124"/>
      <c r="M542" s="124"/>
      <c r="N542" s="124"/>
      <c r="O542" s="124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</row>
    <row x14ac:dyDescent="0.25" r="543" customHeight="1" ht="15.75">
      <c r="A543" s="123"/>
      <c r="B543" s="123"/>
      <c r="C543" s="124"/>
      <c r="D543" s="124"/>
      <c r="E543" s="124"/>
      <c r="F543" s="124"/>
      <c r="G543" s="124"/>
      <c r="H543" s="124"/>
      <c r="I543" s="124"/>
      <c r="J543" s="124"/>
      <c r="K543" s="124"/>
      <c r="L543" s="124"/>
      <c r="M543" s="124"/>
      <c r="N543" s="124"/>
      <c r="O543" s="124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</row>
    <row x14ac:dyDescent="0.25" r="544" customHeight="1" ht="15.75">
      <c r="A544" s="123"/>
      <c r="B544" s="123"/>
      <c r="C544" s="124"/>
      <c r="D544" s="124"/>
      <c r="E544" s="124"/>
      <c r="F544" s="124"/>
      <c r="G544" s="124"/>
      <c r="H544" s="124"/>
      <c r="I544" s="124"/>
      <c r="J544" s="124"/>
      <c r="K544" s="124"/>
      <c r="L544" s="124"/>
      <c r="M544" s="124"/>
      <c r="N544" s="124"/>
      <c r="O544" s="124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</row>
    <row x14ac:dyDescent="0.25" r="545" customHeight="1" ht="15.75">
      <c r="A545" s="123"/>
      <c r="B545" s="123"/>
      <c r="C545" s="124"/>
      <c r="D545" s="124"/>
      <c r="E545" s="124"/>
      <c r="F545" s="124"/>
      <c r="G545" s="124"/>
      <c r="H545" s="124"/>
      <c r="I545" s="124"/>
      <c r="J545" s="124"/>
      <c r="K545" s="124"/>
      <c r="L545" s="124"/>
      <c r="M545" s="124"/>
      <c r="N545" s="124"/>
      <c r="O545" s="124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</row>
    <row x14ac:dyDescent="0.25" r="546" customHeight="1" ht="15.75">
      <c r="A546" s="123"/>
      <c r="B546" s="123"/>
      <c r="C546" s="124"/>
      <c r="D546" s="124"/>
      <c r="E546" s="124"/>
      <c r="F546" s="124"/>
      <c r="G546" s="124"/>
      <c r="H546" s="124"/>
      <c r="I546" s="124"/>
      <c r="J546" s="124"/>
      <c r="K546" s="124"/>
      <c r="L546" s="124"/>
      <c r="M546" s="124"/>
      <c r="N546" s="124"/>
      <c r="O546" s="124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</row>
    <row x14ac:dyDescent="0.25" r="547" customHeight="1" ht="15.75">
      <c r="A547" s="123"/>
      <c r="B547" s="123"/>
      <c r="C547" s="124"/>
      <c r="D547" s="124"/>
      <c r="E547" s="124"/>
      <c r="F547" s="124"/>
      <c r="G547" s="124"/>
      <c r="H547" s="124"/>
      <c r="I547" s="124"/>
      <c r="J547" s="124"/>
      <c r="K547" s="124"/>
      <c r="L547" s="124"/>
      <c r="M547" s="124"/>
      <c r="N547" s="124"/>
      <c r="O547" s="124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</row>
    <row x14ac:dyDescent="0.25" r="548" customHeight="1" ht="15.75">
      <c r="A548" s="123"/>
      <c r="B548" s="123"/>
      <c r="C548" s="124"/>
      <c r="D548" s="124"/>
      <c r="E548" s="124"/>
      <c r="F548" s="124"/>
      <c r="G548" s="124"/>
      <c r="H548" s="124"/>
      <c r="I548" s="124"/>
      <c r="J548" s="124"/>
      <c r="K548" s="124"/>
      <c r="L548" s="124"/>
      <c r="M548" s="124"/>
      <c r="N548" s="124"/>
      <c r="O548" s="124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</row>
    <row x14ac:dyDescent="0.25" r="549" customHeight="1" ht="15.75">
      <c r="A549" s="123"/>
      <c r="B549" s="123"/>
      <c r="C549" s="124"/>
      <c r="D549" s="124"/>
      <c r="E549" s="124"/>
      <c r="F549" s="124"/>
      <c r="G549" s="124"/>
      <c r="H549" s="124"/>
      <c r="I549" s="124"/>
      <c r="J549" s="124"/>
      <c r="K549" s="124"/>
      <c r="L549" s="124"/>
      <c r="M549" s="124"/>
      <c r="N549" s="124"/>
      <c r="O549" s="124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</row>
    <row x14ac:dyDescent="0.25" r="550" customHeight="1" ht="15.75">
      <c r="A550" s="123"/>
      <c r="B550" s="123"/>
      <c r="C550" s="124"/>
      <c r="D550" s="124"/>
      <c r="E550" s="124"/>
      <c r="F550" s="124"/>
      <c r="G550" s="124"/>
      <c r="H550" s="124"/>
      <c r="I550" s="124"/>
      <c r="J550" s="124"/>
      <c r="K550" s="124"/>
      <c r="L550" s="124"/>
      <c r="M550" s="124"/>
      <c r="N550" s="124"/>
      <c r="O550" s="124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</row>
    <row x14ac:dyDescent="0.25" r="551" customHeight="1" ht="15.75">
      <c r="A551" s="123"/>
      <c r="B551" s="123"/>
      <c r="C551" s="124"/>
      <c r="D551" s="124"/>
      <c r="E551" s="124"/>
      <c r="F551" s="124"/>
      <c r="G551" s="124"/>
      <c r="H551" s="124"/>
      <c r="I551" s="124"/>
      <c r="J551" s="124"/>
      <c r="K551" s="124"/>
      <c r="L551" s="124"/>
      <c r="M551" s="124"/>
      <c r="N551" s="124"/>
      <c r="O551" s="124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</row>
    <row x14ac:dyDescent="0.25" r="552" customHeight="1" ht="15.75">
      <c r="A552" s="123"/>
      <c r="B552" s="123"/>
      <c r="C552" s="124"/>
      <c r="D552" s="124"/>
      <c r="E552" s="124"/>
      <c r="F552" s="124"/>
      <c r="G552" s="124"/>
      <c r="H552" s="124"/>
      <c r="I552" s="124"/>
      <c r="J552" s="124"/>
      <c r="K552" s="124"/>
      <c r="L552" s="124"/>
      <c r="M552" s="124"/>
      <c r="N552" s="124"/>
      <c r="O552" s="124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</row>
    <row x14ac:dyDescent="0.25" r="553" customHeight="1" ht="15.75">
      <c r="A553" s="123"/>
      <c r="B553" s="123"/>
      <c r="C553" s="124"/>
      <c r="D553" s="124"/>
      <c r="E553" s="124"/>
      <c r="F553" s="124"/>
      <c r="G553" s="124"/>
      <c r="H553" s="124"/>
      <c r="I553" s="124"/>
      <c r="J553" s="124"/>
      <c r="K553" s="124"/>
      <c r="L553" s="124"/>
      <c r="M553" s="124"/>
      <c r="N553" s="124"/>
      <c r="O553" s="124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</row>
    <row x14ac:dyDescent="0.25" r="554" customHeight="1" ht="15.75">
      <c r="A554" s="123"/>
      <c r="B554" s="123"/>
      <c r="C554" s="124"/>
      <c r="D554" s="124"/>
      <c r="E554" s="124"/>
      <c r="F554" s="124"/>
      <c r="G554" s="124"/>
      <c r="H554" s="124"/>
      <c r="I554" s="124"/>
      <c r="J554" s="124"/>
      <c r="K554" s="124"/>
      <c r="L554" s="124"/>
      <c r="M554" s="124"/>
      <c r="N554" s="124"/>
      <c r="O554" s="124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</row>
    <row x14ac:dyDescent="0.25" r="555" customHeight="1" ht="15.75">
      <c r="A555" s="123"/>
      <c r="B555" s="123"/>
      <c r="C555" s="124"/>
      <c r="D555" s="124"/>
      <c r="E555" s="124"/>
      <c r="F555" s="124"/>
      <c r="G555" s="124"/>
      <c r="H555" s="124"/>
      <c r="I555" s="124"/>
      <c r="J555" s="124"/>
      <c r="K555" s="124"/>
      <c r="L555" s="124"/>
      <c r="M555" s="124"/>
      <c r="N555" s="124"/>
      <c r="O555" s="124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</row>
    <row x14ac:dyDescent="0.25" r="556" customHeight="1" ht="15.75">
      <c r="A556" s="123"/>
      <c r="B556" s="123"/>
      <c r="C556" s="124"/>
      <c r="D556" s="124"/>
      <c r="E556" s="124"/>
      <c r="F556" s="124"/>
      <c r="G556" s="124"/>
      <c r="H556" s="124"/>
      <c r="I556" s="124"/>
      <c r="J556" s="124"/>
      <c r="K556" s="124"/>
      <c r="L556" s="124"/>
      <c r="M556" s="124"/>
      <c r="N556" s="124"/>
      <c r="O556" s="124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</row>
    <row x14ac:dyDescent="0.25" r="557" customHeight="1" ht="15.75">
      <c r="A557" s="123"/>
      <c r="B557" s="123"/>
      <c r="C557" s="124"/>
      <c r="D557" s="124"/>
      <c r="E557" s="124"/>
      <c r="F557" s="124"/>
      <c r="G557" s="124"/>
      <c r="H557" s="124"/>
      <c r="I557" s="124"/>
      <c r="J557" s="124"/>
      <c r="K557" s="124"/>
      <c r="L557" s="124"/>
      <c r="M557" s="124"/>
      <c r="N557" s="124"/>
      <c r="O557" s="124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</row>
    <row x14ac:dyDescent="0.25" r="558" customHeight="1" ht="15.75">
      <c r="A558" s="123"/>
      <c r="B558" s="123"/>
      <c r="C558" s="124"/>
      <c r="D558" s="124"/>
      <c r="E558" s="124"/>
      <c r="F558" s="124"/>
      <c r="G558" s="124"/>
      <c r="H558" s="124"/>
      <c r="I558" s="124"/>
      <c r="J558" s="124"/>
      <c r="K558" s="124"/>
      <c r="L558" s="124"/>
      <c r="M558" s="124"/>
      <c r="N558" s="124"/>
      <c r="O558" s="124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</row>
    <row x14ac:dyDescent="0.25" r="559" customHeight="1" ht="15.75">
      <c r="A559" s="123"/>
      <c r="B559" s="123"/>
      <c r="C559" s="124"/>
      <c r="D559" s="124"/>
      <c r="E559" s="124"/>
      <c r="F559" s="124"/>
      <c r="G559" s="124"/>
      <c r="H559" s="124"/>
      <c r="I559" s="124"/>
      <c r="J559" s="124"/>
      <c r="K559" s="124"/>
      <c r="L559" s="124"/>
      <c r="M559" s="124"/>
      <c r="N559" s="124"/>
      <c r="O559" s="124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</row>
    <row x14ac:dyDescent="0.25" r="560" customHeight="1" ht="15.75">
      <c r="A560" s="123"/>
      <c r="B560" s="123"/>
      <c r="C560" s="124"/>
      <c r="D560" s="124"/>
      <c r="E560" s="124"/>
      <c r="F560" s="124"/>
      <c r="G560" s="124"/>
      <c r="H560" s="124"/>
      <c r="I560" s="124"/>
      <c r="J560" s="124"/>
      <c r="K560" s="124"/>
      <c r="L560" s="124"/>
      <c r="M560" s="124"/>
      <c r="N560" s="124"/>
      <c r="O560" s="124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</row>
    <row x14ac:dyDescent="0.25" r="561" customHeight="1" ht="15.75">
      <c r="A561" s="123"/>
      <c r="B561" s="123"/>
      <c r="C561" s="124"/>
      <c r="D561" s="124"/>
      <c r="E561" s="124"/>
      <c r="F561" s="124"/>
      <c r="G561" s="124"/>
      <c r="H561" s="124"/>
      <c r="I561" s="124"/>
      <c r="J561" s="124"/>
      <c r="K561" s="124"/>
      <c r="L561" s="124"/>
      <c r="M561" s="124"/>
      <c r="N561" s="124"/>
      <c r="O561" s="124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</row>
    <row x14ac:dyDescent="0.25" r="562" customHeight="1" ht="15.75">
      <c r="A562" s="123"/>
      <c r="B562" s="123"/>
      <c r="C562" s="124"/>
      <c r="D562" s="124"/>
      <c r="E562" s="124"/>
      <c r="F562" s="124"/>
      <c r="G562" s="124"/>
      <c r="H562" s="124"/>
      <c r="I562" s="124"/>
      <c r="J562" s="124"/>
      <c r="K562" s="124"/>
      <c r="L562" s="124"/>
      <c r="M562" s="124"/>
      <c r="N562" s="124"/>
      <c r="O562" s="124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</row>
    <row x14ac:dyDescent="0.25" r="563" customHeight="1" ht="15.75">
      <c r="A563" s="123"/>
      <c r="B563" s="123"/>
      <c r="C563" s="124"/>
      <c r="D563" s="124"/>
      <c r="E563" s="124"/>
      <c r="F563" s="124"/>
      <c r="G563" s="124"/>
      <c r="H563" s="124"/>
      <c r="I563" s="124"/>
      <c r="J563" s="124"/>
      <c r="K563" s="124"/>
      <c r="L563" s="124"/>
      <c r="M563" s="124"/>
      <c r="N563" s="124"/>
      <c r="O563" s="124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</row>
    <row x14ac:dyDescent="0.25" r="564" customHeight="1" ht="15.75">
      <c r="A564" s="123"/>
      <c r="B564" s="123"/>
      <c r="C564" s="124"/>
      <c r="D564" s="124"/>
      <c r="E564" s="124"/>
      <c r="F564" s="124"/>
      <c r="G564" s="124"/>
      <c r="H564" s="124"/>
      <c r="I564" s="124"/>
      <c r="J564" s="124"/>
      <c r="K564" s="124"/>
      <c r="L564" s="124"/>
      <c r="M564" s="124"/>
      <c r="N564" s="124"/>
      <c r="O564" s="124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</row>
    <row x14ac:dyDescent="0.25" r="565" customHeight="1" ht="15.75">
      <c r="A565" s="123"/>
      <c r="B565" s="123"/>
      <c r="C565" s="124"/>
      <c r="D565" s="124"/>
      <c r="E565" s="124"/>
      <c r="F565" s="124"/>
      <c r="G565" s="124"/>
      <c r="H565" s="124"/>
      <c r="I565" s="124"/>
      <c r="J565" s="124"/>
      <c r="K565" s="124"/>
      <c r="L565" s="124"/>
      <c r="M565" s="124"/>
      <c r="N565" s="124"/>
      <c r="O565" s="124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</row>
    <row x14ac:dyDescent="0.25" r="566" customHeight="1" ht="15.75">
      <c r="A566" s="123"/>
      <c r="B566" s="123"/>
      <c r="C566" s="124"/>
      <c r="D566" s="124"/>
      <c r="E566" s="124"/>
      <c r="F566" s="124"/>
      <c r="G566" s="124"/>
      <c r="H566" s="124"/>
      <c r="I566" s="124"/>
      <c r="J566" s="124"/>
      <c r="K566" s="124"/>
      <c r="L566" s="124"/>
      <c r="M566" s="124"/>
      <c r="N566" s="124"/>
      <c r="O566" s="124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</row>
    <row x14ac:dyDescent="0.25" r="567" customHeight="1" ht="15.75">
      <c r="A567" s="123"/>
      <c r="B567" s="123"/>
      <c r="C567" s="124"/>
      <c r="D567" s="124"/>
      <c r="E567" s="124"/>
      <c r="F567" s="124"/>
      <c r="G567" s="124"/>
      <c r="H567" s="124"/>
      <c r="I567" s="124"/>
      <c r="J567" s="124"/>
      <c r="K567" s="124"/>
      <c r="L567" s="124"/>
      <c r="M567" s="124"/>
      <c r="N567" s="124"/>
      <c r="O567" s="124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</row>
    <row x14ac:dyDescent="0.25" r="568" customHeight="1" ht="15.75">
      <c r="A568" s="123"/>
      <c r="B568" s="123"/>
      <c r="C568" s="124"/>
      <c r="D568" s="124"/>
      <c r="E568" s="124"/>
      <c r="F568" s="124"/>
      <c r="G568" s="124"/>
      <c r="H568" s="124"/>
      <c r="I568" s="124"/>
      <c r="J568" s="124"/>
      <c r="K568" s="124"/>
      <c r="L568" s="124"/>
      <c r="M568" s="124"/>
      <c r="N568" s="124"/>
      <c r="O568" s="124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</row>
    <row x14ac:dyDescent="0.25" r="569" customHeight="1" ht="15.75">
      <c r="A569" s="123"/>
      <c r="B569" s="123"/>
      <c r="C569" s="124"/>
      <c r="D569" s="124"/>
      <c r="E569" s="124"/>
      <c r="F569" s="124"/>
      <c r="G569" s="124"/>
      <c r="H569" s="124"/>
      <c r="I569" s="124"/>
      <c r="J569" s="124"/>
      <c r="K569" s="124"/>
      <c r="L569" s="124"/>
      <c r="M569" s="124"/>
      <c r="N569" s="124"/>
      <c r="O569" s="124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</row>
    <row x14ac:dyDescent="0.25" r="570" customHeight="1" ht="15.75">
      <c r="A570" s="123"/>
      <c r="B570" s="123"/>
      <c r="C570" s="124"/>
      <c r="D570" s="124"/>
      <c r="E570" s="124"/>
      <c r="F570" s="124"/>
      <c r="G570" s="124"/>
      <c r="H570" s="124"/>
      <c r="I570" s="124"/>
      <c r="J570" s="124"/>
      <c r="K570" s="124"/>
      <c r="L570" s="124"/>
      <c r="M570" s="124"/>
      <c r="N570" s="124"/>
      <c r="O570" s="124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</row>
    <row x14ac:dyDescent="0.25" r="571" customHeight="1" ht="15.75">
      <c r="A571" s="123"/>
      <c r="B571" s="123"/>
      <c r="C571" s="124"/>
      <c r="D571" s="124"/>
      <c r="E571" s="124"/>
      <c r="F571" s="124"/>
      <c r="G571" s="124"/>
      <c r="H571" s="124"/>
      <c r="I571" s="124"/>
      <c r="J571" s="124"/>
      <c r="K571" s="124"/>
      <c r="L571" s="124"/>
      <c r="M571" s="124"/>
      <c r="N571" s="124"/>
      <c r="O571" s="124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</row>
    <row x14ac:dyDescent="0.25" r="572" customHeight="1" ht="15.75">
      <c r="A572" s="123"/>
      <c r="B572" s="123"/>
      <c r="C572" s="124"/>
      <c r="D572" s="124"/>
      <c r="E572" s="124"/>
      <c r="F572" s="124"/>
      <c r="G572" s="124"/>
      <c r="H572" s="124"/>
      <c r="I572" s="124"/>
      <c r="J572" s="124"/>
      <c r="K572" s="124"/>
      <c r="L572" s="124"/>
      <c r="M572" s="124"/>
      <c r="N572" s="124"/>
      <c r="O572" s="124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</row>
    <row x14ac:dyDescent="0.25" r="573" customHeight="1" ht="15.75">
      <c r="A573" s="123"/>
      <c r="B573" s="123"/>
      <c r="C573" s="124"/>
      <c r="D573" s="124"/>
      <c r="E573" s="124"/>
      <c r="F573" s="124"/>
      <c r="G573" s="124"/>
      <c r="H573" s="124"/>
      <c r="I573" s="124"/>
      <c r="J573" s="124"/>
      <c r="K573" s="124"/>
      <c r="L573" s="124"/>
      <c r="M573" s="124"/>
      <c r="N573" s="124"/>
      <c r="O573" s="124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</row>
    <row x14ac:dyDescent="0.25" r="574" customHeight="1" ht="15.75">
      <c r="A574" s="123"/>
      <c r="B574" s="123"/>
      <c r="C574" s="124"/>
      <c r="D574" s="124"/>
      <c r="E574" s="124"/>
      <c r="F574" s="124"/>
      <c r="G574" s="124"/>
      <c r="H574" s="124"/>
      <c r="I574" s="124"/>
      <c r="J574" s="124"/>
      <c r="K574" s="124"/>
      <c r="L574" s="124"/>
      <c r="M574" s="124"/>
      <c r="N574" s="124"/>
      <c r="O574" s="124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</row>
    <row x14ac:dyDescent="0.25" r="575" customHeight="1" ht="15.75">
      <c r="A575" s="123"/>
      <c r="B575" s="123"/>
      <c r="C575" s="124"/>
      <c r="D575" s="124"/>
      <c r="E575" s="124"/>
      <c r="F575" s="124"/>
      <c r="G575" s="124"/>
      <c r="H575" s="124"/>
      <c r="I575" s="124"/>
      <c r="J575" s="124"/>
      <c r="K575" s="124"/>
      <c r="L575" s="124"/>
      <c r="M575" s="124"/>
      <c r="N575" s="124"/>
      <c r="O575" s="124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</row>
    <row x14ac:dyDescent="0.25" r="576" customHeight="1" ht="15.75">
      <c r="A576" s="123"/>
      <c r="B576" s="123"/>
      <c r="C576" s="124"/>
      <c r="D576" s="124"/>
      <c r="E576" s="124"/>
      <c r="F576" s="124"/>
      <c r="G576" s="124"/>
      <c r="H576" s="124"/>
      <c r="I576" s="124"/>
      <c r="J576" s="124"/>
      <c r="K576" s="124"/>
      <c r="L576" s="124"/>
      <c r="M576" s="124"/>
      <c r="N576" s="124"/>
      <c r="O576" s="124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</row>
    <row x14ac:dyDescent="0.25" r="577" customHeight="1" ht="15.75">
      <c r="A577" s="123"/>
      <c r="B577" s="123"/>
      <c r="C577" s="124"/>
      <c r="D577" s="124"/>
      <c r="E577" s="124"/>
      <c r="F577" s="124"/>
      <c r="G577" s="124"/>
      <c r="H577" s="124"/>
      <c r="I577" s="124"/>
      <c r="J577" s="124"/>
      <c r="K577" s="124"/>
      <c r="L577" s="124"/>
      <c r="M577" s="124"/>
      <c r="N577" s="124"/>
      <c r="O577" s="124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</row>
    <row x14ac:dyDescent="0.25" r="578" customHeight="1" ht="15.75">
      <c r="A578" s="123"/>
      <c r="B578" s="123"/>
      <c r="C578" s="124"/>
      <c r="D578" s="124"/>
      <c r="E578" s="124"/>
      <c r="F578" s="124"/>
      <c r="G578" s="124"/>
      <c r="H578" s="124"/>
      <c r="I578" s="124"/>
      <c r="J578" s="124"/>
      <c r="K578" s="124"/>
      <c r="L578" s="124"/>
      <c r="M578" s="124"/>
      <c r="N578" s="124"/>
      <c r="O578" s="124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</row>
    <row x14ac:dyDescent="0.25" r="579" customHeight="1" ht="15.75">
      <c r="A579" s="123"/>
      <c r="B579" s="123"/>
      <c r="C579" s="124"/>
      <c r="D579" s="124"/>
      <c r="E579" s="124"/>
      <c r="F579" s="124"/>
      <c r="G579" s="124"/>
      <c r="H579" s="124"/>
      <c r="I579" s="124"/>
      <c r="J579" s="124"/>
      <c r="K579" s="124"/>
      <c r="L579" s="124"/>
      <c r="M579" s="124"/>
      <c r="N579" s="124"/>
      <c r="O579" s="124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</row>
    <row x14ac:dyDescent="0.25" r="580" customHeight="1" ht="15.75">
      <c r="A580" s="123"/>
      <c r="B580" s="123"/>
      <c r="C580" s="124"/>
      <c r="D580" s="124"/>
      <c r="E580" s="124"/>
      <c r="F580" s="124"/>
      <c r="G580" s="124"/>
      <c r="H580" s="124"/>
      <c r="I580" s="124"/>
      <c r="J580" s="124"/>
      <c r="K580" s="124"/>
      <c r="L580" s="124"/>
      <c r="M580" s="124"/>
      <c r="N580" s="124"/>
      <c r="O580" s="124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</row>
    <row x14ac:dyDescent="0.25" r="581" customHeight="1" ht="15.75">
      <c r="A581" s="123"/>
      <c r="B581" s="123"/>
      <c r="C581" s="124"/>
      <c r="D581" s="124"/>
      <c r="E581" s="124"/>
      <c r="F581" s="124"/>
      <c r="G581" s="124"/>
      <c r="H581" s="124"/>
      <c r="I581" s="124"/>
      <c r="J581" s="124"/>
      <c r="K581" s="124"/>
      <c r="L581" s="124"/>
      <c r="M581" s="124"/>
      <c r="N581" s="124"/>
      <c r="O581" s="124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</row>
    <row x14ac:dyDescent="0.25" r="582" customHeight="1" ht="15.75">
      <c r="A582" s="123"/>
      <c r="B582" s="123"/>
      <c r="C582" s="124"/>
      <c r="D582" s="124"/>
      <c r="E582" s="124"/>
      <c r="F582" s="124"/>
      <c r="G582" s="124"/>
      <c r="H582" s="124"/>
      <c r="I582" s="124"/>
      <c r="J582" s="124"/>
      <c r="K582" s="124"/>
      <c r="L582" s="124"/>
      <c r="M582" s="124"/>
      <c r="N582" s="124"/>
      <c r="O582" s="124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</row>
    <row x14ac:dyDescent="0.25" r="583" customHeight="1" ht="15.75">
      <c r="A583" s="123"/>
      <c r="B583" s="123"/>
      <c r="C583" s="124"/>
      <c r="D583" s="124"/>
      <c r="E583" s="124"/>
      <c r="F583" s="124"/>
      <c r="G583" s="124"/>
      <c r="H583" s="124"/>
      <c r="I583" s="124"/>
      <c r="J583" s="124"/>
      <c r="K583" s="124"/>
      <c r="L583" s="124"/>
      <c r="M583" s="124"/>
      <c r="N583" s="124"/>
      <c r="O583" s="124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</row>
    <row x14ac:dyDescent="0.25" r="584" customHeight="1" ht="15.75">
      <c r="A584" s="123"/>
      <c r="B584" s="123"/>
      <c r="C584" s="124"/>
      <c r="D584" s="124"/>
      <c r="E584" s="124"/>
      <c r="F584" s="124"/>
      <c r="G584" s="124"/>
      <c r="H584" s="124"/>
      <c r="I584" s="124"/>
      <c r="J584" s="124"/>
      <c r="K584" s="124"/>
      <c r="L584" s="124"/>
      <c r="M584" s="124"/>
      <c r="N584" s="124"/>
      <c r="O584" s="124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</row>
    <row x14ac:dyDescent="0.25" r="585" customHeight="1" ht="15.75">
      <c r="A585" s="123"/>
      <c r="B585" s="123"/>
      <c r="C585" s="124"/>
      <c r="D585" s="124"/>
      <c r="E585" s="124"/>
      <c r="F585" s="124"/>
      <c r="G585" s="124"/>
      <c r="H585" s="124"/>
      <c r="I585" s="124"/>
      <c r="J585" s="124"/>
      <c r="K585" s="124"/>
      <c r="L585" s="124"/>
      <c r="M585" s="124"/>
      <c r="N585" s="124"/>
      <c r="O585" s="124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</row>
    <row x14ac:dyDescent="0.25" r="586" customHeight="1" ht="15.75">
      <c r="A586" s="123"/>
      <c r="B586" s="123"/>
      <c r="C586" s="124"/>
      <c r="D586" s="124"/>
      <c r="E586" s="124"/>
      <c r="F586" s="124"/>
      <c r="G586" s="124"/>
      <c r="H586" s="124"/>
      <c r="I586" s="124"/>
      <c r="J586" s="124"/>
      <c r="K586" s="124"/>
      <c r="L586" s="124"/>
      <c r="M586" s="124"/>
      <c r="N586" s="124"/>
      <c r="O586" s="124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</row>
    <row x14ac:dyDescent="0.25" r="587" customHeight="1" ht="15.75">
      <c r="A587" s="123"/>
      <c r="B587" s="123"/>
      <c r="C587" s="124"/>
      <c r="D587" s="124"/>
      <c r="E587" s="124"/>
      <c r="F587" s="124"/>
      <c r="G587" s="124"/>
      <c r="H587" s="124"/>
      <c r="I587" s="124"/>
      <c r="J587" s="124"/>
      <c r="K587" s="124"/>
      <c r="L587" s="124"/>
      <c r="M587" s="124"/>
      <c r="N587" s="124"/>
      <c r="O587" s="124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</row>
    <row x14ac:dyDescent="0.25" r="588" customHeight="1" ht="15.75">
      <c r="A588" s="123"/>
      <c r="B588" s="123"/>
      <c r="C588" s="124"/>
      <c r="D588" s="124"/>
      <c r="E588" s="124"/>
      <c r="F588" s="124"/>
      <c r="G588" s="124"/>
      <c r="H588" s="124"/>
      <c r="I588" s="124"/>
      <c r="J588" s="124"/>
      <c r="K588" s="124"/>
      <c r="L588" s="124"/>
      <c r="M588" s="124"/>
      <c r="N588" s="124"/>
      <c r="O588" s="124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</row>
    <row x14ac:dyDescent="0.25" r="589" customHeight="1" ht="15.75">
      <c r="A589" s="123"/>
      <c r="B589" s="123"/>
      <c r="C589" s="124"/>
      <c r="D589" s="124"/>
      <c r="E589" s="124"/>
      <c r="F589" s="124"/>
      <c r="G589" s="124"/>
      <c r="H589" s="124"/>
      <c r="I589" s="124"/>
      <c r="J589" s="124"/>
      <c r="K589" s="124"/>
      <c r="L589" s="124"/>
      <c r="M589" s="124"/>
      <c r="N589" s="124"/>
      <c r="O589" s="124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</row>
    <row x14ac:dyDescent="0.25" r="590" customHeight="1" ht="15.75">
      <c r="A590" s="123"/>
      <c r="B590" s="123"/>
      <c r="C590" s="124"/>
      <c r="D590" s="124"/>
      <c r="E590" s="124"/>
      <c r="F590" s="124"/>
      <c r="G590" s="124"/>
      <c r="H590" s="124"/>
      <c r="I590" s="124"/>
      <c r="J590" s="124"/>
      <c r="K590" s="124"/>
      <c r="L590" s="124"/>
      <c r="M590" s="124"/>
      <c r="N590" s="124"/>
      <c r="O590" s="124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</row>
    <row x14ac:dyDescent="0.25" r="591" customHeight="1" ht="15.75">
      <c r="A591" s="123"/>
      <c r="B591" s="123"/>
      <c r="C591" s="124"/>
      <c r="D591" s="124"/>
      <c r="E591" s="124"/>
      <c r="F591" s="124"/>
      <c r="G591" s="124"/>
      <c r="H591" s="124"/>
      <c r="I591" s="124"/>
      <c r="J591" s="124"/>
      <c r="K591" s="124"/>
      <c r="L591" s="124"/>
      <c r="M591" s="124"/>
      <c r="N591" s="124"/>
      <c r="O591" s="124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</row>
    <row x14ac:dyDescent="0.25" r="592" customHeight="1" ht="15.75">
      <c r="A592" s="123"/>
      <c r="B592" s="123"/>
      <c r="C592" s="124"/>
      <c r="D592" s="124"/>
      <c r="E592" s="124"/>
      <c r="F592" s="124"/>
      <c r="G592" s="124"/>
      <c r="H592" s="124"/>
      <c r="I592" s="124"/>
      <c r="J592" s="124"/>
      <c r="K592" s="124"/>
      <c r="L592" s="124"/>
      <c r="M592" s="124"/>
      <c r="N592" s="124"/>
      <c r="O592" s="124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</row>
    <row x14ac:dyDescent="0.25" r="593" customHeight="1" ht="15.75">
      <c r="A593" s="123"/>
      <c r="B593" s="123"/>
      <c r="C593" s="124"/>
      <c r="D593" s="124"/>
      <c r="E593" s="124"/>
      <c r="F593" s="124"/>
      <c r="G593" s="124"/>
      <c r="H593" s="124"/>
      <c r="I593" s="124"/>
      <c r="J593" s="124"/>
      <c r="K593" s="124"/>
      <c r="L593" s="124"/>
      <c r="M593" s="124"/>
      <c r="N593" s="124"/>
      <c r="O593" s="124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</row>
    <row x14ac:dyDescent="0.25" r="594" customHeight="1" ht="15.75">
      <c r="A594" s="123"/>
      <c r="B594" s="123"/>
      <c r="C594" s="124"/>
      <c r="D594" s="124"/>
      <c r="E594" s="124"/>
      <c r="F594" s="124"/>
      <c r="G594" s="124"/>
      <c r="H594" s="124"/>
      <c r="I594" s="124"/>
      <c r="J594" s="124"/>
      <c r="K594" s="124"/>
      <c r="L594" s="124"/>
      <c r="M594" s="124"/>
      <c r="N594" s="124"/>
      <c r="O594" s="124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</row>
    <row x14ac:dyDescent="0.25" r="595" customHeight="1" ht="15.75">
      <c r="A595" s="123"/>
      <c r="B595" s="123"/>
      <c r="C595" s="124"/>
      <c r="D595" s="124"/>
      <c r="E595" s="124"/>
      <c r="F595" s="124"/>
      <c r="G595" s="124"/>
      <c r="H595" s="124"/>
      <c r="I595" s="124"/>
      <c r="J595" s="124"/>
      <c r="K595" s="124"/>
      <c r="L595" s="124"/>
      <c r="M595" s="124"/>
      <c r="N595" s="124"/>
      <c r="O595" s="124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</row>
    <row x14ac:dyDescent="0.25" r="596" customHeight="1" ht="15.75">
      <c r="A596" s="123"/>
      <c r="B596" s="123"/>
      <c r="C596" s="124"/>
      <c r="D596" s="124"/>
      <c r="E596" s="124"/>
      <c r="F596" s="124"/>
      <c r="G596" s="124"/>
      <c r="H596" s="124"/>
      <c r="I596" s="124"/>
      <c r="J596" s="124"/>
      <c r="K596" s="124"/>
      <c r="L596" s="124"/>
      <c r="M596" s="124"/>
      <c r="N596" s="124"/>
      <c r="O596" s="124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</row>
    <row x14ac:dyDescent="0.25" r="597" customHeight="1" ht="15.75">
      <c r="A597" s="123"/>
      <c r="B597" s="123"/>
      <c r="C597" s="124"/>
      <c r="D597" s="124"/>
      <c r="E597" s="124"/>
      <c r="F597" s="124"/>
      <c r="G597" s="124"/>
      <c r="H597" s="124"/>
      <c r="I597" s="124"/>
      <c r="J597" s="124"/>
      <c r="K597" s="124"/>
      <c r="L597" s="124"/>
      <c r="M597" s="124"/>
      <c r="N597" s="124"/>
      <c r="O597" s="124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</row>
    <row x14ac:dyDescent="0.25" r="598" customHeight="1" ht="15.75">
      <c r="A598" s="123"/>
      <c r="B598" s="123"/>
      <c r="C598" s="124"/>
      <c r="D598" s="124"/>
      <c r="E598" s="124"/>
      <c r="F598" s="124"/>
      <c r="G598" s="124"/>
      <c r="H598" s="124"/>
      <c r="I598" s="124"/>
      <c r="J598" s="124"/>
      <c r="K598" s="124"/>
      <c r="L598" s="124"/>
      <c r="M598" s="124"/>
      <c r="N598" s="124"/>
      <c r="O598" s="124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</row>
    <row x14ac:dyDescent="0.25" r="599" customHeight="1" ht="15.75">
      <c r="A599" s="123"/>
      <c r="B599" s="123"/>
      <c r="C599" s="124"/>
      <c r="D599" s="124"/>
      <c r="E599" s="124"/>
      <c r="F599" s="124"/>
      <c r="G599" s="124"/>
      <c r="H599" s="124"/>
      <c r="I599" s="124"/>
      <c r="J599" s="124"/>
      <c r="K599" s="124"/>
      <c r="L599" s="124"/>
      <c r="M599" s="124"/>
      <c r="N599" s="124"/>
      <c r="O599" s="124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</row>
    <row x14ac:dyDescent="0.25" r="600" customHeight="1" ht="15.75">
      <c r="A600" s="123"/>
      <c r="B600" s="123"/>
      <c r="C600" s="124"/>
      <c r="D600" s="124"/>
      <c r="E600" s="124"/>
      <c r="F600" s="124"/>
      <c r="G600" s="124"/>
      <c r="H600" s="124"/>
      <c r="I600" s="124"/>
      <c r="J600" s="124"/>
      <c r="K600" s="124"/>
      <c r="L600" s="124"/>
      <c r="M600" s="124"/>
      <c r="N600" s="124"/>
      <c r="O600" s="124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</row>
    <row x14ac:dyDescent="0.25" r="601" customHeight="1" ht="15.75">
      <c r="A601" s="123"/>
      <c r="B601" s="123"/>
      <c r="C601" s="124"/>
      <c r="D601" s="124"/>
      <c r="E601" s="124"/>
      <c r="F601" s="124"/>
      <c r="G601" s="124"/>
      <c r="H601" s="124"/>
      <c r="I601" s="124"/>
      <c r="J601" s="124"/>
      <c r="K601" s="124"/>
      <c r="L601" s="124"/>
      <c r="M601" s="124"/>
      <c r="N601" s="124"/>
      <c r="O601" s="124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</row>
    <row x14ac:dyDescent="0.25" r="602" customHeight="1" ht="15.75">
      <c r="A602" s="123"/>
      <c r="B602" s="123"/>
      <c r="C602" s="124"/>
      <c r="D602" s="124"/>
      <c r="E602" s="124"/>
      <c r="F602" s="124"/>
      <c r="G602" s="124"/>
      <c r="H602" s="124"/>
      <c r="I602" s="124"/>
      <c r="J602" s="124"/>
      <c r="K602" s="124"/>
      <c r="L602" s="124"/>
      <c r="M602" s="124"/>
      <c r="N602" s="124"/>
      <c r="O602" s="124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</row>
    <row x14ac:dyDescent="0.25" r="603" customHeight="1" ht="15.75">
      <c r="A603" s="123"/>
      <c r="B603" s="123"/>
      <c r="C603" s="124"/>
      <c r="D603" s="124"/>
      <c r="E603" s="124"/>
      <c r="F603" s="124"/>
      <c r="G603" s="124"/>
      <c r="H603" s="124"/>
      <c r="I603" s="124"/>
      <c r="J603" s="124"/>
      <c r="K603" s="124"/>
      <c r="L603" s="124"/>
      <c r="M603" s="124"/>
      <c r="N603" s="124"/>
      <c r="O603" s="124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</row>
    <row x14ac:dyDescent="0.25" r="604" customHeight="1" ht="15.75">
      <c r="A604" s="123"/>
      <c r="B604" s="123"/>
      <c r="C604" s="124"/>
      <c r="D604" s="124"/>
      <c r="E604" s="124"/>
      <c r="F604" s="124"/>
      <c r="G604" s="124"/>
      <c r="H604" s="124"/>
      <c r="I604" s="124"/>
      <c r="J604" s="124"/>
      <c r="K604" s="124"/>
      <c r="L604" s="124"/>
      <c r="M604" s="124"/>
      <c r="N604" s="124"/>
      <c r="O604" s="124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</row>
    <row x14ac:dyDescent="0.25" r="605" customHeight="1" ht="15.75">
      <c r="A605" s="123"/>
      <c r="B605" s="123"/>
      <c r="C605" s="124"/>
      <c r="D605" s="124"/>
      <c r="E605" s="124"/>
      <c r="F605" s="124"/>
      <c r="G605" s="124"/>
      <c r="H605" s="124"/>
      <c r="I605" s="124"/>
      <c r="J605" s="124"/>
      <c r="K605" s="124"/>
      <c r="L605" s="124"/>
      <c r="M605" s="124"/>
      <c r="N605" s="124"/>
      <c r="O605" s="124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</row>
    <row x14ac:dyDescent="0.25" r="606" customHeight="1" ht="15.75">
      <c r="A606" s="123"/>
      <c r="B606" s="123"/>
      <c r="C606" s="124"/>
      <c r="D606" s="124"/>
      <c r="E606" s="124"/>
      <c r="F606" s="124"/>
      <c r="G606" s="124"/>
      <c r="H606" s="124"/>
      <c r="I606" s="124"/>
      <c r="J606" s="124"/>
      <c r="K606" s="124"/>
      <c r="L606" s="124"/>
      <c r="M606" s="124"/>
      <c r="N606" s="124"/>
      <c r="O606" s="124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</row>
    <row x14ac:dyDescent="0.25" r="607" customHeight="1" ht="15.75">
      <c r="A607" s="123"/>
      <c r="B607" s="123"/>
      <c r="C607" s="124"/>
      <c r="D607" s="124"/>
      <c r="E607" s="124"/>
      <c r="F607" s="124"/>
      <c r="G607" s="124"/>
      <c r="H607" s="124"/>
      <c r="I607" s="124"/>
      <c r="J607" s="124"/>
      <c r="K607" s="124"/>
      <c r="L607" s="124"/>
      <c r="M607" s="124"/>
      <c r="N607" s="124"/>
      <c r="O607" s="124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</row>
    <row x14ac:dyDescent="0.25" r="608" customHeight="1" ht="15.75">
      <c r="A608" s="123"/>
      <c r="B608" s="123"/>
      <c r="C608" s="124"/>
      <c r="D608" s="124"/>
      <c r="E608" s="124"/>
      <c r="F608" s="124"/>
      <c r="G608" s="124"/>
      <c r="H608" s="124"/>
      <c r="I608" s="124"/>
      <c r="J608" s="124"/>
      <c r="K608" s="124"/>
      <c r="L608" s="124"/>
      <c r="M608" s="124"/>
      <c r="N608" s="124"/>
      <c r="O608" s="124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</row>
    <row x14ac:dyDescent="0.25" r="609" customHeight="1" ht="15.75">
      <c r="A609" s="123"/>
      <c r="B609" s="123"/>
      <c r="C609" s="124"/>
      <c r="D609" s="124"/>
      <c r="E609" s="124"/>
      <c r="F609" s="124"/>
      <c r="G609" s="124"/>
      <c r="H609" s="124"/>
      <c r="I609" s="124"/>
      <c r="J609" s="124"/>
      <c r="K609" s="124"/>
      <c r="L609" s="124"/>
      <c r="M609" s="124"/>
      <c r="N609" s="124"/>
      <c r="O609" s="124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</row>
    <row x14ac:dyDescent="0.25" r="610" customHeight="1" ht="15.75">
      <c r="A610" s="123"/>
      <c r="B610" s="123"/>
      <c r="C610" s="124"/>
      <c r="D610" s="124"/>
      <c r="E610" s="124"/>
      <c r="F610" s="124"/>
      <c r="G610" s="124"/>
      <c r="H610" s="124"/>
      <c r="I610" s="124"/>
      <c r="J610" s="124"/>
      <c r="K610" s="124"/>
      <c r="L610" s="124"/>
      <c r="M610" s="124"/>
      <c r="N610" s="124"/>
      <c r="O610" s="124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</row>
    <row x14ac:dyDescent="0.25" r="611" customHeight="1" ht="15.75">
      <c r="A611" s="123"/>
      <c r="B611" s="123"/>
      <c r="C611" s="124"/>
      <c r="D611" s="124"/>
      <c r="E611" s="124"/>
      <c r="F611" s="124"/>
      <c r="G611" s="124"/>
      <c r="H611" s="124"/>
      <c r="I611" s="124"/>
      <c r="J611" s="124"/>
      <c r="K611" s="124"/>
      <c r="L611" s="124"/>
      <c r="M611" s="124"/>
      <c r="N611" s="124"/>
      <c r="O611" s="124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</row>
    <row x14ac:dyDescent="0.25" r="612" customHeight="1" ht="15.75">
      <c r="A612" s="123"/>
      <c r="B612" s="123"/>
      <c r="C612" s="124"/>
      <c r="D612" s="124"/>
      <c r="E612" s="124"/>
      <c r="F612" s="124"/>
      <c r="G612" s="124"/>
      <c r="H612" s="124"/>
      <c r="I612" s="124"/>
      <c r="J612" s="124"/>
      <c r="K612" s="124"/>
      <c r="L612" s="124"/>
      <c r="M612" s="124"/>
      <c r="N612" s="124"/>
      <c r="O612" s="124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</row>
    <row x14ac:dyDescent="0.25" r="613" customHeight="1" ht="15.75">
      <c r="A613" s="123"/>
      <c r="B613" s="123"/>
      <c r="C613" s="124"/>
      <c r="D613" s="124"/>
      <c r="E613" s="124"/>
      <c r="F613" s="124"/>
      <c r="G613" s="124"/>
      <c r="H613" s="124"/>
      <c r="I613" s="124"/>
      <c r="J613" s="124"/>
      <c r="K613" s="124"/>
      <c r="L613" s="124"/>
      <c r="M613" s="124"/>
      <c r="N613" s="124"/>
      <c r="O613" s="124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</row>
    <row x14ac:dyDescent="0.25" r="614" customHeight="1" ht="15.75">
      <c r="A614" s="123"/>
      <c r="B614" s="123"/>
      <c r="C614" s="124"/>
      <c r="D614" s="124"/>
      <c r="E614" s="124"/>
      <c r="F614" s="124"/>
      <c r="G614" s="124"/>
      <c r="H614" s="124"/>
      <c r="I614" s="124"/>
      <c r="J614" s="124"/>
      <c r="K614" s="124"/>
      <c r="L614" s="124"/>
      <c r="M614" s="124"/>
      <c r="N614" s="124"/>
      <c r="O614" s="124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</row>
    <row x14ac:dyDescent="0.25" r="615" customHeight="1" ht="15.75">
      <c r="A615" s="123"/>
      <c r="B615" s="123"/>
      <c r="C615" s="124"/>
      <c r="D615" s="124"/>
      <c r="E615" s="124"/>
      <c r="F615" s="124"/>
      <c r="G615" s="124"/>
      <c r="H615" s="124"/>
      <c r="I615" s="124"/>
      <c r="J615" s="124"/>
      <c r="K615" s="124"/>
      <c r="L615" s="124"/>
      <c r="M615" s="124"/>
      <c r="N615" s="124"/>
      <c r="O615" s="124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</row>
    <row x14ac:dyDescent="0.25" r="616" customHeight="1" ht="15.75">
      <c r="A616" s="123"/>
      <c r="B616" s="123"/>
      <c r="C616" s="124"/>
      <c r="D616" s="124"/>
      <c r="E616" s="124"/>
      <c r="F616" s="124"/>
      <c r="G616" s="124"/>
      <c r="H616" s="124"/>
      <c r="I616" s="124"/>
      <c r="J616" s="124"/>
      <c r="K616" s="124"/>
      <c r="L616" s="124"/>
      <c r="M616" s="124"/>
      <c r="N616" s="124"/>
      <c r="O616" s="124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</row>
    <row x14ac:dyDescent="0.25" r="617" customHeight="1" ht="15.75">
      <c r="A617" s="123"/>
      <c r="B617" s="123"/>
      <c r="C617" s="124"/>
      <c r="D617" s="124"/>
      <c r="E617" s="124"/>
      <c r="F617" s="124"/>
      <c r="G617" s="124"/>
      <c r="H617" s="124"/>
      <c r="I617" s="124"/>
      <c r="J617" s="124"/>
      <c r="K617" s="124"/>
      <c r="L617" s="124"/>
      <c r="M617" s="124"/>
      <c r="N617" s="124"/>
      <c r="O617" s="124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</row>
    <row x14ac:dyDescent="0.25" r="618" customHeight="1" ht="15.75">
      <c r="A618" s="123"/>
      <c r="B618" s="123"/>
      <c r="C618" s="124"/>
      <c r="D618" s="124"/>
      <c r="E618" s="124"/>
      <c r="F618" s="124"/>
      <c r="G618" s="124"/>
      <c r="H618" s="124"/>
      <c r="I618" s="124"/>
      <c r="J618" s="124"/>
      <c r="K618" s="124"/>
      <c r="L618" s="124"/>
      <c r="M618" s="124"/>
      <c r="N618" s="124"/>
      <c r="O618" s="124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</row>
    <row x14ac:dyDescent="0.25" r="619" customHeight="1" ht="15.75">
      <c r="A619" s="123"/>
      <c r="B619" s="123"/>
      <c r="C619" s="124"/>
      <c r="D619" s="124"/>
      <c r="E619" s="124"/>
      <c r="F619" s="124"/>
      <c r="G619" s="124"/>
      <c r="H619" s="124"/>
      <c r="I619" s="124"/>
      <c r="J619" s="124"/>
      <c r="K619" s="124"/>
      <c r="L619" s="124"/>
      <c r="M619" s="124"/>
      <c r="N619" s="124"/>
      <c r="O619" s="124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</row>
    <row x14ac:dyDescent="0.25" r="620" customHeight="1" ht="15.75">
      <c r="A620" s="123"/>
      <c r="B620" s="123"/>
      <c r="C620" s="124"/>
      <c r="D620" s="124"/>
      <c r="E620" s="124"/>
      <c r="F620" s="124"/>
      <c r="G620" s="124"/>
      <c r="H620" s="124"/>
      <c r="I620" s="124"/>
      <c r="J620" s="124"/>
      <c r="K620" s="124"/>
      <c r="L620" s="124"/>
      <c r="M620" s="124"/>
      <c r="N620" s="124"/>
      <c r="O620" s="124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</row>
    <row x14ac:dyDescent="0.25" r="621" customHeight="1" ht="15.75">
      <c r="A621" s="123"/>
      <c r="B621" s="123"/>
      <c r="C621" s="124"/>
      <c r="D621" s="124"/>
      <c r="E621" s="124"/>
      <c r="F621" s="124"/>
      <c r="G621" s="124"/>
      <c r="H621" s="124"/>
      <c r="I621" s="124"/>
      <c r="J621" s="124"/>
      <c r="K621" s="124"/>
      <c r="L621" s="124"/>
      <c r="M621" s="124"/>
      <c r="N621" s="124"/>
      <c r="O621" s="124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</row>
    <row x14ac:dyDescent="0.25" r="622" customHeight="1" ht="15.75">
      <c r="A622" s="123"/>
      <c r="B622" s="123"/>
      <c r="C622" s="124"/>
      <c r="D622" s="124"/>
      <c r="E622" s="124"/>
      <c r="F622" s="124"/>
      <c r="G622" s="124"/>
      <c r="H622" s="124"/>
      <c r="I622" s="124"/>
      <c r="J622" s="124"/>
      <c r="K622" s="124"/>
      <c r="L622" s="124"/>
      <c r="M622" s="124"/>
      <c r="N622" s="124"/>
      <c r="O622" s="124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</row>
    <row x14ac:dyDescent="0.25" r="623" customHeight="1" ht="15.75">
      <c r="A623" s="123"/>
      <c r="B623" s="123"/>
      <c r="C623" s="124"/>
      <c r="D623" s="124"/>
      <c r="E623" s="124"/>
      <c r="F623" s="124"/>
      <c r="G623" s="124"/>
      <c r="H623" s="124"/>
      <c r="I623" s="124"/>
      <c r="J623" s="124"/>
      <c r="K623" s="124"/>
      <c r="L623" s="124"/>
      <c r="M623" s="124"/>
      <c r="N623" s="124"/>
      <c r="O623" s="124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</row>
    <row x14ac:dyDescent="0.25" r="624" customHeight="1" ht="15.75">
      <c r="A624" s="123"/>
      <c r="B624" s="123"/>
      <c r="C624" s="124"/>
      <c r="D624" s="124"/>
      <c r="E624" s="124"/>
      <c r="F624" s="124"/>
      <c r="G624" s="124"/>
      <c r="H624" s="124"/>
      <c r="I624" s="124"/>
      <c r="J624" s="124"/>
      <c r="K624" s="124"/>
      <c r="L624" s="124"/>
      <c r="M624" s="124"/>
      <c r="N624" s="124"/>
      <c r="O624" s="124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</row>
    <row x14ac:dyDescent="0.25" r="625" customHeight="1" ht="15.75">
      <c r="A625" s="123"/>
      <c r="B625" s="123"/>
      <c r="C625" s="124"/>
      <c r="D625" s="124"/>
      <c r="E625" s="124"/>
      <c r="F625" s="124"/>
      <c r="G625" s="124"/>
      <c r="H625" s="124"/>
      <c r="I625" s="124"/>
      <c r="J625" s="124"/>
      <c r="K625" s="124"/>
      <c r="L625" s="124"/>
      <c r="M625" s="124"/>
      <c r="N625" s="124"/>
      <c r="O625" s="124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</row>
    <row x14ac:dyDescent="0.25" r="626" customHeight="1" ht="15.75">
      <c r="A626" s="123"/>
      <c r="B626" s="123"/>
      <c r="C626" s="124"/>
      <c r="D626" s="124"/>
      <c r="E626" s="124"/>
      <c r="F626" s="124"/>
      <c r="G626" s="124"/>
      <c r="H626" s="124"/>
      <c r="I626" s="124"/>
      <c r="J626" s="124"/>
      <c r="K626" s="124"/>
      <c r="L626" s="124"/>
      <c r="M626" s="124"/>
      <c r="N626" s="124"/>
      <c r="O626" s="124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</row>
    <row x14ac:dyDescent="0.25" r="627" customHeight="1" ht="15.75">
      <c r="A627" s="123"/>
      <c r="B627" s="123"/>
      <c r="C627" s="124"/>
      <c r="D627" s="124"/>
      <c r="E627" s="124"/>
      <c r="F627" s="124"/>
      <c r="G627" s="124"/>
      <c r="H627" s="124"/>
      <c r="I627" s="124"/>
      <c r="J627" s="124"/>
      <c r="K627" s="124"/>
      <c r="L627" s="124"/>
      <c r="M627" s="124"/>
      <c r="N627" s="124"/>
      <c r="O627" s="124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</row>
    <row x14ac:dyDescent="0.25" r="628" customHeight="1" ht="15.75">
      <c r="A628" s="123"/>
      <c r="B628" s="123"/>
      <c r="C628" s="124"/>
      <c r="D628" s="124"/>
      <c r="E628" s="124"/>
      <c r="F628" s="124"/>
      <c r="G628" s="124"/>
      <c r="H628" s="124"/>
      <c r="I628" s="124"/>
      <c r="J628" s="124"/>
      <c r="K628" s="124"/>
      <c r="L628" s="124"/>
      <c r="M628" s="124"/>
      <c r="N628" s="124"/>
      <c r="O628" s="124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</row>
    <row x14ac:dyDescent="0.25" r="629" customHeight="1" ht="15.75">
      <c r="A629" s="123"/>
      <c r="B629" s="123"/>
      <c r="C629" s="124"/>
      <c r="D629" s="124"/>
      <c r="E629" s="124"/>
      <c r="F629" s="124"/>
      <c r="G629" s="124"/>
      <c r="H629" s="124"/>
      <c r="I629" s="124"/>
      <c r="J629" s="124"/>
      <c r="K629" s="124"/>
      <c r="L629" s="124"/>
      <c r="M629" s="124"/>
      <c r="N629" s="124"/>
      <c r="O629" s="124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</row>
    <row x14ac:dyDescent="0.25" r="630" customHeight="1" ht="15.75">
      <c r="A630" s="123"/>
      <c r="B630" s="123"/>
      <c r="C630" s="124"/>
      <c r="D630" s="124"/>
      <c r="E630" s="124"/>
      <c r="F630" s="124"/>
      <c r="G630" s="124"/>
      <c r="H630" s="124"/>
      <c r="I630" s="124"/>
      <c r="J630" s="124"/>
      <c r="K630" s="124"/>
      <c r="L630" s="124"/>
      <c r="M630" s="124"/>
      <c r="N630" s="124"/>
      <c r="O630" s="124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</row>
    <row x14ac:dyDescent="0.25" r="631" customHeight="1" ht="15.75">
      <c r="A631" s="123"/>
      <c r="B631" s="123"/>
      <c r="C631" s="124"/>
      <c r="D631" s="124"/>
      <c r="E631" s="124"/>
      <c r="F631" s="124"/>
      <c r="G631" s="124"/>
      <c r="H631" s="124"/>
      <c r="I631" s="124"/>
      <c r="J631" s="124"/>
      <c r="K631" s="124"/>
      <c r="L631" s="124"/>
      <c r="M631" s="124"/>
      <c r="N631" s="124"/>
      <c r="O631" s="124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</row>
    <row x14ac:dyDescent="0.25" r="632" customHeight="1" ht="15.75">
      <c r="A632" s="123"/>
      <c r="B632" s="123"/>
      <c r="C632" s="124"/>
      <c r="D632" s="124"/>
      <c r="E632" s="124"/>
      <c r="F632" s="124"/>
      <c r="G632" s="124"/>
      <c r="H632" s="124"/>
      <c r="I632" s="124"/>
      <c r="J632" s="124"/>
      <c r="K632" s="124"/>
      <c r="L632" s="124"/>
      <c r="M632" s="124"/>
      <c r="N632" s="124"/>
      <c r="O632" s="124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</row>
    <row x14ac:dyDescent="0.25" r="633" customHeight="1" ht="15.75">
      <c r="A633" s="123"/>
      <c r="B633" s="123"/>
      <c r="C633" s="124"/>
      <c r="D633" s="124"/>
      <c r="E633" s="124"/>
      <c r="F633" s="124"/>
      <c r="G633" s="124"/>
      <c r="H633" s="124"/>
      <c r="I633" s="124"/>
      <c r="J633" s="124"/>
      <c r="K633" s="124"/>
      <c r="L633" s="124"/>
      <c r="M633" s="124"/>
      <c r="N633" s="124"/>
      <c r="O633" s="124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</row>
    <row x14ac:dyDescent="0.25" r="634" customHeight="1" ht="15.75">
      <c r="A634" s="123"/>
      <c r="B634" s="123"/>
      <c r="C634" s="124"/>
      <c r="D634" s="124"/>
      <c r="E634" s="124"/>
      <c r="F634" s="124"/>
      <c r="G634" s="124"/>
      <c r="H634" s="124"/>
      <c r="I634" s="124"/>
      <c r="J634" s="124"/>
      <c r="K634" s="124"/>
      <c r="L634" s="124"/>
      <c r="M634" s="124"/>
      <c r="N634" s="124"/>
      <c r="O634" s="124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</row>
    <row x14ac:dyDescent="0.25" r="635" customHeight="1" ht="15.75">
      <c r="A635" s="123"/>
      <c r="B635" s="123"/>
      <c r="C635" s="124"/>
      <c r="D635" s="124"/>
      <c r="E635" s="124"/>
      <c r="F635" s="124"/>
      <c r="G635" s="124"/>
      <c r="H635" s="124"/>
      <c r="I635" s="124"/>
      <c r="J635" s="124"/>
      <c r="K635" s="124"/>
      <c r="L635" s="124"/>
      <c r="M635" s="124"/>
      <c r="N635" s="124"/>
      <c r="O635" s="124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</row>
    <row x14ac:dyDescent="0.25" r="636" customHeight="1" ht="15.75">
      <c r="A636" s="123"/>
      <c r="B636" s="123"/>
      <c r="C636" s="124"/>
      <c r="D636" s="124"/>
      <c r="E636" s="124"/>
      <c r="F636" s="124"/>
      <c r="G636" s="124"/>
      <c r="H636" s="124"/>
      <c r="I636" s="124"/>
      <c r="J636" s="124"/>
      <c r="K636" s="124"/>
      <c r="L636" s="124"/>
      <c r="M636" s="124"/>
      <c r="N636" s="124"/>
      <c r="O636" s="124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</row>
    <row x14ac:dyDescent="0.25" r="637" customHeight="1" ht="15.75">
      <c r="A637" s="123"/>
      <c r="B637" s="123"/>
      <c r="C637" s="124"/>
      <c r="D637" s="124"/>
      <c r="E637" s="124"/>
      <c r="F637" s="124"/>
      <c r="G637" s="124"/>
      <c r="H637" s="124"/>
      <c r="I637" s="124"/>
      <c r="J637" s="124"/>
      <c r="K637" s="124"/>
      <c r="L637" s="124"/>
      <c r="M637" s="124"/>
      <c r="N637" s="124"/>
      <c r="O637" s="124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</row>
    <row x14ac:dyDescent="0.25" r="638" customHeight="1" ht="15.75">
      <c r="A638" s="123"/>
      <c r="B638" s="123"/>
      <c r="C638" s="124"/>
      <c r="D638" s="124"/>
      <c r="E638" s="124"/>
      <c r="F638" s="124"/>
      <c r="G638" s="124"/>
      <c r="H638" s="124"/>
      <c r="I638" s="124"/>
      <c r="J638" s="124"/>
      <c r="K638" s="124"/>
      <c r="L638" s="124"/>
      <c r="M638" s="124"/>
      <c r="N638" s="124"/>
      <c r="O638" s="124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</row>
    <row x14ac:dyDescent="0.25" r="639" customHeight="1" ht="15.75">
      <c r="A639" s="123"/>
      <c r="B639" s="123"/>
      <c r="C639" s="124"/>
      <c r="D639" s="124"/>
      <c r="E639" s="124"/>
      <c r="F639" s="124"/>
      <c r="G639" s="124"/>
      <c r="H639" s="124"/>
      <c r="I639" s="124"/>
      <c r="J639" s="124"/>
      <c r="K639" s="124"/>
      <c r="L639" s="124"/>
      <c r="M639" s="124"/>
      <c r="N639" s="124"/>
      <c r="O639" s="124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</row>
    <row x14ac:dyDescent="0.25" r="640" customHeight="1" ht="15.75">
      <c r="A640" s="123"/>
      <c r="B640" s="123"/>
      <c r="C640" s="124"/>
      <c r="D640" s="124"/>
      <c r="E640" s="124"/>
      <c r="F640" s="124"/>
      <c r="G640" s="124"/>
      <c r="H640" s="124"/>
      <c r="I640" s="124"/>
      <c r="J640" s="124"/>
      <c r="K640" s="124"/>
      <c r="L640" s="124"/>
      <c r="M640" s="124"/>
      <c r="N640" s="124"/>
      <c r="O640" s="124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</row>
    <row x14ac:dyDescent="0.25" r="641" customHeight="1" ht="15.75">
      <c r="A641" s="123"/>
      <c r="B641" s="123"/>
      <c r="C641" s="124"/>
      <c r="D641" s="124"/>
      <c r="E641" s="124"/>
      <c r="F641" s="124"/>
      <c r="G641" s="124"/>
      <c r="H641" s="124"/>
      <c r="I641" s="124"/>
      <c r="J641" s="124"/>
      <c r="K641" s="124"/>
      <c r="L641" s="124"/>
      <c r="M641" s="124"/>
      <c r="N641" s="124"/>
      <c r="O641" s="124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</row>
    <row x14ac:dyDescent="0.25" r="642" customHeight="1" ht="15.75">
      <c r="A642" s="123"/>
      <c r="B642" s="123"/>
      <c r="C642" s="124"/>
      <c r="D642" s="124"/>
      <c r="E642" s="124"/>
      <c r="F642" s="124"/>
      <c r="G642" s="124"/>
      <c r="H642" s="124"/>
      <c r="I642" s="124"/>
      <c r="J642" s="124"/>
      <c r="K642" s="124"/>
      <c r="L642" s="124"/>
      <c r="M642" s="124"/>
      <c r="N642" s="124"/>
      <c r="O642" s="124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</row>
    <row x14ac:dyDescent="0.25" r="643" customHeight="1" ht="15.75">
      <c r="A643" s="123"/>
      <c r="B643" s="123"/>
      <c r="C643" s="124"/>
      <c r="D643" s="124"/>
      <c r="E643" s="124"/>
      <c r="F643" s="124"/>
      <c r="G643" s="124"/>
      <c r="H643" s="124"/>
      <c r="I643" s="124"/>
      <c r="J643" s="124"/>
      <c r="K643" s="124"/>
      <c r="L643" s="124"/>
      <c r="M643" s="124"/>
      <c r="N643" s="124"/>
      <c r="O643" s="124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</row>
    <row x14ac:dyDescent="0.25" r="644" customHeight="1" ht="15.75">
      <c r="A644" s="123"/>
      <c r="B644" s="123"/>
      <c r="C644" s="124"/>
      <c r="D644" s="124"/>
      <c r="E644" s="124"/>
      <c r="F644" s="124"/>
      <c r="G644" s="124"/>
      <c r="H644" s="124"/>
      <c r="I644" s="124"/>
      <c r="J644" s="124"/>
      <c r="K644" s="124"/>
      <c r="L644" s="124"/>
      <c r="M644" s="124"/>
      <c r="N644" s="124"/>
      <c r="O644" s="124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</row>
    <row x14ac:dyDescent="0.25" r="645" customHeight="1" ht="15.75">
      <c r="A645" s="123"/>
      <c r="B645" s="123"/>
      <c r="C645" s="124"/>
      <c r="D645" s="124"/>
      <c r="E645" s="124"/>
      <c r="F645" s="124"/>
      <c r="G645" s="124"/>
      <c r="H645" s="124"/>
      <c r="I645" s="124"/>
      <c r="J645" s="124"/>
      <c r="K645" s="124"/>
      <c r="L645" s="124"/>
      <c r="M645" s="124"/>
      <c r="N645" s="124"/>
      <c r="O645" s="124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</row>
    <row x14ac:dyDescent="0.25" r="646" customHeight="1" ht="15.75">
      <c r="A646" s="123"/>
      <c r="B646" s="123"/>
      <c r="C646" s="124"/>
      <c r="D646" s="124"/>
      <c r="E646" s="124"/>
      <c r="F646" s="124"/>
      <c r="G646" s="124"/>
      <c r="H646" s="124"/>
      <c r="I646" s="124"/>
      <c r="J646" s="124"/>
      <c r="K646" s="124"/>
      <c r="L646" s="124"/>
      <c r="M646" s="124"/>
      <c r="N646" s="124"/>
      <c r="O646" s="124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</row>
    <row x14ac:dyDescent="0.25" r="647" customHeight="1" ht="15.75">
      <c r="A647" s="123"/>
      <c r="B647" s="123"/>
      <c r="C647" s="124"/>
      <c r="D647" s="124"/>
      <c r="E647" s="124"/>
      <c r="F647" s="124"/>
      <c r="G647" s="124"/>
      <c r="H647" s="124"/>
      <c r="I647" s="124"/>
      <c r="J647" s="124"/>
      <c r="K647" s="124"/>
      <c r="L647" s="124"/>
      <c r="M647" s="124"/>
      <c r="N647" s="124"/>
      <c r="O647" s="124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</row>
    <row x14ac:dyDescent="0.25" r="648" customHeight="1" ht="15.75">
      <c r="A648" s="123"/>
      <c r="B648" s="123"/>
      <c r="C648" s="124"/>
      <c r="D648" s="124"/>
      <c r="E648" s="124"/>
      <c r="F648" s="124"/>
      <c r="G648" s="124"/>
      <c r="H648" s="124"/>
      <c r="I648" s="124"/>
      <c r="J648" s="124"/>
      <c r="K648" s="124"/>
      <c r="L648" s="124"/>
      <c r="M648" s="124"/>
      <c r="N648" s="124"/>
      <c r="O648" s="124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</row>
    <row x14ac:dyDescent="0.25" r="649" customHeight="1" ht="15.75">
      <c r="A649" s="123"/>
      <c r="B649" s="123"/>
      <c r="C649" s="124"/>
      <c r="D649" s="124"/>
      <c r="E649" s="124"/>
      <c r="F649" s="124"/>
      <c r="G649" s="124"/>
      <c r="H649" s="124"/>
      <c r="I649" s="124"/>
      <c r="J649" s="124"/>
      <c r="K649" s="124"/>
      <c r="L649" s="124"/>
      <c r="M649" s="124"/>
      <c r="N649" s="124"/>
      <c r="O649" s="124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</row>
    <row x14ac:dyDescent="0.25" r="650" customHeight="1" ht="15.75">
      <c r="A650" s="123"/>
      <c r="B650" s="123"/>
      <c r="C650" s="124"/>
      <c r="D650" s="124"/>
      <c r="E650" s="124"/>
      <c r="F650" s="124"/>
      <c r="G650" s="124"/>
      <c r="H650" s="124"/>
      <c r="I650" s="124"/>
      <c r="J650" s="124"/>
      <c r="K650" s="124"/>
      <c r="L650" s="124"/>
      <c r="M650" s="124"/>
      <c r="N650" s="124"/>
      <c r="O650" s="124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</row>
    <row x14ac:dyDescent="0.25" r="651" customHeight="1" ht="15.75">
      <c r="A651" s="123"/>
      <c r="B651" s="123"/>
      <c r="C651" s="124"/>
      <c r="D651" s="124"/>
      <c r="E651" s="124"/>
      <c r="F651" s="124"/>
      <c r="G651" s="124"/>
      <c r="H651" s="124"/>
      <c r="I651" s="124"/>
      <c r="J651" s="124"/>
      <c r="K651" s="124"/>
      <c r="L651" s="124"/>
      <c r="M651" s="124"/>
      <c r="N651" s="124"/>
      <c r="O651" s="124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</row>
    <row x14ac:dyDescent="0.25" r="652" customHeight="1" ht="15.75">
      <c r="A652" s="123"/>
      <c r="B652" s="123"/>
      <c r="C652" s="124"/>
      <c r="D652" s="124"/>
      <c r="E652" s="124"/>
      <c r="F652" s="124"/>
      <c r="G652" s="124"/>
      <c r="H652" s="124"/>
      <c r="I652" s="124"/>
      <c r="J652" s="124"/>
      <c r="K652" s="124"/>
      <c r="L652" s="124"/>
      <c r="M652" s="124"/>
      <c r="N652" s="124"/>
      <c r="O652" s="124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</row>
    <row x14ac:dyDescent="0.25" r="653" customHeight="1" ht="15.75">
      <c r="A653" s="123"/>
      <c r="B653" s="123"/>
      <c r="C653" s="124"/>
      <c r="D653" s="124"/>
      <c r="E653" s="124"/>
      <c r="F653" s="124"/>
      <c r="G653" s="124"/>
      <c r="H653" s="124"/>
      <c r="I653" s="124"/>
      <c r="J653" s="124"/>
      <c r="K653" s="124"/>
      <c r="L653" s="124"/>
      <c r="M653" s="124"/>
      <c r="N653" s="124"/>
      <c r="O653" s="124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</row>
    <row x14ac:dyDescent="0.25" r="654" customHeight="1" ht="15.75">
      <c r="A654" s="123"/>
      <c r="B654" s="123"/>
      <c r="C654" s="124"/>
      <c r="D654" s="124"/>
      <c r="E654" s="124"/>
      <c r="F654" s="124"/>
      <c r="G654" s="124"/>
      <c r="H654" s="124"/>
      <c r="I654" s="124"/>
      <c r="J654" s="124"/>
      <c r="K654" s="124"/>
      <c r="L654" s="124"/>
      <c r="M654" s="124"/>
      <c r="N654" s="124"/>
      <c r="O654" s="124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</row>
    <row x14ac:dyDescent="0.25" r="655" customHeight="1" ht="15.75">
      <c r="A655" s="123"/>
      <c r="B655" s="123"/>
      <c r="C655" s="124"/>
      <c r="D655" s="124"/>
      <c r="E655" s="124"/>
      <c r="F655" s="124"/>
      <c r="G655" s="124"/>
      <c r="H655" s="124"/>
      <c r="I655" s="124"/>
      <c r="J655" s="124"/>
      <c r="K655" s="124"/>
      <c r="L655" s="124"/>
      <c r="M655" s="124"/>
      <c r="N655" s="124"/>
      <c r="O655" s="124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</row>
    <row x14ac:dyDescent="0.25" r="656" customHeight="1" ht="15.75">
      <c r="A656" s="123"/>
      <c r="B656" s="123"/>
      <c r="C656" s="124"/>
      <c r="D656" s="124"/>
      <c r="E656" s="124"/>
      <c r="F656" s="124"/>
      <c r="G656" s="124"/>
      <c r="H656" s="124"/>
      <c r="I656" s="124"/>
      <c r="J656" s="124"/>
      <c r="K656" s="124"/>
      <c r="L656" s="124"/>
      <c r="M656" s="124"/>
      <c r="N656" s="124"/>
      <c r="O656" s="124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</row>
    <row x14ac:dyDescent="0.25" r="657" customHeight="1" ht="15.75">
      <c r="A657" s="123"/>
      <c r="B657" s="123"/>
      <c r="C657" s="124"/>
      <c r="D657" s="124"/>
      <c r="E657" s="124"/>
      <c r="F657" s="124"/>
      <c r="G657" s="124"/>
      <c r="H657" s="124"/>
      <c r="I657" s="124"/>
      <c r="J657" s="124"/>
      <c r="K657" s="124"/>
      <c r="L657" s="124"/>
      <c r="M657" s="124"/>
      <c r="N657" s="124"/>
      <c r="O657" s="124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</row>
    <row x14ac:dyDescent="0.25" r="658" customHeight="1" ht="15.75">
      <c r="A658" s="123"/>
      <c r="B658" s="123"/>
      <c r="C658" s="124"/>
      <c r="D658" s="124"/>
      <c r="E658" s="124"/>
      <c r="F658" s="124"/>
      <c r="G658" s="124"/>
      <c r="H658" s="124"/>
      <c r="I658" s="124"/>
      <c r="J658" s="124"/>
      <c r="K658" s="124"/>
      <c r="L658" s="124"/>
      <c r="M658" s="124"/>
      <c r="N658" s="124"/>
      <c r="O658" s="124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</row>
    <row x14ac:dyDescent="0.25" r="659" customHeight="1" ht="15.75">
      <c r="A659" s="123"/>
      <c r="B659" s="123"/>
      <c r="C659" s="124"/>
      <c r="D659" s="124"/>
      <c r="E659" s="124"/>
      <c r="F659" s="124"/>
      <c r="G659" s="124"/>
      <c r="H659" s="124"/>
      <c r="I659" s="124"/>
      <c r="J659" s="124"/>
      <c r="K659" s="124"/>
      <c r="L659" s="124"/>
      <c r="M659" s="124"/>
      <c r="N659" s="124"/>
      <c r="O659" s="124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</row>
    <row x14ac:dyDescent="0.25" r="660" customHeight="1" ht="15.75">
      <c r="A660" s="123"/>
      <c r="B660" s="123"/>
      <c r="C660" s="124"/>
      <c r="D660" s="124"/>
      <c r="E660" s="124"/>
      <c r="F660" s="124"/>
      <c r="G660" s="124"/>
      <c r="H660" s="124"/>
      <c r="I660" s="124"/>
      <c r="J660" s="124"/>
      <c r="K660" s="124"/>
      <c r="L660" s="124"/>
      <c r="M660" s="124"/>
      <c r="N660" s="124"/>
      <c r="O660" s="124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</row>
    <row x14ac:dyDescent="0.25" r="661" customHeight="1" ht="15.75">
      <c r="A661" s="123"/>
      <c r="B661" s="123"/>
      <c r="C661" s="124"/>
      <c r="D661" s="124"/>
      <c r="E661" s="124"/>
      <c r="F661" s="124"/>
      <c r="G661" s="124"/>
      <c r="H661" s="124"/>
      <c r="I661" s="124"/>
      <c r="J661" s="124"/>
      <c r="K661" s="124"/>
      <c r="L661" s="124"/>
      <c r="M661" s="124"/>
      <c r="N661" s="124"/>
      <c r="O661" s="124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</row>
    <row x14ac:dyDescent="0.25" r="662" customHeight="1" ht="15.75">
      <c r="A662" s="123"/>
      <c r="B662" s="123"/>
      <c r="C662" s="124"/>
      <c r="D662" s="124"/>
      <c r="E662" s="124"/>
      <c r="F662" s="124"/>
      <c r="G662" s="124"/>
      <c r="H662" s="124"/>
      <c r="I662" s="124"/>
      <c r="J662" s="124"/>
      <c r="K662" s="124"/>
      <c r="L662" s="124"/>
      <c r="M662" s="124"/>
      <c r="N662" s="124"/>
      <c r="O662" s="124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</row>
    <row x14ac:dyDescent="0.25" r="663" customHeight="1" ht="15.75">
      <c r="A663" s="123"/>
      <c r="B663" s="123"/>
      <c r="C663" s="124"/>
      <c r="D663" s="124"/>
      <c r="E663" s="124"/>
      <c r="F663" s="124"/>
      <c r="G663" s="124"/>
      <c r="H663" s="124"/>
      <c r="I663" s="124"/>
      <c r="J663" s="124"/>
      <c r="K663" s="124"/>
      <c r="L663" s="124"/>
      <c r="M663" s="124"/>
      <c r="N663" s="124"/>
      <c r="O663" s="124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</row>
    <row x14ac:dyDescent="0.25" r="664" customHeight="1" ht="15.75">
      <c r="A664" s="123"/>
      <c r="B664" s="123"/>
      <c r="C664" s="124"/>
      <c r="D664" s="124"/>
      <c r="E664" s="124"/>
      <c r="F664" s="124"/>
      <c r="G664" s="124"/>
      <c r="H664" s="124"/>
      <c r="I664" s="124"/>
      <c r="J664" s="124"/>
      <c r="K664" s="124"/>
      <c r="L664" s="124"/>
      <c r="M664" s="124"/>
      <c r="N664" s="124"/>
      <c r="O664" s="124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</row>
    <row x14ac:dyDescent="0.25" r="665" customHeight="1" ht="15.75">
      <c r="A665" s="123"/>
      <c r="B665" s="123"/>
      <c r="C665" s="124"/>
      <c r="D665" s="124"/>
      <c r="E665" s="124"/>
      <c r="F665" s="124"/>
      <c r="G665" s="124"/>
      <c r="H665" s="124"/>
      <c r="I665" s="124"/>
      <c r="J665" s="124"/>
      <c r="K665" s="124"/>
      <c r="L665" s="124"/>
      <c r="M665" s="124"/>
      <c r="N665" s="124"/>
      <c r="O665" s="124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</row>
    <row x14ac:dyDescent="0.25" r="666" customHeight="1" ht="15.75">
      <c r="A666" s="123"/>
      <c r="B666" s="123"/>
      <c r="C666" s="124"/>
      <c r="D666" s="124"/>
      <c r="E666" s="124"/>
      <c r="F666" s="124"/>
      <c r="G666" s="124"/>
      <c r="H666" s="124"/>
      <c r="I666" s="124"/>
      <c r="J666" s="124"/>
      <c r="K666" s="124"/>
      <c r="L666" s="124"/>
      <c r="M666" s="124"/>
      <c r="N666" s="124"/>
      <c r="O666" s="124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</row>
    <row x14ac:dyDescent="0.25" r="667" customHeight="1" ht="15.75">
      <c r="A667" s="123"/>
      <c r="B667" s="123"/>
      <c r="C667" s="124"/>
      <c r="D667" s="124"/>
      <c r="E667" s="124"/>
      <c r="F667" s="124"/>
      <c r="G667" s="124"/>
      <c r="H667" s="124"/>
      <c r="I667" s="124"/>
      <c r="J667" s="124"/>
      <c r="K667" s="124"/>
      <c r="L667" s="124"/>
      <c r="M667" s="124"/>
      <c r="N667" s="124"/>
      <c r="O667" s="124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</row>
    <row x14ac:dyDescent="0.25" r="668" customHeight="1" ht="15.75">
      <c r="A668" s="123"/>
      <c r="B668" s="123"/>
      <c r="C668" s="124"/>
      <c r="D668" s="124"/>
      <c r="E668" s="124"/>
      <c r="F668" s="124"/>
      <c r="G668" s="124"/>
      <c r="H668" s="124"/>
      <c r="I668" s="124"/>
      <c r="J668" s="124"/>
      <c r="K668" s="124"/>
      <c r="L668" s="124"/>
      <c r="M668" s="124"/>
      <c r="N668" s="124"/>
      <c r="O668" s="124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</row>
    <row x14ac:dyDescent="0.25" r="669" customHeight="1" ht="15.75">
      <c r="A669" s="123"/>
      <c r="B669" s="123"/>
      <c r="C669" s="124"/>
      <c r="D669" s="124"/>
      <c r="E669" s="124"/>
      <c r="F669" s="124"/>
      <c r="G669" s="124"/>
      <c r="H669" s="124"/>
      <c r="I669" s="124"/>
      <c r="J669" s="124"/>
      <c r="K669" s="124"/>
      <c r="L669" s="124"/>
      <c r="M669" s="124"/>
      <c r="N669" s="124"/>
      <c r="O669" s="124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</row>
    <row x14ac:dyDescent="0.25" r="670" customHeight="1" ht="15.75">
      <c r="A670" s="123"/>
      <c r="B670" s="123"/>
      <c r="C670" s="124"/>
      <c r="D670" s="124"/>
      <c r="E670" s="124"/>
      <c r="F670" s="124"/>
      <c r="G670" s="124"/>
      <c r="H670" s="124"/>
      <c r="I670" s="124"/>
      <c r="J670" s="124"/>
      <c r="K670" s="124"/>
      <c r="L670" s="124"/>
      <c r="M670" s="124"/>
      <c r="N670" s="124"/>
      <c r="O670" s="124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</row>
    <row x14ac:dyDescent="0.25" r="671" customHeight="1" ht="15.75">
      <c r="A671" s="123"/>
      <c r="B671" s="123"/>
      <c r="C671" s="124"/>
      <c r="D671" s="124"/>
      <c r="E671" s="124"/>
      <c r="F671" s="124"/>
      <c r="G671" s="124"/>
      <c r="H671" s="124"/>
      <c r="I671" s="124"/>
      <c r="J671" s="124"/>
      <c r="K671" s="124"/>
      <c r="L671" s="124"/>
      <c r="M671" s="124"/>
      <c r="N671" s="124"/>
      <c r="O671" s="124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</row>
    <row x14ac:dyDescent="0.25" r="672" customHeight="1" ht="15.75">
      <c r="A672" s="123"/>
      <c r="B672" s="123"/>
      <c r="C672" s="124"/>
      <c r="D672" s="124"/>
      <c r="E672" s="124"/>
      <c r="F672" s="124"/>
      <c r="G672" s="124"/>
      <c r="H672" s="124"/>
      <c r="I672" s="124"/>
      <c r="J672" s="124"/>
      <c r="K672" s="124"/>
      <c r="L672" s="124"/>
      <c r="M672" s="124"/>
      <c r="N672" s="124"/>
      <c r="O672" s="124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</row>
    <row x14ac:dyDescent="0.25" r="673" customHeight="1" ht="15.75">
      <c r="A673" s="123"/>
      <c r="B673" s="123"/>
      <c r="C673" s="124"/>
      <c r="D673" s="124"/>
      <c r="E673" s="124"/>
      <c r="F673" s="124"/>
      <c r="G673" s="124"/>
      <c r="H673" s="124"/>
      <c r="I673" s="124"/>
      <c r="J673" s="124"/>
      <c r="K673" s="124"/>
      <c r="L673" s="124"/>
      <c r="M673" s="124"/>
      <c r="N673" s="124"/>
      <c r="O673" s="124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</row>
    <row x14ac:dyDescent="0.25" r="674" customHeight="1" ht="15.75">
      <c r="A674" s="123"/>
      <c r="B674" s="123"/>
      <c r="C674" s="124"/>
      <c r="D674" s="124"/>
      <c r="E674" s="124"/>
      <c r="F674" s="124"/>
      <c r="G674" s="124"/>
      <c r="H674" s="124"/>
      <c r="I674" s="124"/>
      <c r="J674" s="124"/>
      <c r="K674" s="124"/>
      <c r="L674" s="124"/>
      <c r="M674" s="124"/>
      <c r="N674" s="124"/>
      <c r="O674" s="124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</row>
    <row x14ac:dyDescent="0.25" r="675" customHeight="1" ht="15.75">
      <c r="A675" s="123"/>
      <c r="B675" s="123"/>
      <c r="C675" s="124"/>
      <c r="D675" s="124"/>
      <c r="E675" s="124"/>
      <c r="F675" s="124"/>
      <c r="G675" s="124"/>
      <c r="H675" s="124"/>
      <c r="I675" s="124"/>
      <c r="J675" s="124"/>
      <c r="K675" s="124"/>
      <c r="L675" s="124"/>
      <c r="M675" s="124"/>
      <c r="N675" s="124"/>
      <c r="O675" s="124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</row>
    <row x14ac:dyDescent="0.25" r="676" customHeight="1" ht="15.75">
      <c r="A676" s="123"/>
      <c r="B676" s="123"/>
      <c r="C676" s="124"/>
      <c r="D676" s="124"/>
      <c r="E676" s="124"/>
      <c r="F676" s="124"/>
      <c r="G676" s="124"/>
      <c r="H676" s="124"/>
      <c r="I676" s="124"/>
      <c r="J676" s="124"/>
      <c r="K676" s="124"/>
      <c r="L676" s="124"/>
      <c r="M676" s="124"/>
      <c r="N676" s="124"/>
      <c r="O676" s="124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</row>
    <row x14ac:dyDescent="0.25" r="677" customHeight="1" ht="15.75">
      <c r="A677" s="123"/>
      <c r="B677" s="123"/>
      <c r="C677" s="124"/>
      <c r="D677" s="124"/>
      <c r="E677" s="124"/>
      <c r="F677" s="124"/>
      <c r="G677" s="124"/>
      <c r="H677" s="124"/>
      <c r="I677" s="124"/>
      <c r="J677" s="124"/>
      <c r="K677" s="124"/>
      <c r="L677" s="124"/>
      <c r="M677" s="124"/>
      <c r="N677" s="124"/>
      <c r="O677" s="124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</row>
    <row x14ac:dyDescent="0.25" r="678" customHeight="1" ht="15.75">
      <c r="A678" s="123"/>
      <c r="B678" s="123"/>
      <c r="C678" s="124"/>
      <c r="D678" s="124"/>
      <c r="E678" s="124"/>
      <c r="F678" s="124"/>
      <c r="G678" s="124"/>
      <c r="H678" s="124"/>
      <c r="I678" s="124"/>
      <c r="J678" s="124"/>
      <c r="K678" s="124"/>
      <c r="L678" s="124"/>
      <c r="M678" s="124"/>
      <c r="N678" s="124"/>
      <c r="O678" s="124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</row>
    <row x14ac:dyDescent="0.25" r="679" customHeight="1" ht="15.75">
      <c r="A679" s="123"/>
      <c r="B679" s="123"/>
      <c r="C679" s="124"/>
      <c r="D679" s="124"/>
      <c r="E679" s="124"/>
      <c r="F679" s="124"/>
      <c r="G679" s="124"/>
      <c r="H679" s="124"/>
      <c r="I679" s="124"/>
      <c r="J679" s="124"/>
      <c r="K679" s="124"/>
      <c r="L679" s="124"/>
      <c r="M679" s="124"/>
      <c r="N679" s="124"/>
      <c r="O679" s="124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</row>
    <row x14ac:dyDescent="0.25" r="680" customHeight="1" ht="15.75">
      <c r="A680" s="123"/>
      <c r="B680" s="123"/>
      <c r="C680" s="124"/>
      <c r="D680" s="124"/>
      <c r="E680" s="124"/>
      <c r="F680" s="124"/>
      <c r="G680" s="124"/>
      <c r="H680" s="124"/>
      <c r="I680" s="124"/>
      <c r="J680" s="124"/>
      <c r="K680" s="124"/>
      <c r="L680" s="124"/>
      <c r="M680" s="124"/>
      <c r="N680" s="124"/>
      <c r="O680" s="124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</row>
    <row x14ac:dyDescent="0.25" r="681" customHeight="1" ht="15.75">
      <c r="A681" s="123"/>
      <c r="B681" s="123"/>
      <c r="C681" s="124"/>
      <c r="D681" s="124"/>
      <c r="E681" s="124"/>
      <c r="F681" s="124"/>
      <c r="G681" s="124"/>
      <c r="H681" s="124"/>
      <c r="I681" s="124"/>
      <c r="J681" s="124"/>
      <c r="K681" s="124"/>
      <c r="L681" s="124"/>
      <c r="M681" s="124"/>
      <c r="N681" s="124"/>
      <c r="O681" s="124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</row>
    <row x14ac:dyDescent="0.25" r="682" customHeight="1" ht="15.75">
      <c r="A682" s="123"/>
      <c r="B682" s="123"/>
      <c r="C682" s="124"/>
      <c r="D682" s="124"/>
      <c r="E682" s="124"/>
      <c r="F682" s="124"/>
      <c r="G682" s="124"/>
      <c r="H682" s="124"/>
      <c r="I682" s="124"/>
      <c r="J682" s="124"/>
      <c r="K682" s="124"/>
      <c r="L682" s="124"/>
      <c r="M682" s="124"/>
      <c r="N682" s="124"/>
      <c r="O682" s="124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</row>
    <row x14ac:dyDescent="0.25" r="683" customHeight="1" ht="15.75">
      <c r="A683" s="123"/>
      <c r="B683" s="123"/>
      <c r="C683" s="124"/>
      <c r="D683" s="124"/>
      <c r="E683" s="124"/>
      <c r="F683" s="124"/>
      <c r="G683" s="124"/>
      <c r="H683" s="124"/>
      <c r="I683" s="124"/>
      <c r="J683" s="124"/>
      <c r="K683" s="124"/>
      <c r="L683" s="124"/>
      <c r="M683" s="124"/>
      <c r="N683" s="124"/>
      <c r="O683" s="124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</row>
    <row x14ac:dyDescent="0.25" r="684" customHeight="1" ht="15.75">
      <c r="A684" s="123"/>
      <c r="B684" s="123"/>
      <c r="C684" s="124"/>
      <c r="D684" s="124"/>
      <c r="E684" s="124"/>
      <c r="F684" s="124"/>
      <c r="G684" s="124"/>
      <c r="H684" s="124"/>
      <c r="I684" s="124"/>
      <c r="J684" s="124"/>
      <c r="K684" s="124"/>
      <c r="L684" s="124"/>
      <c r="M684" s="124"/>
      <c r="N684" s="124"/>
      <c r="O684" s="124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</row>
    <row x14ac:dyDescent="0.25" r="685" customHeight="1" ht="15.75">
      <c r="A685" s="123"/>
      <c r="B685" s="123"/>
      <c r="C685" s="124"/>
      <c r="D685" s="124"/>
      <c r="E685" s="124"/>
      <c r="F685" s="124"/>
      <c r="G685" s="124"/>
      <c r="H685" s="124"/>
      <c r="I685" s="124"/>
      <c r="J685" s="124"/>
      <c r="K685" s="124"/>
      <c r="L685" s="124"/>
      <c r="M685" s="124"/>
      <c r="N685" s="124"/>
      <c r="O685" s="124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</row>
    <row x14ac:dyDescent="0.25" r="686" customHeight="1" ht="15.75">
      <c r="A686" s="123"/>
      <c r="B686" s="123"/>
      <c r="C686" s="124"/>
      <c r="D686" s="124"/>
      <c r="E686" s="124"/>
      <c r="F686" s="124"/>
      <c r="G686" s="124"/>
      <c r="H686" s="124"/>
      <c r="I686" s="124"/>
      <c r="J686" s="124"/>
      <c r="K686" s="124"/>
      <c r="L686" s="124"/>
      <c r="M686" s="124"/>
      <c r="N686" s="124"/>
      <c r="O686" s="124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</row>
    <row x14ac:dyDescent="0.25" r="687" customHeight="1" ht="15.75">
      <c r="A687" s="123"/>
      <c r="B687" s="123"/>
      <c r="C687" s="124"/>
      <c r="D687" s="124"/>
      <c r="E687" s="124"/>
      <c r="F687" s="124"/>
      <c r="G687" s="124"/>
      <c r="H687" s="124"/>
      <c r="I687" s="124"/>
      <c r="J687" s="124"/>
      <c r="K687" s="124"/>
      <c r="L687" s="124"/>
      <c r="M687" s="124"/>
      <c r="N687" s="124"/>
      <c r="O687" s="124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</row>
    <row x14ac:dyDescent="0.25" r="688" customHeight="1" ht="15.75">
      <c r="A688" s="123"/>
      <c r="B688" s="123"/>
      <c r="C688" s="124"/>
      <c r="D688" s="124"/>
      <c r="E688" s="124"/>
      <c r="F688" s="124"/>
      <c r="G688" s="124"/>
      <c r="H688" s="124"/>
      <c r="I688" s="124"/>
      <c r="J688" s="124"/>
      <c r="K688" s="124"/>
      <c r="L688" s="124"/>
      <c r="M688" s="124"/>
      <c r="N688" s="124"/>
      <c r="O688" s="124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</row>
    <row x14ac:dyDescent="0.25" r="689" customHeight="1" ht="15.75">
      <c r="A689" s="123"/>
      <c r="B689" s="123"/>
      <c r="C689" s="124"/>
      <c r="D689" s="124"/>
      <c r="E689" s="124"/>
      <c r="F689" s="124"/>
      <c r="G689" s="124"/>
      <c r="H689" s="124"/>
      <c r="I689" s="124"/>
      <c r="J689" s="124"/>
      <c r="K689" s="124"/>
      <c r="L689" s="124"/>
      <c r="M689" s="124"/>
      <c r="N689" s="124"/>
      <c r="O689" s="124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</row>
    <row x14ac:dyDescent="0.25" r="690" customHeight="1" ht="15.75">
      <c r="A690" s="123"/>
      <c r="B690" s="123"/>
      <c r="C690" s="124"/>
      <c r="D690" s="124"/>
      <c r="E690" s="124"/>
      <c r="F690" s="124"/>
      <c r="G690" s="124"/>
      <c r="H690" s="124"/>
      <c r="I690" s="124"/>
      <c r="J690" s="124"/>
      <c r="K690" s="124"/>
      <c r="L690" s="124"/>
      <c r="M690" s="124"/>
      <c r="N690" s="124"/>
      <c r="O690" s="124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</row>
    <row x14ac:dyDescent="0.25" r="691" customHeight="1" ht="15.75">
      <c r="A691" s="123"/>
      <c r="B691" s="123"/>
      <c r="C691" s="124"/>
      <c r="D691" s="124"/>
      <c r="E691" s="124"/>
      <c r="F691" s="124"/>
      <c r="G691" s="124"/>
      <c r="H691" s="124"/>
      <c r="I691" s="124"/>
      <c r="J691" s="124"/>
      <c r="K691" s="124"/>
      <c r="L691" s="124"/>
      <c r="M691" s="124"/>
      <c r="N691" s="124"/>
      <c r="O691" s="124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</row>
    <row x14ac:dyDescent="0.25" r="692" customHeight="1" ht="15.75">
      <c r="A692" s="123"/>
      <c r="B692" s="123"/>
      <c r="C692" s="124"/>
      <c r="D692" s="124"/>
      <c r="E692" s="124"/>
      <c r="F692" s="124"/>
      <c r="G692" s="124"/>
      <c r="H692" s="124"/>
      <c r="I692" s="124"/>
      <c r="J692" s="124"/>
      <c r="K692" s="124"/>
      <c r="L692" s="124"/>
      <c r="M692" s="124"/>
      <c r="N692" s="124"/>
      <c r="O692" s="124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</row>
    <row x14ac:dyDescent="0.25" r="693" customHeight="1" ht="15.75">
      <c r="A693" s="123"/>
      <c r="B693" s="123"/>
      <c r="C693" s="124"/>
      <c r="D693" s="124"/>
      <c r="E693" s="124"/>
      <c r="F693" s="124"/>
      <c r="G693" s="124"/>
      <c r="H693" s="124"/>
      <c r="I693" s="124"/>
      <c r="J693" s="124"/>
      <c r="K693" s="124"/>
      <c r="L693" s="124"/>
      <c r="M693" s="124"/>
      <c r="N693" s="124"/>
      <c r="O693" s="124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</row>
    <row x14ac:dyDescent="0.25" r="694" customHeight="1" ht="15.75">
      <c r="A694" s="123"/>
      <c r="B694" s="123"/>
      <c r="C694" s="124"/>
      <c r="D694" s="124"/>
      <c r="E694" s="124"/>
      <c r="F694" s="124"/>
      <c r="G694" s="124"/>
      <c r="H694" s="124"/>
      <c r="I694" s="124"/>
      <c r="J694" s="124"/>
      <c r="K694" s="124"/>
      <c r="L694" s="124"/>
      <c r="M694" s="124"/>
      <c r="N694" s="124"/>
      <c r="O694" s="124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</row>
    <row x14ac:dyDescent="0.25" r="695" customHeight="1" ht="15.75">
      <c r="A695" s="123"/>
      <c r="B695" s="123"/>
      <c r="C695" s="124"/>
      <c r="D695" s="124"/>
      <c r="E695" s="124"/>
      <c r="F695" s="124"/>
      <c r="G695" s="124"/>
      <c r="H695" s="124"/>
      <c r="I695" s="124"/>
      <c r="J695" s="124"/>
      <c r="K695" s="124"/>
      <c r="L695" s="124"/>
      <c r="M695" s="124"/>
      <c r="N695" s="124"/>
      <c r="O695" s="124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</row>
    <row x14ac:dyDescent="0.25" r="696" customHeight="1" ht="15.75">
      <c r="A696" s="123"/>
      <c r="B696" s="123"/>
      <c r="C696" s="124"/>
      <c r="D696" s="124"/>
      <c r="E696" s="124"/>
      <c r="F696" s="124"/>
      <c r="G696" s="124"/>
      <c r="H696" s="124"/>
      <c r="I696" s="124"/>
      <c r="J696" s="124"/>
      <c r="K696" s="124"/>
      <c r="L696" s="124"/>
      <c r="M696" s="124"/>
      <c r="N696" s="124"/>
      <c r="O696" s="124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</row>
    <row x14ac:dyDescent="0.25" r="697" customHeight="1" ht="15.75">
      <c r="A697" s="123"/>
      <c r="B697" s="123"/>
      <c r="C697" s="124"/>
      <c r="D697" s="124"/>
      <c r="E697" s="124"/>
      <c r="F697" s="124"/>
      <c r="G697" s="124"/>
      <c r="H697" s="124"/>
      <c r="I697" s="124"/>
      <c r="J697" s="124"/>
      <c r="K697" s="124"/>
      <c r="L697" s="124"/>
      <c r="M697" s="124"/>
      <c r="N697" s="124"/>
      <c r="O697" s="124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</row>
    <row x14ac:dyDescent="0.25" r="698" customHeight="1" ht="15.75">
      <c r="A698" s="123"/>
      <c r="B698" s="123"/>
      <c r="C698" s="124"/>
      <c r="D698" s="124"/>
      <c r="E698" s="124"/>
      <c r="F698" s="124"/>
      <c r="G698" s="124"/>
      <c r="H698" s="124"/>
      <c r="I698" s="124"/>
      <c r="J698" s="124"/>
      <c r="K698" s="124"/>
      <c r="L698" s="124"/>
      <c r="M698" s="124"/>
      <c r="N698" s="124"/>
      <c r="O698" s="124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</row>
    <row x14ac:dyDescent="0.25" r="699" customHeight="1" ht="15.75">
      <c r="A699" s="123"/>
      <c r="B699" s="123"/>
      <c r="C699" s="124"/>
      <c r="D699" s="124"/>
      <c r="E699" s="124"/>
      <c r="F699" s="124"/>
      <c r="G699" s="124"/>
      <c r="H699" s="124"/>
      <c r="I699" s="124"/>
      <c r="J699" s="124"/>
      <c r="K699" s="124"/>
      <c r="L699" s="124"/>
      <c r="M699" s="124"/>
      <c r="N699" s="124"/>
      <c r="O699" s="124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</row>
    <row x14ac:dyDescent="0.25" r="700" customHeight="1" ht="15.75">
      <c r="A700" s="123"/>
      <c r="B700" s="123"/>
      <c r="C700" s="124"/>
      <c r="D700" s="124"/>
      <c r="E700" s="124"/>
      <c r="F700" s="124"/>
      <c r="G700" s="124"/>
      <c r="H700" s="124"/>
      <c r="I700" s="124"/>
      <c r="J700" s="124"/>
      <c r="K700" s="124"/>
      <c r="L700" s="124"/>
      <c r="M700" s="124"/>
      <c r="N700" s="124"/>
      <c r="O700" s="124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</row>
    <row x14ac:dyDescent="0.25" r="701" customHeight="1" ht="15.75">
      <c r="A701" s="123"/>
      <c r="B701" s="123"/>
      <c r="C701" s="124"/>
      <c r="D701" s="124"/>
      <c r="E701" s="124"/>
      <c r="F701" s="124"/>
      <c r="G701" s="124"/>
      <c r="H701" s="124"/>
      <c r="I701" s="124"/>
      <c r="J701" s="124"/>
      <c r="K701" s="124"/>
      <c r="L701" s="124"/>
      <c r="M701" s="124"/>
      <c r="N701" s="124"/>
      <c r="O701" s="124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</row>
    <row x14ac:dyDescent="0.25" r="702" customHeight="1" ht="15.75">
      <c r="A702" s="123"/>
      <c r="B702" s="123"/>
      <c r="C702" s="124"/>
      <c r="D702" s="124"/>
      <c r="E702" s="124"/>
      <c r="F702" s="124"/>
      <c r="G702" s="124"/>
      <c r="H702" s="124"/>
      <c r="I702" s="124"/>
      <c r="J702" s="124"/>
      <c r="K702" s="124"/>
      <c r="L702" s="124"/>
      <c r="M702" s="124"/>
      <c r="N702" s="124"/>
      <c r="O702" s="124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</row>
    <row x14ac:dyDescent="0.25" r="703" customHeight="1" ht="15.75">
      <c r="A703" s="123"/>
      <c r="B703" s="123"/>
      <c r="C703" s="124"/>
      <c r="D703" s="124"/>
      <c r="E703" s="124"/>
      <c r="F703" s="124"/>
      <c r="G703" s="124"/>
      <c r="H703" s="124"/>
      <c r="I703" s="124"/>
      <c r="J703" s="124"/>
      <c r="K703" s="124"/>
      <c r="L703" s="124"/>
      <c r="M703" s="124"/>
      <c r="N703" s="124"/>
      <c r="O703" s="124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</row>
    <row x14ac:dyDescent="0.25" r="704" customHeight="1" ht="15.75">
      <c r="A704" s="123"/>
      <c r="B704" s="123"/>
      <c r="C704" s="124"/>
      <c r="D704" s="124"/>
      <c r="E704" s="124"/>
      <c r="F704" s="124"/>
      <c r="G704" s="124"/>
      <c r="H704" s="124"/>
      <c r="I704" s="124"/>
      <c r="J704" s="124"/>
      <c r="K704" s="124"/>
      <c r="L704" s="124"/>
      <c r="M704" s="124"/>
      <c r="N704" s="124"/>
      <c r="O704" s="124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</row>
    <row x14ac:dyDescent="0.25" r="705" customHeight="1" ht="15.75">
      <c r="A705" s="123"/>
      <c r="B705" s="123"/>
      <c r="C705" s="124"/>
      <c r="D705" s="124"/>
      <c r="E705" s="124"/>
      <c r="F705" s="124"/>
      <c r="G705" s="124"/>
      <c r="H705" s="124"/>
      <c r="I705" s="124"/>
      <c r="J705" s="124"/>
      <c r="K705" s="124"/>
      <c r="L705" s="124"/>
      <c r="M705" s="124"/>
      <c r="N705" s="124"/>
      <c r="O705" s="124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</row>
    <row x14ac:dyDescent="0.25" r="706" customHeight="1" ht="15.75">
      <c r="A706" s="123"/>
      <c r="B706" s="123"/>
      <c r="C706" s="124"/>
      <c r="D706" s="124"/>
      <c r="E706" s="124"/>
      <c r="F706" s="124"/>
      <c r="G706" s="124"/>
      <c r="H706" s="124"/>
      <c r="I706" s="124"/>
      <c r="J706" s="124"/>
      <c r="K706" s="124"/>
      <c r="L706" s="124"/>
      <c r="M706" s="124"/>
      <c r="N706" s="124"/>
      <c r="O706" s="124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</row>
    <row x14ac:dyDescent="0.25" r="707" customHeight="1" ht="15.75">
      <c r="A707" s="123"/>
      <c r="B707" s="123"/>
      <c r="C707" s="124"/>
      <c r="D707" s="124"/>
      <c r="E707" s="124"/>
      <c r="F707" s="124"/>
      <c r="G707" s="124"/>
      <c r="H707" s="124"/>
      <c r="I707" s="124"/>
      <c r="J707" s="124"/>
      <c r="K707" s="124"/>
      <c r="L707" s="124"/>
      <c r="M707" s="124"/>
      <c r="N707" s="124"/>
      <c r="O707" s="124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</row>
    <row x14ac:dyDescent="0.25" r="708" customHeight="1" ht="15.75">
      <c r="A708" s="123"/>
      <c r="B708" s="123"/>
      <c r="C708" s="124"/>
      <c r="D708" s="124"/>
      <c r="E708" s="124"/>
      <c r="F708" s="124"/>
      <c r="G708" s="124"/>
      <c r="H708" s="124"/>
      <c r="I708" s="124"/>
      <c r="J708" s="124"/>
      <c r="K708" s="124"/>
      <c r="L708" s="124"/>
      <c r="M708" s="124"/>
      <c r="N708" s="124"/>
      <c r="O708" s="124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</row>
    <row x14ac:dyDescent="0.25" r="709" customHeight="1" ht="15.75">
      <c r="A709" s="123"/>
      <c r="B709" s="123"/>
      <c r="C709" s="124"/>
      <c r="D709" s="124"/>
      <c r="E709" s="124"/>
      <c r="F709" s="124"/>
      <c r="G709" s="124"/>
      <c r="H709" s="124"/>
      <c r="I709" s="124"/>
      <c r="J709" s="124"/>
      <c r="K709" s="124"/>
      <c r="L709" s="124"/>
      <c r="M709" s="124"/>
      <c r="N709" s="124"/>
      <c r="O709" s="124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</row>
    <row x14ac:dyDescent="0.25" r="710" customHeight="1" ht="15.75">
      <c r="A710" s="123"/>
      <c r="B710" s="123"/>
      <c r="C710" s="124"/>
      <c r="D710" s="124"/>
      <c r="E710" s="124"/>
      <c r="F710" s="124"/>
      <c r="G710" s="124"/>
      <c r="H710" s="124"/>
      <c r="I710" s="124"/>
      <c r="J710" s="124"/>
      <c r="K710" s="124"/>
      <c r="L710" s="124"/>
      <c r="M710" s="124"/>
      <c r="N710" s="124"/>
      <c r="O710" s="124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</row>
    <row x14ac:dyDescent="0.25" r="711" customHeight="1" ht="15.75">
      <c r="A711" s="123"/>
      <c r="B711" s="123"/>
      <c r="C711" s="124"/>
      <c r="D711" s="124"/>
      <c r="E711" s="124"/>
      <c r="F711" s="124"/>
      <c r="G711" s="124"/>
      <c r="H711" s="124"/>
      <c r="I711" s="124"/>
      <c r="J711" s="124"/>
      <c r="K711" s="124"/>
      <c r="L711" s="124"/>
      <c r="M711" s="124"/>
      <c r="N711" s="124"/>
      <c r="O711" s="124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</row>
    <row x14ac:dyDescent="0.25" r="712" customHeight="1" ht="15.75">
      <c r="A712" s="123"/>
      <c r="B712" s="123"/>
      <c r="C712" s="124"/>
      <c r="D712" s="124"/>
      <c r="E712" s="124"/>
      <c r="F712" s="124"/>
      <c r="G712" s="124"/>
      <c r="H712" s="124"/>
      <c r="I712" s="124"/>
      <c r="J712" s="124"/>
      <c r="K712" s="124"/>
      <c r="L712" s="124"/>
      <c r="M712" s="124"/>
      <c r="N712" s="124"/>
      <c r="O712" s="124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</row>
    <row x14ac:dyDescent="0.25" r="713" customHeight="1" ht="15.75">
      <c r="A713" s="123"/>
      <c r="B713" s="123"/>
      <c r="C713" s="124"/>
      <c r="D713" s="124"/>
      <c r="E713" s="124"/>
      <c r="F713" s="124"/>
      <c r="G713" s="124"/>
      <c r="H713" s="124"/>
      <c r="I713" s="124"/>
      <c r="J713" s="124"/>
      <c r="K713" s="124"/>
      <c r="L713" s="124"/>
      <c r="M713" s="124"/>
      <c r="N713" s="124"/>
      <c r="O713" s="124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</row>
    <row x14ac:dyDescent="0.25" r="714" customHeight="1" ht="15.75">
      <c r="A714" s="123"/>
      <c r="B714" s="123"/>
      <c r="C714" s="124"/>
      <c r="D714" s="124"/>
      <c r="E714" s="124"/>
      <c r="F714" s="124"/>
      <c r="G714" s="124"/>
      <c r="H714" s="124"/>
      <c r="I714" s="124"/>
      <c r="J714" s="124"/>
      <c r="K714" s="124"/>
      <c r="L714" s="124"/>
      <c r="M714" s="124"/>
      <c r="N714" s="124"/>
      <c r="O714" s="124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</row>
    <row x14ac:dyDescent="0.25" r="715" customHeight="1" ht="15.75">
      <c r="A715" s="123"/>
      <c r="B715" s="123"/>
      <c r="C715" s="124"/>
      <c r="D715" s="124"/>
      <c r="E715" s="124"/>
      <c r="F715" s="124"/>
      <c r="G715" s="124"/>
      <c r="H715" s="124"/>
      <c r="I715" s="124"/>
      <c r="J715" s="124"/>
      <c r="K715" s="124"/>
      <c r="L715" s="124"/>
      <c r="M715" s="124"/>
      <c r="N715" s="124"/>
      <c r="O715" s="124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</row>
    <row x14ac:dyDescent="0.25" r="716" customHeight="1" ht="15.75">
      <c r="A716" s="123"/>
      <c r="B716" s="123"/>
      <c r="C716" s="124"/>
      <c r="D716" s="124"/>
      <c r="E716" s="124"/>
      <c r="F716" s="124"/>
      <c r="G716" s="124"/>
      <c r="H716" s="124"/>
      <c r="I716" s="124"/>
      <c r="J716" s="124"/>
      <c r="K716" s="124"/>
      <c r="L716" s="124"/>
      <c r="M716" s="124"/>
      <c r="N716" s="124"/>
      <c r="O716" s="124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</row>
    <row x14ac:dyDescent="0.25" r="717" customHeight="1" ht="15.75">
      <c r="A717" s="123"/>
      <c r="B717" s="123"/>
      <c r="C717" s="124"/>
      <c r="D717" s="124"/>
      <c r="E717" s="124"/>
      <c r="F717" s="124"/>
      <c r="G717" s="124"/>
      <c r="H717" s="124"/>
      <c r="I717" s="124"/>
      <c r="J717" s="124"/>
      <c r="K717" s="124"/>
      <c r="L717" s="124"/>
      <c r="M717" s="124"/>
      <c r="N717" s="124"/>
      <c r="O717" s="124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</row>
    <row x14ac:dyDescent="0.25" r="718" customHeight="1" ht="15.75">
      <c r="A718" s="123"/>
      <c r="B718" s="123"/>
      <c r="C718" s="124"/>
      <c r="D718" s="124"/>
      <c r="E718" s="124"/>
      <c r="F718" s="124"/>
      <c r="G718" s="124"/>
      <c r="H718" s="124"/>
      <c r="I718" s="124"/>
      <c r="J718" s="124"/>
      <c r="K718" s="124"/>
      <c r="L718" s="124"/>
      <c r="M718" s="124"/>
      <c r="N718" s="124"/>
      <c r="O718" s="124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</row>
    <row x14ac:dyDescent="0.25" r="719" customHeight="1" ht="15.75">
      <c r="A719" s="123"/>
      <c r="B719" s="123"/>
      <c r="C719" s="124"/>
      <c r="D719" s="124"/>
      <c r="E719" s="124"/>
      <c r="F719" s="124"/>
      <c r="G719" s="124"/>
      <c r="H719" s="124"/>
      <c r="I719" s="124"/>
      <c r="J719" s="124"/>
      <c r="K719" s="124"/>
      <c r="L719" s="124"/>
      <c r="M719" s="124"/>
      <c r="N719" s="124"/>
      <c r="O719" s="124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</row>
    <row x14ac:dyDescent="0.25" r="720" customHeight="1" ht="15.75">
      <c r="A720" s="123"/>
      <c r="B720" s="123"/>
      <c r="C720" s="124"/>
      <c r="D720" s="124"/>
      <c r="E720" s="124"/>
      <c r="F720" s="124"/>
      <c r="G720" s="124"/>
      <c r="H720" s="124"/>
      <c r="I720" s="124"/>
      <c r="J720" s="124"/>
      <c r="K720" s="124"/>
      <c r="L720" s="124"/>
      <c r="M720" s="124"/>
      <c r="N720" s="124"/>
      <c r="O720" s="124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</row>
    <row x14ac:dyDescent="0.25" r="721" customHeight="1" ht="15.75">
      <c r="A721" s="123"/>
      <c r="B721" s="123"/>
      <c r="C721" s="124"/>
      <c r="D721" s="124"/>
      <c r="E721" s="124"/>
      <c r="F721" s="124"/>
      <c r="G721" s="124"/>
      <c r="H721" s="124"/>
      <c r="I721" s="124"/>
      <c r="J721" s="124"/>
      <c r="K721" s="124"/>
      <c r="L721" s="124"/>
      <c r="M721" s="124"/>
      <c r="N721" s="124"/>
      <c r="O721" s="124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</row>
    <row x14ac:dyDescent="0.25" r="722" customHeight="1" ht="15.75">
      <c r="A722" s="123"/>
      <c r="B722" s="123"/>
      <c r="C722" s="124"/>
      <c r="D722" s="124"/>
      <c r="E722" s="124"/>
      <c r="F722" s="124"/>
      <c r="G722" s="124"/>
      <c r="H722" s="124"/>
      <c r="I722" s="124"/>
      <c r="J722" s="124"/>
      <c r="K722" s="124"/>
      <c r="L722" s="124"/>
      <c r="M722" s="124"/>
      <c r="N722" s="124"/>
      <c r="O722" s="124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</row>
    <row x14ac:dyDescent="0.25" r="723" customHeight="1" ht="15.75">
      <c r="A723" s="123"/>
      <c r="B723" s="123"/>
      <c r="C723" s="124"/>
      <c r="D723" s="124"/>
      <c r="E723" s="124"/>
      <c r="F723" s="124"/>
      <c r="G723" s="124"/>
      <c r="H723" s="124"/>
      <c r="I723" s="124"/>
      <c r="J723" s="124"/>
      <c r="K723" s="124"/>
      <c r="L723" s="124"/>
      <c r="M723" s="124"/>
      <c r="N723" s="124"/>
      <c r="O723" s="124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</row>
    <row x14ac:dyDescent="0.25" r="724" customHeight="1" ht="15.75">
      <c r="A724" s="123"/>
      <c r="B724" s="123"/>
      <c r="C724" s="124"/>
      <c r="D724" s="124"/>
      <c r="E724" s="124"/>
      <c r="F724" s="124"/>
      <c r="G724" s="124"/>
      <c r="H724" s="124"/>
      <c r="I724" s="124"/>
      <c r="J724" s="124"/>
      <c r="K724" s="124"/>
      <c r="L724" s="124"/>
      <c r="M724" s="124"/>
      <c r="N724" s="124"/>
      <c r="O724" s="124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</row>
    <row x14ac:dyDescent="0.25" r="725" customHeight="1" ht="15.75">
      <c r="A725" s="123"/>
      <c r="B725" s="123"/>
      <c r="C725" s="124"/>
      <c r="D725" s="124"/>
      <c r="E725" s="124"/>
      <c r="F725" s="124"/>
      <c r="G725" s="124"/>
      <c r="H725" s="124"/>
      <c r="I725" s="124"/>
      <c r="J725" s="124"/>
      <c r="K725" s="124"/>
      <c r="L725" s="124"/>
      <c r="M725" s="124"/>
      <c r="N725" s="124"/>
      <c r="O725" s="124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</row>
    <row x14ac:dyDescent="0.25" r="726" customHeight="1" ht="15.75">
      <c r="A726" s="123"/>
      <c r="B726" s="123"/>
      <c r="C726" s="124"/>
      <c r="D726" s="124"/>
      <c r="E726" s="124"/>
      <c r="F726" s="124"/>
      <c r="G726" s="124"/>
      <c r="H726" s="124"/>
      <c r="I726" s="124"/>
      <c r="J726" s="124"/>
      <c r="K726" s="124"/>
      <c r="L726" s="124"/>
      <c r="M726" s="124"/>
      <c r="N726" s="124"/>
      <c r="O726" s="124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</row>
    <row x14ac:dyDescent="0.25" r="727" customHeight="1" ht="15.75">
      <c r="A727" s="123"/>
      <c r="B727" s="123"/>
      <c r="C727" s="124"/>
      <c r="D727" s="124"/>
      <c r="E727" s="124"/>
      <c r="F727" s="124"/>
      <c r="G727" s="124"/>
      <c r="H727" s="124"/>
      <c r="I727" s="124"/>
      <c r="J727" s="124"/>
      <c r="K727" s="124"/>
      <c r="L727" s="124"/>
      <c r="M727" s="124"/>
      <c r="N727" s="124"/>
      <c r="O727" s="124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</row>
    <row x14ac:dyDescent="0.25" r="728" customHeight="1" ht="15.75">
      <c r="A728" s="123"/>
      <c r="B728" s="123"/>
      <c r="C728" s="124"/>
      <c r="D728" s="124"/>
      <c r="E728" s="124"/>
      <c r="F728" s="124"/>
      <c r="G728" s="124"/>
      <c r="H728" s="124"/>
      <c r="I728" s="124"/>
      <c r="J728" s="124"/>
      <c r="K728" s="124"/>
      <c r="L728" s="124"/>
      <c r="M728" s="124"/>
      <c r="N728" s="124"/>
      <c r="O728" s="124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</row>
    <row x14ac:dyDescent="0.25" r="729" customHeight="1" ht="15.75">
      <c r="A729" s="123"/>
      <c r="B729" s="123"/>
      <c r="C729" s="124"/>
      <c r="D729" s="124"/>
      <c r="E729" s="124"/>
      <c r="F729" s="124"/>
      <c r="G729" s="124"/>
      <c r="H729" s="124"/>
      <c r="I729" s="124"/>
      <c r="J729" s="124"/>
      <c r="K729" s="124"/>
      <c r="L729" s="124"/>
      <c r="M729" s="124"/>
      <c r="N729" s="124"/>
      <c r="O729" s="124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</row>
    <row x14ac:dyDescent="0.25" r="730" customHeight="1" ht="15.75">
      <c r="A730" s="123"/>
      <c r="B730" s="123"/>
      <c r="C730" s="124"/>
      <c r="D730" s="124"/>
      <c r="E730" s="124"/>
      <c r="F730" s="124"/>
      <c r="G730" s="124"/>
      <c r="H730" s="124"/>
      <c r="I730" s="124"/>
      <c r="J730" s="124"/>
      <c r="K730" s="124"/>
      <c r="L730" s="124"/>
      <c r="M730" s="124"/>
      <c r="N730" s="124"/>
      <c r="O730" s="124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</row>
    <row x14ac:dyDescent="0.25" r="731" customHeight="1" ht="15.75">
      <c r="A731" s="123"/>
      <c r="B731" s="123"/>
      <c r="C731" s="124"/>
      <c r="D731" s="124"/>
      <c r="E731" s="124"/>
      <c r="F731" s="124"/>
      <c r="G731" s="124"/>
      <c r="H731" s="124"/>
      <c r="I731" s="124"/>
      <c r="J731" s="124"/>
      <c r="K731" s="124"/>
      <c r="L731" s="124"/>
      <c r="M731" s="124"/>
      <c r="N731" s="124"/>
      <c r="O731" s="124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</row>
    <row x14ac:dyDescent="0.25" r="732" customHeight="1" ht="15.75">
      <c r="A732" s="123"/>
      <c r="B732" s="123"/>
      <c r="C732" s="124"/>
      <c r="D732" s="124"/>
      <c r="E732" s="124"/>
      <c r="F732" s="124"/>
      <c r="G732" s="124"/>
      <c r="H732" s="124"/>
      <c r="I732" s="124"/>
      <c r="J732" s="124"/>
      <c r="K732" s="124"/>
      <c r="L732" s="124"/>
      <c r="M732" s="124"/>
      <c r="N732" s="124"/>
      <c r="O732" s="124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</row>
    <row x14ac:dyDescent="0.25" r="733" customHeight="1" ht="15.75">
      <c r="A733" s="123"/>
      <c r="B733" s="123"/>
      <c r="C733" s="124"/>
      <c r="D733" s="124"/>
      <c r="E733" s="124"/>
      <c r="F733" s="124"/>
      <c r="G733" s="124"/>
      <c r="H733" s="124"/>
      <c r="I733" s="124"/>
      <c r="J733" s="124"/>
      <c r="K733" s="124"/>
      <c r="L733" s="124"/>
      <c r="M733" s="124"/>
      <c r="N733" s="124"/>
      <c r="O733" s="124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</row>
    <row x14ac:dyDescent="0.25" r="734" customHeight="1" ht="15.75">
      <c r="A734" s="123"/>
      <c r="B734" s="123"/>
      <c r="C734" s="124"/>
      <c r="D734" s="124"/>
      <c r="E734" s="124"/>
      <c r="F734" s="124"/>
      <c r="G734" s="124"/>
      <c r="H734" s="124"/>
      <c r="I734" s="124"/>
      <c r="J734" s="124"/>
      <c r="K734" s="124"/>
      <c r="L734" s="124"/>
      <c r="M734" s="124"/>
      <c r="N734" s="124"/>
      <c r="O734" s="124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</row>
    <row x14ac:dyDescent="0.25" r="735" customHeight="1" ht="15.75">
      <c r="A735" s="123"/>
      <c r="B735" s="123"/>
      <c r="C735" s="124"/>
      <c r="D735" s="124"/>
      <c r="E735" s="124"/>
      <c r="F735" s="124"/>
      <c r="G735" s="124"/>
      <c r="H735" s="124"/>
      <c r="I735" s="124"/>
      <c r="J735" s="124"/>
      <c r="K735" s="124"/>
      <c r="L735" s="124"/>
      <c r="M735" s="124"/>
      <c r="N735" s="124"/>
      <c r="O735" s="124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</row>
    <row x14ac:dyDescent="0.25" r="736" customHeight="1" ht="15.75">
      <c r="A736" s="123"/>
      <c r="B736" s="123"/>
      <c r="C736" s="124"/>
      <c r="D736" s="124"/>
      <c r="E736" s="124"/>
      <c r="F736" s="124"/>
      <c r="G736" s="124"/>
      <c r="H736" s="124"/>
      <c r="I736" s="124"/>
      <c r="J736" s="124"/>
      <c r="K736" s="124"/>
      <c r="L736" s="124"/>
      <c r="M736" s="124"/>
      <c r="N736" s="124"/>
      <c r="O736" s="124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</row>
    <row x14ac:dyDescent="0.25" r="737" customHeight="1" ht="15.75">
      <c r="A737" s="123"/>
      <c r="B737" s="123"/>
      <c r="C737" s="124"/>
      <c r="D737" s="124"/>
      <c r="E737" s="124"/>
      <c r="F737" s="124"/>
      <c r="G737" s="124"/>
      <c r="H737" s="124"/>
      <c r="I737" s="124"/>
      <c r="J737" s="124"/>
      <c r="K737" s="124"/>
      <c r="L737" s="124"/>
      <c r="M737" s="124"/>
      <c r="N737" s="124"/>
      <c r="O737" s="124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</row>
    <row x14ac:dyDescent="0.25" r="738" customHeight="1" ht="15.75">
      <c r="A738" s="123"/>
      <c r="B738" s="123"/>
      <c r="C738" s="124"/>
      <c r="D738" s="124"/>
      <c r="E738" s="124"/>
      <c r="F738" s="124"/>
      <c r="G738" s="124"/>
      <c r="H738" s="124"/>
      <c r="I738" s="124"/>
      <c r="J738" s="124"/>
      <c r="K738" s="124"/>
      <c r="L738" s="124"/>
      <c r="M738" s="124"/>
      <c r="N738" s="124"/>
      <c r="O738" s="124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</row>
    <row x14ac:dyDescent="0.25" r="739" customHeight="1" ht="15.75">
      <c r="A739" s="123"/>
      <c r="B739" s="123"/>
      <c r="C739" s="124"/>
      <c r="D739" s="124"/>
      <c r="E739" s="124"/>
      <c r="F739" s="124"/>
      <c r="G739" s="124"/>
      <c r="H739" s="124"/>
      <c r="I739" s="124"/>
      <c r="J739" s="124"/>
      <c r="K739" s="124"/>
      <c r="L739" s="124"/>
      <c r="M739" s="124"/>
      <c r="N739" s="124"/>
      <c r="O739" s="124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</row>
    <row x14ac:dyDescent="0.25" r="740" customHeight="1" ht="15.75">
      <c r="A740" s="123"/>
      <c r="B740" s="123"/>
      <c r="C740" s="124"/>
      <c r="D740" s="124"/>
      <c r="E740" s="124"/>
      <c r="F740" s="124"/>
      <c r="G740" s="124"/>
      <c r="H740" s="124"/>
      <c r="I740" s="124"/>
      <c r="J740" s="124"/>
      <c r="K740" s="124"/>
      <c r="L740" s="124"/>
      <c r="M740" s="124"/>
      <c r="N740" s="124"/>
      <c r="O740" s="124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</row>
    <row x14ac:dyDescent="0.25" r="741" customHeight="1" ht="15.75">
      <c r="A741" s="123"/>
      <c r="B741" s="123"/>
      <c r="C741" s="124"/>
      <c r="D741" s="124"/>
      <c r="E741" s="124"/>
      <c r="F741" s="124"/>
      <c r="G741" s="124"/>
      <c r="H741" s="124"/>
      <c r="I741" s="124"/>
      <c r="J741" s="124"/>
      <c r="K741" s="124"/>
      <c r="L741" s="124"/>
      <c r="M741" s="124"/>
      <c r="N741" s="124"/>
      <c r="O741" s="124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</row>
    <row x14ac:dyDescent="0.25" r="742" customHeight="1" ht="15.75">
      <c r="A742" s="123"/>
      <c r="B742" s="123"/>
      <c r="C742" s="124"/>
      <c r="D742" s="124"/>
      <c r="E742" s="124"/>
      <c r="F742" s="124"/>
      <c r="G742" s="124"/>
      <c r="H742" s="124"/>
      <c r="I742" s="124"/>
      <c r="J742" s="124"/>
      <c r="K742" s="124"/>
      <c r="L742" s="124"/>
      <c r="M742" s="124"/>
      <c r="N742" s="124"/>
      <c r="O742" s="124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</row>
    <row x14ac:dyDescent="0.25" r="743" customHeight="1" ht="15.75">
      <c r="A743" s="123"/>
      <c r="B743" s="123"/>
      <c r="C743" s="124"/>
      <c r="D743" s="124"/>
      <c r="E743" s="124"/>
      <c r="F743" s="124"/>
      <c r="G743" s="124"/>
      <c r="H743" s="124"/>
      <c r="I743" s="124"/>
      <c r="J743" s="124"/>
      <c r="K743" s="124"/>
      <c r="L743" s="124"/>
      <c r="M743" s="124"/>
      <c r="N743" s="124"/>
      <c r="O743" s="124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</row>
    <row x14ac:dyDescent="0.25" r="744" customHeight="1" ht="15.75">
      <c r="A744" s="123"/>
      <c r="B744" s="123"/>
      <c r="C744" s="124"/>
      <c r="D744" s="124"/>
      <c r="E744" s="124"/>
      <c r="F744" s="124"/>
      <c r="G744" s="124"/>
      <c r="H744" s="124"/>
      <c r="I744" s="124"/>
      <c r="J744" s="124"/>
      <c r="K744" s="124"/>
      <c r="L744" s="124"/>
      <c r="M744" s="124"/>
      <c r="N744" s="124"/>
      <c r="O744" s="124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</row>
    <row x14ac:dyDescent="0.25" r="745" customHeight="1" ht="15.75">
      <c r="A745" s="123"/>
      <c r="B745" s="123"/>
      <c r="C745" s="124"/>
      <c r="D745" s="124"/>
      <c r="E745" s="124"/>
      <c r="F745" s="124"/>
      <c r="G745" s="124"/>
      <c r="H745" s="124"/>
      <c r="I745" s="124"/>
      <c r="J745" s="124"/>
      <c r="K745" s="124"/>
      <c r="L745" s="124"/>
      <c r="M745" s="124"/>
      <c r="N745" s="124"/>
      <c r="O745" s="124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</row>
    <row x14ac:dyDescent="0.25" r="746" customHeight="1" ht="15.75">
      <c r="A746" s="123"/>
      <c r="B746" s="123"/>
      <c r="C746" s="124"/>
      <c r="D746" s="124"/>
      <c r="E746" s="124"/>
      <c r="F746" s="124"/>
      <c r="G746" s="124"/>
      <c r="H746" s="124"/>
      <c r="I746" s="124"/>
      <c r="J746" s="124"/>
      <c r="K746" s="124"/>
      <c r="L746" s="124"/>
      <c r="M746" s="124"/>
      <c r="N746" s="124"/>
      <c r="O746" s="124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</row>
    <row x14ac:dyDescent="0.25" r="747" customHeight="1" ht="15.75">
      <c r="A747" s="123"/>
      <c r="B747" s="123"/>
      <c r="C747" s="124"/>
      <c r="D747" s="124"/>
      <c r="E747" s="124"/>
      <c r="F747" s="124"/>
      <c r="G747" s="124"/>
      <c r="H747" s="124"/>
      <c r="I747" s="124"/>
      <c r="J747" s="124"/>
      <c r="K747" s="124"/>
      <c r="L747" s="124"/>
      <c r="M747" s="124"/>
      <c r="N747" s="124"/>
      <c r="O747" s="124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</row>
    <row x14ac:dyDescent="0.25" r="748" customHeight="1" ht="15.75">
      <c r="A748" s="123"/>
      <c r="B748" s="123"/>
      <c r="C748" s="124"/>
      <c r="D748" s="124"/>
      <c r="E748" s="124"/>
      <c r="F748" s="124"/>
      <c r="G748" s="124"/>
      <c r="H748" s="124"/>
      <c r="I748" s="124"/>
      <c r="J748" s="124"/>
      <c r="K748" s="124"/>
      <c r="L748" s="124"/>
      <c r="M748" s="124"/>
      <c r="N748" s="124"/>
      <c r="O748" s="124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</row>
    <row x14ac:dyDescent="0.25" r="749" customHeight="1" ht="15.75">
      <c r="A749" s="123"/>
      <c r="B749" s="123"/>
      <c r="C749" s="124"/>
      <c r="D749" s="124"/>
      <c r="E749" s="124"/>
      <c r="F749" s="124"/>
      <c r="G749" s="124"/>
      <c r="H749" s="124"/>
      <c r="I749" s="124"/>
      <c r="J749" s="124"/>
      <c r="K749" s="124"/>
      <c r="L749" s="124"/>
      <c r="M749" s="124"/>
      <c r="N749" s="124"/>
      <c r="O749" s="124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</row>
    <row x14ac:dyDescent="0.25" r="750" customHeight="1" ht="15.75">
      <c r="A750" s="123"/>
      <c r="B750" s="123"/>
      <c r="C750" s="124"/>
      <c r="D750" s="124"/>
      <c r="E750" s="124"/>
      <c r="F750" s="124"/>
      <c r="G750" s="124"/>
      <c r="H750" s="124"/>
      <c r="I750" s="124"/>
      <c r="J750" s="124"/>
      <c r="K750" s="124"/>
      <c r="L750" s="124"/>
      <c r="M750" s="124"/>
      <c r="N750" s="124"/>
      <c r="O750" s="124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</row>
    <row x14ac:dyDescent="0.25" r="751" customHeight="1" ht="15.75">
      <c r="A751" s="123"/>
      <c r="B751" s="123"/>
      <c r="C751" s="124"/>
      <c r="D751" s="124"/>
      <c r="E751" s="124"/>
      <c r="F751" s="124"/>
      <c r="G751" s="124"/>
      <c r="H751" s="124"/>
      <c r="I751" s="124"/>
      <c r="J751" s="124"/>
      <c r="K751" s="124"/>
      <c r="L751" s="124"/>
      <c r="M751" s="124"/>
      <c r="N751" s="124"/>
      <c r="O751" s="124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</row>
    <row x14ac:dyDescent="0.25" r="752" customHeight="1" ht="15.75">
      <c r="A752" s="123"/>
      <c r="B752" s="123"/>
      <c r="C752" s="124"/>
      <c r="D752" s="124"/>
      <c r="E752" s="124"/>
      <c r="F752" s="124"/>
      <c r="G752" s="124"/>
      <c r="H752" s="124"/>
      <c r="I752" s="124"/>
      <c r="J752" s="124"/>
      <c r="K752" s="124"/>
      <c r="L752" s="124"/>
      <c r="M752" s="124"/>
      <c r="N752" s="124"/>
      <c r="O752" s="124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</row>
    <row x14ac:dyDescent="0.25" r="753" customHeight="1" ht="15.75">
      <c r="A753" s="123"/>
      <c r="B753" s="123"/>
      <c r="C753" s="124"/>
      <c r="D753" s="124"/>
      <c r="E753" s="124"/>
      <c r="F753" s="124"/>
      <c r="G753" s="124"/>
      <c r="H753" s="124"/>
      <c r="I753" s="124"/>
      <c r="J753" s="124"/>
      <c r="K753" s="124"/>
      <c r="L753" s="124"/>
      <c r="M753" s="124"/>
      <c r="N753" s="124"/>
      <c r="O753" s="124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</row>
    <row x14ac:dyDescent="0.25" r="754" customHeight="1" ht="15.75">
      <c r="A754" s="123"/>
      <c r="B754" s="123"/>
      <c r="C754" s="124"/>
      <c r="D754" s="124"/>
      <c r="E754" s="124"/>
      <c r="F754" s="124"/>
      <c r="G754" s="124"/>
      <c r="H754" s="124"/>
      <c r="I754" s="124"/>
      <c r="J754" s="124"/>
      <c r="K754" s="124"/>
      <c r="L754" s="124"/>
      <c r="M754" s="124"/>
      <c r="N754" s="124"/>
      <c r="O754" s="124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</row>
    <row x14ac:dyDescent="0.25" r="755" customHeight="1" ht="15.75">
      <c r="A755" s="123"/>
      <c r="B755" s="123"/>
      <c r="C755" s="124"/>
      <c r="D755" s="124"/>
      <c r="E755" s="124"/>
      <c r="F755" s="124"/>
      <c r="G755" s="124"/>
      <c r="H755" s="124"/>
      <c r="I755" s="124"/>
      <c r="J755" s="124"/>
      <c r="K755" s="124"/>
      <c r="L755" s="124"/>
      <c r="M755" s="124"/>
      <c r="N755" s="124"/>
      <c r="O755" s="124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</row>
    <row x14ac:dyDescent="0.25" r="756" customHeight="1" ht="15.75">
      <c r="A756" s="123"/>
      <c r="B756" s="123"/>
      <c r="C756" s="124"/>
      <c r="D756" s="124"/>
      <c r="E756" s="124"/>
      <c r="F756" s="124"/>
      <c r="G756" s="124"/>
      <c r="H756" s="124"/>
      <c r="I756" s="124"/>
      <c r="J756" s="124"/>
      <c r="K756" s="124"/>
      <c r="L756" s="124"/>
      <c r="M756" s="124"/>
      <c r="N756" s="124"/>
      <c r="O756" s="124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</row>
    <row x14ac:dyDescent="0.25" r="757" customHeight="1" ht="15.75">
      <c r="A757" s="123"/>
      <c r="B757" s="123"/>
      <c r="C757" s="124"/>
      <c r="D757" s="124"/>
      <c r="E757" s="124"/>
      <c r="F757" s="124"/>
      <c r="G757" s="124"/>
      <c r="H757" s="124"/>
      <c r="I757" s="124"/>
      <c r="J757" s="124"/>
      <c r="K757" s="124"/>
      <c r="L757" s="124"/>
      <c r="M757" s="124"/>
      <c r="N757" s="124"/>
      <c r="O757" s="124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</row>
    <row x14ac:dyDescent="0.25" r="758" customHeight="1" ht="15.75">
      <c r="A758" s="123"/>
      <c r="B758" s="123"/>
      <c r="C758" s="124"/>
      <c r="D758" s="124"/>
      <c r="E758" s="124"/>
      <c r="F758" s="124"/>
      <c r="G758" s="124"/>
      <c r="H758" s="124"/>
      <c r="I758" s="124"/>
      <c r="J758" s="124"/>
      <c r="K758" s="124"/>
      <c r="L758" s="124"/>
      <c r="M758" s="124"/>
      <c r="N758" s="124"/>
      <c r="O758" s="124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</row>
    <row x14ac:dyDescent="0.25" r="759" customHeight="1" ht="15.75">
      <c r="A759" s="123"/>
      <c r="B759" s="123"/>
      <c r="C759" s="124"/>
      <c r="D759" s="124"/>
      <c r="E759" s="124"/>
      <c r="F759" s="124"/>
      <c r="G759" s="124"/>
      <c r="H759" s="124"/>
      <c r="I759" s="124"/>
      <c r="J759" s="124"/>
      <c r="K759" s="124"/>
      <c r="L759" s="124"/>
      <c r="M759" s="124"/>
      <c r="N759" s="124"/>
      <c r="O759" s="124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</row>
    <row x14ac:dyDescent="0.25" r="760" customHeight="1" ht="15.75">
      <c r="A760" s="123"/>
      <c r="B760" s="123"/>
      <c r="C760" s="124"/>
      <c r="D760" s="124"/>
      <c r="E760" s="124"/>
      <c r="F760" s="124"/>
      <c r="G760" s="124"/>
      <c r="H760" s="124"/>
      <c r="I760" s="124"/>
      <c r="J760" s="124"/>
      <c r="K760" s="124"/>
      <c r="L760" s="124"/>
      <c r="M760" s="124"/>
      <c r="N760" s="124"/>
      <c r="O760" s="124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</row>
    <row x14ac:dyDescent="0.25" r="761" customHeight="1" ht="15.75">
      <c r="A761" s="123"/>
      <c r="B761" s="123"/>
      <c r="C761" s="124"/>
      <c r="D761" s="124"/>
      <c r="E761" s="124"/>
      <c r="F761" s="124"/>
      <c r="G761" s="124"/>
      <c r="H761" s="124"/>
      <c r="I761" s="124"/>
      <c r="J761" s="124"/>
      <c r="K761" s="124"/>
      <c r="L761" s="124"/>
      <c r="M761" s="124"/>
      <c r="N761" s="124"/>
      <c r="O761" s="124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</row>
    <row x14ac:dyDescent="0.25" r="762" customHeight="1" ht="15.75">
      <c r="A762" s="123"/>
      <c r="B762" s="123"/>
      <c r="C762" s="124"/>
      <c r="D762" s="124"/>
      <c r="E762" s="124"/>
      <c r="F762" s="124"/>
      <c r="G762" s="124"/>
      <c r="H762" s="124"/>
      <c r="I762" s="124"/>
      <c r="J762" s="124"/>
      <c r="K762" s="124"/>
      <c r="L762" s="124"/>
      <c r="M762" s="124"/>
      <c r="N762" s="124"/>
      <c r="O762" s="124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</row>
    <row x14ac:dyDescent="0.25" r="763" customHeight="1" ht="15.75">
      <c r="A763" s="123"/>
      <c r="B763" s="123"/>
      <c r="C763" s="124"/>
      <c r="D763" s="124"/>
      <c r="E763" s="124"/>
      <c r="F763" s="124"/>
      <c r="G763" s="124"/>
      <c r="H763" s="124"/>
      <c r="I763" s="124"/>
      <c r="J763" s="124"/>
      <c r="K763" s="124"/>
      <c r="L763" s="124"/>
      <c r="M763" s="124"/>
      <c r="N763" s="124"/>
      <c r="O763" s="124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</row>
    <row x14ac:dyDescent="0.25" r="764" customHeight="1" ht="15.75">
      <c r="A764" s="123"/>
      <c r="B764" s="123"/>
      <c r="C764" s="124"/>
      <c r="D764" s="124"/>
      <c r="E764" s="124"/>
      <c r="F764" s="124"/>
      <c r="G764" s="124"/>
      <c r="H764" s="124"/>
      <c r="I764" s="124"/>
      <c r="J764" s="124"/>
      <c r="K764" s="124"/>
      <c r="L764" s="124"/>
      <c r="M764" s="124"/>
      <c r="N764" s="124"/>
      <c r="O764" s="124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</row>
    <row x14ac:dyDescent="0.25" r="765" customHeight="1" ht="15.75">
      <c r="A765" s="123"/>
      <c r="B765" s="123"/>
      <c r="C765" s="124"/>
      <c r="D765" s="124"/>
      <c r="E765" s="124"/>
      <c r="F765" s="124"/>
      <c r="G765" s="124"/>
      <c r="H765" s="124"/>
      <c r="I765" s="124"/>
      <c r="J765" s="124"/>
      <c r="K765" s="124"/>
      <c r="L765" s="124"/>
      <c r="M765" s="124"/>
      <c r="N765" s="124"/>
      <c r="O765" s="124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</row>
    <row x14ac:dyDescent="0.25" r="766" customHeight="1" ht="15.75">
      <c r="A766" s="123"/>
      <c r="B766" s="123"/>
      <c r="C766" s="124"/>
      <c r="D766" s="124"/>
      <c r="E766" s="124"/>
      <c r="F766" s="124"/>
      <c r="G766" s="124"/>
      <c r="H766" s="124"/>
      <c r="I766" s="124"/>
      <c r="J766" s="124"/>
      <c r="K766" s="124"/>
      <c r="L766" s="124"/>
      <c r="M766" s="124"/>
      <c r="N766" s="124"/>
      <c r="O766" s="124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</row>
    <row x14ac:dyDescent="0.25" r="767" customHeight="1" ht="15.75">
      <c r="A767" s="123"/>
      <c r="B767" s="123"/>
      <c r="C767" s="124"/>
      <c r="D767" s="124"/>
      <c r="E767" s="124"/>
      <c r="F767" s="124"/>
      <c r="G767" s="124"/>
      <c r="H767" s="124"/>
      <c r="I767" s="124"/>
      <c r="J767" s="124"/>
      <c r="K767" s="124"/>
      <c r="L767" s="124"/>
      <c r="M767" s="124"/>
      <c r="N767" s="124"/>
      <c r="O767" s="124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</row>
    <row x14ac:dyDescent="0.25" r="768" customHeight="1" ht="15.75">
      <c r="A768" s="123"/>
      <c r="B768" s="123"/>
      <c r="C768" s="124"/>
      <c r="D768" s="124"/>
      <c r="E768" s="124"/>
      <c r="F768" s="124"/>
      <c r="G768" s="124"/>
      <c r="H768" s="124"/>
      <c r="I768" s="124"/>
      <c r="J768" s="124"/>
      <c r="K768" s="124"/>
      <c r="L768" s="124"/>
      <c r="M768" s="124"/>
      <c r="N768" s="124"/>
      <c r="O768" s="124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</row>
    <row x14ac:dyDescent="0.25" r="769" customHeight="1" ht="15.75">
      <c r="A769" s="123"/>
      <c r="B769" s="123"/>
      <c r="C769" s="124"/>
      <c r="D769" s="124"/>
      <c r="E769" s="124"/>
      <c r="F769" s="124"/>
      <c r="G769" s="124"/>
      <c r="H769" s="124"/>
      <c r="I769" s="124"/>
      <c r="J769" s="124"/>
      <c r="K769" s="124"/>
      <c r="L769" s="124"/>
      <c r="M769" s="124"/>
      <c r="N769" s="124"/>
      <c r="O769" s="124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</row>
    <row x14ac:dyDescent="0.25" r="770" customHeight="1" ht="15.75">
      <c r="A770" s="123"/>
      <c r="B770" s="123"/>
      <c r="C770" s="124"/>
      <c r="D770" s="124"/>
      <c r="E770" s="124"/>
      <c r="F770" s="124"/>
      <c r="G770" s="124"/>
      <c r="H770" s="124"/>
      <c r="I770" s="124"/>
      <c r="J770" s="124"/>
      <c r="K770" s="124"/>
      <c r="L770" s="124"/>
      <c r="M770" s="124"/>
      <c r="N770" s="124"/>
      <c r="O770" s="124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</row>
    <row x14ac:dyDescent="0.25" r="771" customHeight="1" ht="15.75">
      <c r="A771" s="123"/>
      <c r="B771" s="123"/>
      <c r="C771" s="124"/>
      <c r="D771" s="124"/>
      <c r="E771" s="124"/>
      <c r="F771" s="124"/>
      <c r="G771" s="124"/>
      <c r="H771" s="124"/>
      <c r="I771" s="124"/>
      <c r="J771" s="124"/>
      <c r="K771" s="124"/>
      <c r="L771" s="124"/>
      <c r="M771" s="124"/>
      <c r="N771" s="124"/>
      <c r="O771" s="124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</row>
    <row x14ac:dyDescent="0.25" r="772" customHeight="1" ht="15.75">
      <c r="A772" s="123"/>
      <c r="B772" s="123"/>
      <c r="C772" s="124"/>
      <c r="D772" s="124"/>
      <c r="E772" s="124"/>
      <c r="F772" s="124"/>
      <c r="G772" s="124"/>
      <c r="H772" s="124"/>
      <c r="I772" s="124"/>
      <c r="J772" s="124"/>
      <c r="K772" s="124"/>
      <c r="L772" s="124"/>
      <c r="M772" s="124"/>
      <c r="N772" s="124"/>
      <c r="O772" s="124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</row>
    <row x14ac:dyDescent="0.25" r="773" customHeight="1" ht="15.75">
      <c r="A773" s="123"/>
      <c r="B773" s="123"/>
      <c r="C773" s="124"/>
      <c r="D773" s="124"/>
      <c r="E773" s="124"/>
      <c r="F773" s="124"/>
      <c r="G773" s="124"/>
      <c r="H773" s="124"/>
      <c r="I773" s="124"/>
      <c r="J773" s="124"/>
      <c r="K773" s="124"/>
      <c r="L773" s="124"/>
      <c r="M773" s="124"/>
      <c r="N773" s="124"/>
      <c r="O773" s="124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</row>
    <row x14ac:dyDescent="0.25" r="774" customHeight="1" ht="15.75">
      <c r="A774" s="123"/>
      <c r="B774" s="123"/>
      <c r="C774" s="124"/>
      <c r="D774" s="124"/>
      <c r="E774" s="124"/>
      <c r="F774" s="124"/>
      <c r="G774" s="124"/>
      <c r="H774" s="124"/>
      <c r="I774" s="124"/>
      <c r="J774" s="124"/>
      <c r="K774" s="124"/>
      <c r="L774" s="124"/>
      <c r="M774" s="124"/>
      <c r="N774" s="124"/>
      <c r="O774" s="124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</row>
    <row x14ac:dyDescent="0.25" r="775" customHeight="1" ht="15.75">
      <c r="A775" s="123"/>
      <c r="B775" s="123"/>
      <c r="C775" s="124"/>
      <c r="D775" s="124"/>
      <c r="E775" s="124"/>
      <c r="F775" s="124"/>
      <c r="G775" s="124"/>
      <c r="H775" s="124"/>
      <c r="I775" s="124"/>
      <c r="J775" s="124"/>
      <c r="K775" s="124"/>
      <c r="L775" s="124"/>
      <c r="M775" s="124"/>
      <c r="N775" s="124"/>
      <c r="O775" s="124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</row>
    <row x14ac:dyDescent="0.25" r="776" customHeight="1" ht="15.75">
      <c r="A776" s="123"/>
      <c r="B776" s="123"/>
      <c r="C776" s="124"/>
      <c r="D776" s="124"/>
      <c r="E776" s="124"/>
      <c r="F776" s="124"/>
      <c r="G776" s="124"/>
      <c r="H776" s="124"/>
      <c r="I776" s="124"/>
      <c r="J776" s="124"/>
      <c r="K776" s="124"/>
      <c r="L776" s="124"/>
      <c r="M776" s="124"/>
      <c r="N776" s="124"/>
      <c r="O776" s="124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</row>
    <row x14ac:dyDescent="0.25" r="777" customHeight="1" ht="15.75">
      <c r="A777" s="123"/>
      <c r="B777" s="123"/>
      <c r="C777" s="124"/>
      <c r="D777" s="124"/>
      <c r="E777" s="124"/>
      <c r="F777" s="124"/>
      <c r="G777" s="124"/>
      <c r="H777" s="124"/>
      <c r="I777" s="124"/>
      <c r="J777" s="124"/>
      <c r="K777" s="124"/>
      <c r="L777" s="124"/>
      <c r="M777" s="124"/>
      <c r="N777" s="124"/>
      <c r="O777" s="124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</row>
    <row x14ac:dyDescent="0.25" r="778" customHeight="1" ht="15.75">
      <c r="A778" s="123"/>
      <c r="B778" s="123"/>
      <c r="C778" s="124"/>
      <c r="D778" s="124"/>
      <c r="E778" s="124"/>
      <c r="F778" s="124"/>
      <c r="G778" s="124"/>
      <c r="H778" s="124"/>
      <c r="I778" s="124"/>
      <c r="J778" s="124"/>
      <c r="K778" s="124"/>
      <c r="L778" s="124"/>
      <c r="M778" s="124"/>
      <c r="N778" s="124"/>
      <c r="O778" s="124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</row>
    <row x14ac:dyDescent="0.25" r="779" customHeight="1" ht="15.75">
      <c r="A779" s="123"/>
      <c r="B779" s="123"/>
      <c r="C779" s="124"/>
      <c r="D779" s="124"/>
      <c r="E779" s="124"/>
      <c r="F779" s="124"/>
      <c r="G779" s="124"/>
      <c r="H779" s="124"/>
      <c r="I779" s="124"/>
      <c r="J779" s="124"/>
      <c r="K779" s="124"/>
      <c r="L779" s="124"/>
      <c r="M779" s="124"/>
      <c r="N779" s="124"/>
      <c r="O779" s="124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</row>
    <row x14ac:dyDescent="0.25" r="780" customHeight="1" ht="15.75">
      <c r="A780" s="123"/>
      <c r="B780" s="123"/>
      <c r="C780" s="124"/>
      <c r="D780" s="124"/>
      <c r="E780" s="124"/>
      <c r="F780" s="124"/>
      <c r="G780" s="124"/>
      <c r="H780" s="124"/>
      <c r="I780" s="124"/>
      <c r="J780" s="124"/>
      <c r="K780" s="124"/>
      <c r="L780" s="124"/>
      <c r="M780" s="124"/>
      <c r="N780" s="124"/>
      <c r="O780" s="124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</row>
    <row x14ac:dyDescent="0.25" r="781" customHeight="1" ht="15.75">
      <c r="A781" s="123"/>
      <c r="B781" s="123"/>
      <c r="C781" s="124"/>
      <c r="D781" s="124"/>
      <c r="E781" s="124"/>
      <c r="F781" s="124"/>
      <c r="G781" s="124"/>
      <c r="H781" s="124"/>
      <c r="I781" s="124"/>
      <c r="J781" s="124"/>
      <c r="K781" s="124"/>
      <c r="L781" s="124"/>
      <c r="M781" s="124"/>
      <c r="N781" s="124"/>
      <c r="O781" s="124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</row>
    <row x14ac:dyDescent="0.25" r="782" customHeight="1" ht="15.75">
      <c r="A782" s="123"/>
      <c r="B782" s="123"/>
      <c r="C782" s="124"/>
      <c r="D782" s="124"/>
      <c r="E782" s="124"/>
      <c r="F782" s="124"/>
      <c r="G782" s="124"/>
      <c r="H782" s="124"/>
      <c r="I782" s="124"/>
      <c r="J782" s="124"/>
      <c r="K782" s="124"/>
      <c r="L782" s="124"/>
      <c r="M782" s="124"/>
      <c r="N782" s="124"/>
      <c r="O782" s="124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</row>
    <row x14ac:dyDescent="0.25" r="783" customHeight="1" ht="15.75">
      <c r="A783" s="123"/>
      <c r="B783" s="123"/>
      <c r="C783" s="124"/>
      <c r="D783" s="124"/>
      <c r="E783" s="124"/>
      <c r="F783" s="124"/>
      <c r="G783" s="124"/>
      <c r="H783" s="124"/>
      <c r="I783" s="124"/>
      <c r="J783" s="124"/>
      <c r="K783" s="124"/>
      <c r="L783" s="124"/>
      <c r="M783" s="124"/>
      <c r="N783" s="124"/>
      <c r="O783" s="124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</row>
    <row x14ac:dyDescent="0.25" r="784" customHeight="1" ht="15.75">
      <c r="A784" s="123"/>
      <c r="B784" s="123"/>
      <c r="C784" s="124"/>
      <c r="D784" s="124"/>
      <c r="E784" s="124"/>
      <c r="F784" s="124"/>
      <c r="G784" s="124"/>
      <c r="H784" s="124"/>
      <c r="I784" s="124"/>
      <c r="J784" s="124"/>
      <c r="K784" s="124"/>
      <c r="L784" s="124"/>
      <c r="M784" s="124"/>
      <c r="N784" s="124"/>
      <c r="O784" s="124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</row>
    <row x14ac:dyDescent="0.25" r="785" customHeight="1" ht="15.75">
      <c r="A785" s="123"/>
      <c r="B785" s="123"/>
      <c r="C785" s="124"/>
      <c r="D785" s="124"/>
      <c r="E785" s="124"/>
      <c r="F785" s="124"/>
      <c r="G785" s="124"/>
      <c r="H785" s="124"/>
      <c r="I785" s="124"/>
      <c r="J785" s="124"/>
      <c r="K785" s="124"/>
      <c r="L785" s="124"/>
      <c r="M785" s="124"/>
      <c r="N785" s="124"/>
      <c r="O785" s="124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</row>
    <row x14ac:dyDescent="0.25" r="786" customHeight="1" ht="15.75">
      <c r="A786" s="123"/>
      <c r="B786" s="123"/>
      <c r="C786" s="124"/>
      <c r="D786" s="124"/>
      <c r="E786" s="124"/>
      <c r="F786" s="124"/>
      <c r="G786" s="124"/>
      <c r="H786" s="124"/>
      <c r="I786" s="124"/>
      <c r="J786" s="124"/>
      <c r="K786" s="124"/>
      <c r="L786" s="124"/>
      <c r="M786" s="124"/>
      <c r="N786" s="124"/>
      <c r="O786" s="124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</row>
    <row x14ac:dyDescent="0.25" r="787" customHeight="1" ht="15.75">
      <c r="A787" s="123"/>
      <c r="B787" s="123"/>
      <c r="C787" s="124"/>
      <c r="D787" s="124"/>
      <c r="E787" s="124"/>
      <c r="F787" s="124"/>
      <c r="G787" s="124"/>
      <c r="H787" s="124"/>
      <c r="I787" s="124"/>
      <c r="J787" s="124"/>
      <c r="K787" s="124"/>
      <c r="L787" s="124"/>
      <c r="M787" s="124"/>
      <c r="N787" s="124"/>
      <c r="O787" s="124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</row>
    <row x14ac:dyDescent="0.25" r="788" customHeight="1" ht="15.75">
      <c r="A788" s="123"/>
      <c r="B788" s="123"/>
      <c r="C788" s="124"/>
      <c r="D788" s="124"/>
      <c r="E788" s="124"/>
      <c r="F788" s="124"/>
      <c r="G788" s="124"/>
      <c r="H788" s="124"/>
      <c r="I788" s="124"/>
      <c r="J788" s="124"/>
      <c r="K788" s="124"/>
      <c r="L788" s="124"/>
      <c r="M788" s="124"/>
      <c r="N788" s="124"/>
      <c r="O788" s="124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</row>
    <row x14ac:dyDescent="0.25" r="789" customHeight="1" ht="15.75">
      <c r="A789" s="123"/>
      <c r="B789" s="123"/>
      <c r="C789" s="124"/>
      <c r="D789" s="124"/>
      <c r="E789" s="124"/>
      <c r="F789" s="124"/>
      <c r="G789" s="124"/>
      <c r="H789" s="124"/>
      <c r="I789" s="124"/>
      <c r="J789" s="124"/>
      <c r="K789" s="124"/>
      <c r="L789" s="124"/>
      <c r="M789" s="124"/>
      <c r="N789" s="124"/>
      <c r="O789" s="124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</row>
    <row x14ac:dyDescent="0.25" r="790" customHeight="1" ht="15.75">
      <c r="A790" s="123"/>
      <c r="B790" s="123"/>
      <c r="C790" s="124"/>
      <c r="D790" s="124"/>
      <c r="E790" s="124"/>
      <c r="F790" s="124"/>
      <c r="G790" s="124"/>
      <c r="H790" s="124"/>
      <c r="I790" s="124"/>
      <c r="J790" s="124"/>
      <c r="K790" s="124"/>
      <c r="L790" s="124"/>
      <c r="M790" s="124"/>
      <c r="N790" s="124"/>
      <c r="O790" s="124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</row>
    <row x14ac:dyDescent="0.25" r="791" customHeight="1" ht="15.75">
      <c r="A791" s="123"/>
      <c r="B791" s="123"/>
      <c r="C791" s="124"/>
      <c r="D791" s="124"/>
      <c r="E791" s="124"/>
      <c r="F791" s="124"/>
      <c r="G791" s="124"/>
      <c r="H791" s="124"/>
      <c r="I791" s="124"/>
      <c r="J791" s="124"/>
      <c r="K791" s="124"/>
      <c r="L791" s="124"/>
      <c r="M791" s="124"/>
      <c r="N791" s="124"/>
      <c r="O791" s="124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</row>
    <row x14ac:dyDescent="0.25" r="792" customHeight="1" ht="15.75">
      <c r="A792" s="123"/>
      <c r="B792" s="123"/>
      <c r="C792" s="124"/>
      <c r="D792" s="124"/>
      <c r="E792" s="124"/>
      <c r="F792" s="124"/>
      <c r="G792" s="124"/>
      <c r="H792" s="124"/>
      <c r="I792" s="124"/>
      <c r="J792" s="124"/>
      <c r="K792" s="124"/>
      <c r="L792" s="124"/>
      <c r="M792" s="124"/>
      <c r="N792" s="124"/>
      <c r="O792" s="124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</row>
    <row x14ac:dyDescent="0.25" r="793" customHeight="1" ht="15.75">
      <c r="A793" s="123"/>
      <c r="B793" s="123"/>
      <c r="C793" s="124"/>
      <c r="D793" s="124"/>
      <c r="E793" s="124"/>
      <c r="F793" s="124"/>
      <c r="G793" s="124"/>
      <c r="H793" s="124"/>
      <c r="I793" s="124"/>
      <c r="J793" s="124"/>
      <c r="K793" s="124"/>
      <c r="L793" s="124"/>
      <c r="M793" s="124"/>
      <c r="N793" s="124"/>
      <c r="O793" s="124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</row>
    <row x14ac:dyDescent="0.25" r="794" customHeight="1" ht="15.75">
      <c r="A794" s="123"/>
      <c r="B794" s="123"/>
      <c r="C794" s="124"/>
      <c r="D794" s="124"/>
      <c r="E794" s="124"/>
      <c r="F794" s="124"/>
      <c r="G794" s="124"/>
      <c r="H794" s="124"/>
      <c r="I794" s="124"/>
      <c r="J794" s="124"/>
      <c r="K794" s="124"/>
      <c r="L794" s="124"/>
      <c r="M794" s="124"/>
      <c r="N794" s="124"/>
      <c r="O794" s="124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</row>
    <row x14ac:dyDescent="0.25" r="795" customHeight="1" ht="15.75">
      <c r="A795" s="123"/>
      <c r="B795" s="123"/>
      <c r="C795" s="124"/>
      <c r="D795" s="124"/>
      <c r="E795" s="124"/>
      <c r="F795" s="124"/>
      <c r="G795" s="124"/>
      <c r="H795" s="124"/>
      <c r="I795" s="124"/>
      <c r="J795" s="124"/>
      <c r="K795" s="124"/>
      <c r="L795" s="124"/>
      <c r="M795" s="124"/>
      <c r="N795" s="124"/>
      <c r="O795" s="124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</row>
    <row x14ac:dyDescent="0.25" r="796" customHeight="1" ht="15.75">
      <c r="A796" s="123"/>
      <c r="B796" s="123"/>
      <c r="C796" s="124"/>
      <c r="D796" s="124"/>
      <c r="E796" s="124"/>
      <c r="F796" s="124"/>
      <c r="G796" s="124"/>
      <c r="H796" s="124"/>
      <c r="I796" s="124"/>
      <c r="J796" s="124"/>
      <c r="K796" s="124"/>
      <c r="L796" s="124"/>
      <c r="M796" s="124"/>
      <c r="N796" s="124"/>
      <c r="O796" s="124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</row>
    <row x14ac:dyDescent="0.25" r="797" customHeight="1" ht="15.75">
      <c r="A797" s="123"/>
      <c r="B797" s="123"/>
      <c r="C797" s="124"/>
      <c r="D797" s="124"/>
      <c r="E797" s="124"/>
      <c r="F797" s="124"/>
      <c r="G797" s="124"/>
      <c r="H797" s="124"/>
      <c r="I797" s="124"/>
      <c r="J797" s="124"/>
      <c r="K797" s="124"/>
      <c r="L797" s="124"/>
      <c r="M797" s="124"/>
      <c r="N797" s="124"/>
      <c r="O797" s="124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</row>
    <row x14ac:dyDescent="0.25" r="798" customHeight="1" ht="15.75">
      <c r="A798" s="123"/>
      <c r="B798" s="123"/>
      <c r="C798" s="124"/>
      <c r="D798" s="124"/>
      <c r="E798" s="124"/>
      <c r="F798" s="124"/>
      <c r="G798" s="124"/>
      <c r="H798" s="124"/>
      <c r="I798" s="124"/>
      <c r="J798" s="124"/>
      <c r="K798" s="124"/>
      <c r="L798" s="124"/>
      <c r="M798" s="124"/>
      <c r="N798" s="124"/>
      <c r="O798" s="124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</row>
    <row x14ac:dyDescent="0.25" r="799" customHeight="1" ht="15.75">
      <c r="A799" s="123"/>
      <c r="B799" s="123"/>
      <c r="C799" s="124"/>
      <c r="D799" s="124"/>
      <c r="E799" s="124"/>
      <c r="F799" s="124"/>
      <c r="G799" s="124"/>
      <c r="H799" s="124"/>
      <c r="I799" s="124"/>
      <c r="J799" s="124"/>
      <c r="K799" s="124"/>
      <c r="L799" s="124"/>
      <c r="M799" s="124"/>
      <c r="N799" s="124"/>
      <c r="O799" s="124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</row>
    <row x14ac:dyDescent="0.25" r="800" customHeight="1" ht="15.75">
      <c r="A800" s="123"/>
      <c r="B800" s="123"/>
      <c r="C800" s="124"/>
      <c r="D800" s="124"/>
      <c r="E800" s="124"/>
      <c r="F800" s="124"/>
      <c r="G800" s="124"/>
      <c r="H800" s="124"/>
      <c r="I800" s="124"/>
      <c r="J800" s="124"/>
      <c r="K800" s="124"/>
      <c r="L800" s="124"/>
      <c r="M800" s="124"/>
      <c r="N800" s="124"/>
      <c r="O800" s="124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</row>
    <row x14ac:dyDescent="0.25" r="801" customHeight="1" ht="15.75">
      <c r="A801" s="123"/>
      <c r="B801" s="123"/>
      <c r="C801" s="124"/>
      <c r="D801" s="124"/>
      <c r="E801" s="124"/>
      <c r="F801" s="124"/>
      <c r="G801" s="124"/>
      <c r="H801" s="124"/>
      <c r="I801" s="124"/>
      <c r="J801" s="124"/>
      <c r="K801" s="124"/>
      <c r="L801" s="124"/>
      <c r="M801" s="124"/>
      <c r="N801" s="124"/>
      <c r="O801" s="124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</row>
    <row x14ac:dyDescent="0.25" r="802" customHeight="1" ht="15.75">
      <c r="A802" s="123"/>
      <c r="B802" s="123"/>
      <c r="C802" s="124"/>
      <c r="D802" s="124"/>
      <c r="E802" s="124"/>
      <c r="F802" s="124"/>
      <c r="G802" s="124"/>
      <c r="H802" s="124"/>
      <c r="I802" s="124"/>
      <c r="J802" s="124"/>
      <c r="K802" s="124"/>
      <c r="L802" s="124"/>
      <c r="M802" s="124"/>
      <c r="N802" s="124"/>
      <c r="O802" s="124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</row>
    <row x14ac:dyDescent="0.25" r="803" customHeight="1" ht="15.75">
      <c r="A803" s="123"/>
      <c r="B803" s="123"/>
      <c r="C803" s="124"/>
      <c r="D803" s="124"/>
      <c r="E803" s="124"/>
      <c r="F803" s="124"/>
      <c r="G803" s="124"/>
      <c r="H803" s="124"/>
      <c r="I803" s="124"/>
      <c r="J803" s="124"/>
      <c r="K803" s="124"/>
      <c r="L803" s="124"/>
      <c r="M803" s="124"/>
      <c r="N803" s="124"/>
      <c r="O803" s="124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</row>
    <row x14ac:dyDescent="0.25" r="804" customHeight="1" ht="15.75">
      <c r="A804" s="123"/>
      <c r="B804" s="123"/>
      <c r="C804" s="124"/>
      <c r="D804" s="124"/>
      <c r="E804" s="124"/>
      <c r="F804" s="124"/>
      <c r="G804" s="124"/>
      <c r="H804" s="124"/>
      <c r="I804" s="124"/>
      <c r="J804" s="124"/>
      <c r="K804" s="124"/>
      <c r="L804" s="124"/>
      <c r="M804" s="124"/>
      <c r="N804" s="124"/>
      <c r="O804" s="124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</row>
    <row x14ac:dyDescent="0.25" r="805" customHeight="1" ht="15.75">
      <c r="A805" s="123"/>
      <c r="B805" s="123"/>
      <c r="C805" s="124"/>
      <c r="D805" s="124"/>
      <c r="E805" s="124"/>
      <c r="F805" s="124"/>
      <c r="G805" s="124"/>
      <c r="H805" s="124"/>
      <c r="I805" s="124"/>
      <c r="J805" s="124"/>
      <c r="K805" s="124"/>
      <c r="L805" s="124"/>
      <c r="M805" s="124"/>
      <c r="N805" s="124"/>
      <c r="O805" s="124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</row>
    <row x14ac:dyDescent="0.25" r="806" customHeight="1" ht="15.75">
      <c r="A806" s="123"/>
      <c r="B806" s="123"/>
      <c r="C806" s="124"/>
      <c r="D806" s="124"/>
      <c r="E806" s="124"/>
      <c r="F806" s="124"/>
      <c r="G806" s="124"/>
      <c r="H806" s="124"/>
      <c r="I806" s="124"/>
      <c r="J806" s="124"/>
      <c r="K806" s="124"/>
      <c r="L806" s="124"/>
      <c r="M806" s="124"/>
      <c r="N806" s="124"/>
      <c r="O806" s="124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</row>
    <row x14ac:dyDescent="0.25" r="807" customHeight="1" ht="15.75">
      <c r="A807" s="123"/>
      <c r="B807" s="123"/>
      <c r="C807" s="124"/>
      <c r="D807" s="124"/>
      <c r="E807" s="124"/>
      <c r="F807" s="124"/>
      <c r="G807" s="124"/>
      <c r="H807" s="124"/>
      <c r="I807" s="124"/>
      <c r="J807" s="124"/>
      <c r="K807" s="124"/>
      <c r="L807" s="124"/>
      <c r="M807" s="124"/>
      <c r="N807" s="124"/>
      <c r="O807" s="124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</row>
    <row x14ac:dyDescent="0.25" r="808" customHeight="1" ht="15.75">
      <c r="A808" s="123"/>
      <c r="B808" s="123"/>
      <c r="C808" s="124"/>
      <c r="D808" s="124"/>
      <c r="E808" s="124"/>
      <c r="F808" s="124"/>
      <c r="G808" s="124"/>
      <c r="H808" s="124"/>
      <c r="I808" s="124"/>
      <c r="J808" s="124"/>
      <c r="K808" s="124"/>
      <c r="L808" s="124"/>
      <c r="M808" s="124"/>
      <c r="N808" s="124"/>
      <c r="O808" s="124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</row>
    <row x14ac:dyDescent="0.25" r="809" customHeight="1" ht="15.75">
      <c r="A809" s="123"/>
      <c r="B809" s="123"/>
      <c r="C809" s="124"/>
      <c r="D809" s="124"/>
      <c r="E809" s="124"/>
      <c r="F809" s="124"/>
      <c r="G809" s="124"/>
      <c r="H809" s="124"/>
      <c r="I809" s="124"/>
      <c r="J809" s="124"/>
      <c r="K809" s="124"/>
      <c r="L809" s="124"/>
      <c r="M809" s="124"/>
      <c r="N809" s="124"/>
      <c r="O809" s="124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</row>
    <row x14ac:dyDescent="0.25" r="810" customHeight="1" ht="15.75">
      <c r="A810" s="123"/>
      <c r="B810" s="123"/>
      <c r="C810" s="124"/>
      <c r="D810" s="124"/>
      <c r="E810" s="124"/>
      <c r="F810" s="124"/>
      <c r="G810" s="124"/>
      <c r="H810" s="124"/>
      <c r="I810" s="124"/>
      <c r="J810" s="124"/>
      <c r="K810" s="124"/>
      <c r="L810" s="124"/>
      <c r="M810" s="124"/>
      <c r="N810" s="124"/>
      <c r="O810" s="124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</row>
    <row x14ac:dyDescent="0.25" r="811" customHeight="1" ht="15.75">
      <c r="A811" s="123"/>
      <c r="B811" s="123"/>
      <c r="C811" s="124"/>
      <c r="D811" s="124"/>
      <c r="E811" s="124"/>
      <c r="F811" s="124"/>
      <c r="G811" s="124"/>
      <c r="H811" s="124"/>
      <c r="I811" s="124"/>
      <c r="J811" s="124"/>
      <c r="K811" s="124"/>
      <c r="L811" s="124"/>
      <c r="M811" s="124"/>
      <c r="N811" s="124"/>
      <c r="O811" s="124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</row>
    <row x14ac:dyDescent="0.25" r="812" customHeight="1" ht="15.75">
      <c r="A812" s="123"/>
      <c r="B812" s="123"/>
      <c r="C812" s="124"/>
      <c r="D812" s="124"/>
      <c r="E812" s="124"/>
      <c r="F812" s="124"/>
      <c r="G812" s="124"/>
      <c r="H812" s="124"/>
      <c r="I812" s="124"/>
      <c r="J812" s="124"/>
      <c r="K812" s="124"/>
      <c r="L812" s="124"/>
      <c r="M812" s="124"/>
      <c r="N812" s="124"/>
      <c r="O812" s="124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</row>
    <row x14ac:dyDescent="0.25" r="813" customHeight="1" ht="15.75">
      <c r="A813" s="123"/>
      <c r="B813" s="123"/>
      <c r="C813" s="124"/>
      <c r="D813" s="124"/>
      <c r="E813" s="124"/>
      <c r="F813" s="124"/>
      <c r="G813" s="124"/>
      <c r="H813" s="124"/>
      <c r="I813" s="124"/>
      <c r="J813" s="124"/>
      <c r="K813" s="124"/>
      <c r="L813" s="124"/>
      <c r="M813" s="124"/>
      <c r="N813" s="124"/>
      <c r="O813" s="124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</row>
    <row x14ac:dyDescent="0.25" r="814" customHeight="1" ht="15.75">
      <c r="A814" s="123"/>
      <c r="B814" s="123"/>
      <c r="C814" s="124"/>
      <c r="D814" s="124"/>
      <c r="E814" s="124"/>
      <c r="F814" s="124"/>
      <c r="G814" s="124"/>
      <c r="H814" s="124"/>
      <c r="I814" s="124"/>
      <c r="J814" s="124"/>
      <c r="K814" s="124"/>
      <c r="L814" s="124"/>
      <c r="M814" s="124"/>
      <c r="N814" s="124"/>
      <c r="O814" s="124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</row>
    <row x14ac:dyDescent="0.25" r="815" customHeight="1" ht="15.75">
      <c r="A815" s="123"/>
      <c r="B815" s="123"/>
      <c r="C815" s="124"/>
      <c r="D815" s="124"/>
      <c r="E815" s="124"/>
      <c r="F815" s="124"/>
      <c r="G815" s="124"/>
      <c r="H815" s="124"/>
      <c r="I815" s="124"/>
      <c r="J815" s="124"/>
      <c r="K815" s="124"/>
      <c r="L815" s="124"/>
      <c r="M815" s="124"/>
      <c r="N815" s="124"/>
      <c r="O815" s="124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</row>
    <row x14ac:dyDescent="0.25" r="816" customHeight="1" ht="15.75">
      <c r="A816" s="123"/>
      <c r="B816" s="123"/>
      <c r="C816" s="124"/>
      <c r="D816" s="124"/>
      <c r="E816" s="124"/>
      <c r="F816" s="124"/>
      <c r="G816" s="124"/>
      <c r="H816" s="124"/>
      <c r="I816" s="124"/>
      <c r="J816" s="124"/>
      <c r="K816" s="124"/>
      <c r="L816" s="124"/>
      <c r="M816" s="124"/>
      <c r="N816" s="124"/>
      <c r="O816" s="124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</row>
    <row x14ac:dyDescent="0.25" r="817" customHeight="1" ht="15.75">
      <c r="A817" s="123"/>
      <c r="B817" s="123"/>
      <c r="C817" s="124"/>
      <c r="D817" s="124"/>
      <c r="E817" s="124"/>
      <c r="F817" s="124"/>
      <c r="G817" s="124"/>
      <c r="H817" s="124"/>
      <c r="I817" s="124"/>
      <c r="J817" s="124"/>
      <c r="K817" s="124"/>
      <c r="L817" s="124"/>
      <c r="M817" s="124"/>
      <c r="N817" s="124"/>
      <c r="O817" s="124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</row>
    <row x14ac:dyDescent="0.25" r="818" customHeight="1" ht="15.75">
      <c r="A818" s="123"/>
      <c r="B818" s="123"/>
      <c r="C818" s="124"/>
      <c r="D818" s="124"/>
      <c r="E818" s="124"/>
      <c r="F818" s="124"/>
      <c r="G818" s="124"/>
      <c r="H818" s="124"/>
      <c r="I818" s="124"/>
      <c r="J818" s="124"/>
      <c r="K818" s="124"/>
      <c r="L818" s="124"/>
      <c r="M818" s="124"/>
      <c r="N818" s="124"/>
      <c r="O818" s="124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</row>
    <row x14ac:dyDescent="0.25" r="819" customHeight="1" ht="15.75">
      <c r="A819" s="123"/>
      <c r="B819" s="123"/>
      <c r="C819" s="124"/>
      <c r="D819" s="124"/>
      <c r="E819" s="124"/>
      <c r="F819" s="124"/>
      <c r="G819" s="124"/>
      <c r="H819" s="124"/>
      <c r="I819" s="124"/>
      <c r="J819" s="124"/>
      <c r="K819" s="124"/>
      <c r="L819" s="124"/>
      <c r="M819" s="124"/>
      <c r="N819" s="124"/>
      <c r="O819" s="124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</row>
    <row x14ac:dyDescent="0.25" r="820" customHeight="1" ht="15.75">
      <c r="A820" s="123"/>
      <c r="B820" s="123"/>
      <c r="C820" s="124"/>
      <c r="D820" s="124"/>
      <c r="E820" s="124"/>
      <c r="F820" s="124"/>
      <c r="G820" s="124"/>
      <c r="H820" s="124"/>
      <c r="I820" s="124"/>
      <c r="J820" s="124"/>
      <c r="K820" s="124"/>
      <c r="L820" s="124"/>
      <c r="M820" s="124"/>
      <c r="N820" s="124"/>
      <c r="O820" s="124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</row>
    <row x14ac:dyDescent="0.25" r="821" customHeight="1" ht="15.75">
      <c r="A821" s="123"/>
      <c r="B821" s="123"/>
      <c r="C821" s="124"/>
      <c r="D821" s="124"/>
      <c r="E821" s="124"/>
      <c r="F821" s="124"/>
      <c r="G821" s="124"/>
      <c r="H821" s="124"/>
      <c r="I821" s="124"/>
      <c r="J821" s="124"/>
      <c r="K821" s="124"/>
      <c r="L821" s="124"/>
      <c r="M821" s="124"/>
      <c r="N821" s="124"/>
      <c r="O821" s="124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</row>
    <row x14ac:dyDescent="0.25" r="822" customHeight="1" ht="15.75">
      <c r="A822" s="123"/>
      <c r="B822" s="123"/>
      <c r="C822" s="124"/>
      <c r="D822" s="124"/>
      <c r="E822" s="124"/>
      <c r="F822" s="124"/>
      <c r="G822" s="124"/>
      <c r="H822" s="124"/>
      <c r="I822" s="124"/>
      <c r="J822" s="124"/>
      <c r="K822" s="124"/>
      <c r="L822" s="124"/>
      <c r="M822" s="124"/>
      <c r="N822" s="124"/>
      <c r="O822" s="124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</row>
    <row x14ac:dyDescent="0.25" r="823" customHeight="1" ht="15.75">
      <c r="A823" s="123"/>
      <c r="B823" s="123"/>
      <c r="C823" s="124"/>
      <c r="D823" s="124"/>
      <c r="E823" s="124"/>
      <c r="F823" s="124"/>
      <c r="G823" s="124"/>
      <c r="H823" s="124"/>
      <c r="I823" s="124"/>
      <c r="J823" s="124"/>
      <c r="K823" s="124"/>
      <c r="L823" s="124"/>
      <c r="M823" s="124"/>
      <c r="N823" s="124"/>
      <c r="O823" s="124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</row>
    <row x14ac:dyDescent="0.25" r="824" customHeight="1" ht="15.75">
      <c r="A824" s="123"/>
      <c r="B824" s="123"/>
      <c r="C824" s="124"/>
      <c r="D824" s="124"/>
      <c r="E824" s="124"/>
      <c r="F824" s="124"/>
      <c r="G824" s="124"/>
      <c r="H824" s="124"/>
      <c r="I824" s="124"/>
      <c r="J824" s="124"/>
      <c r="K824" s="124"/>
      <c r="L824" s="124"/>
      <c r="M824" s="124"/>
      <c r="N824" s="124"/>
      <c r="O824" s="124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</row>
    <row x14ac:dyDescent="0.25" r="825" customHeight="1" ht="15.75">
      <c r="A825" s="123"/>
      <c r="B825" s="123"/>
      <c r="C825" s="124"/>
      <c r="D825" s="124"/>
      <c r="E825" s="124"/>
      <c r="F825" s="124"/>
      <c r="G825" s="124"/>
      <c r="H825" s="124"/>
      <c r="I825" s="124"/>
      <c r="J825" s="124"/>
      <c r="K825" s="124"/>
      <c r="L825" s="124"/>
      <c r="M825" s="124"/>
      <c r="N825" s="124"/>
      <c r="O825" s="124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</row>
    <row x14ac:dyDescent="0.25" r="826" customHeight="1" ht="15.75">
      <c r="A826" s="123"/>
      <c r="B826" s="123"/>
      <c r="C826" s="124"/>
      <c r="D826" s="124"/>
      <c r="E826" s="124"/>
      <c r="F826" s="124"/>
      <c r="G826" s="124"/>
      <c r="H826" s="124"/>
      <c r="I826" s="124"/>
      <c r="J826" s="124"/>
      <c r="K826" s="124"/>
      <c r="L826" s="124"/>
      <c r="M826" s="124"/>
      <c r="N826" s="124"/>
      <c r="O826" s="124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</row>
    <row x14ac:dyDescent="0.25" r="827" customHeight="1" ht="15.75">
      <c r="A827" s="123"/>
      <c r="B827" s="123"/>
      <c r="C827" s="124"/>
      <c r="D827" s="124"/>
      <c r="E827" s="124"/>
      <c r="F827" s="124"/>
      <c r="G827" s="124"/>
      <c r="H827" s="124"/>
      <c r="I827" s="124"/>
      <c r="J827" s="124"/>
      <c r="K827" s="124"/>
      <c r="L827" s="124"/>
      <c r="M827" s="124"/>
      <c r="N827" s="124"/>
      <c r="O827" s="124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</row>
    <row x14ac:dyDescent="0.25" r="828" customHeight="1" ht="15.75">
      <c r="A828" s="123"/>
      <c r="B828" s="123"/>
      <c r="C828" s="124"/>
      <c r="D828" s="124"/>
      <c r="E828" s="124"/>
      <c r="F828" s="124"/>
      <c r="G828" s="124"/>
      <c r="H828" s="124"/>
      <c r="I828" s="124"/>
      <c r="J828" s="124"/>
      <c r="K828" s="124"/>
      <c r="L828" s="124"/>
      <c r="M828" s="124"/>
      <c r="N828" s="124"/>
      <c r="O828" s="124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</row>
    <row x14ac:dyDescent="0.25" r="829" customHeight="1" ht="15.75">
      <c r="A829" s="123"/>
      <c r="B829" s="123"/>
      <c r="C829" s="124"/>
      <c r="D829" s="124"/>
      <c r="E829" s="124"/>
      <c r="F829" s="124"/>
      <c r="G829" s="124"/>
      <c r="H829" s="124"/>
      <c r="I829" s="124"/>
      <c r="J829" s="124"/>
      <c r="K829" s="124"/>
      <c r="L829" s="124"/>
      <c r="M829" s="124"/>
      <c r="N829" s="124"/>
      <c r="O829" s="124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</row>
    <row x14ac:dyDescent="0.25" r="830" customHeight="1" ht="15.75">
      <c r="A830" s="123"/>
      <c r="B830" s="123"/>
      <c r="C830" s="124"/>
      <c r="D830" s="124"/>
      <c r="E830" s="124"/>
      <c r="F830" s="124"/>
      <c r="G830" s="124"/>
      <c r="H830" s="124"/>
      <c r="I830" s="124"/>
      <c r="J830" s="124"/>
      <c r="K830" s="124"/>
      <c r="L830" s="124"/>
      <c r="M830" s="124"/>
      <c r="N830" s="124"/>
      <c r="O830" s="124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</row>
    <row x14ac:dyDescent="0.25" r="831" customHeight="1" ht="15.75">
      <c r="A831" s="123"/>
      <c r="B831" s="123"/>
      <c r="C831" s="124"/>
      <c r="D831" s="124"/>
      <c r="E831" s="124"/>
      <c r="F831" s="124"/>
      <c r="G831" s="124"/>
      <c r="H831" s="124"/>
      <c r="I831" s="124"/>
      <c r="J831" s="124"/>
      <c r="K831" s="124"/>
      <c r="L831" s="124"/>
      <c r="M831" s="124"/>
      <c r="N831" s="124"/>
      <c r="O831" s="124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</row>
    <row x14ac:dyDescent="0.25" r="832" customHeight="1" ht="15.75">
      <c r="A832" s="123"/>
      <c r="B832" s="123"/>
      <c r="C832" s="124"/>
      <c r="D832" s="124"/>
      <c r="E832" s="124"/>
      <c r="F832" s="124"/>
      <c r="G832" s="124"/>
      <c r="H832" s="124"/>
      <c r="I832" s="124"/>
      <c r="J832" s="124"/>
      <c r="K832" s="124"/>
      <c r="L832" s="124"/>
      <c r="M832" s="124"/>
      <c r="N832" s="124"/>
      <c r="O832" s="124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</row>
    <row x14ac:dyDescent="0.25" r="833" customHeight="1" ht="15.75">
      <c r="A833" s="123"/>
      <c r="B833" s="123"/>
      <c r="C833" s="124"/>
      <c r="D833" s="124"/>
      <c r="E833" s="124"/>
      <c r="F833" s="124"/>
      <c r="G833" s="124"/>
      <c r="H833" s="124"/>
      <c r="I833" s="124"/>
      <c r="J833" s="124"/>
      <c r="K833" s="124"/>
      <c r="L833" s="124"/>
      <c r="M833" s="124"/>
      <c r="N833" s="124"/>
      <c r="O833" s="124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</row>
    <row x14ac:dyDescent="0.25" r="834" customHeight="1" ht="15.75">
      <c r="A834" s="123"/>
      <c r="B834" s="123"/>
      <c r="C834" s="124"/>
      <c r="D834" s="124"/>
      <c r="E834" s="124"/>
      <c r="F834" s="124"/>
      <c r="G834" s="124"/>
      <c r="H834" s="124"/>
      <c r="I834" s="124"/>
      <c r="J834" s="124"/>
      <c r="K834" s="124"/>
      <c r="L834" s="124"/>
      <c r="M834" s="124"/>
      <c r="N834" s="124"/>
      <c r="O834" s="124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</row>
    <row x14ac:dyDescent="0.25" r="835" customHeight="1" ht="15.75">
      <c r="A835" s="123"/>
      <c r="B835" s="123"/>
      <c r="C835" s="124"/>
      <c r="D835" s="124"/>
      <c r="E835" s="124"/>
      <c r="F835" s="124"/>
      <c r="G835" s="124"/>
      <c r="H835" s="124"/>
      <c r="I835" s="124"/>
      <c r="J835" s="124"/>
      <c r="K835" s="124"/>
      <c r="L835" s="124"/>
      <c r="M835" s="124"/>
      <c r="N835" s="124"/>
      <c r="O835" s="124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</row>
    <row x14ac:dyDescent="0.25" r="836" customHeight="1" ht="15.75">
      <c r="A836" s="123"/>
      <c r="B836" s="123"/>
      <c r="C836" s="124"/>
      <c r="D836" s="124"/>
      <c r="E836" s="124"/>
      <c r="F836" s="124"/>
      <c r="G836" s="124"/>
      <c r="H836" s="124"/>
      <c r="I836" s="124"/>
      <c r="J836" s="124"/>
      <c r="K836" s="124"/>
      <c r="L836" s="124"/>
      <c r="M836" s="124"/>
      <c r="N836" s="124"/>
      <c r="O836" s="124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</row>
    <row x14ac:dyDescent="0.25" r="837" customHeight="1" ht="15.75">
      <c r="A837" s="123"/>
      <c r="B837" s="123"/>
      <c r="C837" s="124"/>
      <c r="D837" s="124"/>
      <c r="E837" s="124"/>
      <c r="F837" s="124"/>
      <c r="G837" s="124"/>
      <c r="H837" s="124"/>
      <c r="I837" s="124"/>
      <c r="J837" s="124"/>
      <c r="K837" s="124"/>
      <c r="L837" s="124"/>
      <c r="M837" s="124"/>
      <c r="N837" s="124"/>
      <c r="O837" s="124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</row>
    <row x14ac:dyDescent="0.25" r="838" customHeight="1" ht="15.75">
      <c r="A838" s="123"/>
      <c r="B838" s="123"/>
      <c r="C838" s="124"/>
      <c r="D838" s="124"/>
      <c r="E838" s="124"/>
      <c r="F838" s="124"/>
      <c r="G838" s="124"/>
      <c r="H838" s="124"/>
      <c r="I838" s="124"/>
      <c r="J838" s="124"/>
      <c r="K838" s="124"/>
      <c r="L838" s="124"/>
      <c r="M838" s="124"/>
      <c r="N838" s="124"/>
      <c r="O838" s="124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</row>
    <row x14ac:dyDescent="0.25" r="839" customHeight="1" ht="15.75">
      <c r="A839" s="123"/>
      <c r="B839" s="123"/>
      <c r="C839" s="124"/>
      <c r="D839" s="124"/>
      <c r="E839" s="124"/>
      <c r="F839" s="124"/>
      <c r="G839" s="124"/>
      <c r="H839" s="124"/>
      <c r="I839" s="124"/>
      <c r="J839" s="124"/>
      <c r="K839" s="124"/>
      <c r="L839" s="124"/>
      <c r="M839" s="124"/>
      <c r="N839" s="124"/>
      <c r="O839" s="124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</row>
    <row x14ac:dyDescent="0.25" r="840" customHeight="1" ht="15.75">
      <c r="A840" s="123"/>
      <c r="B840" s="123"/>
      <c r="C840" s="124"/>
      <c r="D840" s="124"/>
      <c r="E840" s="124"/>
      <c r="F840" s="124"/>
      <c r="G840" s="124"/>
      <c r="H840" s="124"/>
      <c r="I840" s="124"/>
      <c r="J840" s="124"/>
      <c r="K840" s="124"/>
      <c r="L840" s="124"/>
      <c r="M840" s="124"/>
      <c r="N840" s="124"/>
      <c r="O840" s="124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</row>
    <row x14ac:dyDescent="0.25" r="841" customHeight="1" ht="15.75">
      <c r="A841" s="123"/>
      <c r="B841" s="123"/>
      <c r="C841" s="124"/>
      <c r="D841" s="124"/>
      <c r="E841" s="124"/>
      <c r="F841" s="124"/>
      <c r="G841" s="124"/>
      <c r="H841" s="124"/>
      <c r="I841" s="124"/>
      <c r="J841" s="124"/>
      <c r="K841" s="124"/>
      <c r="L841" s="124"/>
      <c r="M841" s="124"/>
      <c r="N841" s="124"/>
      <c r="O841" s="124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</row>
    <row x14ac:dyDescent="0.25" r="842" customHeight="1" ht="15.75">
      <c r="A842" s="123"/>
      <c r="B842" s="123"/>
      <c r="C842" s="124"/>
      <c r="D842" s="124"/>
      <c r="E842" s="124"/>
      <c r="F842" s="124"/>
      <c r="G842" s="124"/>
      <c r="H842" s="124"/>
      <c r="I842" s="124"/>
      <c r="J842" s="124"/>
      <c r="K842" s="124"/>
      <c r="L842" s="124"/>
      <c r="M842" s="124"/>
      <c r="N842" s="124"/>
      <c r="O842" s="124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</row>
    <row x14ac:dyDescent="0.25" r="843" customHeight="1" ht="15.75">
      <c r="A843" s="123"/>
      <c r="B843" s="123"/>
      <c r="C843" s="124"/>
      <c r="D843" s="124"/>
      <c r="E843" s="124"/>
      <c r="F843" s="124"/>
      <c r="G843" s="124"/>
      <c r="H843" s="124"/>
      <c r="I843" s="124"/>
      <c r="J843" s="124"/>
      <c r="K843" s="124"/>
      <c r="L843" s="124"/>
      <c r="M843" s="124"/>
      <c r="N843" s="124"/>
      <c r="O843" s="124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</row>
    <row x14ac:dyDescent="0.25" r="844" customHeight="1" ht="15.75">
      <c r="A844" s="123"/>
      <c r="B844" s="123"/>
      <c r="C844" s="124"/>
      <c r="D844" s="124"/>
      <c r="E844" s="124"/>
      <c r="F844" s="124"/>
      <c r="G844" s="124"/>
      <c r="H844" s="124"/>
      <c r="I844" s="124"/>
      <c r="J844" s="124"/>
      <c r="K844" s="124"/>
      <c r="L844" s="124"/>
      <c r="M844" s="124"/>
      <c r="N844" s="124"/>
      <c r="O844" s="124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</row>
    <row x14ac:dyDescent="0.25" r="845" customHeight="1" ht="15.75">
      <c r="A845" s="123"/>
      <c r="B845" s="123"/>
      <c r="C845" s="124"/>
      <c r="D845" s="124"/>
      <c r="E845" s="124"/>
      <c r="F845" s="124"/>
      <c r="G845" s="124"/>
      <c r="H845" s="124"/>
      <c r="I845" s="124"/>
      <c r="J845" s="124"/>
      <c r="K845" s="124"/>
      <c r="L845" s="124"/>
      <c r="M845" s="124"/>
      <c r="N845" s="124"/>
      <c r="O845" s="124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</row>
    <row x14ac:dyDescent="0.25" r="846" customHeight="1" ht="15.75">
      <c r="A846" s="123"/>
      <c r="B846" s="123"/>
      <c r="C846" s="124"/>
      <c r="D846" s="124"/>
      <c r="E846" s="124"/>
      <c r="F846" s="124"/>
      <c r="G846" s="124"/>
      <c r="H846" s="124"/>
      <c r="I846" s="124"/>
      <c r="J846" s="124"/>
      <c r="K846" s="124"/>
      <c r="L846" s="124"/>
      <c r="M846" s="124"/>
      <c r="N846" s="124"/>
      <c r="O846" s="124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</row>
    <row x14ac:dyDescent="0.25" r="847" customHeight="1" ht="15.75">
      <c r="A847" s="123"/>
      <c r="B847" s="123"/>
      <c r="C847" s="124"/>
      <c r="D847" s="124"/>
      <c r="E847" s="124"/>
      <c r="F847" s="124"/>
      <c r="G847" s="124"/>
      <c r="H847" s="124"/>
      <c r="I847" s="124"/>
      <c r="J847" s="124"/>
      <c r="K847" s="124"/>
      <c r="L847" s="124"/>
      <c r="M847" s="124"/>
      <c r="N847" s="124"/>
      <c r="O847" s="124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</row>
    <row x14ac:dyDescent="0.25" r="848" customHeight="1" ht="15.75">
      <c r="A848" s="123"/>
      <c r="B848" s="123"/>
      <c r="C848" s="124"/>
      <c r="D848" s="124"/>
      <c r="E848" s="124"/>
      <c r="F848" s="124"/>
      <c r="G848" s="124"/>
      <c r="H848" s="124"/>
      <c r="I848" s="124"/>
      <c r="J848" s="124"/>
      <c r="K848" s="124"/>
      <c r="L848" s="124"/>
      <c r="M848" s="124"/>
      <c r="N848" s="124"/>
      <c r="O848" s="124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</row>
    <row x14ac:dyDescent="0.25" r="849" customHeight="1" ht="15.75">
      <c r="A849" s="123"/>
      <c r="B849" s="123"/>
      <c r="C849" s="124"/>
      <c r="D849" s="124"/>
      <c r="E849" s="124"/>
      <c r="F849" s="124"/>
      <c r="G849" s="124"/>
      <c r="H849" s="124"/>
      <c r="I849" s="124"/>
      <c r="J849" s="124"/>
      <c r="K849" s="124"/>
      <c r="L849" s="124"/>
      <c r="M849" s="124"/>
      <c r="N849" s="124"/>
      <c r="O849" s="124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</row>
    <row x14ac:dyDescent="0.25" r="850" customHeight="1" ht="15.75">
      <c r="A850" s="123"/>
      <c r="B850" s="123"/>
      <c r="C850" s="124"/>
      <c r="D850" s="124"/>
      <c r="E850" s="124"/>
      <c r="F850" s="124"/>
      <c r="G850" s="124"/>
      <c r="H850" s="124"/>
      <c r="I850" s="124"/>
      <c r="J850" s="124"/>
      <c r="K850" s="124"/>
      <c r="L850" s="124"/>
      <c r="M850" s="124"/>
      <c r="N850" s="124"/>
      <c r="O850" s="124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</row>
    <row x14ac:dyDescent="0.25" r="851" customHeight="1" ht="15.75">
      <c r="A851" s="123"/>
      <c r="B851" s="123"/>
      <c r="C851" s="124"/>
      <c r="D851" s="124"/>
      <c r="E851" s="124"/>
      <c r="F851" s="124"/>
      <c r="G851" s="124"/>
      <c r="H851" s="124"/>
      <c r="I851" s="124"/>
      <c r="J851" s="124"/>
      <c r="K851" s="124"/>
      <c r="L851" s="124"/>
      <c r="M851" s="124"/>
      <c r="N851" s="124"/>
      <c r="O851" s="124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</row>
    <row x14ac:dyDescent="0.25" r="852" customHeight="1" ht="15.75">
      <c r="A852" s="123"/>
      <c r="B852" s="123"/>
      <c r="C852" s="124"/>
      <c r="D852" s="124"/>
      <c r="E852" s="124"/>
      <c r="F852" s="124"/>
      <c r="G852" s="124"/>
      <c r="H852" s="124"/>
      <c r="I852" s="124"/>
      <c r="J852" s="124"/>
      <c r="K852" s="124"/>
      <c r="L852" s="124"/>
      <c r="M852" s="124"/>
      <c r="N852" s="124"/>
      <c r="O852" s="124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</row>
    <row x14ac:dyDescent="0.25" r="853" customHeight="1" ht="15.75">
      <c r="A853" s="123"/>
      <c r="B853" s="123"/>
      <c r="C853" s="124"/>
      <c r="D853" s="124"/>
      <c r="E853" s="124"/>
      <c r="F853" s="124"/>
      <c r="G853" s="124"/>
      <c r="H853" s="124"/>
      <c r="I853" s="124"/>
      <c r="J853" s="124"/>
      <c r="K853" s="124"/>
      <c r="L853" s="124"/>
      <c r="M853" s="124"/>
      <c r="N853" s="124"/>
      <c r="O853" s="124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</row>
    <row x14ac:dyDescent="0.25" r="854" customHeight="1" ht="15.75">
      <c r="A854" s="123"/>
      <c r="B854" s="123"/>
      <c r="C854" s="124"/>
      <c r="D854" s="124"/>
      <c r="E854" s="124"/>
      <c r="F854" s="124"/>
      <c r="G854" s="124"/>
      <c r="H854" s="124"/>
      <c r="I854" s="124"/>
      <c r="J854" s="124"/>
      <c r="K854" s="124"/>
      <c r="L854" s="124"/>
      <c r="M854" s="124"/>
      <c r="N854" s="124"/>
      <c r="O854" s="124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</row>
    <row x14ac:dyDescent="0.25" r="855" customHeight="1" ht="15.75">
      <c r="A855" s="123"/>
      <c r="B855" s="123"/>
      <c r="C855" s="124"/>
      <c r="D855" s="124"/>
      <c r="E855" s="124"/>
      <c r="F855" s="124"/>
      <c r="G855" s="124"/>
      <c r="H855" s="124"/>
      <c r="I855" s="124"/>
      <c r="J855" s="124"/>
      <c r="K855" s="124"/>
      <c r="L855" s="124"/>
      <c r="M855" s="124"/>
      <c r="N855" s="124"/>
      <c r="O855" s="124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</row>
    <row x14ac:dyDescent="0.25" r="856" customHeight="1" ht="15.75">
      <c r="A856" s="123"/>
      <c r="B856" s="123"/>
      <c r="C856" s="124"/>
      <c r="D856" s="124"/>
      <c r="E856" s="124"/>
      <c r="F856" s="124"/>
      <c r="G856" s="124"/>
      <c r="H856" s="124"/>
      <c r="I856" s="124"/>
      <c r="J856" s="124"/>
      <c r="K856" s="124"/>
      <c r="L856" s="124"/>
      <c r="M856" s="124"/>
      <c r="N856" s="124"/>
      <c r="O856" s="124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</row>
    <row x14ac:dyDescent="0.25" r="857" customHeight="1" ht="15.75">
      <c r="A857" s="123"/>
      <c r="B857" s="123"/>
      <c r="C857" s="124"/>
      <c r="D857" s="124"/>
      <c r="E857" s="124"/>
      <c r="F857" s="124"/>
      <c r="G857" s="124"/>
      <c r="H857" s="124"/>
      <c r="I857" s="124"/>
      <c r="J857" s="124"/>
      <c r="K857" s="124"/>
      <c r="L857" s="124"/>
      <c r="M857" s="124"/>
      <c r="N857" s="124"/>
      <c r="O857" s="124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</row>
    <row x14ac:dyDescent="0.25" r="858" customHeight="1" ht="15.75">
      <c r="A858" s="123"/>
      <c r="B858" s="123"/>
      <c r="C858" s="124"/>
      <c r="D858" s="124"/>
      <c r="E858" s="124"/>
      <c r="F858" s="124"/>
      <c r="G858" s="124"/>
      <c r="H858" s="124"/>
      <c r="I858" s="124"/>
      <c r="J858" s="124"/>
      <c r="K858" s="124"/>
      <c r="L858" s="124"/>
      <c r="M858" s="124"/>
      <c r="N858" s="124"/>
      <c r="O858" s="124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</row>
    <row x14ac:dyDescent="0.25" r="859" customHeight="1" ht="15.75">
      <c r="A859" s="123"/>
      <c r="B859" s="123"/>
      <c r="C859" s="124"/>
      <c r="D859" s="124"/>
      <c r="E859" s="124"/>
      <c r="F859" s="124"/>
      <c r="G859" s="124"/>
      <c r="H859" s="124"/>
      <c r="I859" s="124"/>
      <c r="J859" s="124"/>
      <c r="K859" s="124"/>
      <c r="L859" s="124"/>
      <c r="M859" s="124"/>
      <c r="N859" s="124"/>
      <c r="O859" s="124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</row>
    <row x14ac:dyDescent="0.25" r="860" customHeight="1" ht="15.75">
      <c r="A860" s="123"/>
      <c r="B860" s="123"/>
      <c r="C860" s="124"/>
      <c r="D860" s="124"/>
      <c r="E860" s="124"/>
      <c r="F860" s="124"/>
      <c r="G860" s="124"/>
      <c r="H860" s="124"/>
      <c r="I860" s="124"/>
      <c r="J860" s="124"/>
      <c r="K860" s="124"/>
      <c r="L860" s="124"/>
      <c r="M860" s="124"/>
      <c r="N860" s="124"/>
      <c r="O860" s="124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</row>
    <row x14ac:dyDescent="0.25" r="861" customHeight="1" ht="15.75">
      <c r="A861" s="123"/>
      <c r="B861" s="123"/>
      <c r="C861" s="124"/>
      <c r="D861" s="124"/>
      <c r="E861" s="124"/>
      <c r="F861" s="124"/>
      <c r="G861" s="124"/>
      <c r="H861" s="124"/>
      <c r="I861" s="124"/>
      <c r="J861" s="124"/>
      <c r="K861" s="124"/>
      <c r="L861" s="124"/>
      <c r="M861" s="124"/>
      <c r="N861" s="124"/>
      <c r="O861" s="124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</row>
    <row x14ac:dyDescent="0.25" r="862" customHeight="1" ht="15.75">
      <c r="A862" s="123"/>
      <c r="B862" s="123"/>
      <c r="C862" s="124"/>
      <c r="D862" s="124"/>
      <c r="E862" s="124"/>
      <c r="F862" s="124"/>
      <c r="G862" s="124"/>
      <c r="H862" s="124"/>
      <c r="I862" s="124"/>
      <c r="J862" s="124"/>
      <c r="K862" s="124"/>
      <c r="L862" s="124"/>
      <c r="M862" s="124"/>
      <c r="N862" s="124"/>
      <c r="O862" s="124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</row>
    <row x14ac:dyDescent="0.25" r="863" customHeight="1" ht="15.75">
      <c r="A863" s="123"/>
      <c r="B863" s="123"/>
      <c r="C863" s="124"/>
      <c r="D863" s="124"/>
      <c r="E863" s="124"/>
      <c r="F863" s="124"/>
      <c r="G863" s="124"/>
      <c r="H863" s="124"/>
      <c r="I863" s="124"/>
      <c r="J863" s="124"/>
      <c r="K863" s="124"/>
      <c r="L863" s="124"/>
      <c r="M863" s="124"/>
      <c r="N863" s="124"/>
      <c r="O863" s="124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</row>
    <row x14ac:dyDescent="0.25" r="864" customHeight="1" ht="15.75">
      <c r="A864" s="123"/>
      <c r="B864" s="123"/>
      <c r="C864" s="124"/>
      <c r="D864" s="124"/>
      <c r="E864" s="124"/>
      <c r="F864" s="124"/>
      <c r="G864" s="124"/>
      <c r="H864" s="124"/>
      <c r="I864" s="124"/>
      <c r="J864" s="124"/>
      <c r="K864" s="124"/>
      <c r="L864" s="124"/>
      <c r="M864" s="124"/>
      <c r="N864" s="124"/>
      <c r="O864" s="124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</row>
    <row x14ac:dyDescent="0.25" r="865" customHeight="1" ht="15.75">
      <c r="A865" s="123"/>
      <c r="B865" s="123"/>
      <c r="C865" s="124"/>
      <c r="D865" s="124"/>
      <c r="E865" s="124"/>
      <c r="F865" s="124"/>
      <c r="G865" s="124"/>
      <c r="H865" s="124"/>
      <c r="I865" s="124"/>
      <c r="J865" s="124"/>
      <c r="K865" s="124"/>
      <c r="L865" s="124"/>
      <c r="M865" s="124"/>
      <c r="N865" s="124"/>
      <c r="O865" s="124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</row>
    <row x14ac:dyDescent="0.25" r="866" customHeight="1" ht="15.75">
      <c r="A866" s="123"/>
      <c r="B866" s="123"/>
      <c r="C866" s="124"/>
      <c r="D866" s="124"/>
      <c r="E866" s="124"/>
      <c r="F866" s="124"/>
      <c r="G866" s="124"/>
      <c r="H866" s="124"/>
      <c r="I866" s="124"/>
      <c r="J866" s="124"/>
      <c r="K866" s="124"/>
      <c r="L866" s="124"/>
      <c r="M866" s="124"/>
      <c r="N866" s="124"/>
      <c r="O866" s="124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</row>
    <row x14ac:dyDescent="0.25" r="867" customHeight="1" ht="15.75">
      <c r="A867" s="123"/>
      <c r="B867" s="123"/>
      <c r="C867" s="124"/>
      <c r="D867" s="124"/>
      <c r="E867" s="124"/>
      <c r="F867" s="124"/>
      <c r="G867" s="124"/>
      <c r="H867" s="124"/>
      <c r="I867" s="124"/>
      <c r="J867" s="124"/>
      <c r="K867" s="124"/>
      <c r="L867" s="124"/>
      <c r="M867" s="124"/>
      <c r="N867" s="124"/>
      <c r="O867" s="124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</row>
    <row x14ac:dyDescent="0.25" r="868" customHeight="1" ht="15.75">
      <c r="A868" s="123"/>
      <c r="B868" s="123"/>
      <c r="C868" s="124"/>
      <c r="D868" s="124"/>
      <c r="E868" s="124"/>
      <c r="F868" s="124"/>
      <c r="G868" s="124"/>
      <c r="H868" s="124"/>
      <c r="I868" s="124"/>
      <c r="J868" s="124"/>
      <c r="K868" s="124"/>
      <c r="L868" s="124"/>
      <c r="M868" s="124"/>
      <c r="N868" s="124"/>
      <c r="O868" s="124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</row>
    <row x14ac:dyDescent="0.25" r="869" customHeight="1" ht="15.75">
      <c r="A869" s="123"/>
      <c r="B869" s="123"/>
      <c r="C869" s="124"/>
      <c r="D869" s="124"/>
      <c r="E869" s="124"/>
      <c r="F869" s="124"/>
      <c r="G869" s="124"/>
      <c r="H869" s="124"/>
      <c r="I869" s="124"/>
      <c r="J869" s="124"/>
      <c r="K869" s="124"/>
      <c r="L869" s="124"/>
      <c r="M869" s="124"/>
      <c r="N869" s="124"/>
      <c r="O869" s="124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</row>
    <row x14ac:dyDescent="0.25" r="870" customHeight="1" ht="15.75">
      <c r="A870" s="123"/>
      <c r="B870" s="123"/>
      <c r="C870" s="124"/>
      <c r="D870" s="124"/>
      <c r="E870" s="124"/>
      <c r="F870" s="124"/>
      <c r="G870" s="124"/>
      <c r="H870" s="124"/>
      <c r="I870" s="124"/>
      <c r="J870" s="124"/>
      <c r="K870" s="124"/>
      <c r="L870" s="124"/>
      <c r="M870" s="124"/>
      <c r="N870" s="124"/>
      <c r="O870" s="124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</row>
    <row x14ac:dyDescent="0.25" r="871" customHeight="1" ht="15.75">
      <c r="A871" s="123"/>
      <c r="B871" s="123"/>
      <c r="C871" s="124"/>
      <c r="D871" s="124"/>
      <c r="E871" s="124"/>
      <c r="F871" s="124"/>
      <c r="G871" s="124"/>
      <c r="H871" s="124"/>
      <c r="I871" s="124"/>
      <c r="J871" s="124"/>
      <c r="K871" s="124"/>
      <c r="L871" s="124"/>
      <c r="M871" s="124"/>
      <c r="N871" s="124"/>
      <c r="O871" s="124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</row>
    <row x14ac:dyDescent="0.25" r="872" customHeight="1" ht="15.75">
      <c r="A872" s="123"/>
      <c r="B872" s="123"/>
      <c r="C872" s="124"/>
      <c r="D872" s="124"/>
      <c r="E872" s="124"/>
      <c r="F872" s="124"/>
      <c r="G872" s="124"/>
      <c r="H872" s="124"/>
      <c r="I872" s="124"/>
      <c r="J872" s="124"/>
      <c r="K872" s="124"/>
      <c r="L872" s="124"/>
      <c r="M872" s="124"/>
      <c r="N872" s="124"/>
      <c r="O872" s="124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</row>
    <row x14ac:dyDescent="0.25" r="873" customHeight="1" ht="15.75">
      <c r="A873" s="123"/>
      <c r="B873" s="123"/>
      <c r="C873" s="124"/>
      <c r="D873" s="124"/>
      <c r="E873" s="124"/>
      <c r="F873" s="124"/>
      <c r="G873" s="124"/>
      <c r="H873" s="124"/>
      <c r="I873" s="124"/>
      <c r="J873" s="124"/>
      <c r="K873" s="124"/>
      <c r="L873" s="124"/>
      <c r="M873" s="124"/>
      <c r="N873" s="124"/>
      <c r="O873" s="124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</row>
    <row x14ac:dyDescent="0.25" r="874" customHeight="1" ht="15.75">
      <c r="A874" s="123"/>
      <c r="B874" s="123"/>
      <c r="C874" s="124"/>
      <c r="D874" s="124"/>
      <c r="E874" s="124"/>
      <c r="F874" s="124"/>
      <c r="G874" s="124"/>
      <c r="H874" s="124"/>
      <c r="I874" s="124"/>
      <c r="J874" s="124"/>
      <c r="K874" s="124"/>
      <c r="L874" s="124"/>
      <c r="M874" s="124"/>
      <c r="N874" s="124"/>
      <c r="O874" s="124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</row>
    <row x14ac:dyDescent="0.25" r="875" customHeight="1" ht="15.75">
      <c r="A875" s="123"/>
      <c r="B875" s="123"/>
      <c r="C875" s="124"/>
      <c r="D875" s="124"/>
      <c r="E875" s="124"/>
      <c r="F875" s="124"/>
      <c r="G875" s="124"/>
      <c r="H875" s="124"/>
      <c r="I875" s="124"/>
      <c r="J875" s="124"/>
      <c r="K875" s="124"/>
      <c r="L875" s="124"/>
      <c r="M875" s="124"/>
      <c r="N875" s="124"/>
      <c r="O875" s="124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</row>
    <row x14ac:dyDescent="0.25" r="876" customHeight="1" ht="15.75">
      <c r="A876" s="123"/>
      <c r="B876" s="123"/>
      <c r="C876" s="124"/>
      <c r="D876" s="124"/>
      <c r="E876" s="124"/>
      <c r="F876" s="124"/>
      <c r="G876" s="124"/>
      <c r="H876" s="124"/>
      <c r="I876" s="124"/>
      <c r="J876" s="124"/>
      <c r="K876" s="124"/>
      <c r="L876" s="124"/>
      <c r="M876" s="124"/>
      <c r="N876" s="124"/>
      <c r="O876" s="124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</row>
    <row x14ac:dyDescent="0.25" r="877" customHeight="1" ht="15.75">
      <c r="A877" s="123"/>
      <c r="B877" s="123"/>
      <c r="C877" s="124"/>
      <c r="D877" s="124"/>
      <c r="E877" s="124"/>
      <c r="F877" s="124"/>
      <c r="G877" s="124"/>
      <c r="H877" s="124"/>
      <c r="I877" s="124"/>
      <c r="J877" s="124"/>
      <c r="K877" s="124"/>
      <c r="L877" s="124"/>
      <c r="M877" s="124"/>
      <c r="N877" s="124"/>
      <c r="O877" s="124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</row>
    <row x14ac:dyDescent="0.25" r="878" customHeight="1" ht="15.75">
      <c r="A878" s="123"/>
      <c r="B878" s="123"/>
      <c r="C878" s="124"/>
      <c r="D878" s="124"/>
      <c r="E878" s="124"/>
      <c r="F878" s="124"/>
      <c r="G878" s="124"/>
      <c r="H878" s="124"/>
      <c r="I878" s="124"/>
      <c r="J878" s="124"/>
      <c r="K878" s="124"/>
      <c r="L878" s="124"/>
      <c r="M878" s="124"/>
      <c r="N878" s="124"/>
      <c r="O878" s="124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</row>
    <row x14ac:dyDescent="0.25" r="879" customHeight="1" ht="15.75">
      <c r="A879" s="123"/>
      <c r="B879" s="123"/>
      <c r="C879" s="124"/>
      <c r="D879" s="124"/>
      <c r="E879" s="124"/>
      <c r="F879" s="124"/>
      <c r="G879" s="124"/>
      <c r="H879" s="124"/>
      <c r="I879" s="124"/>
      <c r="J879" s="124"/>
      <c r="K879" s="124"/>
      <c r="L879" s="124"/>
      <c r="M879" s="124"/>
      <c r="N879" s="124"/>
      <c r="O879" s="124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</row>
    <row x14ac:dyDescent="0.25" r="880" customHeight="1" ht="15.75">
      <c r="A880" s="123"/>
      <c r="B880" s="123"/>
      <c r="C880" s="124"/>
      <c r="D880" s="124"/>
      <c r="E880" s="124"/>
      <c r="F880" s="124"/>
      <c r="G880" s="124"/>
      <c r="H880" s="124"/>
      <c r="I880" s="124"/>
      <c r="J880" s="124"/>
      <c r="K880" s="124"/>
      <c r="L880" s="124"/>
      <c r="M880" s="124"/>
      <c r="N880" s="124"/>
      <c r="O880" s="124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</row>
    <row x14ac:dyDescent="0.25" r="881" customHeight="1" ht="15.75">
      <c r="A881" s="123"/>
      <c r="B881" s="123"/>
      <c r="C881" s="124"/>
      <c r="D881" s="124"/>
      <c r="E881" s="124"/>
      <c r="F881" s="124"/>
      <c r="G881" s="124"/>
      <c r="H881" s="124"/>
      <c r="I881" s="124"/>
      <c r="J881" s="124"/>
      <c r="K881" s="124"/>
      <c r="L881" s="124"/>
      <c r="M881" s="124"/>
      <c r="N881" s="124"/>
      <c r="O881" s="124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</row>
    <row x14ac:dyDescent="0.25" r="882" customHeight="1" ht="15.75">
      <c r="A882" s="123"/>
      <c r="B882" s="123"/>
      <c r="C882" s="124"/>
      <c r="D882" s="124"/>
      <c r="E882" s="124"/>
      <c r="F882" s="124"/>
      <c r="G882" s="124"/>
      <c r="H882" s="124"/>
      <c r="I882" s="124"/>
      <c r="J882" s="124"/>
      <c r="K882" s="124"/>
      <c r="L882" s="124"/>
      <c r="M882" s="124"/>
      <c r="N882" s="124"/>
      <c r="O882" s="124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</row>
    <row x14ac:dyDescent="0.25" r="883" customHeight="1" ht="15.75">
      <c r="A883" s="123"/>
      <c r="B883" s="123"/>
      <c r="C883" s="124"/>
      <c r="D883" s="124"/>
      <c r="E883" s="124"/>
      <c r="F883" s="124"/>
      <c r="G883" s="124"/>
      <c r="H883" s="124"/>
      <c r="I883" s="124"/>
      <c r="J883" s="124"/>
      <c r="K883" s="124"/>
      <c r="L883" s="124"/>
      <c r="M883" s="124"/>
      <c r="N883" s="124"/>
      <c r="O883" s="124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</row>
    <row x14ac:dyDescent="0.25" r="884" customHeight="1" ht="15.75">
      <c r="A884" s="123"/>
      <c r="B884" s="123"/>
      <c r="C884" s="124"/>
      <c r="D884" s="124"/>
      <c r="E884" s="124"/>
      <c r="F884" s="124"/>
      <c r="G884" s="124"/>
      <c r="H884" s="124"/>
      <c r="I884" s="124"/>
      <c r="J884" s="124"/>
      <c r="K884" s="124"/>
      <c r="L884" s="124"/>
      <c r="M884" s="124"/>
      <c r="N884" s="124"/>
      <c r="O884" s="124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</row>
    <row x14ac:dyDescent="0.25" r="885" customHeight="1" ht="15.75">
      <c r="A885" s="123"/>
      <c r="B885" s="123"/>
      <c r="C885" s="124"/>
      <c r="D885" s="124"/>
      <c r="E885" s="124"/>
      <c r="F885" s="124"/>
      <c r="G885" s="124"/>
      <c r="H885" s="124"/>
      <c r="I885" s="124"/>
      <c r="J885" s="124"/>
      <c r="K885" s="124"/>
      <c r="L885" s="124"/>
      <c r="M885" s="124"/>
      <c r="N885" s="124"/>
      <c r="O885" s="124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</row>
    <row x14ac:dyDescent="0.25" r="886" customHeight="1" ht="15.75">
      <c r="A886" s="123"/>
      <c r="B886" s="123"/>
      <c r="C886" s="124"/>
      <c r="D886" s="124"/>
      <c r="E886" s="124"/>
      <c r="F886" s="124"/>
      <c r="G886" s="124"/>
      <c r="H886" s="124"/>
      <c r="I886" s="124"/>
      <c r="J886" s="124"/>
      <c r="K886" s="124"/>
      <c r="L886" s="124"/>
      <c r="M886" s="124"/>
      <c r="N886" s="124"/>
      <c r="O886" s="124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</row>
    <row x14ac:dyDescent="0.25" r="887" customHeight="1" ht="15.75">
      <c r="A887" s="123"/>
      <c r="B887" s="123"/>
      <c r="C887" s="124"/>
      <c r="D887" s="124"/>
      <c r="E887" s="124"/>
      <c r="F887" s="124"/>
      <c r="G887" s="124"/>
      <c r="H887" s="124"/>
      <c r="I887" s="124"/>
      <c r="J887" s="124"/>
      <c r="K887" s="124"/>
      <c r="L887" s="124"/>
      <c r="M887" s="124"/>
      <c r="N887" s="124"/>
      <c r="O887" s="124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</row>
    <row x14ac:dyDescent="0.25" r="888" customHeight="1" ht="15.75">
      <c r="A888" s="123"/>
      <c r="B888" s="123"/>
      <c r="C888" s="124"/>
      <c r="D888" s="124"/>
      <c r="E888" s="124"/>
      <c r="F888" s="124"/>
      <c r="G888" s="124"/>
      <c r="H888" s="124"/>
      <c r="I888" s="124"/>
      <c r="J888" s="124"/>
      <c r="K888" s="124"/>
      <c r="L888" s="124"/>
      <c r="M888" s="124"/>
      <c r="N888" s="124"/>
      <c r="O888" s="124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</row>
    <row x14ac:dyDescent="0.25" r="889" customHeight="1" ht="15.75">
      <c r="A889" s="123"/>
      <c r="B889" s="123"/>
      <c r="C889" s="124"/>
      <c r="D889" s="124"/>
      <c r="E889" s="124"/>
      <c r="F889" s="124"/>
      <c r="G889" s="124"/>
      <c r="H889" s="124"/>
      <c r="I889" s="124"/>
      <c r="J889" s="124"/>
      <c r="K889" s="124"/>
      <c r="L889" s="124"/>
      <c r="M889" s="124"/>
      <c r="N889" s="124"/>
      <c r="O889" s="124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</row>
    <row x14ac:dyDescent="0.25" r="890" customHeight="1" ht="15.75">
      <c r="A890" s="123"/>
      <c r="B890" s="123"/>
      <c r="C890" s="124"/>
      <c r="D890" s="124"/>
      <c r="E890" s="124"/>
      <c r="F890" s="124"/>
      <c r="G890" s="124"/>
      <c r="H890" s="124"/>
      <c r="I890" s="124"/>
      <c r="J890" s="124"/>
      <c r="K890" s="124"/>
      <c r="L890" s="124"/>
      <c r="M890" s="124"/>
      <c r="N890" s="124"/>
      <c r="O890" s="124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</row>
    <row x14ac:dyDescent="0.25" r="891" customHeight="1" ht="15.75">
      <c r="A891" s="123"/>
      <c r="B891" s="123"/>
      <c r="C891" s="124"/>
      <c r="D891" s="124"/>
      <c r="E891" s="124"/>
      <c r="F891" s="124"/>
      <c r="G891" s="124"/>
      <c r="H891" s="124"/>
      <c r="I891" s="124"/>
      <c r="J891" s="124"/>
      <c r="K891" s="124"/>
      <c r="L891" s="124"/>
      <c r="M891" s="124"/>
      <c r="N891" s="124"/>
      <c r="O891" s="124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</row>
    <row x14ac:dyDescent="0.25" r="892" customHeight="1" ht="15.75">
      <c r="A892" s="123"/>
      <c r="B892" s="123"/>
      <c r="C892" s="124"/>
      <c r="D892" s="124"/>
      <c r="E892" s="124"/>
      <c r="F892" s="124"/>
      <c r="G892" s="124"/>
      <c r="H892" s="124"/>
      <c r="I892" s="124"/>
      <c r="J892" s="124"/>
      <c r="K892" s="124"/>
      <c r="L892" s="124"/>
      <c r="M892" s="124"/>
      <c r="N892" s="124"/>
      <c r="O892" s="124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</row>
    <row x14ac:dyDescent="0.25" r="893" customHeight="1" ht="15.75">
      <c r="A893" s="123"/>
      <c r="B893" s="123"/>
      <c r="C893" s="124"/>
      <c r="D893" s="124"/>
      <c r="E893" s="124"/>
      <c r="F893" s="124"/>
      <c r="G893" s="124"/>
      <c r="H893" s="124"/>
      <c r="I893" s="124"/>
      <c r="J893" s="124"/>
      <c r="K893" s="124"/>
      <c r="L893" s="124"/>
      <c r="M893" s="124"/>
      <c r="N893" s="124"/>
      <c r="O893" s="124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</row>
    <row x14ac:dyDescent="0.25" r="894" customHeight="1" ht="15.75">
      <c r="A894" s="123"/>
      <c r="B894" s="123"/>
      <c r="C894" s="124"/>
      <c r="D894" s="124"/>
      <c r="E894" s="124"/>
      <c r="F894" s="124"/>
      <c r="G894" s="124"/>
      <c r="H894" s="124"/>
      <c r="I894" s="124"/>
      <c r="J894" s="124"/>
      <c r="K894" s="124"/>
      <c r="L894" s="124"/>
      <c r="M894" s="124"/>
      <c r="N894" s="124"/>
      <c r="O894" s="124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</row>
    <row x14ac:dyDescent="0.25" r="895" customHeight="1" ht="15.75">
      <c r="A895" s="123"/>
      <c r="B895" s="123"/>
      <c r="C895" s="124"/>
      <c r="D895" s="124"/>
      <c r="E895" s="124"/>
      <c r="F895" s="124"/>
      <c r="G895" s="124"/>
      <c r="H895" s="124"/>
      <c r="I895" s="124"/>
      <c r="J895" s="124"/>
      <c r="K895" s="124"/>
      <c r="L895" s="124"/>
      <c r="M895" s="124"/>
      <c r="N895" s="124"/>
      <c r="O895" s="124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</row>
    <row x14ac:dyDescent="0.25" r="896" customHeight="1" ht="15.75">
      <c r="A896" s="123"/>
      <c r="B896" s="123"/>
      <c r="C896" s="124"/>
      <c r="D896" s="124"/>
      <c r="E896" s="124"/>
      <c r="F896" s="124"/>
      <c r="G896" s="124"/>
      <c r="H896" s="124"/>
      <c r="I896" s="124"/>
      <c r="J896" s="124"/>
      <c r="K896" s="124"/>
      <c r="L896" s="124"/>
      <c r="M896" s="124"/>
      <c r="N896" s="124"/>
      <c r="O896" s="124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</row>
    <row x14ac:dyDescent="0.25" r="897" customHeight="1" ht="15.75">
      <c r="A897" s="123"/>
      <c r="B897" s="123"/>
      <c r="C897" s="124"/>
      <c r="D897" s="124"/>
      <c r="E897" s="124"/>
      <c r="F897" s="124"/>
      <c r="G897" s="124"/>
      <c r="H897" s="124"/>
      <c r="I897" s="124"/>
      <c r="J897" s="124"/>
      <c r="K897" s="124"/>
      <c r="L897" s="124"/>
      <c r="M897" s="124"/>
      <c r="N897" s="124"/>
      <c r="O897" s="124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</row>
    <row x14ac:dyDescent="0.25" r="898" customHeight="1" ht="15.75">
      <c r="A898" s="123"/>
      <c r="B898" s="123"/>
      <c r="C898" s="124"/>
      <c r="D898" s="124"/>
      <c r="E898" s="124"/>
      <c r="F898" s="124"/>
      <c r="G898" s="124"/>
      <c r="H898" s="124"/>
      <c r="I898" s="124"/>
      <c r="J898" s="124"/>
      <c r="K898" s="124"/>
      <c r="L898" s="124"/>
      <c r="M898" s="124"/>
      <c r="N898" s="124"/>
      <c r="O898" s="124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</row>
    <row x14ac:dyDescent="0.25" r="899" customHeight="1" ht="15.75">
      <c r="A899" s="123"/>
      <c r="B899" s="123"/>
      <c r="C899" s="124"/>
      <c r="D899" s="124"/>
      <c r="E899" s="124"/>
      <c r="F899" s="124"/>
      <c r="G899" s="124"/>
      <c r="H899" s="124"/>
      <c r="I899" s="124"/>
      <c r="J899" s="124"/>
      <c r="K899" s="124"/>
      <c r="L899" s="124"/>
      <c r="M899" s="124"/>
      <c r="N899" s="124"/>
      <c r="O899" s="124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</row>
    <row x14ac:dyDescent="0.25" r="900" customHeight="1" ht="15.75">
      <c r="A900" s="123"/>
      <c r="B900" s="123"/>
      <c r="C900" s="124"/>
      <c r="D900" s="124"/>
      <c r="E900" s="124"/>
      <c r="F900" s="124"/>
      <c r="G900" s="124"/>
      <c r="H900" s="124"/>
      <c r="I900" s="124"/>
      <c r="J900" s="124"/>
      <c r="K900" s="124"/>
      <c r="L900" s="124"/>
      <c r="M900" s="124"/>
      <c r="N900" s="124"/>
      <c r="O900" s="124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</row>
    <row x14ac:dyDescent="0.25" r="901" customHeight="1" ht="15.75">
      <c r="A901" s="123"/>
      <c r="B901" s="123"/>
      <c r="C901" s="124"/>
      <c r="D901" s="124"/>
      <c r="E901" s="124"/>
      <c r="F901" s="124"/>
      <c r="G901" s="124"/>
      <c r="H901" s="124"/>
      <c r="I901" s="124"/>
      <c r="J901" s="124"/>
      <c r="K901" s="124"/>
      <c r="L901" s="124"/>
      <c r="M901" s="124"/>
      <c r="N901" s="124"/>
      <c r="O901" s="124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</row>
    <row x14ac:dyDescent="0.25" r="902" customHeight="1" ht="15.75">
      <c r="A902" s="123"/>
      <c r="B902" s="123"/>
      <c r="C902" s="124"/>
      <c r="D902" s="124"/>
      <c r="E902" s="124"/>
      <c r="F902" s="124"/>
      <c r="G902" s="124"/>
      <c r="H902" s="124"/>
      <c r="I902" s="124"/>
      <c r="J902" s="124"/>
      <c r="K902" s="124"/>
      <c r="L902" s="124"/>
      <c r="M902" s="124"/>
      <c r="N902" s="124"/>
      <c r="O902" s="124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</row>
    <row x14ac:dyDescent="0.25" r="903" customHeight="1" ht="15.75">
      <c r="A903" s="123"/>
      <c r="B903" s="123"/>
      <c r="C903" s="124"/>
      <c r="D903" s="124"/>
      <c r="E903" s="124"/>
      <c r="F903" s="124"/>
      <c r="G903" s="124"/>
      <c r="H903" s="124"/>
      <c r="I903" s="124"/>
      <c r="J903" s="124"/>
      <c r="K903" s="124"/>
      <c r="L903" s="124"/>
      <c r="M903" s="124"/>
      <c r="N903" s="124"/>
      <c r="O903" s="124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</row>
    <row x14ac:dyDescent="0.25" r="904" customHeight="1" ht="15.75">
      <c r="A904" s="123"/>
      <c r="B904" s="123"/>
      <c r="C904" s="124"/>
      <c r="D904" s="124"/>
      <c r="E904" s="124"/>
      <c r="F904" s="124"/>
      <c r="G904" s="124"/>
      <c r="H904" s="124"/>
      <c r="I904" s="124"/>
      <c r="J904" s="124"/>
      <c r="K904" s="124"/>
      <c r="L904" s="124"/>
      <c r="M904" s="124"/>
      <c r="N904" s="124"/>
      <c r="O904" s="124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</row>
    <row x14ac:dyDescent="0.25" r="905" customHeight="1" ht="15.75">
      <c r="A905" s="123"/>
      <c r="B905" s="123"/>
      <c r="C905" s="124"/>
      <c r="D905" s="124"/>
      <c r="E905" s="124"/>
      <c r="F905" s="124"/>
      <c r="G905" s="124"/>
      <c r="H905" s="124"/>
      <c r="I905" s="124"/>
      <c r="J905" s="124"/>
      <c r="K905" s="124"/>
      <c r="L905" s="124"/>
      <c r="M905" s="124"/>
      <c r="N905" s="124"/>
      <c r="O905" s="124"/>
      <c r="P905" s="113"/>
      <c r="Q905" s="113"/>
      <c r="R905" s="113"/>
      <c r="S905" s="113"/>
      <c r="T905" s="113"/>
      <c r="U905" s="113"/>
      <c r="V905" s="113"/>
      <c r="W905" s="113"/>
      <c r="X905" s="113"/>
      <c r="Y905" s="113"/>
      <c r="Z905" s="113"/>
    </row>
    <row x14ac:dyDescent="0.25" r="906" customHeight="1" ht="15.75">
      <c r="A906" s="123"/>
      <c r="B906" s="123"/>
      <c r="C906" s="124"/>
      <c r="D906" s="124"/>
      <c r="E906" s="124"/>
      <c r="F906" s="124"/>
      <c r="G906" s="124"/>
      <c r="H906" s="124"/>
      <c r="I906" s="124"/>
      <c r="J906" s="124"/>
      <c r="K906" s="124"/>
      <c r="L906" s="124"/>
      <c r="M906" s="124"/>
      <c r="N906" s="124"/>
      <c r="O906" s="124"/>
      <c r="P906" s="113"/>
      <c r="Q906" s="113"/>
      <c r="R906" s="113"/>
      <c r="S906" s="113"/>
      <c r="T906" s="113"/>
      <c r="U906" s="113"/>
      <c r="V906" s="113"/>
      <c r="W906" s="113"/>
      <c r="X906" s="113"/>
      <c r="Y906" s="113"/>
      <c r="Z906" s="113"/>
    </row>
    <row x14ac:dyDescent="0.25" r="907" customHeight="1" ht="15.75">
      <c r="A907" s="123"/>
      <c r="B907" s="123"/>
      <c r="C907" s="124"/>
      <c r="D907" s="124"/>
      <c r="E907" s="124"/>
      <c r="F907" s="124"/>
      <c r="G907" s="124"/>
      <c r="H907" s="124"/>
      <c r="I907" s="124"/>
      <c r="J907" s="124"/>
      <c r="K907" s="124"/>
      <c r="L907" s="124"/>
      <c r="M907" s="124"/>
      <c r="N907" s="124"/>
      <c r="O907" s="124"/>
      <c r="P907" s="113"/>
      <c r="Q907" s="113"/>
      <c r="R907" s="113"/>
      <c r="S907" s="113"/>
      <c r="T907" s="113"/>
      <c r="U907" s="113"/>
      <c r="V907" s="113"/>
      <c r="W907" s="113"/>
      <c r="X907" s="113"/>
      <c r="Y907" s="113"/>
      <c r="Z907" s="113"/>
    </row>
    <row x14ac:dyDescent="0.25" r="908" customHeight="1" ht="15.75">
      <c r="A908" s="123"/>
      <c r="B908" s="123"/>
      <c r="C908" s="124"/>
      <c r="D908" s="124"/>
      <c r="E908" s="124"/>
      <c r="F908" s="124"/>
      <c r="G908" s="124"/>
      <c r="H908" s="124"/>
      <c r="I908" s="124"/>
      <c r="J908" s="124"/>
      <c r="K908" s="124"/>
      <c r="L908" s="124"/>
      <c r="M908" s="124"/>
      <c r="N908" s="124"/>
      <c r="O908" s="124"/>
      <c r="P908" s="113"/>
      <c r="Q908" s="113"/>
      <c r="R908" s="113"/>
      <c r="S908" s="113"/>
      <c r="T908" s="113"/>
      <c r="U908" s="113"/>
      <c r="V908" s="113"/>
      <c r="W908" s="113"/>
      <c r="X908" s="113"/>
      <c r="Y908" s="113"/>
      <c r="Z908" s="113"/>
    </row>
    <row x14ac:dyDescent="0.25" r="909" customHeight="1" ht="15.75">
      <c r="A909" s="123"/>
      <c r="B909" s="123"/>
      <c r="C909" s="124"/>
      <c r="D909" s="124"/>
      <c r="E909" s="124"/>
      <c r="F909" s="124"/>
      <c r="G909" s="124"/>
      <c r="H909" s="124"/>
      <c r="I909" s="124"/>
      <c r="J909" s="124"/>
      <c r="K909" s="124"/>
      <c r="L909" s="124"/>
      <c r="M909" s="124"/>
      <c r="N909" s="124"/>
      <c r="O909" s="124"/>
      <c r="P909" s="113"/>
      <c r="Q909" s="113"/>
      <c r="R909" s="113"/>
      <c r="S909" s="113"/>
      <c r="T909" s="113"/>
      <c r="U909" s="113"/>
      <c r="V909" s="113"/>
      <c r="W909" s="113"/>
      <c r="X909" s="113"/>
      <c r="Y909" s="113"/>
      <c r="Z909" s="113"/>
    </row>
    <row x14ac:dyDescent="0.25" r="910" customHeight="1" ht="15.75">
      <c r="A910" s="123"/>
      <c r="B910" s="123"/>
      <c r="C910" s="124"/>
      <c r="D910" s="124"/>
      <c r="E910" s="124"/>
      <c r="F910" s="124"/>
      <c r="G910" s="124"/>
      <c r="H910" s="124"/>
      <c r="I910" s="124"/>
      <c r="J910" s="124"/>
      <c r="K910" s="124"/>
      <c r="L910" s="124"/>
      <c r="M910" s="124"/>
      <c r="N910" s="124"/>
      <c r="O910" s="124"/>
      <c r="P910" s="113"/>
      <c r="Q910" s="113"/>
      <c r="R910" s="113"/>
      <c r="S910" s="113"/>
      <c r="T910" s="113"/>
      <c r="U910" s="113"/>
      <c r="V910" s="113"/>
      <c r="W910" s="113"/>
      <c r="X910" s="113"/>
      <c r="Y910" s="113"/>
      <c r="Z910" s="113"/>
    </row>
    <row x14ac:dyDescent="0.25" r="911" customHeight="1" ht="15.75">
      <c r="A911" s="123"/>
      <c r="B911" s="123"/>
      <c r="C911" s="124"/>
      <c r="D911" s="124"/>
      <c r="E911" s="124"/>
      <c r="F911" s="124"/>
      <c r="G911" s="124"/>
      <c r="H911" s="124"/>
      <c r="I911" s="124"/>
      <c r="J911" s="124"/>
      <c r="K911" s="124"/>
      <c r="L911" s="124"/>
      <c r="M911" s="124"/>
      <c r="N911" s="124"/>
      <c r="O911" s="124"/>
      <c r="P911" s="113"/>
      <c r="Q911" s="113"/>
      <c r="R911" s="113"/>
      <c r="S911" s="113"/>
      <c r="T911" s="113"/>
      <c r="U911" s="113"/>
      <c r="V911" s="113"/>
      <c r="W911" s="113"/>
      <c r="X911" s="113"/>
      <c r="Y911" s="113"/>
      <c r="Z911" s="113"/>
    </row>
    <row x14ac:dyDescent="0.25" r="912" customHeight="1" ht="15.75">
      <c r="A912" s="123"/>
      <c r="B912" s="123"/>
      <c r="C912" s="124"/>
      <c r="D912" s="124"/>
      <c r="E912" s="124"/>
      <c r="F912" s="124"/>
      <c r="G912" s="124"/>
      <c r="H912" s="124"/>
      <c r="I912" s="124"/>
      <c r="J912" s="124"/>
      <c r="K912" s="124"/>
      <c r="L912" s="124"/>
      <c r="M912" s="124"/>
      <c r="N912" s="124"/>
      <c r="O912" s="124"/>
      <c r="P912" s="113"/>
      <c r="Q912" s="113"/>
      <c r="R912" s="113"/>
      <c r="S912" s="113"/>
      <c r="T912" s="113"/>
      <c r="U912" s="113"/>
      <c r="V912" s="113"/>
      <c r="W912" s="113"/>
      <c r="X912" s="113"/>
      <c r="Y912" s="113"/>
      <c r="Z912" s="113"/>
    </row>
    <row x14ac:dyDescent="0.25" r="913" customHeight="1" ht="15.75">
      <c r="A913" s="123"/>
      <c r="B913" s="123"/>
      <c r="C913" s="124"/>
      <c r="D913" s="124"/>
      <c r="E913" s="124"/>
      <c r="F913" s="124"/>
      <c r="G913" s="124"/>
      <c r="H913" s="124"/>
      <c r="I913" s="124"/>
      <c r="J913" s="124"/>
      <c r="K913" s="124"/>
      <c r="L913" s="124"/>
      <c r="M913" s="124"/>
      <c r="N913" s="124"/>
      <c r="O913" s="124"/>
      <c r="P913" s="113"/>
      <c r="Q913" s="113"/>
      <c r="R913" s="113"/>
      <c r="S913" s="113"/>
      <c r="T913" s="113"/>
      <c r="U913" s="113"/>
      <c r="V913" s="113"/>
      <c r="W913" s="113"/>
      <c r="X913" s="113"/>
      <c r="Y913" s="113"/>
      <c r="Z913" s="113"/>
    </row>
    <row x14ac:dyDescent="0.25" r="914" customHeight="1" ht="15.75">
      <c r="A914" s="123"/>
      <c r="B914" s="123"/>
      <c r="C914" s="124"/>
      <c r="D914" s="124"/>
      <c r="E914" s="124"/>
      <c r="F914" s="124"/>
      <c r="G914" s="124"/>
      <c r="H914" s="124"/>
      <c r="I914" s="124"/>
      <c r="J914" s="124"/>
      <c r="K914" s="124"/>
      <c r="L914" s="124"/>
      <c r="M914" s="124"/>
      <c r="N914" s="124"/>
      <c r="O914" s="124"/>
      <c r="P914" s="113"/>
      <c r="Q914" s="113"/>
      <c r="R914" s="113"/>
      <c r="S914" s="113"/>
      <c r="T914" s="113"/>
      <c r="U914" s="113"/>
      <c r="V914" s="113"/>
      <c r="W914" s="113"/>
      <c r="X914" s="113"/>
      <c r="Y914" s="113"/>
      <c r="Z914" s="113"/>
    </row>
    <row x14ac:dyDescent="0.25" r="915" customHeight="1" ht="15.75">
      <c r="A915" s="123"/>
      <c r="B915" s="123"/>
      <c r="C915" s="124"/>
      <c r="D915" s="124"/>
      <c r="E915" s="124"/>
      <c r="F915" s="124"/>
      <c r="G915" s="124"/>
      <c r="H915" s="124"/>
      <c r="I915" s="124"/>
      <c r="J915" s="124"/>
      <c r="K915" s="124"/>
      <c r="L915" s="124"/>
      <c r="M915" s="124"/>
      <c r="N915" s="124"/>
      <c r="O915" s="124"/>
      <c r="P915" s="113"/>
      <c r="Q915" s="113"/>
      <c r="R915" s="113"/>
      <c r="S915" s="113"/>
      <c r="T915" s="113"/>
      <c r="U915" s="113"/>
      <c r="V915" s="113"/>
      <c r="W915" s="113"/>
      <c r="X915" s="113"/>
      <c r="Y915" s="113"/>
      <c r="Z915" s="113"/>
    </row>
    <row x14ac:dyDescent="0.25" r="916" customHeight="1" ht="15.75">
      <c r="A916" s="123"/>
      <c r="B916" s="123"/>
      <c r="C916" s="124"/>
      <c r="D916" s="124"/>
      <c r="E916" s="124"/>
      <c r="F916" s="124"/>
      <c r="G916" s="124"/>
      <c r="H916" s="124"/>
      <c r="I916" s="124"/>
      <c r="J916" s="124"/>
      <c r="K916" s="124"/>
      <c r="L916" s="124"/>
      <c r="M916" s="124"/>
      <c r="N916" s="124"/>
      <c r="O916" s="124"/>
      <c r="P916" s="113"/>
      <c r="Q916" s="113"/>
      <c r="R916" s="113"/>
      <c r="S916" s="113"/>
      <c r="T916" s="113"/>
      <c r="U916" s="113"/>
      <c r="V916" s="113"/>
      <c r="W916" s="113"/>
      <c r="X916" s="113"/>
      <c r="Y916" s="113"/>
      <c r="Z916" s="113"/>
    </row>
    <row x14ac:dyDescent="0.25" r="917" customHeight="1" ht="15.75">
      <c r="A917" s="123"/>
      <c r="B917" s="123"/>
      <c r="C917" s="124"/>
      <c r="D917" s="124"/>
      <c r="E917" s="124"/>
      <c r="F917" s="124"/>
      <c r="G917" s="124"/>
      <c r="H917" s="124"/>
      <c r="I917" s="124"/>
      <c r="J917" s="124"/>
      <c r="K917" s="124"/>
      <c r="L917" s="124"/>
      <c r="M917" s="124"/>
      <c r="N917" s="124"/>
      <c r="O917" s="124"/>
      <c r="P917" s="113"/>
      <c r="Q917" s="113"/>
      <c r="R917" s="113"/>
      <c r="S917" s="113"/>
      <c r="T917" s="113"/>
      <c r="U917" s="113"/>
      <c r="V917" s="113"/>
      <c r="W917" s="113"/>
      <c r="X917" s="113"/>
      <c r="Y917" s="113"/>
      <c r="Z917" s="113"/>
    </row>
    <row x14ac:dyDescent="0.25" r="918" customHeight="1" ht="15.75">
      <c r="A918" s="123"/>
      <c r="B918" s="123"/>
      <c r="C918" s="124"/>
      <c r="D918" s="124"/>
      <c r="E918" s="124"/>
      <c r="F918" s="124"/>
      <c r="G918" s="124"/>
      <c r="H918" s="124"/>
      <c r="I918" s="124"/>
      <c r="J918" s="124"/>
      <c r="K918" s="124"/>
      <c r="L918" s="124"/>
      <c r="M918" s="124"/>
      <c r="N918" s="124"/>
      <c r="O918" s="124"/>
      <c r="P918" s="113"/>
      <c r="Q918" s="113"/>
      <c r="R918" s="113"/>
      <c r="S918" s="113"/>
      <c r="T918" s="113"/>
      <c r="U918" s="113"/>
      <c r="V918" s="113"/>
      <c r="W918" s="113"/>
      <c r="X918" s="113"/>
      <c r="Y918" s="113"/>
      <c r="Z918" s="113"/>
    </row>
    <row x14ac:dyDescent="0.25" r="919" customHeight="1" ht="15.75">
      <c r="A919" s="123"/>
      <c r="B919" s="123"/>
      <c r="C919" s="124"/>
      <c r="D919" s="124"/>
      <c r="E919" s="124"/>
      <c r="F919" s="124"/>
      <c r="G919" s="124"/>
      <c r="H919" s="124"/>
      <c r="I919" s="124"/>
      <c r="J919" s="124"/>
      <c r="K919" s="124"/>
      <c r="L919" s="124"/>
      <c r="M919" s="124"/>
      <c r="N919" s="124"/>
      <c r="O919" s="124"/>
      <c r="P919" s="113"/>
      <c r="Q919" s="113"/>
      <c r="R919" s="113"/>
      <c r="S919" s="113"/>
      <c r="T919" s="113"/>
      <c r="U919" s="113"/>
      <c r="V919" s="113"/>
      <c r="W919" s="113"/>
      <c r="X919" s="113"/>
      <c r="Y919" s="113"/>
      <c r="Z919" s="113"/>
    </row>
    <row x14ac:dyDescent="0.25" r="920" customHeight="1" ht="15.75">
      <c r="A920" s="123"/>
      <c r="B920" s="123"/>
      <c r="C920" s="124"/>
      <c r="D920" s="124"/>
      <c r="E920" s="124"/>
      <c r="F920" s="124"/>
      <c r="G920" s="124"/>
      <c r="H920" s="124"/>
      <c r="I920" s="124"/>
      <c r="J920" s="124"/>
      <c r="K920" s="124"/>
      <c r="L920" s="124"/>
      <c r="M920" s="124"/>
      <c r="N920" s="124"/>
      <c r="O920" s="124"/>
      <c r="P920" s="113"/>
      <c r="Q920" s="113"/>
      <c r="R920" s="113"/>
      <c r="S920" s="113"/>
      <c r="T920" s="113"/>
      <c r="U920" s="113"/>
      <c r="V920" s="113"/>
      <c r="W920" s="113"/>
      <c r="X920" s="113"/>
      <c r="Y920" s="113"/>
      <c r="Z920" s="113"/>
    </row>
    <row x14ac:dyDescent="0.25" r="921" customHeight="1" ht="15.75">
      <c r="A921" s="123"/>
      <c r="B921" s="123"/>
      <c r="C921" s="124"/>
      <c r="D921" s="124"/>
      <c r="E921" s="124"/>
      <c r="F921" s="124"/>
      <c r="G921" s="124"/>
      <c r="H921" s="124"/>
      <c r="I921" s="124"/>
      <c r="J921" s="124"/>
      <c r="K921" s="124"/>
      <c r="L921" s="124"/>
      <c r="M921" s="124"/>
      <c r="N921" s="124"/>
      <c r="O921" s="124"/>
      <c r="P921" s="113"/>
      <c r="Q921" s="113"/>
      <c r="R921" s="113"/>
      <c r="S921" s="113"/>
      <c r="T921" s="113"/>
      <c r="U921" s="113"/>
      <c r="V921" s="113"/>
      <c r="W921" s="113"/>
      <c r="X921" s="113"/>
      <c r="Y921" s="113"/>
      <c r="Z921" s="113"/>
    </row>
    <row x14ac:dyDescent="0.25" r="922" customHeight="1" ht="15.75">
      <c r="A922" s="123"/>
      <c r="B922" s="123"/>
      <c r="C922" s="124"/>
      <c r="D922" s="124"/>
      <c r="E922" s="124"/>
      <c r="F922" s="124"/>
      <c r="G922" s="124"/>
      <c r="H922" s="124"/>
      <c r="I922" s="124"/>
      <c r="J922" s="124"/>
      <c r="K922" s="124"/>
      <c r="L922" s="124"/>
      <c r="M922" s="124"/>
      <c r="N922" s="124"/>
      <c r="O922" s="124"/>
      <c r="P922" s="113"/>
      <c r="Q922" s="113"/>
      <c r="R922" s="113"/>
      <c r="S922" s="113"/>
      <c r="T922" s="113"/>
      <c r="U922" s="113"/>
      <c r="V922" s="113"/>
      <c r="W922" s="113"/>
      <c r="X922" s="113"/>
      <c r="Y922" s="113"/>
      <c r="Z922" s="113"/>
    </row>
    <row x14ac:dyDescent="0.25" r="923" customHeight="1" ht="15.75">
      <c r="A923" s="123"/>
      <c r="B923" s="123"/>
      <c r="C923" s="124"/>
      <c r="D923" s="124"/>
      <c r="E923" s="124"/>
      <c r="F923" s="124"/>
      <c r="G923" s="124"/>
      <c r="H923" s="124"/>
      <c r="I923" s="124"/>
      <c r="J923" s="124"/>
      <c r="K923" s="124"/>
      <c r="L923" s="124"/>
      <c r="M923" s="124"/>
      <c r="N923" s="124"/>
      <c r="O923" s="124"/>
      <c r="P923" s="113"/>
      <c r="Q923" s="113"/>
      <c r="R923" s="113"/>
      <c r="S923" s="113"/>
      <c r="T923" s="113"/>
      <c r="U923" s="113"/>
      <c r="V923" s="113"/>
      <c r="W923" s="113"/>
      <c r="X923" s="113"/>
      <c r="Y923" s="113"/>
      <c r="Z923" s="113"/>
    </row>
    <row x14ac:dyDescent="0.25" r="924" customHeight="1" ht="15.75">
      <c r="A924" s="123"/>
      <c r="B924" s="123"/>
      <c r="C924" s="124"/>
      <c r="D924" s="124"/>
      <c r="E924" s="124"/>
      <c r="F924" s="124"/>
      <c r="G924" s="124"/>
      <c r="H924" s="124"/>
      <c r="I924" s="124"/>
      <c r="J924" s="124"/>
      <c r="K924" s="124"/>
      <c r="L924" s="124"/>
      <c r="M924" s="124"/>
      <c r="N924" s="124"/>
      <c r="O924" s="124"/>
      <c r="P924" s="113"/>
      <c r="Q924" s="113"/>
      <c r="R924" s="113"/>
      <c r="S924" s="113"/>
      <c r="T924" s="113"/>
      <c r="U924" s="113"/>
      <c r="V924" s="113"/>
      <c r="W924" s="113"/>
      <c r="X924" s="113"/>
      <c r="Y924" s="113"/>
      <c r="Z924" s="113"/>
    </row>
    <row x14ac:dyDescent="0.25" r="925" customHeight="1" ht="15.75">
      <c r="A925" s="123"/>
      <c r="B925" s="123"/>
      <c r="C925" s="124"/>
      <c r="D925" s="124"/>
      <c r="E925" s="124"/>
      <c r="F925" s="124"/>
      <c r="G925" s="124"/>
      <c r="H925" s="124"/>
      <c r="I925" s="124"/>
      <c r="J925" s="124"/>
      <c r="K925" s="124"/>
      <c r="L925" s="124"/>
      <c r="M925" s="124"/>
      <c r="N925" s="124"/>
      <c r="O925" s="124"/>
      <c r="P925" s="113"/>
      <c r="Q925" s="113"/>
      <c r="R925" s="113"/>
      <c r="S925" s="113"/>
      <c r="T925" s="113"/>
      <c r="U925" s="113"/>
      <c r="V925" s="113"/>
      <c r="W925" s="113"/>
      <c r="X925" s="113"/>
      <c r="Y925" s="113"/>
      <c r="Z925" s="113"/>
    </row>
    <row x14ac:dyDescent="0.25" r="926" customHeight="1" ht="15.75">
      <c r="A926" s="123"/>
      <c r="B926" s="123"/>
      <c r="C926" s="124"/>
      <c r="D926" s="124"/>
      <c r="E926" s="124"/>
      <c r="F926" s="124"/>
      <c r="G926" s="124"/>
      <c r="H926" s="124"/>
      <c r="I926" s="124"/>
      <c r="J926" s="124"/>
      <c r="K926" s="124"/>
      <c r="L926" s="124"/>
      <c r="M926" s="124"/>
      <c r="N926" s="124"/>
      <c r="O926" s="124"/>
      <c r="P926" s="113"/>
      <c r="Q926" s="113"/>
      <c r="R926" s="113"/>
      <c r="S926" s="113"/>
      <c r="T926" s="113"/>
      <c r="U926" s="113"/>
      <c r="V926" s="113"/>
      <c r="W926" s="113"/>
      <c r="X926" s="113"/>
      <c r="Y926" s="113"/>
      <c r="Z926" s="113"/>
    </row>
    <row x14ac:dyDescent="0.25" r="927" customHeight="1" ht="15.75">
      <c r="A927" s="123"/>
      <c r="B927" s="123"/>
      <c r="C927" s="124"/>
      <c r="D927" s="124"/>
      <c r="E927" s="124"/>
      <c r="F927" s="124"/>
      <c r="G927" s="124"/>
      <c r="H927" s="124"/>
      <c r="I927" s="124"/>
      <c r="J927" s="124"/>
      <c r="K927" s="124"/>
      <c r="L927" s="124"/>
      <c r="M927" s="124"/>
      <c r="N927" s="124"/>
      <c r="O927" s="124"/>
      <c r="P927" s="113"/>
      <c r="Q927" s="113"/>
      <c r="R927" s="113"/>
      <c r="S927" s="113"/>
      <c r="T927" s="113"/>
      <c r="U927" s="113"/>
      <c r="V927" s="113"/>
      <c r="W927" s="113"/>
      <c r="X927" s="113"/>
      <c r="Y927" s="113"/>
      <c r="Z927" s="113"/>
    </row>
    <row x14ac:dyDescent="0.25" r="928" customHeight="1" ht="15.75">
      <c r="A928" s="123"/>
      <c r="B928" s="123"/>
      <c r="C928" s="124"/>
      <c r="D928" s="124"/>
      <c r="E928" s="124"/>
      <c r="F928" s="124"/>
      <c r="G928" s="124"/>
      <c r="H928" s="124"/>
      <c r="I928" s="124"/>
      <c r="J928" s="124"/>
      <c r="K928" s="124"/>
      <c r="L928" s="124"/>
      <c r="M928" s="124"/>
      <c r="N928" s="124"/>
      <c r="O928" s="124"/>
      <c r="P928" s="113"/>
      <c r="Q928" s="113"/>
      <c r="R928" s="113"/>
      <c r="S928" s="113"/>
      <c r="T928" s="113"/>
      <c r="U928" s="113"/>
      <c r="V928" s="113"/>
      <c r="W928" s="113"/>
      <c r="X928" s="113"/>
      <c r="Y928" s="113"/>
      <c r="Z928" s="113"/>
    </row>
    <row x14ac:dyDescent="0.25" r="929" customHeight="1" ht="15.75">
      <c r="A929" s="123"/>
      <c r="B929" s="123"/>
      <c r="C929" s="124"/>
      <c r="D929" s="124"/>
      <c r="E929" s="124"/>
      <c r="F929" s="124"/>
      <c r="G929" s="124"/>
      <c r="H929" s="124"/>
      <c r="I929" s="124"/>
      <c r="J929" s="124"/>
      <c r="K929" s="124"/>
      <c r="L929" s="124"/>
      <c r="M929" s="124"/>
      <c r="N929" s="124"/>
      <c r="O929" s="124"/>
      <c r="P929" s="113"/>
      <c r="Q929" s="113"/>
      <c r="R929" s="113"/>
      <c r="S929" s="113"/>
      <c r="T929" s="113"/>
      <c r="U929" s="113"/>
      <c r="V929" s="113"/>
      <c r="W929" s="113"/>
      <c r="X929" s="113"/>
      <c r="Y929" s="113"/>
      <c r="Z929" s="113"/>
    </row>
    <row x14ac:dyDescent="0.25" r="930" customHeight="1" ht="15.75">
      <c r="A930" s="123"/>
      <c r="B930" s="123"/>
      <c r="C930" s="124"/>
      <c r="D930" s="124"/>
      <c r="E930" s="124"/>
      <c r="F930" s="124"/>
      <c r="G930" s="124"/>
      <c r="H930" s="124"/>
      <c r="I930" s="124"/>
      <c r="J930" s="124"/>
      <c r="K930" s="124"/>
      <c r="L930" s="124"/>
      <c r="M930" s="124"/>
      <c r="N930" s="124"/>
      <c r="O930" s="124"/>
      <c r="P930" s="113"/>
      <c r="Q930" s="113"/>
      <c r="R930" s="113"/>
      <c r="S930" s="113"/>
      <c r="T930" s="113"/>
      <c r="U930" s="113"/>
      <c r="V930" s="113"/>
      <c r="W930" s="113"/>
      <c r="X930" s="113"/>
      <c r="Y930" s="113"/>
      <c r="Z930" s="113"/>
    </row>
    <row x14ac:dyDescent="0.25" r="931" customHeight="1" ht="15.75">
      <c r="A931" s="123"/>
      <c r="B931" s="123"/>
      <c r="C931" s="124"/>
      <c r="D931" s="124"/>
      <c r="E931" s="124"/>
      <c r="F931" s="124"/>
      <c r="G931" s="124"/>
      <c r="H931" s="124"/>
      <c r="I931" s="124"/>
      <c r="J931" s="124"/>
      <c r="K931" s="124"/>
      <c r="L931" s="124"/>
      <c r="M931" s="124"/>
      <c r="N931" s="124"/>
      <c r="O931" s="124"/>
      <c r="P931" s="113"/>
      <c r="Q931" s="113"/>
      <c r="R931" s="113"/>
      <c r="S931" s="113"/>
      <c r="T931" s="113"/>
      <c r="U931" s="113"/>
      <c r="V931" s="113"/>
      <c r="W931" s="113"/>
      <c r="X931" s="113"/>
      <c r="Y931" s="113"/>
      <c r="Z931" s="113"/>
    </row>
    <row x14ac:dyDescent="0.25" r="932" customHeight="1" ht="15.75">
      <c r="A932" s="123"/>
      <c r="B932" s="123"/>
      <c r="C932" s="124"/>
      <c r="D932" s="124"/>
      <c r="E932" s="124"/>
      <c r="F932" s="124"/>
      <c r="G932" s="124"/>
      <c r="H932" s="124"/>
      <c r="I932" s="124"/>
      <c r="J932" s="124"/>
      <c r="K932" s="124"/>
      <c r="L932" s="124"/>
      <c r="M932" s="124"/>
      <c r="N932" s="124"/>
      <c r="O932" s="124"/>
      <c r="P932" s="113"/>
      <c r="Q932" s="113"/>
      <c r="R932" s="113"/>
      <c r="S932" s="113"/>
      <c r="T932" s="113"/>
      <c r="U932" s="113"/>
      <c r="V932" s="113"/>
      <c r="W932" s="113"/>
      <c r="X932" s="113"/>
      <c r="Y932" s="113"/>
      <c r="Z932" s="113"/>
    </row>
    <row x14ac:dyDescent="0.25" r="933" customHeight="1" ht="15.75">
      <c r="A933" s="123"/>
      <c r="B933" s="123"/>
      <c r="C933" s="124"/>
      <c r="D933" s="124"/>
      <c r="E933" s="124"/>
      <c r="F933" s="124"/>
      <c r="G933" s="124"/>
      <c r="H933" s="124"/>
      <c r="I933" s="124"/>
      <c r="J933" s="124"/>
      <c r="K933" s="124"/>
      <c r="L933" s="124"/>
      <c r="M933" s="124"/>
      <c r="N933" s="124"/>
      <c r="O933" s="124"/>
      <c r="P933" s="113"/>
      <c r="Q933" s="113"/>
      <c r="R933" s="113"/>
      <c r="S933" s="113"/>
      <c r="T933" s="113"/>
      <c r="U933" s="113"/>
      <c r="V933" s="113"/>
      <c r="W933" s="113"/>
      <c r="X933" s="113"/>
      <c r="Y933" s="113"/>
      <c r="Z933" s="113"/>
    </row>
  </sheetData>
  <mergeCells count="21">
    <mergeCell ref="A1:O1"/>
    <mergeCell ref="A3:B3"/>
    <mergeCell ref="A4:B4"/>
    <mergeCell ref="A7:B7"/>
    <mergeCell ref="A8:B8"/>
    <mergeCell ref="A9:B9"/>
    <mergeCell ref="A11:B11"/>
    <mergeCell ref="A12:A18"/>
    <mergeCell ref="A20:A25"/>
    <mergeCell ref="A27:B27"/>
    <mergeCell ref="A31:B31"/>
    <mergeCell ref="A34:B34"/>
    <mergeCell ref="A37:B37"/>
    <mergeCell ref="A40:B40"/>
    <mergeCell ref="A43:B43"/>
    <mergeCell ref="A44:A47"/>
    <mergeCell ref="A49:B49"/>
    <mergeCell ref="A50:A59"/>
    <mergeCell ref="A61:B61"/>
    <mergeCell ref="A62:A64"/>
    <mergeCell ref="A66:B6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Z932"/>
  <sheetViews>
    <sheetView workbookViewId="0"/>
  </sheetViews>
  <sheetFormatPr defaultRowHeight="15" x14ac:dyDescent="0.25"/>
  <cols>
    <col min="1" max="1" style="80" width="32.29071428571429" customWidth="1" bestFit="1"/>
    <col min="2" max="2" style="80" width="56.71928571428572" customWidth="1" bestFit="1"/>
    <col min="3" max="3" style="62" width="15.290714285714287" customWidth="1" bestFit="1"/>
    <col min="4" max="4" style="62" width="15.290714285714287" customWidth="1" bestFit="1"/>
    <col min="5" max="5" style="62" width="15.290714285714287" customWidth="1" bestFit="1"/>
    <col min="6" max="6" style="62" width="15.290714285714287" customWidth="1" bestFit="1"/>
    <col min="7" max="7" style="62" width="15.290714285714287" customWidth="1" bestFit="1"/>
    <col min="8" max="8" style="62" width="15.290714285714287" customWidth="1" bestFit="1"/>
    <col min="9" max="9" style="62" width="15.290714285714287" customWidth="1" bestFit="1"/>
    <col min="10" max="10" style="62" width="15.290714285714287" customWidth="1" bestFit="1"/>
    <col min="11" max="11" style="62" width="15.290714285714287" customWidth="1" bestFit="1"/>
    <col min="12" max="12" style="62" width="15.290714285714287" customWidth="1" bestFit="1"/>
    <col min="13" max="13" style="62" width="15.290714285714287" customWidth="1" bestFit="1"/>
    <col min="14" max="14" style="62" width="15.290714285714287" customWidth="1" bestFit="1"/>
    <col min="15" max="15" style="62" width="21.290714285714284" customWidth="1" bestFit="1"/>
    <col min="16" max="16" style="61" width="9.290714285714287" customWidth="1" bestFit="1"/>
    <col min="17" max="17" style="61" width="8.862142857142858" customWidth="1" bestFit="1"/>
    <col min="18" max="18" style="61" width="8.862142857142858" customWidth="1" bestFit="1"/>
    <col min="19" max="19" style="61" width="8.862142857142858" customWidth="1" bestFit="1"/>
    <col min="20" max="20" style="61" width="8.862142857142858" customWidth="1" bestFit="1"/>
    <col min="21" max="21" style="61" width="8.862142857142858" customWidth="1" bestFit="1"/>
    <col min="22" max="22" style="61" width="8.862142857142858" customWidth="1" bestFit="1"/>
    <col min="23" max="23" style="61" width="8.862142857142858" customWidth="1" bestFit="1"/>
    <col min="24" max="24" style="61" width="8.862142857142858" customWidth="1" bestFit="1"/>
    <col min="25" max="25" style="61" width="8.862142857142858" customWidth="1" bestFit="1"/>
    <col min="26" max="26" style="61" width="8.862142857142858" customWidth="1" bestFit="1"/>
  </cols>
  <sheetData>
    <row x14ac:dyDescent="0.25" r="1" customHeight="1" ht="61.5">
      <c r="A1" s="109"/>
      <c r="B1" s="110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</row>
    <row x14ac:dyDescent="0.25" r="2" customHeight="1" ht="15.75">
      <c r="A2" s="114" t="s">
        <v>3229</v>
      </c>
      <c r="B2" s="114"/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</row>
    <row x14ac:dyDescent="0.25" r="3" customHeight="1" ht="15.75">
      <c r="A3" s="114" t="s">
        <v>3158</v>
      </c>
      <c r="B3" s="117"/>
      <c r="C3" s="115" t="s">
        <v>3127</v>
      </c>
      <c r="D3" s="115" t="s">
        <v>3128</v>
      </c>
      <c r="E3" s="115" t="s">
        <v>3129</v>
      </c>
      <c r="F3" s="115" t="s">
        <v>3130</v>
      </c>
      <c r="G3" s="115" t="s">
        <v>3131</v>
      </c>
      <c r="H3" s="115" t="s">
        <v>3132</v>
      </c>
      <c r="I3" s="115" t="s">
        <v>3133</v>
      </c>
      <c r="J3" s="115" t="s">
        <v>3134</v>
      </c>
      <c r="K3" s="115" t="s">
        <v>3135</v>
      </c>
      <c r="L3" s="115" t="s">
        <v>3136</v>
      </c>
      <c r="M3" s="115" t="s">
        <v>3137</v>
      </c>
      <c r="N3" s="115" t="s">
        <v>3138</v>
      </c>
      <c r="O3" s="115" t="s">
        <v>3139</v>
      </c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</row>
    <row x14ac:dyDescent="0.25" r="4" customHeight="1" ht="15.75">
      <c r="A4" s="126" t="s">
        <v>3230</v>
      </c>
      <c r="B4" s="117"/>
      <c r="C4" s="127">
        <v>10782</v>
      </c>
      <c r="D4" s="127">
        <v>10444</v>
      </c>
      <c r="E4" s="127">
        <v>10992</v>
      </c>
      <c r="F4" s="127">
        <v>0</v>
      </c>
      <c r="G4" s="127">
        <v>0</v>
      </c>
      <c r="H4" s="127">
        <v>0</v>
      </c>
      <c r="I4" s="127">
        <v>0</v>
      </c>
      <c r="J4" s="127">
        <v>0</v>
      </c>
      <c r="K4" s="127">
        <v>0</v>
      </c>
      <c r="L4" s="127">
        <v>0</v>
      </c>
      <c r="M4" s="127">
        <v>0</v>
      </c>
      <c r="N4" s="127">
        <v>0</v>
      </c>
      <c r="O4" s="120">
        <f>SUM(C4:N4)</f>
      </c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</row>
    <row x14ac:dyDescent="0.25" r="5" customHeight="1" ht="15.75">
      <c r="A5" s="126" t="s">
        <v>3208</v>
      </c>
      <c r="B5" s="126"/>
      <c r="C5" s="127">
        <f>C4/31</f>
      </c>
      <c r="D5" s="127">
        <f>D4/30</f>
      </c>
      <c r="E5" s="127">
        <f>E4/31</f>
      </c>
      <c r="F5" s="127">
        <f>F4/30</f>
      </c>
      <c r="G5" s="127">
        <f>G4/31</f>
      </c>
      <c r="H5" s="127">
        <f>H4/31</f>
      </c>
      <c r="I5" s="127">
        <f>I4/30</f>
      </c>
      <c r="J5" s="127">
        <f>J4/31</f>
      </c>
      <c r="K5" s="127">
        <f>K4/30</f>
      </c>
      <c r="L5" s="127">
        <f>L4/31</f>
      </c>
      <c r="M5" s="127">
        <f>M4/31</f>
      </c>
      <c r="N5" s="127">
        <f>N4/28</f>
      </c>
      <c r="O5" s="120">
        <f>AVERAGE(C5:N5)</f>
      </c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</row>
    <row x14ac:dyDescent="0.25" r="6" customHeight="1" ht="10.5">
      <c r="A6" s="128"/>
      <c r="B6" s="128"/>
      <c r="C6" s="124"/>
      <c r="D6" s="124"/>
      <c r="E6" s="124"/>
      <c r="F6" s="124"/>
      <c r="G6" s="124"/>
      <c r="H6" s="124"/>
      <c r="I6" s="124"/>
      <c r="J6" s="124"/>
      <c r="K6" s="124"/>
      <c r="L6" s="124"/>
      <c r="M6" s="124"/>
      <c r="N6" s="124"/>
      <c r="O6" s="129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</row>
    <row x14ac:dyDescent="0.25" r="7" customHeight="1" ht="15.75">
      <c r="A7" s="114"/>
      <c r="B7" s="117"/>
      <c r="C7" s="115" t="s">
        <v>3127</v>
      </c>
      <c r="D7" s="115" t="s">
        <v>3128</v>
      </c>
      <c r="E7" s="115" t="s">
        <v>3129</v>
      </c>
      <c r="F7" s="115" t="s">
        <v>3130</v>
      </c>
      <c r="G7" s="115" t="s">
        <v>3131</v>
      </c>
      <c r="H7" s="115" t="s">
        <v>3132</v>
      </c>
      <c r="I7" s="115" t="s">
        <v>3133</v>
      </c>
      <c r="J7" s="115" t="s">
        <v>3134</v>
      </c>
      <c r="K7" s="115" t="s">
        <v>3135</v>
      </c>
      <c r="L7" s="115" t="s">
        <v>3136</v>
      </c>
      <c r="M7" s="115" t="s">
        <v>3137</v>
      </c>
      <c r="N7" s="115" t="s">
        <v>3138</v>
      </c>
      <c r="O7" s="115" t="s">
        <v>3139</v>
      </c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</row>
    <row x14ac:dyDescent="0.25" r="8" customHeight="1" ht="15.75">
      <c r="A8" s="126" t="s">
        <v>3231</v>
      </c>
      <c r="B8" s="117"/>
      <c r="C8" s="127">
        <v>9582</v>
      </c>
      <c r="D8" s="127">
        <v>9346</v>
      </c>
      <c r="E8" s="127">
        <v>9906</v>
      </c>
      <c r="F8" s="127">
        <v>0</v>
      </c>
      <c r="G8" s="127">
        <v>0</v>
      </c>
      <c r="H8" s="127">
        <v>0</v>
      </c>
      <c r="I8" s="127">
        <v>0</v>
      </c>
      <c r="J8" s="127">
        <v>0</v>
      </c>
      <c r="K8" s="127">
        <v>0</v>
      </c>
      <c r="L8" s="127">
        <v>0</v>
      </c>
      <c r="M8" s="127">
        <v>0</v>
      </c>
      <c r="N8" s="127">
        <v>0</v>
      </c>
      <c r="O8" s="120">
        <f>SUM(C8:N8)</f>
      </c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</row>
    <row x14ac:dyDescent="0.25" r="9" customHeight="1" ht="15.75">
      <c r="A9" s="131" t="s">
        <v>3167</v>
      </c>
      <c r="B9" s="117"/>
      <c r="C9" s="132">
        <v>8000</v>
      </c>
      <c r="D9" s="132">
        <v>8000</v>
      </c>
      <c r="E9" s="132">
        <v>8000</v>
      </c>
      <c r="F9" s="132">
        <v>8000</v>
      </c>
      <c r="G9" s="132">
        <v>8000</v>
      </c>
      <c r="H9" s="132">
        <v>8000</v>
      </c>
      <c r="I9" s="132">
        <v>8000</v>
      </c>
      <c r="J9" s="132">
        <v>8000</v>
      </c>
      <c r="K9" s="132">
        <v>8000</v>
      </c>
      <c r="L9" s="132">
        <v>8000</v>
      </c>
      <c r="M9" s="132">
        <v>8000</v>
      </c>
      <c r="N9" s="132">
        <v>8000</v>
      </c>
      <c r="O9" s="133">
        <f>SUM(C9:N9)</f>
      </c>
      <c r="P9" s="134"/>
      <c r="Q9" s="132"/>
      <c r="R9" s="134"/>
      <c r="S9" s="134"/>
      <c r="T9" s="134"/>
      <c r="U9" s="134"/>
      <c r="V9" s="134"/>
      <c r="W9" s="134"/>
      <c r="X9" s="134"/>
      <c r="Y9" s="134"/>
      <c r="Z9" s="134"/>
    </row>
    <row x14ac:dyDescent="0.25" r="10" customHeight="1" ht="10.5">
      <c r="A10" s="128"/>
      <c r="B10" s="128"/>
      <c r="C10" s="124"/>
      <c r="D10" s="124"/>
      <c r="E10" s="124"/>
      <c r="F10" s="124"/>
      <c r="G10" s="124"/>
      <c r="H10" s="124"/>
      <c r="I10" s="124"/>
      <c r="J10" s="124"/>
      <c r="K10" s="124"/>
      <c r="L10" s="124"/>
      <c r="M10" s="124"/>
      <c r="N10" s="124"/>
      <c r="O10" s="135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</row>
    <row x14ac:dyDescent="0.25" r="11" customHeight="1" ht="15.75">
      <c r="A11" s="114"/>
      <c r="B11" s="117"/>
      <c r="C11" s="115" t="s">
        <v>3127</v>
      </c>
      <c r="D11" s="115" t="s">
        <v>3128</v>
      </c>
      <c r="E11" s="115" t="s">
        <v>3129</v>
      </c>
      <c r="F11" s="115" t="s">
        <v>3130</v>
      </c>
      <c r="G11" s="115" t="s">
        <v>3131</v>
      </c>
      <c r="H11" s="115" t="s">
        <v>3132</v>
      </c>
      <c r="I11" s="115" t="s">
        <v>3133</v>
      </c>
      <c r="J11" s="115" t="s">
        <v>3134</v>
      </c>
      <c r="K11" s="115" t="s">
        <v>3135</v>
      </c>
      <c r="L11" s="115" t="s">
        <v>3136</v>
      </c>
      <c r="M11" s="115" t="s">
        <v>3137</v>
      </c>
      <c r="N11" s="115" t="s">
        <v>3138</v>
      </c>
      <c r="O11" s="115" t="s">
        <v>3139</v>
      </c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</row>
    <row x14ac:dyDescent="0.25" r="12" customHeight="1" ht="15.75">
      <c r="A12" s="130" t="s">
        <v>3232</v>
      </c>
      <c r="B12" s="136" t="s">
        <v>3233</v>
      </c>
      <c r="C12" s="127">
        <v>404</v>
      </c>
      <c r="D12" s="127">
        <v>344</v>
      </c>
      <c r="E12" s="127">
        <v>413</v>
      </c>
      <c r="F12" s="127">
        <v>0</v>
      </c>
      <c r="G12" s="127">
        <v>0</v>
      </c>
      <c r="H12" s="127">
        <v>0</v>
      </c>
      <c r="I12" s="127">
        <v>0</v>
      </c>
      <c r="J12" s="127">
        <v>0</v>
      </c>
      <c r="K12" s="127">
        <v>0</v>
      </c>
      <c r="L12" s="127">
        <v>0</v>
      </c>
      <c r="M12" s="127">
        <v>0</v>
      </c>
      <c r="N12" s="127">
        <v>0</v>
      </c>
      <c r="O12" s="120">
        <f>SUM(C12:N12)</f>
      </c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</row>
    <row x14ac:dyDescent="0.25" r="13" customHeight="1" ht="15.75">
      <c r="A13" s="117"/>
      <c r="B13" s="137" t="s">
        <v>3234</v>
      </c>
      <c r="C13" s="127">
        <v>8050</v>
      </c>
      <c r="D13" s="127">
        <v>7838</v>
      </c>
      <c r="E13" s="127">
        <v>8191</v>
      </c>
      <c r="F13" s="127">
        <v>0</v>
      </c>
      <c r="G13" s="127">
        <v>0</v>
      </c>
      <c r="H13" s="127">
        <v>0</v>
      </c>
      <c r="I13" s="127">
        <v>0</v>
      </c>
      <c r="J13" s="127">
        <v>0</v>
      </c>
      <c r="K13" s="127">
        <v>0</v>
      </c>
      <c r="L13" s="127">
        <v>0</v>
      </c>
      <c r="M13" s="127">
        <v>0</v>
      </c>
      <c r="N13" s="127">
        <v>0</v>
      </c>
      <c r="O13" s="120">
        <f>SUM(C13:N13)</f>
      </c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</row>
    <row x14ac:dyDescent="0.25" r="14" customHeight="1" ht="15.75">
      <c r="A14" s="117"/>
      <c r="B14" s="131" t="s">
        <v>3235</v>
      </c>
      <c r="C14" s="127">
        <v>1792</v>
      </c>
      <c r="D14" s="127">
        <v>1796</v>
      </c>
      <c r="E14" s="127">
        <v>1870</v>
      </c>
      <c r="F14" s="127">
        <v>0</v>
      </c>
      <c r="G14" s="127">
        <v>0</v>
      </c>
      <c r="H14" s="127">
        <v>0</v>
      </c>
      <c r="I14" s="127">
        <v>0</v>
      </c>
      <c r="J14" s="127">
        <v>0</v>
      </c>
      <c r="K14" s="127">
        <v>0</v>
      </c>
      <c r="L14" s="127">
        <v>0</v>
      </c>
      <c r="M14" s="127">
        <v>0</v>
      </c>
      <c r="N14" s="127">
        <v>0</v>
      </c>
      <c r="O14" s="120">
        <f>SUM(C14:N14)</f>
      </c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</row>
    <row x14ac:dyDescent="0.25" r="15" customHeight="1" ht="15.75">
      <c r="A15" s="117"/>
      <c r="B15" s="138" t="s">
        <v>3236</v>
      </c>
      <c r="C15" s="127">
        <v>245</v>
      </c>
      <c r="D15" s="127">
        <v>218</v>
      </c>
      <c r="E15" s="127">
        <v>274</v>
      </c>
      <c r="F15" s="127">
        <v>0</v>
      </c>
      <c r="G15" s="127">
        <v>0</v>
      </c>
      <c r="H15" s="127">
        <v>0</v>
      </c>
      <c r="I15" s="127">
        <v>0</v>
      </c>
      <c r="J15" s="127">
        <v>0</v>
      </c>
      <c r="K15" s="127">
        <v>0</v>
      </c>
      <c r="L15" s="127">
        <v>0</v>
      </c>
      <c r="M15" s="127">
        <v>0</v>
      </c>
      <c r="N15" s="127">
        <v>0</v>
      </c>
      <c r="O15" s="120">
        <f>SUM(C15:N15)</f>
      </c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</row>
    <row x14ac:dyDescent="0.25" r="16" customHeight="1" ht="15.75">
      <c r="A16" s="117"/>
      <c r="B16" s="139" t="s">
        <v>3237</v>
      </c>
      <c r="C16" s="127">
        <v>60</v>
      </c>
      <c r="D16" s="127">
        <v>52</v>
      </c>
      <c r="E16" s="127">
        <v>51</v>
      </c>
      <c r="F16" s="127">
        <v>0</v>
      </c>
      <c r="G16" s="127">
        <v>0</v>
      </c>
      <c r="H16" s="127">
        <v>0</v>
      </c>
      <c r="I16" s="127">
        <v>0</v>
      </c>
      <c r="J16" s="127">
        <v>0</v>
      </c>
      <c r="K16" s="127">
        <v>0</v>
      </c>
      <c r="L16" s="127">
        <v>0</v>
      </c>
      <c r="M16" s="127">
        <v>0</v>
      </c>
      <c r="N16" s="127">
        <v>0</v>
      </c>
      <c r="O16" s="120">
        <f>SUM(C16:N16)</f>
      </c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</row>
    <row x14ac:dyDescent="0.25" r="17" customHeight="1" ht="15.75">
      <c r="A17" s="117"/>
      <c r="B17" s="140" t="s">
        <v>3238</v>
      </c>
      <c r="C17" s="127">
        <v>231</v>
      </c>
      <c r="D17" s="127">
        <v>196</v>
      </c>
      <c r="E17" s="127">
        <v>193</v>
      </c>
      <c r="F17" s="127">
        <v>0</v>
      </c>
      <c r="G17" s="127">
        <v>0</v>
      </c>
      <c r="H17" s="127">
        <v>0</v>
      </c>
      <c r="I17" s="127">
        <v>0</v>
      </c>
      <c r="J17" s="127">
        <v>0</v>
      </c>
      <c r="K17" s="127">
        <v>0</v>
      </c>
      <c r="L17" s="127">
        <v>0</v>
      </c>
      <c r="M17" s="127">
        <v>0</v>
      </c>
      <c r="N17" s="127">
        <v>0</v>
      </c>
      <c r="O17" s="120">
        <f>SUM(C17:N17)</f>
      </c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</row>
    <row x14ac:dyDescent="0.25" r="18" customHeight="1" ht="15.75">
      <c r="A18" s="117"/>
      <c r="B18" s="141" t="s">
        <v>3239</v>
      </c>
      <c r="C18" s="120">
        <f>SUM(C12:C17)</f>
      </c>
      <c r="D18" s="120">
        <f>SUM(D12:D17)</f>
      </c>
      <c r="E18" s="120">
        <f>SUM(E12:E17)</f>
      </c>
      <c r="F18" s="120">
        <f>SUM(F12:F17)</f>
      </c>
      <c r="G18" s="120">
        <f>SUM(G12:G17)</f>
      </c>
      <c r="H18" s="120">
        <f>SUM(H12:H17)</f>
      </c>
      <c r="I18" s="120">
        <f>SUM(I12:I17)</f>
      </c>
      <c r="J18" s="120">
        <f>SUM(J12:J17)</f>
      </c>
      <c r="K18" s="120">
        <f>SUM(K12:K17)</f>
      </c>
      <c r="L18" s="120">
        <f>SUM(L12:L17)</f>
      </c>
      <c r="M18" s="120">
        <f>SUM(M12:M17)</f>
      </c>
      <c r="N18" s="120">
        <f>SUM(N12:N17)</f>
      </c>
      <c r="O18" s="120">
        <f>SUM(C18:N18)</f>
      </c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</row>
    <row x14ac:dyDescent="0.25" r="19" customHeight="1" ht="15.75">
      <c r="A19" s="142"/>
      <c r="B19" s="142"/>
      <c r="C19" s="115" t="s">
        <v>3127</v>
      </c>
      <c r="D19" s="115" t="s">
        <v>3128</v>
      </c>
      <c r="E19" s="115" t="s">
        <v>3129</v>
      </c>
      <c r="F19" s="115" t="s">
        <v>3130</v>
      </c>
      <c r="G19" s="115" t="s">
        <v>3131</v>
      </c>
      <c r="H19" s="115" t="s">
        <v>3132</v>
      </c>
      <c r="I19" s="115" t="s">
        <v>3133</v>
      </c>
      <c r="J19" s="115" t="s">
        <v>3134</v>
      </c>
      <c r="K19" s="115" t="s">
        <v>3135</v>
      </c>
      <c r="L19" s="115" t="s">
        <v>3136</v>
      </c>
      <c r="M19" s="115" t="s">
        <v>3137</v>
      </c>
      <c r="N19" s="115" t="s">
        <v>3138</v>
      </c>
      <c r="O19" s="115" t="s">
        <v>3139</v>
      </c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</row>
    <row x14ac:dyDescent="0.25" r="20" customHeight="1" ht="14.25">
      <c r="A20" s="130" t="s">
        <v>3240</v>
      </c>
      <c r="B20" s="126" t="s">
        <v>3233</v>
      </c>
      <c r="C20" s="143">
        <f>C12/C18</f>
      </c>
      <c r="D20" s="143">
        <f>D12/D18</f>
      </c>
      <c r="E20" s="143">
        <f>E12/E18</f>
      </c>
      <c r="F20" s="127">
        <f>F12/F18</f>
      </c>
      <c r="G20" s="127">
        <f>G12/G18</f>
      </c>
      <c r="H20" s="127">
        <f>H12/H18</f>
      </c>
      <c r="I20" s="127">
        <f>I12/I18</f>
      </c>
      <c r="J20" s="127">
        <f>J12/J18</f>
      </c>
      <c r="K20" s="127">
        <f>K12/K18</f>
      </c>
      <c r="L20" s="127">
        <f>L12/L18</f>
      </c>
      <c r="M20" s="127">
        <f>M12/M18</f>
      </c>
      <c r="N20" s="127">
        <f>N12/N18</f>
      </c>
      <c r="O20" s="120">
        <f>AVERAGE(C20:N20)</f>
      </c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</row>
    <row x14ac:dyDescent="0.25" r="21" customHeight="1" ht="15.75">
      <c r="A21" s="117"/>
      <c r="B21" s="126" t="s">
        <v>3234</v>
      </c>
      <c r="C21" s="143">
        <f>C13/C18</f>
      </c>
      <c r="D21" s="143">
        <f>D13/D18</f>
      </c>
      <c r="E21" s="143">
        <f>E13/E18</f>
      </c>
      <c r="F21" s="127">
        <f>F13/F18</f>
      </c>
      <c r="G21" s="127">
        <f>G13/G18</f>
      </c>
      <c r="H21" s="127">
        <f>H13/H18</f>
      </c>
      <c r="I21" s="127">
        <f>I13/I18</f>
      </c>
      <c r="J21" s="127">
        <f>J13/J18</f>
      </c>
      <c r="K21" s="127">
        <f>K13/K18</f>
      </c>
      <c r="L21" s="127">
        <f>L13/L18</f>
      </c>
      <c r="M21" s="127">
        <f>M13/M18</f>
      </c>
      <c r="N21" s="127">
        <f>N13/N18</f>
      </c>
      <c r="O21" s="120">
        <f>AVERAGE(C21:N21)</f>
      </c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</row>
    <row x14ac:dyDescent="0.25" r="22" customHeight="1" ht="15.75">
      <c r="A22" s="117"/>
      <c r="B22" s="126" t="s">
        <v>3235</v>
      </c>
      <c r="C22" s="143">
        <f>C14/C18</f>
      </c>
      <c r="D22" s="143">
        <f>D14/D18</f>
      </c>
      <c r="E22" s="143">
        <f>E14/E18</f>
      </c>
      <c r="F22" s="127">
        <f>F14/F18</f>
      </c>
      <c r="G22" s="127">
        <f>G14/G18</f>
      </c>
      <c r="H22" s="127">
        <f>H14/H18</f>
      </c>
      <c r="I22" s="127">
        <f>I14/I18</f>
      </c>
      <c r="J22" s="127">
        <f>J14/J18</f>
      </c>
      <c r="K22" s="127">
        <f>K14/K18</f>
      </c>
      <c r="L22" s="127">
        <f>L14/L18</f>
      </c>
      <c r="M22" s="127">
        <f>M14/M18</f>
      </c>
      <c r="N22" s="127">
        <f>N14/N18</f>
      </c>
      <c r="O22" s="120">
        <f>AVERAGE(C22:N22)</f>
      </c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</row>
    <row x14ac:dyDescent="0.25" r="23" customHeight="1" ht="15.75">
      <c r="A23" s="117"/>
      <c r="B23" s="126" t="s">
        <v>3236</v>
      </c>
      <c r="C23" s="143">
        <f>C15/C18</f>
      </c>
      <c r="D23" s="143">
        <f>D15/D18</f>
      </c>
      <c r="E23" s="143">
        <f>E15/E18</f>
      </c>
      <c r="F23" s="127">
        <f>F15/F18</f>
      </c>
      <c r="G23" s="127">
        <f>G15/G18</f>
      </c>
      <c r="H23" s="127">
        <f>H15/H18</f>
      </c>
      <c r="I23" s="127">
        <f>I15/I18</f>
      </c>
      <c r="J23" s="127">
        <f>J15/J18</f>
      </c>
      <c r="K23" s="127">
        <f>K15/K18</f>
      </c>
      <c r="L23" s="127">
        <f>L15/L18</f>
      </c>
      <c r="M23" s="127">
        <f>M15/M18</f>
      </c>
      <c r="N23" s="127">
        <f>N15/N18</f>
      </c>
      <c r="O23" s="120">
        <f>AVERAGE(C23:N23)</f>
      </c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</row>
    <row x14ac:dyDescent="0.25" r="24" customHeight="1" ht="15.75">
      <c r="A24" s="117"/>
      <c r="B24" s="126" t="s">
        <v>3237</v>
      </c>
      <c r="C24" s="143">
        <f>C16/C18</f>
      </c>
      <c r="D24" s="143">
        <f>D16/D18</f>
      </c>
      <c r="E24" s="143">
        <f>E16/E18</f>
      </c>
      <c r="F24" s="127">
        <f>F16/F18</f>
      </c>
      <c r="G24" s="127">
        <f>G16/G18</f>
      </c>
      <c r="H24" s="127">
        <f>H16/H18</f>
      </c>
      <c r="I24" s="127">
        <f>I16/I18</f>
      </c>
      <c r="J24" s="127">
        <f>J16/J18</f>
      </c>
      <c r="K24" s="127">
        <f>K16/K18</f>
      </c>
      <c r="L24" s="127">
        <f>L16/L18</f>
      </c>
      <c r="M24" s="127">
        <f>M16/M18</f>
      </c>
      <c r="N24" s="127">
        <f>N16/N18</f>
      </c>
      <c r="O24" s="120">
        <f>AVERAGE(C24:N24)</f>
      </c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</row>
    <row x14ac:dyDescent="0.25" r="25" customHeight="1" ht="15.75">
      <c r="A25" s="117"/>
      <c r="B25" s="126" t="s">
        <v>3241</v>
      </c>
      <c r="C25" s="143">
        <f>C17/C18</f>
      </c>
      <c r="D25" s="143">
        <f>D17/D18</f>
      </c>
      <c r="E25" s="143">
        <f>E17/E18</f>
      </c>
      <c r="F25" s="127">
        <f>F17/F18</f>
      </c>
      <c r="G25" s="127">
        <f>G17/G18</f>
      </c>
      <c r="H25" s="127">
        <f>H17/H18</f>
      </c>
      <c r="I25" s="127">
        <f>I17/I18</f>
      </c>
      <c r="J25" s="127">
        <f>J17/J18</f>
      </c>
      <c r="K25" s="127">
        <f>K17/K18</f>
      </c>
      <c r="L25" s="127">
        <f>L17/L18</f>
      </c>
      <c r="M25" s="127">
        <f>M17/M18</f>
      </c>
      <c r="N25" s="127">
        <f>N17/N18</f>
      </c>
      <c r="O25" s="120">
        <f>AVERAGE(C25:N25)</f>
      </c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</row>
    <row x14ac:dyDescent="0.25" r="26" customHeight="1" ht="10.5">
      <c r="A26" s="128"/>
      <c r="B26" s="128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9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</row>
    <row x14ac:dyDescent="0.25" r="27" customHeight="1" ht="15.75">
      <c r="A27" s="114"/>
      <c r="B27" s="117"/>
      <c r="C27" s="115" t="s">
        <v>3127</v>
      </c>
      <c r="D27" s="115" t="s">
        <v>3128</v>
      </c>
      <c r="E27" s="115" t="s">
        <v>3129</v>
      </c>
      <c r="F27" s="115" t="s">
        <v>3130</v>
      </c>
      <c r="G27" s="115" t="s">
        <v>3131</v>
      </c>
      <c r="H27" s="115" t="s">
        <v>3132</v>
      </c>
      <c r="I27" s="115" t="s">
        <v>3133</v>
      </c>
      <c r="J27" s="115" t="s">
        <v>3134</v>
      </c>
      <c r="K27" s="115" t="s">
        <v>3135</v>
      </c>
      <c r="L27" s="115" t="s">
        <v>3136</v>
      </c>
      <c r="M27" s="115" t="s">
        <v>3137</v>
      </c>
      <c r="N27" s="115" t="s">
        <v>3138</v>
      </c>
      <c r="O27" s="115" t="s">
        <v>3139</v>
      </c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</row>
    <row x14ac:dyDescent="0.25" r="28" customHeight="1" ht="39">
      <c r="A28" s="126" t="s">
        <v>3242</v>
      </c>
      <c r="B28" s="126" t="s">
        <v>3243</v>
      </c>
      <c r="C28" s="144">
        <v>1.0075810185185186</v>
      </c>
      <c r="D28" s="145">
        <v>1.0074537037037037</v>
      </c>
      <c r="E28" s="145">
        <v>1.0085416666666667</v>
      </c>
      <c r="F28" s="145"/>
      <c r="G28" s="145"/>
      <c r="H28" s="145"/>
      <c r="I28" s="145"/>
      <c r="J28" s="145"/>
      <c r="K28" s="145"/>
      <c r="L28" s="145"/>
      <c r="M28" s="145"/>
      <c r="N28" s="145"/>
      <c r="O28" s="144">
        <f>AVERAGE(C28:N28)</f>
        <v>25568.875</v>
      </c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</row>
    <row x14ac:dyDescent="0.25" r="29" customHeight="1" ht="13.5">
      <c r="A29" s="131" t="s">
        <v>3167</v>
      </c>
      <c r="B29" s="131"/>
      <c r="C29" s="146">
        <v>1.0072685185185186</v>
      </c>
      <c r="D29" s="146">
        <v>1.0072685185185186</v>
      </c>
      <c r="E29" s="146">
        <v>1.0072685185185186</v>
      </c>
      <c r="F29" s="146">
        <v>1.0072685185185186</v>
      </c>
      <c r="G29" s="146">
        <v>1.0072685185185186</v>
      </c>
      <c r="H29" s="146">
        <v>1.0072685185185186</v>
      </c>
      <c r="I29" s="146">
        <v>1.0072685185185186</v>
      </c>
      <c r="J29" s="146">
        <v>1.0072685185185186</v>
      </c>
      <c r="K29" s="146">
        <v>1.0072685185185186</v>
      </c>
      <c r="L29" s="146">
        <v>1.0072685185185186</v>
      </c>
      <c r="M29" s="146">
        <v>1.0072685185185186</v>
      </c>
      <c r="N29" s="146">
        <v>1.0072685185185186</v>
      </c>
      <c r="O29" s="147"/>
      <c r="P29" s="134"/>
      <c r="Q29" s="134"/>
      <c r="R29" s="134"/>
      <c r="S29" s="134"/>
      <c r="T29" s="134"/>
      <c r="U29" s="134"/>
      <c r="V29" s="134"/>
      <c r="W29" s="134"/>
      <c r="X29" s="134"/>
      <c r="Y29" s="134"/>
      <c r="Z29" s="134"/>
    </row>
    <row x14ac:dyDescent="0.25" r="30" customHeight="1" ht="10.5">
      <c r="A30" s="128"/>
      <c r="B30" s="128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9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</row>
    <row x14ac:dyDescent="0.25" r="31" customHeight="1" ht="15.75">
      <c r="A31" s="114"/>
      <c r="B31" s="117"/>
      <c r="C31" s="115" t="s">
        <v>3127</v>
      </c>
      <c r="D31" s="115" t="s">
        <v>3128</v>
      </c>
      <c r="E31" s="115" t="s">
        <v>3129</v>
      </c>
      <c r="F31" s="115" t="s">
        <v>3130</v>
      </c>
      <c r="G31" s="115" t="s">
        <v>3131</v>
      </c>
      <c r="H31" s="115" t="s">
        <v>3132</v>
      </c>
      <c r="I31" s="115" t="s">
        <v>3133</v>
      </c>
      <c r="J31" s="115" t="s">
        <v>3134</v>
      </c>
      <c r="K31" s="115" t="s">
        <v>3135</v>
      </c>
      <c r="L31" s="115" t="s">
        <v>3136</v>
      </c>
      <c r="M31" s="115" t="s">
        <v>3137</v>
      </c>
      <c r="N31" s="115" t="s">
        <v>3138</v>
      </c>
      <c r="O31" s="115" t="s">
        <v>3139</v>
      </c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</row>
    <row x14ac:dyDescent="0.25" r="32" customHeight="1" ht="47.25">
      <c r="A32" s="126" t="s">
        <v>3244</v>
      </c>
      <c r="B32" s="126" t="s">
        <v>3243</v>
      </c>
      <c r="C32" s="144">
        <v>1.0349189814814814</v>
      </c>
      <c r="D32" s="145">
        <v>1.0385069444444444</v>
      </c>
      <c r="E32" s="145">
        <v>1.0416666666666667</v>
      </c>
      <c r="F32" s="145"/>
      <c r="G32" s="145"/>
      <c r="H32" s="145"/>
      <c r="I32" s="145"/>
      <c r="J32" s="145"/>
      <c r="K32" s="145"/>
      <c r="L32" s="145"/>
      <c r="M32" s="145"/>
      <c r="N32" s="145"/>
      <c r="O32" s="144">
        <f>AVERAGE(C32:N32)</f>
        <v>25568.875</v>
      </c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</row>
    <row x14ac:dyDescent="0.25" r="33" customHeight="1" ht="10.5">
      <c r="A33" s="128"/>
      <c r="B33" s="128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9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</row>
    <row x14ac:dyDescent="0.25" r="34" customHeight="1" ht="15.75">
      <c r="A34" s="114"/>
      <c r="B34" s="117"/>
      <c r="C34" s="115" t="s">
        <v>3127</v>
      </c>
      <c r="D34" s="115" t="s">
        <v>3128</v>
      </c>
      <c r="E34" s="115" t="s">
        <v>3129</v>
      </c>
      <c r="F34" s="115" t="s">
        <v>3130</v>
      </c>
      <c r="G34" s="115" t="s">
        <v>3131</v>
      </c>
      <c r="H34" s="115" t="s">
        <v>3132</v>
      </c>
      <c r="I34" s="115" t="s">
        <v>3133</v>
      </c>
      <c r="J34" s="115" t="s">
        <v>3134</v>
      </c>
      <c r="K34" s="115" t="s">
        <v>3135</v>
      </c>
      <c r="L34" s="115" t="s">
        <v>3136</v>
      </c>
      <c r="M34" s="115" t="s">
        <v>3137</v>
      </c>
      <c r="N34" s="115" t="s">
        <v>3138</v>
      </c>
      <c r="O34" s="115" t="s">
        <v>3139</v>
      </c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</row>
    <row x14ac:dyDescent="0.25" r="35" customHeight="1" ht="30">
      <c r="A35" s="126" t="s">
        <v>3245</v>
      </c>
      <c r="B35" s="126" t="s">
        <v>3246</v>
      </c>
      <c r="C35" s="144">
        <v>1.3167476851851851</v>
      </c>
      <c r="D35" s="127" t="s">
        <v>3247</v>
      </c>
      <c r="E35" s="148">
        <v>2.420960648148148</v>
      </c>
      <c r="F35" s="145"/>
      <c r="G35" s="145"/>
      <c r="H35" s="145"/>
      <c r="I35" s="145"/>
      <c r="J35" s="145"/>
      <c r="K35" s="145"/>
      <c r="L35" s="145"/>
      <c r="M35" s="145"/>
      <c r="N35" s="145"/>
      <c r="O35" s="144">
        <f>AVERAGE(C35:N35)</f>
        <v>25568.875</v>
      </c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</row>
    <row x14ac:dyDescent="0.25" r="36" customHeight="1" ht="15.75">
      <c r="A36" s="128"/>
      <c r="B36" s="128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</row>
    <row x14ac:dyDescent="0.25" r="37" customHeight="1" ht="15.75">
      <c r="A37" s="114"/>
      <c r="B37" s="117"/>
      <c r="C37" s="115" t="s">
        <v>3127</v>
      </c>
      <c r="D37" s="115" t="s">
        <v>3128</v>
      </c>
      <c r="E37" s="115" t="s">
        <v>3129</v>
      </c>
      <c r="F37" s="115" t="s">
        <v>3130</v>
      </c>
      <c r="G37" s="115" t="s">
        <v>3131</v>
      </c>
      <c r="H37" s="115" t="s">
        <v>3132</v>
      </c>
      <c r="I37" s="115" t="s">
        <v>3133</v>
      </c>
      <c r="J37" s="115" t="s">
        <v>3134</v>
      </c>
      <c r="K37" s="115" t="s">
        <v>3135</v>
      </c>
      <c r="L37" s="115" t="s">
        <v>3136</v>
      </c>
      <c r="M37" s="115" t="s">
        <v>3137</v>
      </c>
      <c r="N37" s="115" t="s">
        <v>3138</v>
      </c>
      <c r="O37" s="115" t="s">
        <v>3139</v>
      </c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</row>
    <row x14ac:dyDescent="0.25" r="38" customHeight="1" ht="30">
      <c r="A38" s="126" t="s">
        <v>3248</v>
      </c>
      <c r="B38" s="126" t="s">
        <v>3249</v>
      </c>
      <c r="C38" s="144">
        <v>1.0694675925925925</v>
      </c>
      <c r="D38" s="148">
        <v>1.7179050925925927</v>
      </c>
      <c r="E38" s="145">
        <v>1.1267824074074073</v>
      </c>
      <c r="F38" s="145"/>
      <c r="G38" s="145"/>
      <c r="H38" s="145"/>
      <c r="I38" s="145"/>
      <c r="J38" s="145"/>
      <c r="K38" s="145"/>
      <c r="L38" s="145"/>
      <c r="M38" s="145"/>
      <c r="N38" s="145"/>
      <c r="O38" s="144">
        <f>AVERAGE(C38:N38)</f>
        <v>25568.875</v>
      </c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</row>
    <row x14ac:dyDescent="0.25" r="39" customHeight="1" ht="10.5">
      <c r="A39" s="128"/>
      <c r="B39" s="128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9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</row>
    <row x14ac:dyDescent="0.25" r="40" customHeight="1" ht="15.75">
      <c r="A40" s="114"/>
      <c r="B40" s="117"/>
      <c r="C40" s="115" t="s">
        <v>3127</v>
      </c>
      <c r="D40" s="115" t="s">
        <v>3128</v>
      </c>
      <c r="E40" s="115" t="s">
        <v>3129</v>
      </c>
      <c r="F40" s="115" t="s">
        <v>3130</v>
      </c>
      <c r="G40" s="115" t="s">
        <v>3131</v>
      </c>
      <c r="H40" s="115" t="s">
        <v>3132</v>
      </c>
      <c r="I40" s="115" t="s">
        <v>3133</v>
      </c>
      <c r="J40" s="115" t="s">
        <v>3134</v>
      </c>
      <c r="K40" s="115" t="s">
        <v>3135</v>
      </c>
      <c r="L40" s="115" t="s">
        <v>3136</v>
      </c>
      <c r="M40" s="115" t="s">
        <v>3137</v>
      </c>
      <c r="N40" s="115" t="s">
        <v>3138</v>
      </c>
      <c r="O40" s="115" t="s">
        <v>3139</v>
      </c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</row>
    <row x14ac:dyDescent="0.25" r="41" customHeight="1" ht="15.75">
      <c r="A41" s="126" t="s">
        <v>3250</v>
      </c>
      <c r="B41" s="126" t="s">
        <v>3251</v>
      </c>
      <c r="C41" s="127">
        <v>30</v>
      </c>
      <c r="D41" s="127">
        <v>28</v>
      </c>
      <c r="E41" s="127">
        <v>37</v>
      </c>
      <c r="F41" s="127">
        <v>0</v>
      </c>
      <c r="G41" s="127">
        <v>0</v>
      </c>
      <c r="H41" s="127">
        <v>0</v>
      </c>
      <c r="I41" s="127">
        <v>0</v>
      </c>
      <c r="J41" s="127">
        <v>0</v>
      </c>
      <c r="K41" s="127">
        <v>0</v>
      </c>
      <c r="L41" s="127">
        <v>0</v>
      </c>
      <c r="M41" s="127">
        <v>0</v>
      </c>
      <c r="N41" s="127">
        <v>0</v>
      </c>
      <c r="O41" s="120">
        <f>SUM(C41:N41)</f>
      </c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</row>
    <row x14ac:dyDescent="0.25" r="42" customHeight="1" ht="10.5">
      <c r="A42" s="128"/>
      <c r="B42" s="128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9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</row>
    <row x14ac:dyDescent="0.25" r="43" customHeight="1" ht="15.75">
      <c r="A43" s="114"/>
      <c r="B43" s="117"/>
      <c r="C43" s="115" t="s">
        <v>3127</v>
      </c>
      <c r="D43" s="115" t="s">
        <v>3128</v>
      </c>
      <c r="E43" s="115" t="s">
        <v>3129</v>
      </c>
      <c r="F43" s="115" t="s">
        <v>3130</v>
      </c>
      <c r="G43" s="115" t="s">
        <v>3131</v>
      </c>
      <c r="H43" s="115" t="s">
        <v>3132</v>
      </c>
      <c r="I43" s="115" t="s">
        <v>3133</v>
      </c>
      <c r="J43" s="115" t="s">
        <v>3134</v>
      </c>
      <c r="K43" s="115" t="s">
        <v>3135</v>
      </c>
      <c r="L43" s="115" t="s">
        <v>3136</v>
      </c>
      <c r="M43" s="115" t="s">
        <v>3137</v>
      </c>
      <c r="N43" s="115" t="s">
        <v>3138</v>
      </c>
      <c r="O43" s="115" t="s">
        <v>3139</v>
      </c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</row>
    <row x14ac:dyDescent="0.25" r="44" customHeight="1" ht="15.75">
      <c r="A44" s="118" t="s">
        <v>3214</v>
      </c>
      <c r="B44" s="126" t="s">
        <v>3215</v>
      </c>
      <c r="C44" s="127">
        <v>1682</v>
      </c>
      <c r="D44" s="127">
        <v>1729</v>
      </c>
      <c r="E44" s="127">
        <v>1819</v>
      </c>
      <c r="F44" s="127">
        <v>0</v>
      </c>
      <c r="G44" s="127">
        <v>0</v>
      </c>
      <c r="H44" s="127">
        <v>0</v>
      </c>
      <c r="I44" s="127">
        <v>0</v>
      </c>
      <c r="J44" s="127">
        <v>0</v>
      </c>
      <c r="K44" s="127">
        <v>0</v>
      </c>
      <c r="L44" s="127">
        <v>0</v>
      </c>
      <c r="M44" s="127">
        <v>0</v>
      </c>
      <c r="N44" s="127">
        <v>0</v>
      </c>
      <c r="O44" s="120">
        <f>SUM(C44:N44)</f>
      </c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</row>
    <row x14ac:dyDescent="0.25" r="45" customHeight="1" ht="15.75">
      <c r="A45" s="117"/>
      <c r="B45" s="126" t="s">
        <v>3252</v>
      </c>
      <c r="C45" s="127">
        <v>7448</v>
      </c>
      <c r="D45" s="127">
        <v>6494</v>
      </c>
      <c r="E45" s="127">
        <v>7201</v>
      </c>
      <c r="F45" s="127">
        <v>0</v>
      </c>
      <c r="G45" s="127">
        <v>0</v>
      </c>
      <c r="H45" s="127">
        <v>0</v>
      </c>
      <c r="I45" s="127">
        <v>0</v>
      </c>
      <c r="J45" s="127">
        <v>0</v>
      </c>
      <c r="K45" s="127">
        <v>0</v>
      </c>
      <c r="L45" s="127">
        <v>0</v>
      </c>
      <c r="M45" s="127">
        <v>0</v>
      </c>
      <c r="N45" s="127">
        <v>0</v>
      </c>
      <c r="O45" s="120">
        <f>SUM(C45:N45)</f>
      </c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</row>
    <row x14ac:dyDescent="0.25" r="46" customHeight="1" ht="15.75">
      <c r="A46" s="117"/>
      <c r="B46" s="126" t="s">
        <v>3218</v>
      </c>
      <c r="C46" s="127">
        <v>161</v>
      </c>
      <c r="D46" s="127">
        <v>151</v>
      </c>
      <c r="E46" s="127">
        <v>155</v>
      </c>
      <c r="F46" s="127">
        <v>0</v>
      </c>
      <c r="G46" s="127">
        <v>0</v>
      </c>
      <c r="H46" s="127">
        <v>0</v>
      </c>
      <c r="I46" s="127">
        <v>0</v>
      </c>
      <c r="J46" s="127">
        <v>0</v>
      </c>
      <c r="K46" s="127">
        <v>0</v>
      </c>
      <c r="L46" s="127">
        <v>0</v>
      </c>
      <c r="M46" s="127">
        <v>0</v>
      </c>
      <c r="N46" s="127">
        <v>0</v>
      </c>
      <c r="O46" s="120">
        <f>SUM(C46:N46)</f>
      </c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</row>
    <row x14ac:dyDescent="0.25" r="47" customHeight="1" ht="15.75">
      <c r="A47" s="126"/>
      <c r="B47" s="126" t="s">
        <v>3139</v>
      </c>
      <c r="C47" s="120">
        <f>SUM(C44:C46)</f>
      </c>
      <c r="D47" s="120">
        <f>SUM(D44:D46)</f>
      </c>
      <c r="E47" s="120">
        <f>SUM(E44:E46)</f>
      </c>
      <c r="F47" s="120">
        <f>SUM(F44:F46)</f>
      </c>
      <c r="G47" s="120">
        <f>SUM(G44:G46)</f>
      </c>
      <c r="H47" s="120">
        <f>SUM(H44:H46)</f>
      </c>
      <c r="I47" s="120">
        <f>SUM(I44:I46)</f>
      </c>
      <c r="J47" s="120">
        <f>SUM(J44:J46)</f>
      </c>
      <c r="K47" s="120">
        <f>SUM(K44:K46)</f>
      </c>
      <c r="L47" s="120">
        <f>SUM(L44:L46)</f>
      </c>
      <c r="M47" s="120">
        <f>SUM(M44:M46)</f>
      </c>
      <c r="N47" s="120">
        <f>SUM(N44:N46)</f>
      </c>
      <c r="O47" s="120">
        <f>SUM(C47:N47)</f>
      </c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</row>
    <row x14ac:dyDescent="0.25" r="48" customHeight="1" ht="10.5">
      <c r="A48" s="123"/>
      <c r="B48" s="123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</row>
    <row x14ac:dyDescent="0.25" r="49" customHeight="1" ht="15.75">
      <c r="A49" s="114"/>
      <c r="B49" s="117"/>
      <c r="C49" s="115" t="s">
        <v>3127</v>
      </c>
      <c r="D49" s="115" t="s">
        <v>3128</v>
      </c>
      <c r="E49" s="115" t="s">
        <v>3129</v>
      </c>
      <c r="F49" s="115" t="s">
        <v>3130</v>
      </c>
      <c r="G49" s="115" t="s">
        <v>3131</v>
      </c>
      <c r="H49" s="115" t="s">
        <v>3132</v>
      </c>
      <c r="I49" s="115" t="s">
        <v>3133</v>
      </c>
      <c r="J49" s="115" t="s">
        <v>3134</v>
      </c>
      <c r="K49" s="115" t="s">
        <v>3135</v>
      </c>
      <c r="L49" s="115" t="s">
        <v>3136</v>
      </c>
      <c r="M49" s="115" t="s">
        <v>3137</v>
      </c>
      <c r="N49" s="115" t="s">
        <v>3138</v>
      </c>
      <c r="O49" s="115" t="s">
        <v>3139</v>
      </c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</row>
    <row x14ac:dyDescent="0.25" r="50" customHeight="1" ht="14.25">
      <c r="A50" s="118" t="s">
        <v>3253</v>
      </c>
      <c r="B50" s="119" t="s">
        <v>3254</v>
      </c>
      <c r="C50" s="127">
        <v>175</v>
      </c>
      <c r="D50" s="127">
        <v>202</v>
      </c>
      <c r="E50" s="127">
        <v>182</v>
      </c>
      <c r="F50" s="127">
        <v>0</v>
      </c>
      <c r="G50" s="127">
        <v>0</v>
      </c>
      <c r="H50" s="127">
        <v>0</v>
      </c>
      <c r="I50" s="127">
        <v>0</v>
      </c>
      <c r="J50" s="127">
        <v>0</v>
      </c>
      <c r="K50" s="127">
        <v>0</v>
      </c>
      <c r="L50" s="127">
        <v>0</v>
      </c>
      <c r="M50" s="127">
        <v>0</v>
      </c>
      <c r="N50" s="127">
        <v>0</v>
      </c>
      <c r="O50" s="120">
        <f>SUM(C50:N50)</f>
      </c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</row>
    <row x14ac:dyDescent="0.25" r="51" customHeight="1" ht="15.75">
      <c r="A51" s="117"/>
      <c r="B51" s="119" t="s">
        <v>3255</v>
      </c>
      <c r="C51" s="127">
        <v>833</v>
      </c>
      <c r="D51" s="127">
        <v>853</v>
      </c>
      <c r="E51" s="127">
        <v>917</v>
      </c>
      <c r="F51" s="127">
        <v>0</v>
      </c>
      <c r="G51" s="127">
        <v>0</v>
      </c>
      <c r="H51" s="127">
        <v>0</v>
      </c>
      <c r="I51" s="127">
        <v>0</v>
      </c>
      <c r="J51" s="127">
        <v>0</v>
      </c>
      <c r="K51" s="127">
        <v>0</v>
      </c>
      <c r="L51" s="127">
        <v>0</v>
      </c>
      <c r="M51" s="127">
        <v>0</v>
      </c>
      <c r="N51" s="127">
        <v>0</v>
      </c>
      <c r="O51" s="120">
        <f>SUM(C51:N51)</f>
      </c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</row>
    <row x14ac:dyDescent="0.25" r="52" customHeight="1" ht="15.75">
      <c r="A52" s="117"/>
      <c r="B52" s="119" t="s">
        <v>3256</v>
      </c>
      <c r="C52" s="127">
        <v>725</v>
      </c>
      <c r="D52" s="127">
        <v>643</v>
      </c>
      <c r="E52" s="127">
        <v>840</v>
      </c>
      <c r="F52" s="127">
        <v>0</v>
      </c>
      <c r="G52" s="127">
        <v>0</v>
      </c>
      <c r="H52" s="127">
        <v>0</v>
      </c>
      <c r="I52" s="127">
        <v>0</v>
      </c>
      <c r="J52" s="127">
        <v>0</v>
      </c>
      <c r="K52" s="127">
        <v>0</v>
      </c>
      <c r="L52" s="127">
        <v>0</v>
      </c>
      <c r="M52" s="127">
        <v>0</v>
      </c>
      <c r="N52" s="127">
        <v>0</v>
      </c>
      <c r="O52" s="120">
        <f>SUM(C52:N52)</f>
      </c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</row>
    <row x14ac:dyDescent="0.25" r="53" customHeight="1" ht="15.75">
      <c r="A53" s="117"/>
      <c r="B53" s="119" t="s">
        <v>3257</v>
      </c>
      <c r="C53" s="127">
        <v>565</v>
      </c>
      <c r="D53" s="127">
        <v>561</v>
      </c>
      <c r="E53" s="127">
        <v>702</v>
      </c>
      <c r="F53" s="127">
        <v>0</v>
      </c>
      <c r="G53" s="127">
        <v>0</v>
      </c>
      <c r="H53" s="127">
        <v>0</v>
      </c>
      <c r="I53" s="127">
        <v>0</v>
      </c>
      <c r="J53" s="127">
        <v>0</v>
      </c>
      <c r="K53" s="127">
        <v>0</v>
      </c>
      <c r="L53" s="127">
        <v>0</v>
      </c>
      <c r="M53" s="127">
        <v>0</v>
      </c>
      <c r="N53" s="127">
        <v>0</v>
      </c>
      <c r="O53" s="120">
        <f>SUM(C53:N53)</f>
      </c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</row>
    <row x14ac:dyDescent="0.25" r="54" customHeight="1" ht="15.75">
      <c r="A54" s="117"/>
      <c r="B54" s="119" t="s">
        <v>3258</v>
      </c>
      <c r="C54" s="127">
        <v>976</v>
      </c>
      <c r="D54" s="127">
        <v>929</v>
      </c>
      <c r="E54" s="127">
        <v>924</v>
      </c>
      <c r="F54" s="127">
        <v>0</v>
      </c>
      <c r="G54" s="127">
        <v>0</v>
      </c>
      <c r="H54" s="127">
        <v>0</v>
      </c>
      <c r="I54" s="127">
        <v>0</v>
      </c>
      <c r="J54" s="127">
        <v>0</v>
      </c>
      <c r="K54" s="127">
        <v>0</v>
      </c>
      <c r="L54" s="127">
        <v>0</v>
      </c>
      <c r="M54" s="127">
        <v>0</v>
      </c>
      <c r="N54" s="127">
        <v>0</v>
      </c>
      <c r="O54" s="120">
        <f>SUM(C54:N54)</f>
      </c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</row>
    <row x14ac:dyDescent="0.25" r="55" customHeight="1" ht="15.75">
      <c r="A55" s="117"/>
      <c r="B55" s="119" t="s">
        <v>3259</v>
      </c>
      <c r="C55" s="127">
        <v>3935</v>
      </c>
      <c r="D55" s="127">
        <v>3777</v>
      </c>
      <c r="E55" s="127">
        <v>3935</v>
      </c>
      <c r="F55" s="127">
        <v>0</v>
      </c>
      <c r="G55" s="127">
        <v>0</v>
      </c>
      <c r="H55" s="127">
        <v>0</v>
      </c>
      <c r="I55" s="127">
        <v>0</v>
      </c>
      <c r="J55" s="127">
        <v>0</v>
      </c>
      <c r="K55" s="127">
        <v>0</v>
      </c>
      <c r="L55" s="127">
        <v>0</v>
      </c>
      <c r="M55" s="127">
        <v>0</v>
      </c>
      <c r="N55" s="127">
        <v>0</v>
      </c>
      <c r="O55" s="120">
        <f>SUM(C55:N55)</f>
      </c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</row>
    <row x14ac:dyDescent="0.25" r="56" customHeight="1" ht="15.75">
      <c r="A56" s="117"/>
      <c r="B56" s="119" t="s">
        <v>3260</v>
      </c>
      <c r="C56" s="127">
        <v>1401</v>
      </c>
      <c r="D56" s="127">
        <v>1368</v>
      </c>
      <c r="E56" s="127">
        <v>1423</v>
      </c>
      <c r="F56" s="127">
        <v>0</v>
      </c>
      <c r="G56" s="127">
        <v>0</v>
      </c>
      <c r="H56" s="127">
        <v>0</v>
      </c>
      <c r="I56" s="127">
        <v>0</v>
      </c>
      <c r="J56" s="127">
        <v>0</v>
      </c>
      <c r="K56" s="127">
        <v>0</v>
      </c>
      <c r="L56" s="127">
        <v>0</v>
      </c>
      <c r="M56" s="127">
        <v>0</v>
      </c>
      <c r="N56" s="127">
        <v>0</v>
      </c>
      <c r="O56" s="120">
        <f>SUM(C56:N56)</f>
      </c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</row>
    <row x14ac:dyDescent="0.25" r="57" customHeight="1" ht="15.75">
      <c r="A57" s="117"/>
      <c r="B57" s="119" t="s">
        <v>3261</v>
      </c>
      <c r="C57" s="127">
        <v>958</v>
      </c>
      <c r="D57" s="127">
        <v>928</v>
      </c>
      <c r="E57" s="127">
        <v>886</v>
      </c>
      <c r="F57" s="127">
        <v>0</v>
      </c>
      <c r="G57" s="127">
        <v>0</v>
      </c>
      <c r="H57" s="127">
        <v>0</v>
      </c>
      <c r="I57" s="127">
        <v>0</v>
      </c>
      <c r="J57" s="127">
        <v>0</v>
      </c>
      <c r="K57" s="127">
        <v>0</v>
      </c>
      <c r="L57" s="127">
        <v>0</v>
      </c>
      <c r="M57" s="127">
        <v>0</v>
      </c>
      <c r="N57" s="127">
        <v>0</v>
      </c>
      <c r="O57" s="120">
        <f>SUM(C57:N57)</f>
      </c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</row>
    <row x14ac:dyDescent="0.25" r="58" customHeight="1" ht="15.75">
      <c r="A58" s="117"/>
      <c r="B58" s="119" t="s">
        <v>3262</v>
      </c>
      <c r="C58" s="127">
        <v>1214</v>
      </c>
      <c r="D58" s="127">
        <v>1183</v>
      </c>
      <c r="E58" s="127">
        <v>1183</v>
      </c>
      <c r="F58" s="127">
        <v>0</v>
      </c>
      <c r="G58" s="127">
        <v>0</v>
      </c>
      <c r="H58" s="127">
        <v>0</v>
      </c>
      <c r="I58" s="127">
        <v>0</v>
      </c>
      <c r="J58" s="127">
        <v>0</v>
      </c>
      <c r="K58" s="127">
        <v>0</v>
      </c>
      <c r="L58" s="127">
        <v>0</v>
      </c>
      <c r="M58" s="127">
        <v>0</v>
      </c>
      <c r="N58" s="127">
        <v>0</v>
      </c>
      <c r="O58" s="120">
        <f>SUM(C58:N58)</f>
      </c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</row>
    <row x14ac:dyDescent="0.25" r="59" customHeight="1" ht="15.75">
      <c r="A59" s="126"/>
      <c r="B59" s="119" t="s">
        <v>3139</v>
      </c>
      <c r="C59" s="127">
        <f>SUM(C50:C58)</f>
      </c>
      <c r="D59" s="127">
        <f>SUM(D50:D58)</f>
      </c>
      <c r="E59" s="127">
        <f>SUM(E50:E58)</f>
      </c>
      <c r="F59" s="127">
        <f>SUM(F50:F58)</f>
      </c>
      <c r="G59" s="127">
        <f>SUM(G50:G58)</f>
      </c>
      <c r="H59" s="127">
        <f>SUM(H50:H58)</f>
      </c>
      <c r="I59" s="127">
        <f>SUM(I50:I58)</f>
      </c>
      <c r="J59" s="127">
        <f>SUM(J50:J58)</f>
      </c>
      <c r="K59" s="127">
        <f>SUM(K50:K58)</f>
      </c>
      <c r="L59" s="127">
        <f>SUM(L50:L58)</f>
      </c>
      <c r="M59" s="127">
        <f>SUM(M50:M58)</f>
      </c>
      <c r="N59" s="127">
        <f>SUM(N50:N58)</f>
      </c>
      <c r="O59" s="120">
        <f>SUM(C59:N59)</f>
      </c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</row>
    <row x14ac:dyDescent="0.25" r="60" customHeight="1" ht="11.25">
      <c r="A60" s="123"/>
      <c r="B60" s="113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</row>
    <row x14ac:dyDescent="0.25" r="61" customHeight="1" ht="15.75">
      <c r="A61" s="114"/>
      <c r="B61" s="117"/>
      <c r="C61" s="115" t="s">
        <v>3127</v>
      </c>
      <c r="D61" s="115" t="s">
        <v>3128</v>
      </c>
      <c r="E61" s="115" t="s">
        <v>3129</v>
      </c>
      <c r="F61" s="115" t="s">
        <v>3130</v>
      </c>
      <c r="G61" s="115" t="s">
        <v>3131</v>
      </c>
      <c r="H61" s="115" t="s">
        <v>3132</v>
      </c>
      <c r="I61" s="115" t="s">
        <v>3133</v>
      </c>
      <c r="J61" s="115" t="s">
        <v>3134</v>
      </c>
      <c r="K61" s="115" t="s">
        <v>3135</v>
      </c>
      <c r="L61" s="115" t="s">
        <v>3136</v>
      </c>
      <c r="M61" s="115" t="s">
        <v>3137</v>
      </c>
      <c r="N61" s="115" t="s">
        <v>3138</v>
      </c>
      <c r="O61" s="115" t="s">
        <v>3139</v>
      </c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</row>
    <row x14ac:dyDescent="0.25" r="62" customHeight="1" ht="14.25">
      <c r="A62" s="118" t="s">
        <v>3263</v>
      </c>
      <c r="B62" s="119" t="s">
        <v>3264</v>
      </c>
      <c r="C62" s="127">
        <v>10490</v>
      </c>
      <c r="D62" s="127">
        <v>9212</v>
      </c>
      <c r="E62" s="127">
        <v>39400</v>
      </c>
      <c r="F62" s="127">
        <v>0</v>
      </c>
      <c r="G62" s="127">
        <v>0</v>
      </c>
      <c r="H62" s="127">
        <v>0</v>
      </c>
      <c r="I62" s="127">
        <v>0</v>
      </c>
      <c r="J62" s="127">
        <v>0</v>
      </c>
      <c r="K62" s="127">
        <v>0</v>
      </c>
      <c r="L62" s="127">
        <v>0</v>
      </c>
      <c r="M62" s="127">
        <v>0</v>
      </c>
      <c r="N62" s="127">
        <v>0</v>
      </c>
      <c r="O62" s="120">
        <f>SUM(C62:N62)</f>
      </c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</row>
    <row x14ac:dyDescent="0.25" r="63" customHeight="1" ht="15.75">
      <c r="A63" s="117"/>
      <c r="B63" s="119" t="s">
        <v>3265</v>
      </c>
      <c r="C63" s="127">
        <v>292</v>
      </c>
      <c r="D63" s="127">
        <v>1232</v>
      </c>
      <c r="E63" s="127">
        <v>1125</v>
      </c>
      <c r="F63" s="127">
        <v>0</v>
      </c>
      <c r="G63" s="127">
        <v>0</v>
      </c>
      <c r="H63" s="127">
        <v>0</v>
      </c>
      <c r="I63" s="127">
        <v>0</v>
      </c>
      <c r="J63" s="127">
        <v>0</v>
      </c>
      <c r="K63" s="127">
        <v>0</v>
      </c>
      <c r="L63" s="127">
        <v>0</v>
      </c>
      <c r="M63" s="127">
        <v>0</v>
      </c>
      <c r="N63" s="127">
        <v>0</v>
      </c>
      <c r="O63" s="120">
        <f>SUM(C63:N63)</f>
      </c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</row>
    <row x14ac:dyDescent="0.25" r="64" customHeight="1" ht="15.75">
      <c r="A64" s="126"/>
      <c r="B64" s="119" t="s">
        <v>3139</v>
      </c>
      <c r="C64" s="120">
        <f>SUM(C62:C63)</f>
      </c>
      <c r="D64" s="120">
        <f>SUM(D62:D63)</f>
      </c>
      <c r="E64" s="120">
        <f>SUM(E62:E63)</f>
      </c>
      <c r="F64" s="120">
        <f>SUM(F62:F63)</f>
      </c>
      <c r="G64" s="120">
        <f>SUM(G62:G63)</f>
      </c>
      <c r="H64" s="120">
        <f>SUM(H62:H63)</f>
      </c>
      <c r="I64" s="120">
        <f>SUM(I62:I63)</f>
      </c>
      <c r="J64" s="120">
        <f>SUM(J62:J63)</f>
      </c>
      <c r="K64" s="120">
        <f>SUM(K62:K63)</f>
      </c>
      <c r="L64" s="120">
        <f>SUM(L62:L63)</f>
      </c>
      <c r="M64" s="120">
        <f>SUM(M62:M63)</f>
      </c>
      <c r="N64" s="120">
        <f>SUM(N62:N63)</f>
      </c>
      <c r="O64" s="120">
        <f>SUM(C64:N64)</f>
      </c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</row>
    <row x14ac:dyDescent="0.25" r="65" customHeight="1" ht="10.5">
      <c r="A65" s="123"/>
      <c r="B65" s="113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</row>
    <row x14ac:dyDescent="0.25" r="66" customHeight="1" ht="15.75">
      <c r="A66" s="114"/>
      <c r="B66" s="117"/>
      <c r="C66" s="115" t="s">
        <v>3127</v>
      </c>
      <c r="D66" s="115" t="s">
        <v>3128</v>
      </c>
      <c r="E66" s="115" t="s">
        <v>3129</v>
      </c>
      <c r="F66" s="115" t="s">
        <v>3130</v>
      </c>
      <c r="G66" s="115" t="s">
        <v>3131</v>
      </c>
      <c r="H66" s="115" t="s">
        <v>3132</v>
      </c>
      <c r="I66" s="115" t="s">
        <v>3133</v>
      </c>
      <c r="J66" s="115" t="s">
        <v>3134</v>
      </c>
      <c r="K66" s="115" t="s">
        <v>3135</v>
      </c>
      <c r="L66" s="115" t="s">
        <v>3136</v>
      </c>
      <c r="M66" s="115" t="s">
        <v>3137</v>
      </c>
      <c r="N66" s="115" t="s">
        <v>3138</v>
      </c>
      <c r="O66" s="115" t="s">
        <v>3139</v>
      </c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</row>
    <row x14ac:dyDescent="0.25" r="67" customHeight="1" ht="15.75">
      <c r="A67" s="126" t="s">
        <v>3209</v>
      </c>
      <c r="B67" s="119" t="s">
        <v>3139</v>
      </c>
      <c r="C67" s="120">
        <v>7</v>
      </c>
      <c r="D67" s="127">
        <v>11</v>
      </c>
      <c r="E67" s="127">
        <v>5</v>
      </c>
      <c r="F67" s="127">
        <v>0</v>
      </c>
      <c r="G67" s="127">
        <v>0</v>
      </c>
      <c r="H67" s="127">
        <v>0</v>
      </c>
      <c r="I67" s="127">
        <v>0</v>
      </c>
      <c r="J67" s="127">
        <v>0</v>
      </c>
      <c r="K67" s="127">
        <v>0</v>
      </c>
      <c r="L67" s="127">
        <v>0</v>
      </c>
      <c r="M67" s="127">
        <v>0</v>
      </c>
      <c r="N67" s="127">
        <v>0</v>
      </c>
      <c r="O67" s="120">
        <f>SUM(C67:N67)</f>
      </c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</row>
    <row x14ac:dyDescent="0.25" r="68" customHeight="1" ht="15.75">
      <c r="A68" s="123"/>
      <c r="B68" s="123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</row>
    <row x14ac:dyDescent="0.25" r="69" customHeight="1" ht="15.75">
      <c r="A69" s="123"/>
      <c r="B69" s="123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</row>
    <row x14ac:dyDescent="0.25" r="70" customHeight="1" ht="15.75">
      <c r="A70" s="123"/>
      <c r="B70" s="123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</row>
    <row x14ac:dyDescent="0.25" r="71" customHeight="1" ht="15.75">
      <c r="A71" s="123"/>
      <c r="B71" s="123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</row>
    <row x14ac:dyDescent="0.25" r="72" customHeight="1" ht="15.75">
      <c r="A72" s="123"/>
      <c r="B72" s="123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</row>
    <row x14ac:dyDescent="0.25" r="73" customHeight="1" ht="15.75">
      <c r="A73" s="123"/>
      <c r="B73" s="123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</row>
    <row x14ac:dyDescent="0.25" r="74" customHeight="1" ht="15.75">
      <c r="A74" s="123"/>
      <c r="B74" s="123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</row>
    <row x14ac:dyDescent="0.25" r="75" customHeight="1" ht="15.75">
      <c r="A75" s="123"/>
      <c r="B75" s="123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</row>
    <row x14ac:dyDescent="0.25" r="76" customHeight="1" ht="15.75">
      <c r="A76" s="123"/>
      <c r="B76" s="123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</row>
    <row x14ac:dyDescent="0.25" r="77" customHeight="1" ht="15.75">
      <c r="A77" s="123"/>
      <c r="B77" s="123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</row>
    <row x14ac:dyDescent="0.25" r="78" customHeight="1" ht="15.75">
      <c r="A78" s="123"/>
      <c r="B78" s="123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</row>
    <row x14ac:dyDescent="0.25" r="79" customHeight="1" ht="15.75">
      <c r="A79" s="123"/>
      <c r="B79" s="123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</row>
    <row x14ac:dyDescent="0.25" r="80" customHeight="1" ht="15.75">
      <c r="A80" s="123"/>
      <c r="B80" s="123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</row>
    <row x14ac:dyDescent="0.25" r="81" customHeight="1" ht="15.75">
      <c r="A81" s="123"/>
      <c r="B81" s="123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</row>
    <row x14ac:dyDescent="0.25" r="82" customHeight="1" ht="15.75">
      <c r="A82" s="123"/>
      <c r="B82" s="123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</row>
    <row x14ac:dyDescent="0.25" r="83" customHeight="1" ht="15.75">
      <c r="A83" s="123"/>
      <c r="B83" s="123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</row>
    <row x14ac:dyDescent="0.25" r="84" customHeight="1" ht="15.75">
      <c r="A84" s="123"/>
      <c r="B84" s="123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</row>
    <row x14ac:dyDescent="0.25" r="85" customHeight="1" ht="15.75">
      <c r="A85" s="123"/>
      <c r="B85" s="123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</row>
    <row x14ac:dyDescent="0.25" r="86" customHeight="1" ht="15.75">
      <c r="A86" s="123"/>
      <c r="B86" s="123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</row>
    <row x14ac:dyDescent="0.25" r="87" customHeight="1" ht="15.75">
      <c r="A87" s="123"/>
      <c r="B87" s="123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</row>
    <row x14ac:dyDescent="0.25" r="88" customHeight="1" ht="15.75">
      <c r="A88" s="123"/>
      <c r="B88" s="123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</row>
    <row x14ac:dyDescent="0.25" r="89" customHeight="1" ht="15.75">
      <c r="A89" s="123"/>
      <c r="B89" s="123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</row>
    <row x14ac:dyDescent="0.25" r="90" customHeight="1" ht="15.75">
      <c r="A90" s="123"/>
      <c r="B90" s="123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</row>
    <row x14ac:dyDescent="0.25" r="91" customHeight="1" ht="15.75">
      <c r="A91" s="123"/>
      <c r="B91" s="123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</row>
    <row x14ac:dyDescent="0.25" r="92" customHeight="1" ht="15.75">
      <c r="A92" s="123"/>
      <c r="B92" s="123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</row>
    <row x14ac:dyDescent="0.25" r="93" customHeight="1" ht="15.75">
      <c r="A93" s="123"/>
      <c r="B93" s="123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</row>
    <row x14ac:dyDescent="0.25" r="94" customHeight="1" ht="15.75">
      <c r="A94" s="123"/>
      <c r="B94" s="123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</row>
    <row x14ac:dyDescent="0.25" r="95" customHeight="1" ht="15.75">
      <c r="A95" s="123"/>
      <c r="B95" s="123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</row>
    <row x14ac:dyDescent="0.25" r="96" customHeight="1" ht="15.75">
      <c r="A96" s="123"/>
      <c r="B96" s="123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</row>
    <row x14ac:dyDescent="0.25" r="97" customHeight="1" ht="15.75">
      <c r="A97" s="123"/>
      <c r="B97" s="123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</row>
    <row x14ac:dyDescent="0.25" r="98" customHeight="1" ht="15.75">
      <c r="A98" s="123"/>
      <c r="B98" s="123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</row>
    <row x14ac:dyDescent="0.25" r="99" customHeight="1" ht="15.75">
      <c r="A99" s="123"/>
      <c r="B99" s="123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</row>
    <row x14ac:dyDescent="0.25" r="100" customHeight="1" ht="15.75">
      <c r="A100" s="123"/>
      <c r="B100" s="123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</row>
    <row x14ac:dyDescent="0.25" r="101" customHeight="1" ht="15.75">
      <c r="A101" s="123"/>
      <c r="B101" s="123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</row>
    <row x14ac:dyDescent="0.25" r="102" customHeight="1" ht="15.75">
      <c r="A102" s="123"/>
      <c r="B102" s="123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</row>
    <row x14ac:dyDescent="0.25" r="103" customHeight="1" ht="15.75">
      <c r="A103" s="123"/>
      <c r="B103" s="123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</row>
    <row x14ac:dyDescent="0.25" r="104" customHeight="1" ht="15.75">
      <c r="A104" s="123"/>
      <c r="B104" s="123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</row>
    <row x14ac:dyDescent="0.25" r="105" customHeight="1" ht="15.75">
      <c r="A105" s="123"/>
      <c r="B105" s="123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</row>
    <row x14ac:dyDescent="0.25" r="106" customHeight="1" ht="15.75">
      <c r="A106" s="123"/>
      <c r="B106" s="123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</row>
    <row x14ac:dyDescent="0.25" r="107" customHeight="1" ht="15.75">
      <c r="A107" s="123"/>
      <c r="B107" s="123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</row>
    <row x14ac:dyDescent="0.25" r="108" customHeight="1" ht="15.75">
      <c r="A108" s="123"/>
      <c r="B108" s="123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</row>
    <row x14ac:dyDescent="0.25" r="109" customHeight="1" ht="15.75">
      <c r="A109" s="123"/>
      <c r="B109" s="123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</row>
    <row x14ac:dyDescent="0.25" r="110" customHeight="1" ht="15.75">
      <c r="A110" s="123"/>
      <c r="B110" s="123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</row>
    <row x14ac:dyDescent="0.25" r="111" customHeight="1" ht="15.75">
      <c r="A111" s="123"/>
      <c r="B111" s="123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</row>
    <row x14ac:dyDescent="0.25" r="112" customHeight="1" ht="15.75">
      <c r="A112" s="123"/>
      <c r="B112" s="123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</row>
    <row x14ac:dyDescent="0.25" r="113" customHeight="1" ht="15.75">
      <c r="A113" s="123"/>
      <c r="B113" s="123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</row>
    <row x14ac:dyDescent="0.25" r="114" customHeight="1" ht="15.75">
      <c r="A114" s="123"/>
      <c r="B114" s="123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</row>
    <row x14ac:dyDescent="0.25" r="115" customHeight="1" ht="15.75">
      <c r="A115" s="123"/>
      <c r="B115" s="123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</row>
    <row x14ac:dyDescent="0.25" r="116" customHeight="1" ht="15.75">
      <c r="A116" s="123"/>
      <c r="B116" s="123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</row>
    <row x14ac:dyDescent="0.25" r="117" customHeight="1" ht="15.75">
      <c r="A117" s="123"/>
      <c r="B117" s="123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</row>
    <row x14ac:dyDescent="0.25" r="118" customHeight="1" ht="15.75">
      <c r="A118" s="123"/>
      <c r="B118" s="123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</row>
    <row x14ac:dyDescent="0.25" r="119" customHeight="1" ht="15.75">
      <c r="A119" s="123"/>
      <c r="B119" s="123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</row>
    <row x14ac:dyDescent="0.25" r="120" customHeight="1" ht="15.75">
      <c r="A120" s="123"/>
      <c r="B120" s="123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</row>
    <row x14ac:dyDescent="0.25" r="121" customHeight="1" ht="15.75">
      <c r="A121" s="123"/>
      <c r="B121" s="123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</row>
    <row x14ac:dyDescent="0.25" r="122" customHeight="1" ht="15.75">
      <c r="A122" s="123"/>
      <c r="B122" s="123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</row>
    <row x14ac:dyDescent="0.25" r="123" customHeight="1" ht="15.75">
      <c r="A123" s="123"/>
      <c r="B123" s="123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</row>
    <row x14ac:dyDescent="0.25" r="124" customHeight="1" ht="15.75">
      <c r="A124" s="123"/>
      <c r="B124" s="123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</row>
    <row x14ac:dyDescent="0.25" r="125" customHeight="1" ht="15.75">
      <c r="A125" s="123"/>
      <c r="B125" s="123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</row>
    <row x14ac:dyDescent="0.25" r="126" customHeight="1" ht="15.75">
      <c r="A126" s="123"/>
      <c r="B126" s="123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</row>
    <row x14ac:dyDescent="0.25" r="127" customHeight="1" ht="15.75">
      <c r="A127" s="123"/>
      <c r="B127" s="123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</row>
    <row x14ac:dyDescent="0.25" r="128" customHeight="1" ht="15.75">
      <c r="A128" s="123"/>
      <c r="B128" s="123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</row>
    <row x14ac:dyDescent="0.25" r="129" customHeight="1" ht="15.75">
      <c r="A129" s="123"/>
      <c r="B129" s="123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</row>
    <row x14ac:dyDescent="0.25" r="130" customHeight="1" ht="15.75">
      <c r="A130" s="123"/>
      <c r="B130" s="123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</row>
    <row x14ac:dyDescent="0.25" r="131" customHeight="1" ht="15.75">
      <c r="A131" s="123"/>
      <c r="B131" s="123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</row>
    <row x14ac:dyDescent="0.25" r="132" customHeight="1" ht="15.75">
      <c r="A132" s="123"/>
      <c r="B132" s="123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</row>
    <row x14ac:dyDescent="0.25" r="133" customHeight="1" ht="15.75">
      <c r="A133" s="123"/>
      <c r="B133" s="123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</row>
    <row x14ac:dyDescent="0.25" r="134" customHeight="1" ht="15.75">
      <c r="A134" s="123"/>
      <c r="B134" s="123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</row>
    <row x14ac:dyDescent="0.25" r="135" customHeight="1" ht="15.75">
      <c r="A135" s="123"/>
      <c r="B135" s="123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</row>
    <row x14ac:dyDescent="0.25" r="136" customHeight="1" ht="15.75">
      <c r="A136" s="123"/>
      <c r="B136" s="123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</row>
    <row x14ac:dyDescent="0.25" r="137" customHeight="1" ht="15.75">
      <c r="A137" s="123"/>
      <c r="B137" s="123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</row>
    <row x14ac:dyDescent="0.25" r="138" customHeight="1" ht="15.75">
      <c r="A138" s="123"/>
      <c r="B138" s="123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</row>
    <row x14ac:dyDescent="0.25" r="139" customHeight="1" ht="15.75">
      <c r="A139" s="123"/>
      <c r="B139" s="123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</row>
    <row x14ac:dyDescent="0.25" r="140" customHeight="1" ht="15.75">
      <c r="A140" s="123"/>
      <c r="B140" s="123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</row>
    <row x14ac:dyDescent="0.25" r="141" customHeight="1" ht="15.75">
      <c r="A141" s="123"/>
      <c r="B141" s="123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</row>
    <row x14ac:dyDescent="0.25" r="142" customHeight="1" ht="15.75">
      <c r="A142" s="123"/>
      <c r="B142" s="123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</row>
    <row x14ac:dyDescent="0.25" r="143" customHeight="1" ht="15.75">
      <c r="A143" s="123"/>
      <c r="B143" s="123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</row>
    <row x14ac:dyDescent="0.25" r="144" customHeight="1" ht="15.75">
      <c r="A144" s="123"/>
      <c r="B144" s="123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</row>
    <row x14ac:dyDescent="0.25" r="145" customHeight="1" ht="15.75">
      <c r="A145" s="123"/>
      <c r="B145" s="123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</row>
    <row x14ac:dyDescent="0.25" r="146" customHeight="1" ht="15.75">
      <c r="A146" s="123"/>
      <c r="B146" s="123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</row>
    <row x14ac:dyDescent="0.25" r="147" customHeight="1" ht="15.75">
      <c r="A147" s="123"/>
      <c r="B147" s="123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</row>
    <row x14ac:dyDescent="0.25" r="148" customHeight="1" ht="15.75">
      <c r="A148" s="123"/>
      <c r="B148" s="123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</row>
    <row x14ac:dyDescent="0.25" r="149" customHeight="1" ht="15.75">
      <c r="A149" s="123"/>
      <c r="B149" s="123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</row>
    <row x14ac:dyDescent="0.25" r="150" customHeight="1" ht="15.75">
      <c r="A150" s="123"/>
      <c r="B150" s="123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</row>
    <row x14ac:dyDescent="0.25" r="151" customHeight="1" ht="15.75">
      <c r="A151" s="123"/>
      <c r="B151" s="123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</row>
    <row x14ac:dyDescent="0.25" r="152" customHeight="1" ht="15.75">
      <c r="A152" s="123"/>
      <c r="B152" s="123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</row>
    <row x14ac:dyDescent="0.25" r="153" customHeight="1" ht="15.75">
      <c r="A153" s="123"/>
      <c r="B153" s="123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</row>
    <row x14ac:dyDescent="0.25" r="154" customHeight="1" ht="15.75">
      <c r="A154" s="123"/>
      <c r="B154" s="123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</row>
    <row x14ac:dyDescent="0.25" r="155" customHeight="1" ht="15.75">
      <c r="A155" s="123"/>
      <c r="B155" s="123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</row>
    <row x14ac:dyDescent="0.25" r="156" customHeight="1" ht="15.75">
      <c r="A156" s="123"/>
      <c r="B156" s="123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</row>
    <row x14ac:dyDescent="0.25" r="157" customHeight="1" ht="15.75">
      <c r="A157" s="123"/>
      <c r="B157" s="123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</row>
    <row x14ac:dyDescent="0.25" r="158" customHeight="1" ht="15.75">
      <c r="A158" s="123"/>
      <c r="B158" s="123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</row>
    <row x14ac:dyDescent="0.25" r="159" customHeight="1" ht="15.75">
      <c r="A159" s="123"/>
      <c r="B159" s="123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</row>
    <row x14ac:dyDescent="0.25" r="160" customHeight="1" ht="15.75">
      <c r="A160" s="123"/>
      <c r="B160" s="123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</row>
    <row x14ac:dyDescent="0.25" r="161" customHeight="1" ht="15.75">
      <c r="A161" s="123"/>
      <c r="B161" s="123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</row>
    <row x14ac:dyDescent="0.25" r="162" customHeight="1" ht="15.75">
      <c r="A162" s="123"/>
      <c r="B162" s="123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</row>
    <row x14ac:dyDescent="0.25" r="163" customHeight="1" ht="15.75">
      <c r="A163" s="123"/>
      <c r="B163" s="123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</row>
    <row x14ac:dyDescent="0.25" r="164" customHeight="1" ht="15.75">
      <c r="A164" s="123"/>
      <c r="B164" s="123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</row>
    <row x14ac:dyDescent="0.25" r="165" customHeight="1" ht="15.75">
      <c r="A165" s="123"/>
      <c r="B165" s="123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</row>
    <row x14ac:dyDescent="0.25" r="166" customHeight="1" ht="15.75">
      <c r="A166" s="123"/>
      <c r="B166" s="123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</row>
    <row x14ac:dyDescent="0.25" r="167" customHeight="1" ht="15.75">
      <c r="A167" s="123"/>
      <c r="B167" s="123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</row>
    <row x14ac:dyDescent="0.25" r="168" customHeight="1" ht="15.75">
      <c r="A168" s="123"/>
      <c r="B168" s="123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</row>
    <row x14ac:dyDescent="0.25" r="169" customHeight="1" ht="15.75">
      <c r="A169" s="123"/>
      <c r="B169" s="123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</row>
    <row x14ac:dyDescent="0.25" r="170" customHeight="1" ht="15.75">
      <c r="A170" s="123"/>
      <c r="B170" s="123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</row>
    <row x14ac:dyDescent="0.25" r="171" customHeight="1" ht="15.75">
      <c r="A171" s="123"/>
      <c r="B171" s="123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</row>
    <row x14ac:dyDescent="0.25" r="172" customHeight="1" ht="15.75">
      <c r="A172" s="123"/>
      <c r="B172" s="123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</row>
    <row x14ac:dyDescent="0.25" r="173" customHeight="1" ht="15.75">
      <c r="A173" s="123"/>
      <c r="B173" s="123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</row>
    <row x14ac:dyDescent="0.25" r="174" customHeight="1" ht="15.75">
      <c r="A174" s="123"/>
      <c r="B174" s="123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</row>
    <row x14ac:dyDescent="0.25" r="175" customHeight="1" ht="15.75">
      <c r="A175" s="123"/>
      <c r="B175" s="123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</row>
    <row x14ac:dyDescent="0.25" r="176" customHeight="1" ht="15.75">
      <c r="A176" s="123"/>
      <c r="B176" s="123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</row>
    <row x14ac:dyDescent="0.25" r="177" customHeight="1" ht="15.75">
      <c r="A177" s="123"/>
      <c r="B177" s="123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</row>
    <row x14ac:dyDescent="0.25" r="178" customHeight="1" ht="15.75">
      <c r="A178" s="123"/>
      <c r="B178" s="123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</row>
    <row x14ac:dyDescent="0.25" r="179" customHeight="1" ht="15.75">
      <c r="A179" s="123"/>
      <c r="B179" s="123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</row>
    <row x14ac:dyDescent="0.25" r="180" customHeight="1" ht="15.75">
      <c r="A180" s="123"/>
      <c r="B180" s="123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</row>
    <row x14ac:dyDescent="0.25" r="181" customHeight="1" ht="15.75">
      <c r="A181" s="123"/>
      <c r="B181" s="123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</row>
    <row x14ac:dyDescent="0.25" r="182" customHeight="1" ht="15.75">
      <c r="A182" s="123"/>
      <c r="B182" s="123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</row>
    <row x14ac:dyDescent="0.25" r="183" customHeight="1" ht="15.75">
      <c r="A183" s="123"/>
      <c r="B183" s="123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</row>
    <row x14ac:dyDescent="0.25" r="184" customHeight="1" ht="15.75">
      <c r="A184" s="123"/>
      <c r="B184" s="123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</row>
    <row x14ac:dyDescent="0.25" r="185" customHeight="1" ht="15.75">
      <c r="A185" s="123"/>
      <c r="B185" s="123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</row>
    <row x14ac:dyDescent="0.25" r="186" customHeight="1" ht="15.75">
      <c r="A186" s="123"/>
      <c r="B186" s="123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</row>
    <row x14ac:dyDescent="0.25" r="187" customHeight="1" ht="15.75">
      <c r="A187" s="123"/>
      <c r="B187" s="123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</row>
    <row x14ac:dyDescent="0.25" r="188" customHeight="1" ht="15.75">
      <c r="A188" s="123"/>
      <c r="B188" s="123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</row>
    <row x14ac:dyDescent="0.25" r="189" customHeight="1" ht="15.75">
      <c r="A189" s="123"/>
      <c r="B189" s="123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</row>
    <row x14ac:dyDescent="0.25" r="190" customHeight="1" ht="15.75">
      <c r="A190" s="123"/>
      <c r="B190" s="123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</row>
    <row x14ac:dyDescent="0.25" r="191" customHeight="1" ht="15.75">
      <c r="A191" s="123"/>
      <c r="B191" s="123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</row>
    <row x14ac:dyDescent="0.25" r="192" customHeight="1" ht="15.75">
      <c r="A192" s="123"/>
      <c r="B192" s="123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</row>
    <row x14ac:dyDescent="0.25" r="193" customHeight="1" ht="15.75">
      <c r="A193" s="123"/>
      <c r="B193" s="123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</row>
    <row x14ac:dyDescent="0.25" r="194" customHeight="1" ht="15.75">
      <c r="A194" s="123"/>
      <c r="B194" s="123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</row>
    <row x14ac:dyDescent="0.25" r="195" customHeight="1" ht="15.75">
      <c r="A195" s="123"/>
      <c r="B195" s="123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</row>
    <row x14ac:dyDescent="0.25" r="196" customHeight="1" ht="15.75">
      <c r="A196" s="123"/>
      <c r="B196" s="123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</row>
    <row x14ac:dyDescent="0.25" r="197" customHeight="1" ht="15.75">
      <c r="A197" s="123"/>
      <c r="B197" s="123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</row>
    <row x14ac:dyDescent="0.25" r="198" customHeight="1" ht="15.75">
      <c r="A198" s="123"/>
      <c r="B198" s="123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</row>
    <row x14ac:dyDescent="0.25" r="199" customHeight="1" ht="15.75">
      <c r="A199" s="123"/>
      <c r="B199" s="123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</row>
    <row x14ac:dyDescent="0.25" r="200" customHeight="1" ht="15.75">
      <c r="A200" s="123"/>
      <c r="B200" s="123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</row>
    <row x14ac:dyDescent="0.25" r="201" customHeight="1" ht="15.75">
      <c r="A201" s="123"/>
      <c r="B201" s="123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</row>
    <row x14ac:dyDescent="0.25" r="202" customHeight="1" ht="15.75">
      <c r="A202" s="123"/>
      <c r="B202" s="123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</row>
    <row x14ac:dyDescent="0.25" r="203" customHeight="1" ht="15.75">
      <c r="A203" s="123"/>
      <c r="B203" s="123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</row>
    <row x14ac:dyDescent="0.25" r="204" customHeight="1" ht="15.75">
      <c r="A204" s="123"/>
      <c r="B204" s="123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</row>
    <row x14ac:dyDescent="0.25" r="205" customHeight="1" ht="15.75">
      <c r="A205" s="123"/>
      <c r="B205" s="123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</row>
    <row x14ac:dyDescent="0.25" r="206" customHeight="1" ht="15.75">
      <c r="A206" s="123"/>
      <c r="B206" s="123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</row>
    <row x14ac:dyDescent="0.25" r="207" customHeight="1" ht="15.75">
      <c r="A207" s="123"/>
      <c r="B207" s="123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</row>
    <row x14ac:dyDescent="0.25" r="208" customHeight="1" ht="15.75">
      <c r="A208" s="123"/>
      <c r="B208" s="123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</row>
    <row x14ac:dyDescent="0.25" r="209" customHeight="1" ht="15.75">
      <c r="A209" s="123"/>
      <c r="B209" s="123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</row>
    <row x14ac:dyDescent="0.25" r="210" customHeight="1" ht="15.75">
      <c r="A210" s="123"/>
      <c r="B210" s="123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</row>
    <row x14ac:dyDescent="0.25" r="211" customHeight="1" ht="15.75">
      <c r="A211" s="123"/>
      <c r="B211" s="123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</row>
    <row x14ac:dyDescent="0.25" r="212" customHeight="1" ht="15.75">
      <c r="A212" s="123"/>
      <c r="B212" s="123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</row>
    <row x14ac:dyDescent="0.25" r="213" customHeight="1" ht="15.75">
      <c r="A213" s="123"/>
      <c r="B213" s="123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</row>
    <row x14ac:dyDescent="0.25" r="214" customHeight="1" ht="15.75">
      <c r="A214" s="123"/>
      <c r="B214" s="123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</row>
    <row x14ac:dyDescent="0.25" r="215" customHeight="1" ht="15.75">
      <c r="A215" s="123"/>
      <c r="B215" s="123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</row>
    <row x14ac:dyDescent="0.25" r="216" customHeight="1" ht="15.75">
      <c r="A216" s="123"/>
      <c r="B216" s="123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</row>
    <row x14ac:dyDescent="0.25" r="217" customHeight="1" ht="15.75">
      <c r="A217" s="123"/>
      <c r="B217" s="123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</row>
    <row x14ac:dyDescent="0.25" r="218" customHeight="1" ht="15.75">
      <c r="A218" s="123"/>
      <c r="B218" s="123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</row>
    <row x14ac:dyDescent="0.25" r="219" customHeight="1" ht="15.75">
      <c r="A219" s="123"/>
      <c r="B219" s="123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</row>
    <row x14ac:dyDescent="0.25" r="220" customHeight="1" ht="15.75">
      <c r="A220" s="123"/>
      <c r="B220" s="123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</row>
    <row x14ac:dyDescent="0.25" r="221" customHeight="1" ht="15.75">
      <c r="A221" s="123"/>
      <c r="B221" s="123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</row>
    <row x14ac:dyDescent="0.25" r="222" customHeight="1" ht="15.75">
      <c r="A222" s="123"/>
      <c r="B222" s="123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</row>
    <row x14ac:dyDescent="0.25" r="223" customHeight="1" ht="15.75">
      <c r="A223" s="123"/>
      <c r="B223" s="123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</row>
    <row x14ac:dyDescent="0.25" r="224" customHeight="1" ht="15.75">
      <c r="A224" s="123"/>
      <c r="B224" s="123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</row>
    <row x14ac:dyDescent="0.25" r="225" customHeight="1" ht="15.75">
      <c r="A225" s="123"/>
      <c r="B225" s="123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</row>
    <row x14ac:dyDescent="0.25" r="226" customHeight="1" ht="15.75">
      <c r="A226" s="123"/>
      <c r="B226" s="123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</row>
    <row x14ac:dyDescent="0.25" r="227" customHeight="1" ht="15.75">
      <c r="A227" s="123"/>
      <c r="B227" s="123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</row>
    <row x14ac:dyDescent="0.25" r="228" customHeight="1" ht="15.75">
      <c r="A228" s="123"/>
      <c r="B228" s="123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</row>
    <row x14ac:dyDescent="0.25" r="229" customHeight="1" ht="15.75">
      <c r="A229" s="123"/>
      <c r="B229" s="123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</row>
    <row x14ac:dyDescent="0.25" r="230" customHeight="1" ht="15.75">
      <c r="A230" s="123"/>
      <c r="B230" s="123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</row>
    <row x14ac:dyDescent="0.25" r="231" customHeight="1" ht="15.75">
      <c r="A231" s="123"/>
      <c r="B231" s="123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</row>
    <row x14ac:dyDescent="0.25" r="232" customHeight="1" ht="15.75">
      <c r="A232" s="123"/>
      <c r="B232" s="123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</row>
    <row x14ac:dyDescent="0.25" r="233" customHeight="1" ht="15.75">
      <c r="A233" s="123"/>
      <c r="B233" s="123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</row>
    <row x14ac:dyDescent="0.25" r="234" customHeight="1" ht="15.75">
      <c r="A234" s="123"/>
      <c r="B234" s="123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</row>
    <row x14ac:dyDescent="0.25" r="235" customHeight="1" ht="15.75">
      <c r="A235" s="123"/>
      <c r="B235" s="123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</row>
    <row x14ac:dyDescent="0.25" r="236" customHeight="1" ht="15.75">
      <c r="A236" s="123"/>
      <c r="B236" s="123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</row>
    <row x14ac:dyDescent="0.25" r="237" customHeight="1" ht="15.75">
      <c r="A237" s="123"/>
      <c r="B237" s="123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</row>
    <row x14ac:dyDescent="0.25" r="238" customHeight="1" ht="15.75">
      <c r="A238" s="123"/>
      <c r="B238" s="123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</row>
    <row x14ac:dyDescent="0.25" r="239" customHeight="1" ht="15.75">
      <c r="A239" s="123"/>
      <c r="B239" s="123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</row>
    <row x14ac:dyDescent="0.25" r="240" customHeight="1" ht="15.75">
      <c r="A240" s="123"/>
      <c r="B240" s="123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</row>
    <row x14ac:dyDescent="0.25" r="241" customHeight="1" ht="15.75">
      <c r="A241" s="123"/>
      <c r="B241" s="123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</row>
    <row x14ac:dyDescent="0.25" r="242" customHeight="1" ht="15.75">
      <c r="A242" s="123"/>
      <c r="B242" s="123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</row>
    <row x14ac:dyDescent="0.25" r="243" customHeight="1" ht="15.75">
      <c r="A243" s="123"/>
      <c r="B243" s="123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</row>
    <row x14ac:dyDescent="0.25" r="244" customHeight="1" ht="15.75">
      <c r="A244" s="123"/>
      <c r="B244" s="123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</row>
    <row x14ac:dyDescent="0.25" r="245" customHeight="1" ht="15.75">
      <c r="A245" s="123"/>
      <c r="B245" s="123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</row>
    <row x14ac:dyDescent="0.25" r="246" customHeight="1" ht="15.75">
      <c r="A246" s="123"/>
      <c r="B246" s="123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</row>
    <row x14ac:dyDescent="0.25" r="247" customHeight="1" ht="15.75">
      <c r="A247" s="123"/>
      <c r="B247" s="123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</row>
    <row x14ac:dyDescent="0.25" r="248" customHeight="1" ht="15.75">
      <c r="A248" s="123"/>
      <c r="B248" s="123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</row>
    <row x14ac:dyDescent="0.25" r="249" customHeight="1" ht="15.75">
      <c r="A249" s="123"/>
      <c r="B249" s="123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</row>
    <row x14ac:dyDescent="0.25" r="250" customHeight="1" ht="15.75">
      <c r="A250" s="123"/>
      <c r="B250" s="123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</row>
    <row x14ac:dyDescent="0.25" r="251" customHeight="1" ht="15.75">
      <c r="A251" s="123"/>
      <c r="B251" s="123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</row>
    <row x14ac:dyDescent="0.25" r="252" customHeight="1" ht="15.75">
      <c r="A252" s="123"/>
      <c r="B252" s="123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</row>
    <row x14ac:dyDescent="0.25" r="253" customHeight="1" ht="15.75">
      <c r="A253" s="123"/>
      <c r="B253" s="123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</row>
    <row x14ac:dyDescent="0.25" r="254" customHeight="1" ht="15.75">
      <c r="A254" s="123"/>
      <c r="B254" s="123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</row>
    <row x14ac:dyDescent="0.25" r="255" customHeight="1" ht="15.75">
      <c r="A255" s="123"/>
      <c r="B255" s="123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</row>
    <row x14ac:dyDescent="0.25" r="256" customHeight="1" ht="15.75">
      <c r="A256" s="123"/>
      <c r="B256" s="123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</row>
    <row x14ac:dyDescent="0.25" r="257" customHeight="1" ht="15.75">
      <c r="A257" s="123"/>
      <c r="B257" s="123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</row>
    <row x14ac:dyDescent="0.25" r="258" customHeight="1" ht="15.75">
      <c r="A258" s="123"/>
      <c r="B258" s="123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</row>
    <row x14ac:dyDescent="0.25" r="259" customHeight="1" ht="15.75">
      <c r="A259" s="123"/>
      <c r="B259" s="123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</row>
    <row x14ac:dyDescent="0.25" r="260" customHeight="1" ht="15.75">
      <c r="A260" s="123"/>
      <c r="B260" s="123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</row>
    <row x14ac:dyDescent="0.25" r="261" customHeight="1" ht="15.75">
      <c r="A261" s="123"/>
      <c r="B261" s="123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</row>
    <row x14ac:dyDescent="0.25" r="262" customHeight="1" ht="15.75">
      <c r="A262" s="123"/>
      <c r="B262" s="123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</row>
    <row x14ac:dyDescent="0.25" r="263" customHeight="1" ht="15.75">
      <c r="A263" s="123"/>
      <c r="B263" s="123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</row>
    <row x14ac:dyDescent="0.25" r="264" customHeight="1" ht="15.75">
      <c r="A264" s="123"/>
      <c r="B264" s="123"/>
      <c r="C264" s="124"/>
      <c r="D264" s="124"/>
      <c r="E264" s="124"/>
      <c r="F264" s="124"/>
      <c r="G264" s="124"/>
      <c r="H264" s="124"/>
      <c r="I264" s="124"/>
      <c r="J264" s="124"/>
      <c r="K264" s="124"/>
      <c r="L264" s="124"/>
      <c r="M264" s="124"/>
      <c r="N264" s="124"/>
      <c r="O264" s="124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</row>
    <row x14ac:dyDescent="0.25" r="265" customHeight="1" ht="15.75">
      <c r="A265" s="123"/>
      <c r="B265" s="123"/>
      <c r="C265" s="124"/>
      <c r="D265" s="124"/>
      <c r="E265" s="124"/>
      <c r="F265" s="124"/>
      <c r="G265" s="124"/>
      <c r="H265" s="124"/>
      <c r="I265" s="124"/>
      <c r="J265" s="124"/>
      <c r="K265" s="124"/>
      <c r="L265" s="124"/>
      <c r="M265" s="124"/>
      <c r="N265" s="124"/>
      <c r="O265" s="124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</row>
    <row x14ac:dyDescent="0.25" r="266" customHeight="1" ht="15.75">
      <c r="A266" s="123"/>
      <c r="B266" s="123"/>
      <c r="C266" s="124"/>
      <c r="D266" s="124"/>
      <c r="E266" s="124"/>
      <c r="F266" s="124"/>
      <c r="G266" s="124"/>
      <c r="H266" s="124"/>
      <c r="I266" s="124"/>
      <c r="J266" s="124"/>
      <c r="K266" s="124"/>
      <c r="L266" s="124"/>
      <c r="M266" s="124"/>
      <c r="N266" s="124"/>
      <c r="O266" s="124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</row>
    <row x14ac:dyDescent="0.25" r="267" customHeight="1" ht="15.75">
      <c r="A267" s="123"/>
      <c r="B267" s="123"/>
      <c r="C267" s="124"/>
      <c r="D267" s="124"/>
      <c r="E267" s="124"/>
      <c r="F267" s="124"/>
      <c r="G267" s="124"/>
      <c r="H267" s="124"/>
      <c r="I267" s="124"/>
      <c r="J267" s="124"/>
      <c r="K267" s="124"/>
      <c r="L267" s="124"/>
      <c r="M267" s="124"/>
      <c r="N267" s="124"/>
      <c r="O267" s="124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</row>
    <row x14ac:dyDescent="0.25" r="268" customHeight="1" ht="15.75">
      <c r="A268" s="123"/>
      <c r="B268" s="123"/>
      <c r="C268" s="124"/>
      <c r="D268" s="124"/>
      <c r="E268" s="124"/>
      <c r="F268" s="124"/>
      <c r="G268" s="124"/>
      <c r="H268" s="124"/>
      <c r="I268" s="124"/>
      <c r="J268" s="124"/>
      <c r="K268" s="124"/>
      <c r="L268" s="124"/>
      <c r="M268" s="124"/>
      <c r="N268" s="124"/>
      <c r="O268" s="124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</row>
    <row x14ac:dyDescent="0.25" r="269" customHeight="1" ht="15.75">
      <c r="A269" s="123"/>
      <c r="B269" s="123"/>
      <c r="C269" s="124"/>
      <c r="D269" s="124"/>
      <c r="E269" s="124"/>
      <c r="F269" s="124"/>
      <c r="G269" s="124"/>
      <c r="H269" s="124"/>
      <c r="I269" s="124"/>
      <c r="J269" s="124"/>
      <c r="K269" s="124"/>
      <c r="L269" s="124"/>
      <c r="M269" s="124"/>
      <c r="N269" s="124"/>
      <c r="O269" s="124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</row>
    <row x14ac:dyDescent="0.25" r="270" customHeight="1" ht="15.75">
      <c r="A270" s="123"/>
      <c r="B270" s="123"/>
      <c r="C270" s="124"/>
      <c r="D270" s="124"/>
      <c r="E270" s="124"/>
      <c r="F270" s="124"/>
      <c r="G270" s="124"/>
      <c r="H270" s="124"/>
      <c r="I270" s="124"/>
      <c r="J270" s="124"/>
      <c r="K270" s="124"/>
      <c r="L270" s="124"/>
      <c r="M270" s="124"/>
      <c r="N270" s="124"/>
      <c r="O270" s="124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</row>
    <row x14ac:dyDescent="0.25" r="271" customHeight="1" ht="15.75">
      <c r="A271" s="123"/>
      <c r="B271" s="123"/>
      <c r="C271" s="124"/>
      <c r="D271" s="124"/>
      <c r="E271" s="124"/>
      <c r="F271" s="124"/>
      <c r="G271" s="124"/>
      <c r="H271" s="124"/>
      <c r="I271" s="124"/>
      <c r="J271" s="124"/>
      <c r="K271" s="124"/>
      <c r="L271" s="124"/>
      <c r="M271" s="124"/>
      <c r="N271" s="124"/>
      <c r="O271" s="124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</row>
    <row x14ac:dyDescent="0.25" r="272" customHeight="1" ht="15.75">
      <c r="A272" s="123"/>
      <c r="B272" s="123"/>
      <c r="C272" s="124"/>
      <c r="D272" s="124"/>
      <c r="E272" s="124"/>
      <c r="F272" s="124"/>
      <c r="G272" s="124"/>
      <c r="H272" s="124"/>
      <c r="I272" s="124"/>
      <c r="J272" s="124"/>
      <c r="K272" s="124"/>
      <c r="L272" s="124"/>
      <c r="M272" s="124"/>
      <c r="N272" s="124"/>
      <c r="O272" s="124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</row>
    <row x14ac:dyDescent="0.25" r="273" customHeight="1" ht="15.75">
      <c r="A273" s="123"/>
      <c r="B273" s="123"/>
      <c r="C273" s="124"/>
      <c r="D273" s="124"/>
      <c r="E273" s="124"/>
      <c r="F273" s="124"/>
      <c r="G273" s="124"/>
      <c r="H273" s="124"/>
      <c r="I273" s="124"/>
      <c r="J273" s="124"/>
      <c r="K273" s="124"/>
      <c r="L273" s="124"/>
      <c r="M273" s="124"/>
      <c r="N273" s="124"/>
      <c r="O273" s="124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</row>
    <row x14ac:dyDescent="0.25" r="274" customHeight="1" ht="15.75">
      <c r="A274" s="123"/>
      <c r="B274" s="123"/>
      <c r="C274" s="124"/>
      <c r="D274" s="124"/>
      <c r="E274" s="124"/>
      <c r="F274" s="124"/>
      <c r="G274" s="124"/>
      <c r="H274" s="124"/>
      <c r="I274" s="124"/>
      <c r="J274" s="124"/>
      <c r="K274" s="124"/>
      <c r="L274" s="124"/>
      <c r="M274" s="124"/>
      <c r="N274" s="124"/>
      <c r="O274" s="124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</row>
    <row x14ac:dyDescent="0.25" r="275" customHeight="1" ht="15.75">
      <c r="A275" s="123"/>
      <c r="B275" s="123"/>
      <c r="C275" s="124"/>
      <c r="D275" s="124"/>
      <c r="E275" s="124"/>
      <c r="F275" s="124"/>
      <c r="G275" s="124"/>
      <c r="H275" s="124"/>
      <c r="I275" s="124"/>
      <c r="J275" s="124"/>
      <c r="K275" s="124"/>
      <c r="L275" s="124"/>
      <c r="M275" s="124"/>
      <c r="N275" s="124"/>
      <c r="O275" s="124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</row>
    <row x14ac:dyDescent="0.25" r="276" customHeight="1" ht="15.75">
      <c r="A276" s="123"/>
      <c r="B276" s="123"/>
      <c r="C276" s="124"/>
      <c r="D276" s="124"/>
      <c r="E276" s="124"/>
      <c r="F276" s="124"/>
      <c r="G276" s="124"/>
      <c r="H276" s="124"/>
      <c r="I276" s="124"/>
      <c r="J276" s="124"/>
      <c r="K276" s="124"/>
      <c r="L276" s="124"/>
      <c r="M276" s="124"/>
      <c r="N276" s="124"/>
      <c r="O276" s="124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</row>
    <row x14ac:dyDescent="0.25" r="277" customHeight="1" ht="15.75">
      <c r="A277" s="123"/>
      <c r="B277" s="123"/>
      <c r="C277" s="124"/>
      <c r="D277" s="124"/>
      <c r="E277" s="124"/>
      <c r="F277" s="124"/>
      <c r="G277" s="124"/>
      <c r="H277" s="124"/>
      <c r="I277" s="124"/>
      <c r="J277" s="124"/>
      <c r="K277" s="124"/>
      <c r="L277" s="124"/>
      <c r="M277" s="124"/>
      <c r="N277" s="124"/>
      <c r="O277" s="124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</row>
    <row x14ac:dyDescent="0.25" r="278" customHeight="1" ht="15.75">
      <c r="A278" s="123"/>
      <c r="B278" s="123"/>
      <c r="C278" s="124"/>
      <c r="D278" s="124"/>
      <c r="E278" s="124"/>
      <c r="F278" s="124"/>
      <c r="G278" s="124"/>
      <c r="H278" s="124"/>
      <c r="I278" s="124"/>
      <c r="J278" s="124"/>
      <c r="K278" s="124"/>
      <c r="L278" s="124"/>
      <c r="M278" s="124"/>
      <c r="N278" s="124"/>
      <c r="O278" s="124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</row>
    <row x14ac:dyDescent="0.25" r="279" customHeight="1" ht="15.75">
      <c r="A279" s="123"/>
      <c r="B279" s="123"/>
      <c r="C279" s="124"/>
      <c r="D279" s="124"/>
      <c r="E279" s="124"/>
      <c r="F279" s="124"/>
      <c r="G279" s="124"/>
      <c r="H279" s="124"/>
      <c r="I279" s="124"/>
      <c r="J279" s="124"/>
      <c r="K279" s="124"/>
      <c r="L279" s="124"/>
      <c r="M279" s="124"/>
      <c r="N279" s="124"/>
      <c r="O279" s="124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</row>
    <row x14ac:dyDescent="0.25" r="280" customHeight="1" ht="15.75">
      <c r="A280" s="123"/>
      <c r="B280" s="123"/>
      <c r="C280" s="124"/>
      <c r="D280" s="124"/>
      <c r="E280" s="124"/>
      <c r="F280" s="124"/>
      <c r="G280" s="124"/>
      <c r="H280" s="124"/>
      <c r="I280" s="124"/>
      <c r="J280" s="124"/>
      <c r="K280" s="124"/>
      <c r="L280" s="124"/>
      <c r="M280" s="124"/>
      <c r="N280" s="124"/>
      <c r="O280" s="124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</row>
    <row x14ac:dyDescent="0.25" r="281" customHeight="1" ht="15.75">
      <c r="A281" s="123"/>
      <c r="B281" s="123"/>
      <c r="C281" s="124"/>
      <c r="D281" s="124"/>
      <c r="E281" s="124"/>
      <c r="F281" s="124"/>
      <c r="G281" s="124"/>
      <c r="H281" s="124"/>
      <c r="I281" s="124"/>
      <c r="J281" s="124"/>
      <c r="K281" s="124"/>
      <c r="L281" s="124"/>
      <c r="M281" s="124"/>
      <c r="N281" s="124"/>
      <c r="O281" s="124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</row>
    <row x14ac:dyDescent="0.25" r="282" customHeight="1" ht="15.75">
      <c r="A282" s="123"/>
      <c r="B282" s="123"/>
      <c r="C282" s="124"/>
      <c r="D282" s="124"/>
      <c r="E282" s="124"/>
      <c r="F282" s="124"/>
      <c r="G282" s="124"/>
      <c r="H282" s="124"/>
      <c r="I282" s="124"/>
      <c r="J282" s="124"/>
      <c r="K282" s="124"/>
      <c r="L282" s="124"/>
      <c r="M282" s="124"/>
      <c r="N282" s="124"/>
      <c r="O282" s="124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</row>
    <row x14ac:dyDescent="0.25" r="283" customHeight="1" ht="15.75">
      <c r="A283" s="123"/>
      <c r="B283" s="123"/>
      <c r="C283" s="124"/>
      <c r="D283" s="124"/>
      <c r="E283" s="124"/>
      <c r="F283" s="124"/>
      <c r="G283" s="124"/>
      <c r="H283" s="124"/>
      <c r="I283" s="124"/>
      <c r="J283" s="124"/>
      <c r="K283" s="124"/>
      <c r="L283" s="124"/>
      <c r="M283" s="124"/>
      <c r="N283" s="124"/>
      <c r="O283" s="124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</row>
    <row x14ac:dyDescent="0.25" r="284" customHeight="1" ht="15.75">
      <c r="A284" s="123"/>
      <c r="B284" s="123"/>
      <c r="C284" s="124"/>
      <c r="D284" s="124"/>
      <c r="E284" s="124"/>
      <c r="F284" s="124"/>
      <c r="G284" s="124"/>
      <c r="H284" s="124"/>
      <c r="I284" s="124"/>
      <c r="J284" s="124"/>
      <c r="K284" s="124"/>
      <c r="L284" s="124"/>
      <c r="M284" s="124"/>
      <c r="N284" s="124"/>
      <c r="O284" s="124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</row>
    <row x14ac:dyDescent="0.25" r="285" customHeight="1" ht="15.75">
      <c r="A285" s="123"/>
      <c r="B285" s="123"/>
      <c r="C285" s="124"/>
      <c r="D285" s="124"/>
      <c r="E285" s="124"/>
      <c r="F285" s="124"/>
      <c r="G285" s="124"/>
      <c r="H285" s="124"/>
      <c r="I285" s="124"/>
      <c r="J285" s="124"/>
      <c r="K285" s="124"/>
      <c r="L285" s="124"/>
      <c r="M285" s="124"/>
      <c r="N285" s="124"/>
      <c r="O285" s="124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</row>
    <row x14ac:dyDescent="0.25" r="286" customHeight="1" ht="15.75">
      <c r="A286" s="123"/>
      <c r="B286" s="123"/>
      <c r="C286" s="124"/>
      <c r="D286" s="124"/>
      <c r="E286" s="124"/>
      <c r="F286" s="124"/>
      <c r="G286" s="124"/>
      <c r="H286" s="124"/>
      <c r="I286" s="124"/>
      <c r="J286" s="124"/>
      <c r="K286" s="124"/>
      <c r="L286" s="124"/>
      <c r="M286" s="124"/>
      <c r="N286" s="124"/>
      <c r="O286" s="124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</row>
    <row x14ac:dyDescent="0.25" r="287" customHeight="1" ht="15.75">
      <c r="A287" s="123"/>
      <c r="B287" s="123"/>
      <c r="C287" s="124"/>
      <c r="D287" s="124"/>
      <c r="E287" s="124"/>
      <c r="F287" s="124"/>
      <c r="G287" s="124"/>
      <c r="H287" s="124"/>
      <c r="I287" s="124"/>
      <c r="J287" s="124"/>
      <c r="K287" s="124"/>
      <c r="L287" s="124"/>
      <c r="M287" s="124"/>
      <c r="N287" s="124"/>
      <c r="O287" s="124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</row>
    <row x14ac:dyDescent="0.25" r="288" customHeight="1" ht="15.75">
      <c r="A288" s="123"/>
      <c r="B288" s="123"/>
      <c r="C288" s="124"/>
      <c r="D288" s="124"/>
      <c r="E288" s="124"/>
      <c r="F288" s="124"/>
      <c r="G288" s="124"/>
      <c r="H288" s="124"/>
      <c r="I288" s="124"/>
      <c r="J288" s="124"/>
      <c r="K288" s="124"/>
      <c r="L288" s="124"/>
      <c r="M288" s="124"/>
      <c r="N288" s="124"/>
      <c r="O288" s="124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</row>
    <row x14ac:dyDescent="0.25" r="289" customHeight="1" ht="15.75">
      <c r="A289" s="123"/>
      <c r="B289" s="123"/>
      <c r="C289" s="124"/>
      <c r="D289" s="124"/>
      <c r="E289" s="124"/>
      <c r="F289" s="124"/>
      <c r="G289" s="124"/>
      <c r="H289" s="124"/>
      <c r="I289" s="124"/>
      <c r="J289" s="124"/>
      <c r="K289" s="124"/>
      <c r="L289" s="124"/>
      <c r="M289" s="124"/>
      <c r="N289" s="124"/>
      <c r="O289" s="124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</row>
    <row x14ac:dyDescent="0.25" r="290" customHeight="1" ht="15.75">
      <c r="A290" s="123"/>
      <c r="B290" s="123"/>
      <c r="C290" s="124"/>
      <c r="D290" s="124"/>
      <c r="E290" s="124"/>
      <c r="F290" s="124"/>
      <c r="G290" s="124"/>
      <c r="H290" s="124"/>
      <c r="I290" s="124"/>
      <c r="J290" s="124"/>
      <c r="K290" s="124"/>
      <c r="L290" s="124"/>
      <c r="M290" s="124"/>
      <c r="N290" s="124"/>
      <c r="O290" s="124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</row>
    <row x14ac:dyDescent="0.25" r="291" customHeight="1" ht="15.75">
      <c r="A291" s="123"/>
      <c r="B291" s="123"/>
      <c r="C291" s="124"/>
      <c r="D291" s="124"/>
      <c r="E291" s="124"/>
      <c r="F291" s="124"/>
      <c r="G291" s="124"/>
      <c r="H291" s="124"/>
      <c r="I291" s="124"/>
      <c r="J291" s="124"/>
      <c r="K291" s="124"/>
      <c r="L291" s="124"/>
      <c r="M291" s="124"/>
      <c r="N291" s="124"/>
      <c r="O291" s="124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</row>
    <row x14ac:dyDescent="0.25" r="292" customHeight="1" ht="15.75">
      <c r="A292" s="123"/>
      <c r="B292" s="123"/>
      <c r="C292" s="124"/>
      <c r="D292" s="124"/>
      <c r="E292" s="124"/>
      <c r="F292" s="124"/>
      <c r="G292" s="124"/>
      <c r="H292" s="124"/>
      <c r="I292" s="124"/>
      <c r="J292" s="124"/>
      <c r="K292" s="124"/>
      <c r="L292" s="124"/>
      <c r="M292" s="124"/>
      <c r="N292" s="124"/>
      <c r="O292" s="124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</row>
    <row x14ac:dyDescent="0.25" r="293" customHeight="1" ht="15.75">
      <c r="A293" s="123"/>
      <c r="B293" s="123"/>
      <c r="C293" s="124"/>
      <c r="D293" s="124"/>
      <c r="E293" s="124"/>
      <c r="F293" s="124"/>
      <c r="G293" s="124"/>
      <c r="H293" s="124"/>
      <c r="I293" s="124"/>
      <c r="J293" s="124"/>
      <c r="K293" s="124"/>
      <c r="L293" s="124"/>
      <c r="M293" s="124"/>
      <c r="N293" s="124"/>
      <c r="O293" s="124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</row>
    <row x14ac:dyDescent="0.25" r="294" customHeight="1" ht="15.75">
      <c r="A294" s="123"/>
      <c r="B294" s="123"/>
      <c r="C294" s="124"/>
      <c r="D294" s="124"/>
      <c r="E294" s="124"/>
      <c r="F294" s="124"/>
      <c r="G294" s="124"/>
      <c r="H294" s="124"/>
      <c r="I294" s="124"/>
      <c r="J294" s="124"/>
      <c r="K294" s="124"/>
      <c r="L294" s="124"/>
      <c r="M294" s="124"/>
      <c r="N294" s="124"/>
      <c r="O294" s="124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</row>
    <row x14ac:dyDescent="0.25" r="295" customHeight="1" ht="15.75">
      <c r="A295" s="123"/>
      <c r="B295" s="123"/>
      <c r="C295" s="124"/>
      <c r="D295" s="124"/>
      <c r="E295" s="124"/>
      <c r="F295" s="124"/>
      <c r="G295" s="124"/>
      <c r="H295" s="124"/>
      <c r="I295" s="124"/>
      <c r="J295" s="124"/>
      <c r="K295" s="124"/>
      <c r="L295" s="124"/>
      <c r="M295" s="124"/>
      <c r="N295" s="124"/>
      <c r="O295" s="124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</row>
    <row x14ac:dyDescent="0.25" r="296" customHeight="1" ht="15.75">
      <c r="A296" s="123"/>
      <c r="B296" s="123"/>
      <c r="C296" s="124"/>
      <c r="D296" s="124"/>
      <c r="E296" s="124"/>
      <c r="F296" s="124"/>
      <c r="G296" s="124"/>
      <c r="H296" s="124"/>
      <c r="I296" s="124"/>
      <c r="J296" s="124"/>
      <c r="K296" s="124"/>
      <c r="L296" s="124"/>
      <c r="M296" s="124"/>
      <c r="N296" s="124"/>
      <c r="O296" s="124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</row>
    <row x14ac:dyDescent="0.25" r="297" customHeight="1" ht="15.75">
      <c r="A297" s="123"/>
      <c r="B297" s="123"/>
      <c r="C297" s="124"/>
      <c r="D297" s="124"/>
      <c r="E297" s="124"/>
      <c r="F297" s="124"/>
      <c r="G297" s="124"/>
      <c r="H297" s="124"/>
      <c r="I297" s="124"/>
      <c r="J297" s="124"/>
      <c r="K297" s="124"/>
      <c r="L297" s="124"/>
      <c r="M297" s="124"/>
      <c r="N297" s="124"/>
      <c r="O297" s="124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</row>
    <row x14ac:dyDescent="0.25" r="298" customHeight="1" ht="15.75">
      <c r="A298" s="123"/>
      <c r="B298" s="123"/>
      <c r="C298" s="124"/>
      <c r="D298" s="124"/>
      <c r="E298" s="124"/>
      <c r="F298" s="124"/>
      <c r="G298" s="124"/>
      <c r="H298" s="124"/>
      <c r="I298" s="124"/>
      <c r="J298" s="124"/>
      <c r="K298" s="124"/>
      <c r="L298" s="124"/>
      <c r="M298" s="124"/>
      <c r="N298" s="124"/>
      <c r="O298" s="124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</row>
    <row x14ac:dyDescent="0.25" r="299" customHeight="1" ht="15.75">
      <c r="A299" s="123"/>
      <c r="B299" s="123"/>
      <c r="C299" s="124"/>
      <c r="D299" s="124"/>
      <c r="E299" s="124"/>
      <c r="F299" s="124"/>
      <c r="G299" s="124"/>
      <c r="H299" s="124"/>
      <c r="I299" s="124"/>
      <c r="J299" s="124"/>
      <c r="K299" s="124"/>
      <c r="L299" s="124"/>
      <c r="M299" s="124"/>
      <c r="N299" s="124"/>
      <c r="O299" s="124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</row>
    <row x14ac:dyDescent="0.25" r="300" customHeight="1" ht="15.75">
      <c r="A300" s="123"/>
      <c r="B300" s="123"/>
      <c r="C300" s="124"/>
      <c r="D300" s="124"/>
      <c r="E300" s="124"/>
      <c r="F300" s="124"/>
      <c r="G300" s="124"/>
      <c r="H300" s="124"/>
      <c r="I300" s="124"/>
      <c r="J300" s="124"/>
      <c r="K300" s="124"/>
      <c r="L300" s="124"/>
      <c r="M300" s="124"/>
      <c r="N300" s="124"/>
      <c r="O300" s="124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</row>
    <row x14ac:dyDescent="0.25" r="301" customHeight="1" ht="15.75">
      <c r="A301" s="123"/>
      <c r="B301" s="123"/>
      <c r="C301" s="124"/>
      <c r="D301" s="124"/>
      <c r="E301" s="124"/>
      <c r="F301" s="124"/>
      <c r="G301" s="124"/>
      <c r="H301" s="124"/>
      <c r="I301" s="124"/>
      <c r="J301" s="124"/>
      <c r="K301" s="124"/>
      <c r="L301" s="124"/>
      <c r="M301" s="124"/>
      <c r="N301" s="124"/>
      <c r="O301" s="124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</row>
    <row x14ac:dyDescent="0.25" r="302" customHeight="1" ht="15.75">
      <c r="A302" s="123"/>
      <c r="B302" s="123"/>
      <c r="C302" s="124"/>
      <c r="D302" s="124"/>
      <c r="E302" s="124"/>
      <c r="F302" s="124"/>
      <c r="G302" s="124"/>
      <c r="H302" s="124"/>
      <c r="I302" s="124"/>
      <c r="J302" s="124"/>
      <c r="K302" s="124"/>
      <c r="L302" s="124"/>
      <c r="M302" s="124"/>
      <c r="N302" s="124"/>
      <c r="O302" s="124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</row>
    <row x14ac:dyDescent="0.25" r="303" customHeight="1" ht="15.75">
      <c r="A303" s="123"/>
      <c r="B303" s="123"/>
      <c r="C303" s="124"/>
      <c r="D303" s="124"/>
      <c r="E303" s="124"/>
      <c r="F303" s="124"/>
      <c r="G303" s="124"/>
      <c r="H303" s="124"/>
      <c r="I303" s="124"/>
      <c r="J303" s="124"/>
      <c r="K303" s="124"/>
      <c r="L303" s="124"/>
      <c r="M303" s="124"/>
      <c r="N303" s="124"/>
      <c r="O303" s="124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</row>
    <row x14ac:dyDescent="0.25" r="304" customHeight="1" ht="15.75">
      <c r="A304" s="123"/>
      <c r="B304" s="123"/>
      <c r="C304" s="124"/>
      <c r="D304" s="124"/>
      <c r="E304" s="124"/>
      <c r="F304" s="124"/>
      <c r="G304" s="124"/>
      <c r="H304" s="124"/>
      <c r="I304" s="124"/>
      <c r="J304" s="124"/>
      <c r="K304" s="124"/>
      <c r="L304" s="124"/>
      <c r="M304" s="124"/>
      <c r="N304" s="124"/>
      <c r="O304" s="124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</row>
    <row x14ac:dyDescent="0.25" r="305" customHeight="1" ht="15.75">
      <c r="A305" s="123"/>
      <c r="B305" s="123"/>
      <c r="C305" s="124"/>
      <c r="D305" s="124"/>
      <c r="E305" s="124"/>
      <c r="F305" s="124"/>
      <c r="G305" s="124"/>
      <c r="H305" s="124"/>
      <c r="I305" s="124"/>
      <c r="J305" s="124"/>
      <c r="K305" s="124"/>
      <c r="L305" s="124"/>
      <c r="M305" s="124"/>
      <c r="N305" s="124"/>
      <c r="O305" s="124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</row>
    <row x14ac:dyDescent="0.25" r="306" customHeight="1" ht="15.75">
      <c r="A306" s="123"/>
      <c r="B306" s="123"/>
      <c r="C306" s="124"/>
      <c r="D306" s="124"/>
      <c r="E306" s="124"/>
      <c r="F306" s="124"/>
      <c r="G306" s="124"/>
      <c r="H306" s="124"/>
      <c r="I306" s="124"/>
      <c r="J306" s="124"/>
      <c r="K306" s="124"/>
      <c r="L306" s="124"/>
      <c r="M306" s="124"/>
      <c r="N306" s="124"/>
      <c r="O306" s="124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</row>
    <row x14ac:dyDescent="0.25" r="307" customHeight="1" ht="15.75">
      <c r="A307" s="123"/>
      <c r="B307" s="123"/>
      <c r="C307" s="124"/>
      <c r="D307" s="124"/>
      <c r="E307" s="124"/>
      <c r="F307" s="124"/>
      <c r="G307" s="124"/>
      <c r="H307" s="124"/>
      <c r="I307" s="124"/>
      <c r="J307" s="124"/>
      <c r="K307" s="124"/>
      <c r="L307" s="124"/>
      <c r="M307" s="124"/>
      <c r="N307" s="124"/>
      <c r="O307" s="124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</row>
    <row x14ac:dyDescent="0.25" r="308" customHeight="1" ht="15.75">
      <c r="A308" s="123"/>
      <c r="B308" s="123"/>
      <c r="C308" s="124"/>
      <c r="D308" s="124"/>
      <c r="E308" s="124"/>
      <c r="F308" s="124"/>
      <c r="G308" s="124"/>
      <c r="H308" s="124"/>
      <c r="I308" s="124"/>
      <c r="J308" s="124"/>
      <c r="K308" s="124"/>
      <c r="L308" s="124"/>
      <c r="M308" s="124"/>
      <c r="N308" s="124"/>
      <c r="O308" s="124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</row>
    <row x14ac:dyDescent="0.25" r="309" customHeight="1" ht="15.75">
      <c r="A309" s="123"/>
      <c r="B309" s="123"/>
      <c r="C309" s="124"/>
      <c r="D309" s="124"/>
      <c r="E309" s="124"/>
      <c r="F309" s="124"/>
      <c r="G309" s="124"/>
      <c r="H309" s="124"/>
      <c r="I309" s="124"/>
      <c r="J309" s="124"/>
      <c r="K309" s="124"/>
      <c r="L309" s="124"/>
      <c r="M309" s="124"/>
      <c r="N309" s="124"/>
      <c r="O309" s="124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</row>
    <row x14ac:dyDescent="0.25" r="310" customHeight="1" ht="15.75">
      <c r="A310" s="123"/>
      <c r="B310" s="123"/>
      <c r="C310" s="124"/>
      <c r="D310" s="124"/>
      <c r="E310" s="124"/>
      <c r="F310" s="124"/>
      <c r="G310" s="124"/>
      <c r="H310" s="124"/>
      <c r="I310" s="124"/>
      <c r="J310" s="124"/>
      <c r="K310" s="124"/>
      <c r="L310" s="124"/>
      <c r="M310" s="124"/>
      <c r="N310" s="124"/>
      <c r="O310" s="124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</row>
    <row x14ac:dyDescent="0.25" r="311" customHeight="1" ht="15.75">
      <c r="A311" s="123"/>
      <c r="B311" s="123"/>
      <c r="C311" s="124"/>
      <c r="D311" s="124"/>
      <c r="E311" s="124"/>
      <c r="F311" s="124"/>
      <c r="G311" s="124"/>
      <c r="H311" s="124"/>
      <c r="I311" s="124"/>
      <c r="J311" s="124"/>
      <c r="K311" s="124"/>
      <c r="L311" s="124"/>
      <c r="M311" s="124"/>
      <c r="N311" s="124"/>
      <c r="O311" s="124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</row>
    <row x14ac:dyDescent="0.25" r="312" customHeight="1" ht="15.75">
      <c r="A312" s="123"/>
      <c r="B312" s="123"/>
      <c r="C312" s="124"/>
      <c r="D312" s="124"/>
      <c r="E312" s="124"/>
      <c r="F312" s="124"/>
      <c r="G312" s="124"/>
      <c r="H312" s="124"/>
      <c r="I312" s="124"/>
      <c r="J312" s="124"/>
      <c r="K312" s="124"/>
      <c r="L312" s="124"/>
      <c r="M312" s="124"/>
      <c r="N312" s="124"/>
      <c r="O312" s="124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</row>
    <row x14ac:dyDescent="0.25" r="313" customHeight="1" ht="15.75">
      <c r="A313" s="123"/>
      <c r="B313" s="123"/>
      <c r="C313" s="124"/>
      <c r="D313" s="124"/>
      <c r="E313" s="124"/>
      <c r="F313" s="124"/>
      <c r="G313" s="124"/>
      <c r="H313" s="124"/>
      <c r="I313" s="124"/>
      <c r="J313" s="124"/>
      <c r="K313" s="124"/>
      <c r="L313" s="124"/>
      <c r="M313" s="124"/>
      <c r="N313" s="124"/>
      <c r="O313" s="124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</row>
    <row x14ac:dyDescent="0.25" r="314" customHeight="1" ht="15.75">
      <c r="A314" s="123"/>
      <c r="B314" s="123"/>
      <c r="C314" s="124"/>
      <c r="D314" s="124"/>
      <c r="E314" s="124"/>
      <c r="F314" s="124"/>
      <c r="G314" s="124"/>
      <c r="H314" s="124"/>
      <c r="I314" s="124"/>
      <c r="J314" s="124"/>
      <c r="K314" s="124"/>
      <c r="L314" s="124"/>
      <c r="M314" s="124"/>
      <c r="N314" s="124"/>
      <c r="O314" s="124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</row>
    <row x14ac:dyDescent="0.25" r="315" customHeight="1" ht="15.75">
      <c r="A315" s="123"/>
      <c r="B315" s="123"/>
      <c r="C315" s="124"/>
      <c r="D315" s="124"/>
      <c r="E315" s="124"/>
      <c r="F315" s="124"/>
      <c r="G315" s="124"/>
      <c r="H315" s="124"/>
      <c r="I315" s="124"/>
      <c r="J315" s="124"/>
      <c r="K315" s="124"/>
      <c r="L315" s="124"/>
      <c r="M315" s="124"/>
      <c r="N315" s="124"/>
      <c r="O315" s="124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</row>
    <row x14ac:dyDescent="0.25" r="316" customHeight="1" ht="15.75">
      <c r="A316" s="123"/>
      <c r="B316" s="123"/>
      <c r="C316" s="124"/>
      <c r="D316" s="124"/>
      <c r="E316" s="124"/>
      <c r="F316" s="124"/>
      <c r="G316" s="124"/>
      <c r="H316" s="124"/>
      <c r="I316" s="124"/>
      <c r="J316" s="124"/>
      <c r="K316" s="124"/>
      <c r="L316" s="124"/>
      <c r="M316" s="124"/>
      <c r="N316" s="124"/>
      <c r="O316" s="124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</row>
    <row x14ac:dyDescent="0.25" r="317" customHeight="1" ht="15.75">
      <c r="A317" s="123"/>
      <c r="B317" s="123"/>
      <c r="C317" s="124"/>
      <c r="D317" s="124"/>
      <c r="E317" s="124"/>
      <c r="F317" s="124"/>
      <c r="G317" s="124"/>
      <c r="H317" s="124"/>
      <c r="I317" s="124"/>
      <c r="J317" s="124"/>
      <c r="K317" s="124"/>
      <c r="L317" s="124"/>
      <c r="M317" s="124"/>
      <c r="N317" s="124"/>
      <c r="O317" s="124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</row>
    <row x14ac:dyDescent="0.25" r="318" customHeight="1" ht="15.75">
      <c r="A318" s="123"/>
      <c r="B318" s="123"/>
      <c r="C318" s="124"/>
      <c r="D318" s="124"/>
      <c r="E318" s="124"/>
      <c r="F318" s="124"/>
      <c r="G318" s="124"/>
      <c r="H318" s="124"/>
      <c r="I318" s="124"/>
      <c r="J318" s="124"/>
      <c r="K318" s="124"/>
      <c r="L318" s="124"/>
      <c r="M318" s="124"/>
      <c r="N318" s="124"/>
      <c r="O318" s="124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</row>
    <row x14ac:dyDescent="0.25" r="319" customHeight="1" ht="15.75">
      <c r="A319" s="123"/>
      <c r="B319" s="123"/>
      <c r="C319" s="124"/>
      <c r="D319" s="124"/>
      <c r="E319" s="124"/>
      <c r="F319" s="124"/>
      <c r="G319" s="124"/>
      <c r="H319" s="124"/>
      <c r="I319" s="124"/>
      <c r="J319" s="124"/>
      <c r="K319" s="124"/>
      <c r="L319" s="124"/>
      <c r="M319" s="124"/>
      <c r="N319" s="124"/>
      <c r="O319" s="124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</row>
    <row x14ac:dyDescent="0.25" r="320" customHeight="1" ht="15.75">
      <c r="A320" s="123"/>
      <c r="B320" s="123"/>
      <c r="C320" s="124"/>
      <c r="D320" s="124"/>
      <c r="E320" s="124"/>
      <c r="F320" s="124"/>
      <c r="G320" s="124"/>
      <c r="H320" s="124"/>
      <c r="I320" s="124"/>
      <c r="J320" s="124"/>
      <c r="K320" s="124"/>
      <c r="L320" s="124"/>
      <c r="M320" s="124"/>
      <c r="N320" s="124"/>
      <c r="O320" s="124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</row>
    <row x14ac:dyDescent="0.25" r="321" customHeight="1" ht="15.75">
      <c r="A321" s="123"/>
      <c r="B321" s="123"/>
      <c r="C321" s="124"/>
      <c r="D321" s="124"/>
      <c r="E321" s="124"/>
      <c r="F321" s="124"/>
      <c r="G321" s="124"/>
      <c r="H321" s="124"/>
      <c r="I321" s="124"/>
      <c r="J321" s="124"/>
      <c r="K321" s="124"/>
      <c r="L321" s="124"/>
      <c r="M321" s="124"/>
      <c r="N321" s="124"/>
      <c r="O321" s="124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</row>
    <row x14ac:dyDescent="0.25" r="322" customHeight="1" ht="15.75">
      <c r="A322" s="123"/>
      <c r="B322" s="123"/>
      <c r="C322" s="124"/>
      <c r="D322" s="124"/>
      <c r="E322" s="124"/>
      <c r="F322" s="124"/>
      <c r="G322" s="124"/>
      <c r="H322" s="124"/>
      <c r="I322" s="124"/>
      <c r="J322" s="124"/>
      <c r="K322" s="124"/>
      <c r="L322" s="124"/>
      <c r="M322" s="124"/>
      <c r="N322" s="124"/>
      <c r="O322" s="124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</row>
    <row x14ac:dyDescent="0.25" r="323" customHeight="1" ht="15.75">
      <c r="A323" s="123"/>
      <c r="B323" s="123"/>
      <c r="C323" s="124"/>
      <c r="D323" s="124"/>
      <c r="E323" s="124"/>
      <c r="F323" s="124"/>
      <c r="G323" s="124"/>
      <c r="H323" s="124"/>
      <c r="I323" s="124"/>
      <c r="J323" s="124"/>
      <c r="K323" s="124"/>
      <c r="L323" s="124"/>
      <c r="M323" s="124"/>
      <c r="N323" s="124"/>
      <c r="O323" s="124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</row>
    <row x14ac:dyDescent="0.25" r="324" customHeight="1" ht="15.75">
      <c r="A324" s="123"/>
      <c r="B324" s="123"/>
      <c r="C324" s="124"/>
      <c r="D324" s="124"/>
      <c r="E324" s="124"/>
      <c r="F324" s="124"/>
      <c r="G324" s="124"/>
      <c r="H324" s="124"/>
      <c r="I324" s="124"/>
      <c r="J324" s="124"/>
      <c r="K324" s="124"/>
      <c r="L324" s="124"/>
      <c r="M324" s="124"/>
      <c r="N324" s="124"/>
      <c r="O324" s="124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</row>
    <row x14ac:dyDescent="0.25" r="325" customHeight="1" ht="15.75">
      <c r="A325" s="123"/>
      <c r="B325" s="123"/>
      <c r="C325" s="124"/>
      <c r="D325" s="124"/>
      <c r="E325" s="124"/>
      <c r="F325" s="124"/>
      <c r="G325" s="124"/>
      <c r="H325" s="124"/>
      <c r="I325" s="124"/>
      <c r="J325" s="124"/>
      <c r="K325" s="124"/>
      <c r="L325" s="124"/>
      <c r="M325" s="124"/>
      <c r="N325" s="124"/>
      <c r="O325" s="124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</row>
    <row x14ac:dyDescent="0.25" r="326" customHeight="1" ht="15.75">
      <c r="A326" s="123"/>
      <c r="B326" s="123"/>
      <c r="C326" s="124"/>
      <c r="D326" s="124"/>
      <c r="E326" s="124"/>
      <c r="F326" s="124"/>
      <c r="G326" s="124"/>
      <c r="H326" s="124"/>
      <c r="I326" s="124"/>
      <c r="J326" s="124"/>
      <c r="K326" s="124"/>
      <c r="L326" s="124"/>
      <c r="M326" s="124"/>
      <c r="N326" s="124"/>
      <c r="O326" s="124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</row>
    <row x14ac:dyDescent="0.25" r="327" customHeight="1" ht="15.75">
      <c r="A327" s="123"/>
      <c r="B327" s="123"/>
      <c r="C327" s="124"/>
      <c r="D327" s="124"/>
      <c r="E327" s="124"/>
      <c r="F327" s="124"/>
      <c r="G327" s="124"/>
      <c r="H327" s="124"/>
      <c r="I327" s="124"/>
      <c r="J327" s="124"/>
      <c r="K327" s="124"/>
      <c r="L327" s="124"/>
      <c r="M327" s="124"/>
      <c r="N327" s="124"/>
      <c r="O327" s="124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</row>
    <row x14ac:dyDescent="0.25" r="328" customHeight="1" ht="15.75">
      <c r="A328" s="123"/>
      <c r="B328" s="123"/>
      <c r="C328" s="124"/>
      <c r="D328" s="124"/>
      <c r="E328" s="124"/>
      <c r="F328" s="124"/>
      <c r="G328" s="124"/>
      <c r="H328" s="124"/>
      <c r="I328" s="124"/>
      <c r="J328" s="124"/>
      <c r="K328" s="124"/>
      <c r="L328" s="124"/>
      <c r="M328" s="124"/>
      <c r="N328" s="124"/>
      <c r="O328" s="124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</row>
    <row x14ac:dyDescent="0.25" r="329" customHeight="1" ht="15.75">
      <c r="A329" s="123"/>
      <c r="B329" s="123"/>
      <c r="C329" s="124"/>
      <c r="D329" s="124"/>
      <c r="E329" s="124"/>
      <c r="F329" s="124"/>
      <c r="G329" s="124"/>
      <c r="H329" s="124"/>
      <c r="I329" s="124"/>
      <c r="J329" s="124"/>
      <c r="K329" s="124"/>
      <c r="L329" s="124"/>
      <c r="M329" s="124"/>
      <c r="N329" s="124"/>
      <c r="O329" s="124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</row>
    <row x14ac:dyDescent="0.25" r="330" customHeight="1" ht="15.75">
      <c r="A330" s="123"/>
      <c r="B330" s="123"/>
      <c r="C330" s="124"/>
      <c r="D330" s="124"/>
      <c r="E330" s="124"/>
      <c r="F330" s="124"/>
      <c r="G330" s="124"/>
      <c r="H330" s="124"/>
      <c r="I330" s="124"/>
      <c r="J330" s="124"/>
      <c r="K330" s="124"/>
      <c r="L330" s="124"/>
      <c r="M330" s="124"/>
      <c r="N330" s="124"/>
      <c r="O330" s="124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</row>
    <row x14ac:dyDescent="0.25" r="331" customHeight="1" ht="15.75">
      <c r="A331" s="123"/>
      <c r="B331" s="123"/>
      <c r="C331" s="124"/>
      <c r="D331" s="124"/>
      <c r="E331" s="124"/>
      <c r="F331" s="124"/>
      <c r="G331" s="124"/>
      <c r="H331" s="124"/>
      <c r="I331" s="124"/>
      <c r="J331" s="124"/>
      <c r="K331" s="124"/>
      <c r="L331" s="124"/>
      <c r="M331" s="124"/>
      <c r="N331" s="124"/>
      <c r="O331" s="124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</row>
    <row x14ac:dyDescent="0.25" r="332" customHeight="1" ht="15.75">
      <c r="A332" s="123"/>
      <c r="B332" s="123"/>
      <c r="C332" s="124"/>
      <c r="D332" s="124"/>
      <c r="E332" s="124"/>
      <c r="F332" s="124"/>
      <c r="G332" s="124"/>
      <c r="H332" s="124"/>
      <c r="I332" s="124"/>
      <c r="J332" s="124"/>
      <c r="K332" s="124"/>
      <c r="L332" s="124"/>
      <c r="M332" s="124"/>
      <c r="N332" s="124"/>
      <c r="O332" s="124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</row>
    <row x14ac:dyDescent="0.25" r="333" customHeight="1" ht="15.75">
      <c r="A333" s="123"/>
      <c r="B333" s="123"/>
      <c r="C333" s="124"/>
      <c r="D333" s="124"/>
      <c r="E333" s="124"/>
      <c r="F333" s="124"/>
      <c r="G333" s="124"/>
      <c r="H333" s="124"/>
      <c r="I333" s="124"/>
      <c r="J333" s="124"/>
      <c r="K333" s="124"/>
      <c r="L333" s="124"/>
      <c r="M333" s="124"/>
      <c r="N333" s="124"/>
      <c r="O333" s="124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</row>
    <row x14ac:dyDescent="0.25" r="334" customHeight="1" ht="15.75">
      <c r="A334" s="123"/>
      <c r="B334" s="123"/>
      <c r="C334" s="124"/>
      <c r="D334" s="124"/>
      <c r="E334" s="124"/>
      <c r="F334" s="124"/>
      <c r="G334" s="124"/>
      <c r="H334" s="124"/>
      <c r="I334" s="124"/>
      <c r="J334" s="124"/>
      <c r="K334" s="124"/>
      <c r="L334" s="124"/>
      <c r="M334" s="124"/>
      <c r="N334" s="124"/>
      <c r="O334" s="124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</row>
    <row x14ac:dyDescent="0.25" r="335" customHeight="1" ht="15.75">
      <c r="A335" s="123"/>
      <c r="B335" s="123"/>
      <c r="C335" s="124"/>
      <c r="D335" s="124"/>
      <c r="E335" s="124"/>
      <c r="F335" s="124"/>
      <c r="G335" s="124"/>
      <c r="H335" s="124"/>
      <c r="I335" s="124"/>
      <c r="J335" s="124"/>
      <c r="K335" s="124"/>
      <c r="L335" s="124"/>
      <c r="M335" s="124"/>
      <c r="N335" s="124"/>
      <c r="O335" s="124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</row>
    <row x14ac:dyDescent="0.25" r="336" customHeight="1" ht="15.75">
      <c r="A336" s="123"/>
      <c r="B336" s="123"/>
      <c r="C336" s="124"/>
      <c r="D336" s="124"/>
      <c r="E336" s="124"/>
      <c r="F336" s="124"/>
      <c r="G336" s="124"/>
      <c r="H336" s="124"/>
      <c r="I336" s="124"/>
      <c r="J336" s="124"/>
      <c r="K336" s="124"/>
      <c r="L336" s="124"/>
      <c r="M336" s="124"/>
      <c r="N336" s="124"/>
      <c r="O336" s="124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</row>
    <row x14ac:dyDescent="0.25" r="337" customHeight="1" ht="15.75">
      <c r="A337" s="123"/>
      <c r="B337" s="123"/>
      <c r="C337" s="124"/>
      <c r="D337" s="124"/>
      <c r="E337" s="124"/>
      <c r="F337" s="124"/>
      <c r="G337" s="124"/>
      <c r="H337" s="124"/>
      <c r="I337" s="124"/>
      <c r="J337" s="124"/>
      <c r="K337" s="124"/>
      <c r="L337" s="124"/>
      <c r="M337" s="124"/>
      <c r="N337" s="124"/>
      <c r="O337" s="124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</row>
    <row x14ac:dyDescent="0.25" r="338" customHeight="1" ht="15.75">
      <c r="A338" s="123"/>
      <c r="B338" s="123"/>
      <c r="C338" s="124"/>
      <c r="D338" s="124"/>
      <c r="E338" s="124"/>
      <c r="F338" s="124"/>
      <c r="G338" s="124"/>
      <c r="H338" s="124"/>
      <c r="I338" s="124"/>
      <c r="J338" s="124"/>
      <c r="K338" s="124"/>
      <c r="L338" s="124"/>
      <c r="M338" s="124"/>
      <c r="N338" s="124"/>
      <c r="O338" s="124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</row>
    <row x14ac:dyDescent="0.25" r="339" customHeight="1" ht="15.75">
      <c r="A339" s="123"/>
      <c r="B339" s="123"/>
      <c r="C339" s="124"/>
      <c r="D339" s="124"/>
      <c r="E339" s="124"/>
      <c r="F339" s="124"/>
      <c r="G339" s="124"/>
      <c r="H339" s="124"/>
      <c r="I339" s="124"/>
      <c r="J339" s="124"/>
      <c r="K339" s="124"/>
      <c r="L339" s="124"/>
      <c r="M339" s="124"/>
      <c r="N339" s="124"/>
      <c r="O339" s="124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</row>
    <row x14ac:dyDescent="0.25" r="340" customHeight="1" ht="15.75">
      <c r="A340" s="123"/>
      <c r="B340" s="123"/>
      <c r="C340" s="124"/>
      <c r="D340" s="124"/>
      <c r="E340" s="124"/>
      <c r="F340" s="124"/>
      <c r="G340" s="124"/>
      <c r="H340" s="124"/>
      <c r="I340" s="124"/>
      <c r="J340" s="124"/>
      <c r="K340" s="124"/>
      <c r="L340" s="124"/>
      <c r="M340" s="124"/>
      <c r="N340" s="124"/>
      <c r="O340" s="124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</row>
    <row x14ac:dyDescent="0.25" r="341" customHeight="1" ht="15.75">
      <c r="A341" s="123"/>
      <c r="B341" s="123"/>
      <c r="C341" s="124"/>
      <c r="D341" s="124"/>
      <c r="E341" s="124"/>
      <c r="F341" s="124"/>
      <c r="G341" s="124"/>
      <c r="H341" s="124"/>
      <c r="I341" s="124"/>
      <c r="J341" s="124"/>
      <c r="K341" s="124"/>
      <c r="L341" s="124"/>
      <c r="M341" s="124"/>
      <c r="N341" s="124"/>
      <c r="O341" s="124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</row>
    <row x14ac:dyDescent="0.25" r="342" customHeight="1" ht="15.75">
      <c r="A342" s="123"/>
      <c r="B342" s="123"/>
      <c r="C342" s="124"/>
      <c r="D342" s="124"/>
      <c r="E342" s="124"/>
      <c r="F342" s="124"/>
      <c r="G342" s="124"/>
      <c r="H342" s="124"/>
      <c r="I342" s="124"/>
      <c r="J342" s="124"/>
      <c r="K342" s="124"/>
      <c r="L342" s="124"/>
      <c r="M342" s="124"/>
      <c r="N342" s="124"/>
      <c r="O342" s="124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</row>
    <row x14ac:dyDescent="0.25" r="343" customHeight="1" ht="15.75">
      <c r="A343" s="123"/>
      <c r="B343" s="123"/>
      <c r="C343" s="124"/>
      <c r="D343" s="124"/>
      <c r="E343" s="124"/>
      <c r="F343" s="124"/>
      <c r="G343" s="124"/>
      <c r="H343" s="124"/>
      <c r="I343" s="124"/>
      <c r="J343" s="124"/>
      <c r="K343" s="124"/>
      <c r="L343" s="124"/>
      <c r="M343" s="124"/>
      <c r="N343" s="124"/>
      <c r="O343" s="124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</row>
    <row x14ac:dyDescent="0.25" r="344" customHeight="1" ht="15.75">
      <c r="A344" s="123"/>
      <c r="B344" s="123"/>
      <c r="C344" s="124"/>
      <c r="D344" s="124"/>
      <c r="E344" s="124"/>
      <c r="F344" s="124"/>
      <c r="G344" s="124"/>
      <c r="H344" s="124"/>
      <c r="I344" s="124"/>
      <c r="J344" s="124"/>
      <c r="K344" s="124"/>
      <c r="L344" s="124"/>
      <c r="M344" s="124"/>
      <c r="N344" s="124"/>
      <c r="O344" s="124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</row>
    <row x14ac:dyDescent="0.25" r="345" customHeight="1" ht="15.75">
      <c r="A345" s="123"/>
      <c r="B345" s="123"/>
      <c r="C345" s="124"/>
      <c r="D345" s="124"/>
      <c r="E345" s="124"/>
      <c r="F345" s="124"/>
      <c r="G345" s="124"/>
      <c r="H345" s="124"/>
      <c r="I345" s="124"/>
      <c r="J345" s="124"/>
      <c r="K345" s="124"/>
      <c r="L345" s="124"/>
      <c r="M345" s="124"/>
      <c r="N345" s="124"/>
      <c r="O345" s="124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</row>
    <row x14ac:dyDescent="0.25" r="346" customHeight="1" ht="15.75">
      <c r="A346" s="123"/>
      <c r="B346" s="123"/>
      <c r="C346" s="124"/>
      <c r="D346" s="124"/>
      <c r="E346" s="124"/>
      <c r="F346" s="124"/>
      <c r="G346" s="124"/>
      <c r="H346" s="124"/>
      <c r="I346" s="124"/>
      <c r="J346" s="124"/>
      <c r="K346" s="124"/>
      <c r="L346" s="124"/>
      <c r="M346" s="124"/>
      <c r="N346" s="124"/>
      <c r="O346" s="124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</row>
    <row x14ac:dyDescent="0.25" r="347" customHeight="1" ht="15.75">
      <c r="A347" s="123"/>
      <c r="B347" s="123"/>
      <c r="C347" s="124"/>
      <c r="D347" s="124"/>
      <c r="E347" s="124"/>
      <c r="F347" s="124"/>
      <c r="G347" s="124"/>
      <c r="H347" s="124"/>
      <c r="I347" s="124"/>
      <c r="J347" s="124"/>
      <c r="K347" s="124"/>
      <c r="L347" s="124"/>
      <c r="M347" s="124"/>
      <c r="N347" s="124"/>
      <c r="O347" s="124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</row>
    <row x14ac:dyDescent="0.25" r="348" customHeight="1" ht="15.75">
      <c r="A348" s="123"/>
      <c r="B348" s="123"/>
      <c r="C348" s="124"/>
      <c r="D348" s="124"/>
      <c r="E348" s="124"/>
      <c r="F348" s="124"/>
      <c r="G348" s="124"/>
      <c r="H348" s="124"/>
      <c r="I348" s="124"/>
      <c r="J348" s="124"/>
      <c r="K348" s="124"/>
      <c r="L348" s="124"/>
      <c r="M348" s="124"/>
      <c r="N348" s="124"/>
      <c r="O348" s="124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</row>
    <row x14ac:dyDescent="0.25" r="349" customHeight="1" ht="15.75">
      <c r="A349" s="123"/>
      <c r="B349" s="123"/>
      <c r="C349" s="124"/>
      <c r="D349" s="124"/>
      <c r="E349" s="124"/>
      <c r="F349" s="124"/>
      <c r="G349" s="124"/>
      <c r="H349" s="124"/>
      <c r="I349" s="124"/>
      <c r="J349" s="124"/>
      <c r="K349" s="124"/>
      <c r="L349" s="124"/>
      <c r="M349" s="124"/>
      <c r="N349" s="124"/>
      <c r="O349" s="124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</row>
    <row x14ac:dyDescent="0.25" r="350" customHeight="1" ht="15.75">
      <c r="A350" s="123"/>
      <c r="B350" s="123"/>
      <c r="C350" s="124"/>
      <c r="D350" s="124"/>
      <c r="E350" s="124"/>
      <c r="F350" s="124"/>
      <c r="G350" s="124"/>
      <c r="H350" s="124"/>
      <c r="I350" s="124"/>
      <c r="J350" s="124"/>
      <c r="K350" s="124"/>
      <c r="L350" s="124"/>
      <c r="M350" s="124"/>
      <c r="N350" s="124"/>
      <c r="O350" s="124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</row>
    <row x14ac:dyDescent="0.25" r="351" customHeight="1" ht="15.75">
      <c r="A351" s="123"/>
      <c r="B351" s="123"/>
      <c r="C351" s="124"/>
      <c r="D351" s="124"/>
      <c r="E351" s="124"/>
      <c r="F351" s="124"/>
      <c r="G351" s="124"/>
      <c r="H351" s="124"/>
      <c r="I351" s="124"/>
      <c r="J351" s="124"/>
      <c r="K351" s="124"/>
      <c r="L351" s="124"/>
      <c r="M351" s="124"/>
      <c r="N351" s="124"/>
      <c r="O351" s="124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</row>
    <row x14ac:dyDescent="0.25" r="352" customHeight="1" ht="15.75">
      <c r="A352" s="123"/>
      <c r="B352" s="123"/>
      <c r="C352" s="124"/>
      <c r="D352" s="124"/>
      <c r="E352" s="124"/>
      <c r="F352" s="124"/>
      <c r="G352" s="124"/>
      <c r="H352" s="124"/>
      <c r="I352" s="124"/>
      <c r="J352" s="124"/>
      <c r="K352" s="124"/>
      <c r="L352" s="124"/>
      <c r="M352" s="124"/>
      <c r="N352" s="124"/>
      <c r="O352" s="124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</row>
    <row x14ac:dyDescent="0.25" r="353" customHeight="1" ht="15.75">
      <c r="A353" s="123"/>
      <c r="B353" s="123"/>
      <c r="C353" s="124"/>
      <c r="D353" s="124"/>
      <c r="E353" s="124"/>
      <c r="F353" s="124"/>
      <c r="G353" s="124"/>
      <c r="H353" s="124"/>
      <c r="I353" s="124"/>
      <c r="J353" s="124"/>
      <c r="K353" s="124"/>
      <c r="L353" s="124"/>
      <c r="M353" s="124"/>
      <c r="N353" s="124"/>
      <c r="O353" s="124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</row>
    <row x14ac:dyDescent="0.25" r="354" customHeight="1" ht="15.75">
      <c r="A354" s="123"/>
      <c r="B354" s="123"/>
      <c r="C354" s="124"/>
      <c r="D354" s="124"/>
      <c r="E354" s="124"/>
      <c r="F354" s="124"/>
      <c r="G354" s="124"/>
      <c r="H354" s="124"/>
      <c r="I354" s="124"/>
      <c r="J354" s="124"/>
      <c r="K354" s="124"/>
      <c r="L354" s="124"/>
      <c r="M354" s="124"/>
      <c r="N354" s="124"/>
      <c r="O354" s="124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</row>
    <row x14ac:dyDescent="0.25" r="355" customHeight="1" ht="15.75">
      <c r="A355" s="123"/>
      <c r="B355" s="123"/>
      <c r="C355" s="124"/>
      <c r="D355" s="124"/>
      <c r="E355" s="124"/>
      <c r="F355" s="124"/>
      <c r="G355" s="124"/>
      <c r="H355" s="124"/>
      <c r="I355" s="124"/>
      <c r="J355" s="124"/>
      <c r="K355" s="124"/>
      <c r="L355" s="124"/>
      <c r="M355" s="124"/>
      <c r="N355" s="124"/>
      <c r="O355" s="124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</row>
    <row x14ac:dyDescent="0.25" r="356" customHeight="1" ht="15.75">
      <c r="A356" s="123"/>
      <c r="B356" s="123"/>
      <c r="C356" s="124"/>
      <c r="D356" s="124"/>
      <c r="E356" s="124"/>
      <c r="F356" s="124"/>
      <c r="G356" s="124"/>
      <c r="H356" s="124"/>
      <c r="I356" s="124"/>
      <c r="J356" s="124"/>
      <c r="K356" s="124"/>
      <c r="L356" s="124"/>
      <c r="M356" s="124"/>
      <c r="N356" s="124"/>
      <c r="O356" s="124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</row>
    <row x14ac:dyDescent="0.25" r="357" customHeight="1" ht="15.75">
      <c r="A357" s="123"/>
      <c r="B357" s="123"/>
      <c r="C357" s="124"/>
      <c r="D357" s="124"/>
      <c r="E357" s="124"/>
      <c r="F357" s="124"/>
      <c r="G357" s="124"/>
      <c r="H357" s="124"/>
      <c r="I357" s="124"/>
      <c r="J357" s="124"/>
      <c r="K357" s="124"/>
      <c r="L357" s="124"/>
      <c r="M357" s="124"/>
      <c r="N357" s="124"/>
      <c r="O357" s="124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</row>
    <row x14ac:dyDescent="0.25" r="358" customHeight="1" ht="15.75">
      <c r="A358" s="123"/>
      <c r="B358" s="123"/>
      <c r="C358" s="124"/>
      <c r="D358" s="124"/>
      <c r="E358" s="124"/>
      <c r="F358" s="124"/>
      <c r="G358" s="124"/>
      <c r="H358" s="124"/>
      <c r="I358" s="124"/>
      <c r="J358" s="124"/>
      <c r="K358" s="124"/>
      <c r="L358" s="124"/>
      <c r="M358" s="124"/>
      <c r="N358" s="124"/>
      <c r="O358" s="124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</row>
    <row x14ac:dyDescent="0.25" r="359" customHeight="1" ht="15.75">
      <c r="A359" s="123"/>
      <c r="B359" s="123"/>
      <c r="C359" s="124"/>
      <c r="D359" s="124"/>
      <c r="E359" s="124"/>
      <c r="F359" s="124"/>
      <c r="G359" s="124"/>
      <c r="H359" s="124"/>
      <c r="I359" s="124"/>
      <c r="J359" s="124"/>
      <c r="K359" s="124"/>
      <c r="L359" s="124"/>
      <c r="M359" s="124"/>
      <c r="N359" s="124"/>
      <c r="O359" s="124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</row>
    <row x14ac:dyDescent="0.25" r="360" customHeight="1" ht="15.75">
      <c r="A360" s="123"/>
      <c r="B360" s="123"/>
      <c r="C360" s="124"/>
      <c r="D360" s="124"/>
      <c r="E360" s="124"/>
      <c r="F360" s="124"/>
      <c r="G360" s="124"/>
      <c r="H360" s="124"/>
      <c r="I360" s="124"/>
      <c r="J360" s="124"/>
      <c r="K360" s="124"/>
      <c r="L360" s="124"/>
      <c r="M360" s="124"/>
      <c r="N360" s="124"/>
      <c r="O360" s="124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</row>
    <row x14ac:dyDescent="0.25" r="361" customHeight="1" ht="15.75">
      <c r="A361" s="123"/>
      <c r="B361" s="123"/>
      <c r="C361" s="124"/>
      <c r="D361" s="124"/>
      <c r="E361" s="124"/>
      <c r="F361" s="124"/>
      <c r="G361" s="124"/>
      <c r="H361" s="124"/>
      <c r="I361" s="124"/>
      <c r="J361" s="124"/>
      <c r="K361" s="124"/>
      <c r="L361" s="124"/>
      <c r="M361" s="124"/>
      <c r="N361" s="124"/>
      <c r="O361" s="124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</row>
    <row x14ac:dyDescent="0.25" r="362" customHeight="1" ht="15.75">
      <c r="A362" s="123"/>
      <c r="B362" s="123"/>
      <c r="C362" s="124"/>
      <c r="D362" s="124"/>
      <c r="E362" s="124"/>
      <c r="F362" s="124"/>
      <c r="G362" s="124"/>
      <c r="H362" s="124"/>
      <c r="I362" s="124"/>
      <c r="J362" s="124"/>
      <c r="K362" s="124"/>
      <c r="L362" s="124"/>
      <c r="M362" s="124"/>
      <c r="N362" s="124"/>
      <c r="O362" s="124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</row>
    <row x14ac:dyDescent="0.25" r="363" customHeight="1" ht="15.75">
      <c r="A363" s="123"/>
      <c r="B363" s="123"/>
      <c r="C363" s="124"/>
      <c r="D363" s="124"/>
      <c r="E363" s="124"/>
      <c r="F363" s="124"/>
      <c r="G363" s="124"/>
      <c r="H363" s="124"/>
      <c r="I363" s="124"/>
      <c r="J363" s="124"/>
      <c r="K363" s="124"/>
      <c r="L363" s="124"/>
      <c r="M363" s="124"/>
      <c r="N363" s="124"/>
      <c r="O363" s="124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</row>
    <row x14ac:dyDescent="0.25" r="364" customHeight="1" ht="15.75">
      <c r="A364" s="123"/>
      <c r="B364" s="123"/>
      <c r="C364" s="124"/>
      <c r="D364" s="124"/>
      <c r="E364" s="124"/>
      <c r="F364" s="124"/>
      <c r="G364" s="124"/>
      <c r="H364" s="124"/>
      <c r="I364" s="124"/>
      <c r="J364" s="124"/>
      <c r="K364" s="124"/>
      <c r="L364" s="124"/>
      <c r="M364" s="124"/>
      <c r="N364" s="124"/>
      <c r="O364" s="124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</row>
    <row x14ac:dyDescent="0.25" r="365" customHeight="1" ht="15.75">
      <c r="A365" s="123"/>
      <c r="B365" s="123"/>
      <c r="C365" s="124"/>
      <c r="D365" s="124"/>
      <c r="E365" s="124"/>
      <c r="F365" s="124"/>
      <c r="G365" s="124"/>
      <c r="H365" s="124"/>
      <c r="I365" s="124"/>
      <c r="J365" s="124"/>
      <c r="K365" s="124"/>
      <c r="L365" s="124"/>
      <c r="M365" s="124"/>
      <c r="N365" s="124"/>
      <c r="O365" s="124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</row>
    <row x14ac:dyDescent="0.25" r="366" customHeight="1" ht="15.75">
      <c r="A366" s="123"/>
      <c r="B366" s="123"/>
      <c r="C366" s="124"/>
      <c r="D366" s="124"/>
      <c r="E366" s="124"/>
      <c r="F366" s="124"/>
      <c r="G366" s="124"/>
      <c r="H366" s="124"/>
      <c r="I366" s="124"/>
      <c r="J366" s="124"/>
      <c r="K366" s="124"/>
      <c r="L366" s="124"/>
      <c r="M366" s="124"/>
      <c r="N366" s="124"/>
      <c r="O366" s="124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</row>
    <row x14ac:dyDescent="0.25" r="367" customHeight="1" ht="15.75">
      <c r="A367" s="123"/>
      <c r="B367" s="123"/>
      <c r="C367" s="124"/>
      <c r="D367" s="124"/>
      <c r="E367" s="124"/>
      <c r="F367" s="124"/>
      <c r="G367" s="124"/>
      <c r="H367" s="124"/>
      <c r="I367" s="124"/>
      <c r="J367" s="124"/>
      <c r="K367" s="124"/>
      <c r="L367" s="124"/>
      <c r="M367" s="124"/>
      <c r="N367" s="124"/>
      <c r="O367" s="124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</row>
    <row x14ac:dyDescent="0.25" r="368" customHeight="1" ht="15.75">
      <c r="A368" s="123"/>
      <c r="B368" s="123"/>
      <c r="C368" s="124"/>
      <c r="D368" s="124"/>
      <c r="E368" s="124"/>
      <c r="F368" s="124"/>
      <c r="G368" s="124"/>
      <c r="H368" s="124"/>
      <c r="I368" s="124"/>
      <c r="J368" s="124"/>
      <c r="K368" s="124"/>
      <c r="L368" s="124"/>
      <c r="M368" s="124"/>
      <c r="N368" s="124"/>
      <c r="O368" s="124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</row>
    <row x14ac:dyDescent="0.25" r="369" customHeight="1" ht="15.75">
      <c r="A369" s="123"/>
      <c r="B369" s="123"/>
      <c r="C369" s="124"/>
      <c r="D369" s="124"/>
      <c r="E369" s="124"/>
      <c r="F369" s="124"/>
      <c r="G369" s="124"/>
      <c r="H369" s="124"/>
      <c r="I369" s="124"/>
      <c r="J369" s="124"/>
      <c r="K369" s="124"/>
      <c r="L369" s="124"/>
      <c r="M369" s="124"/>
      <c r="N369" s="124"/>
      <c r="O369" s="124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</row>
    <row x14ac:dyDescent="0.25" r="370" customHeight="1" ht="15.75">
      <c r="A370" s="123"/>
      <c r="B370" s="123"/>
      <c r="C370" s="124"/>
      <c r="D370" s="124"/>
      <c r="E370" s="124"/>
      <c r="F370" s="124"/>
      <c r="G370" s="124"/>
      <c r="H370" s="124"/>
      <c r="I370" s="124"/>
      <c r="J370" s="124"/>
      <c r="K370" s="124"/>
      <c r="L370" s="124"/>
      <c r="M370" s="124"/>
      <c r="N370" s="124"/>
      <c r="O370" s="124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</row>
    <row x14ac:dyDescent="0.25" r="371" customHeight="1" ht="15.75">
      <c r="A371" s="123"/>
      <c r="B371" s="123"/>
      <c r="C371" s="124"/>
      <c r="D371" s="124"/>
      <c r="E371" s="124"/>
      <c r="F371" s="124"/>
      <c r="G371" s="124"/>
      <c r="H371" s="124"/>
      <c r="I371" s="124"/>
      <c r="J371" s="124"/>
      <c r="K371" s="124"/>
      <c r="L371" s="124"/>
      <c r="M371" s="124"/>
      <c r="N371" s="124"/>
      <c r="O371" s="124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</row>
    <row x14ac:dyDescent="0.25" r="372" customHeight="1" ht="15.75">
      <c r="A372" s="123"/>
      <c r="B372" s="123"/>
      <c r="C372" s="124"/>
      <c r="D372" s="124"/>
      <c r="E372" s="124"/>
      <c r="F372" s="124"/>
      <c r="G372" s="124"/>
      <c r="H372" s="124"/>
      <c r="I372" s="124"/>
      <c r="J372" s="124"/>
      <c r="K372" s="124"/>
      <c r="L372" s="124"/>
      <c r="M372" s="124"/>
      <c r="N372" s="124"/>
      <c r="O372" s="124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</row>
    <row x14ac:dyDescent="0.25" r="373" customHeight="1" ht="15.75">
      <c r="A373" s="123"/>
      <c r="B373" s="123"/>
      <c r="C373" s="124"/>
      <c r="D373" s="124"/>
      <c r="E373" s="124"/>
      <c r="F373" s="124"/>
      <c r="G373" s="124"/>
      <c r="H373" s="124"/>
      <c r="I373" s="124"/>
      <c r="J373" s="124"/>
      <c r="K373" s="124"/>
      <c r="L373" s="124"/>
      <c r="M373" s="124"/>
      <c r="N373" s="124"/>
      <c r="O373" s="124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</row>
    <row x14ac:dyDescent="0.25" r="374" customHeight="1" ht="15.75">
      <c r="A374" s="123"/>
      <c r="B374" s="123"/>
      <c r="C374" s="124"/>
      <c r="D374" s="124"/>
      <c r="E374" s="124"/>
      <c r="F374" s="124"/>
      <c r="G374" s="124"/>
      <c r="H374" s="124"/>
      <c r="I374" s="124"/>
      <c r="J374" s="124"/>
      <c r="K374" s="124"/>
      <c r="L374" s="124"/>
      <c r="M374" s="124"/>
      <c r="N374" s="124"/>
      <c r="O374" s="124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</row>
    <row x14ac:dyDescent="0.25" r="375" customHeight="1" ht="15.75">
      <c r="A375" s="123"/>
      <c r="B375" s="123"/>
      <c r="C375" s="124"/>
      <c r="D375" s="124"/>
      <c r="E375" s="124"/>
      <c r="F375" s="124"/>
      <c r="G375" s="124"/>
      <c r="H375" s="124"/>
      <c r="I375" s="124"/>
      <c r="J375" s="124"/>
      <c r="K375" s="124"/>
      <c r="L375" s="124"/>
      <c r="M375" s="124"/>
      <c r="N375" s="124"/>
      <c r="O375" s="124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</row>
    <row x14ac:dyDescent="0.25" r="376" customHeight="1" ht="15.75">
      <c r="A376" s="123"/>
      <c r="B376" s="123"/>
      <c r="C376" s="124"/>
      <c r="D376" s="124"/>
      <c r="E376" s="124"/>
      <c r="F376" s="124"/>
      <c r="G376" s="124"/>
      <c r="H376" s="124"/>
      <c r="I376" s="124"/>
      <c r="J376" s="124"/>
      <c r="K376" s="124"/>
      <c r="L376" s="124"/>
      <c r="M376" s="124"/>
      <c r="N376" s="124"/>
      <c r="O376" s="124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</row>
    <row x14ac:dyDescent="0.25" r="377" customHeight="1" ht="15.75">
      <c r="A377" s="123"/>
      <c r="B377" s="123"/>
      <c r="C377" s="124"/>
      <c r="D377" s="124"/>
      <c r="E377" s="124"/>
      <c r="F377" s="124"/>
      <c r="G377" s="124"/>
      <c r="H377" s="124"/>
      <c r="I377" s="124"/>
      <c r="J377" s="124"/>
      <c r="K377" s="124"/>
      <c r="L377" s="124"/>
      <c r="M377" s="124"/>
      <c r="N377" s="124"/>
      <c r="O377" s="124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</row>
    <row x14ac:dyDescent="0.25" r="378" customHeight="1" ht="15.75">
      <c r="A378" s="123"/>
      <c r="B378" s="123"/>
      <c r="C378" s="124"/>
      <c r="D378" s="124"/>
      <c r="E378" s="124"/>
      <c r="F378" s="124"/>
      <c r="G378" s="124"/>
      <c r="H378" s="124"/>
      <c r="I378" s="124"/>
      <c r="J378" s="124"/>
      <c r="K378" s="124"/>
      <c r="L378" s="124"/>
      <c r="M378" s="124"/>
      <c r="N378" s="124"/>
      <c r="O378" s="124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</row>
    <row x14ac:dyDescent="0.25" r="379" customHeight="1" ht="15.75">
      <c r="A379" s="123"/>
      <c r="B379" s="123"/>
      <c r="C379" s="124"/>
      <c r="D379" s="124"/>
      <c r="E379" s="124"/>
      <c r="F379" s="124"/>
      <c r="G379" s="124"/>
      <c r="H379" s="124"/>
      <c r="I379" s="124"/>
      <c r="J379" s="124"/>
      <c r="K379" s="124"/>
      <c r="L379" s="124"/>
      <c r="M379" s="124"/>
      <c r="N379" s="124"/>
      <c r="O379" s="124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</row>
    <row x14ac:dyDescent="0.25" r="380" customHeight="1" ht="15.75">
      <c r="A380" s="123"/>
      <c r="B380" s="123"/>
      <c r="C380" s="124"/>
      <c r="D380" s="124"/>
      <c r="E380" s="124"/>
      <c r="F380" s="124"/>
      <c r="G380" s="124"/>
      <c r="H380" s="124"/>
      <c r="I380" s="124"/>
      <c r="J380" s="124"/>
      <c r="K380" s="124"/>
      <c r="L380" s="124"/>
      <c r="M380" s="124"/>
      <c r="N380" s="124"/>
      <c r="O380" s="124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</row>
    <row x14ac:dyDescent="0.25" r="381" customHeight="1" ht="15.75">
      <c r="A381" s="123"/>
      <c r="B381" s="123"/>
      <c r="C381" s="124"/>
      <c r="D381" s="124"/>
      <c r="E381" s="124"/>
      <c r="F381" s="124"/>
      <c r="G381" s="124"/>
      <c r="H381" s="124"/>
      <c r="I381" s="124"/>
      <c r="J381" s="124"/>
      <c r="K381" s="124"/>
      <c r="L381" s="124"/>
      <c r="M381" s="124"/>
      <c r="N381" s="124"/>
      <c r="O381" s="124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</row>
    <row x14ac:dyDescent="0.25" r="382" customHeight="1" ht="15.75">
      <c r="A382" s="123"/>
      <c r="B382" s="123"/>
      <c r="C382" s="124"/>
      <c r="D382" s="124"/>
      <c r="E382" s="124"/>
      <c r="F382" s="124"/>
      <c r="G382" s="124"/>
      <c r="H382" s="124"/>
      <c r="I382" s="124"/>
      <c r="J382" s="124"/>
      <c r="K382" s="124"/>
      <c r="L382" s="124"/>
      <c r="M382" s="124"/>
      <c r="N382" s="124"/>
      <c r="O382" s="124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</row>
    <row x14ac:dyDescent="0.25" r="383" customHeight="1" ht="15.75">
      <c r="A383" s="123"/>
      <c r="B383" s="123"/>
      <c r="C383" s="124"/>
      <c r="D383" s="124"/>
      <c r="E383" s="124"/>
      <c r="F383" s="124"/>
      <c r="G383" s="124"/>
      <c r="H383" s="124"/>
      <c r="I383" s="124"/>
      <c r="J383" s="124"/>
      <c r="K383" s="124"/>
      <c r="L383" s="124"/>
      <c r="M383" s="124"/>
      <c r="N383" s="124"/>
      <c r="O383" s="124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</row>
    <row x14ac:dyDescent="0.25" r="384" customHeight="1" ht="15.75">
      <c r="A384" s="123"/>
      <c r="B384" s="123"/>
      <c r="C384" s="124"/>
      <c r="D384" s="124"/>
      <c r="E384" s="124"/>
      <c r="F384" s="124"/>
      <c r="G384" s="124"/>
      <c r="H384" s="124"/>
      <c r="I384" s="124"/>
      <c r="J384" s="124"/>
      <c r="K384" s="124"/>
      <c r="L384" s="124"/>
      <c r="M384" s="124"/>
      <c r="N384" s="124"/>
      <c r="O384" s="124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</row>
    <row x14ac:dyDescent="0.25" r="385" customHeight="1" ht="15.75">
      <c r="A385" s="123"/>
      <c r="B385" s="123"/>
      <c r="C385" s="124"/>
      <c r="D385" s="124"/>
      <c r="E385" s="124"/>
      <c r="F385" s="124"/>
      <c r="G385" s="124"/>
      <c r="H385" s="124"/>
      <c r="I385" s="124"/>
      <c r="J385" s="124"/>
      <c r="K385" s="124"/>
      <c r="L385" s="124"/>
      <c r="M385" s="124"/>
      <c r="N385" s="124"/>
      <c r="O385" s="124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</row>
    <row x14ac:dyDescent="0.25" r="386" customHeight="1" ht="15.75">
      <c r="A386" s="123"/>
      <c r="B386" s="123"/>
      <c r="C386" s="124"/>
      <c r="D386" s="124"/>
      <c r="E386" s="124"/>
      <c r="F386" s="124"/>
      <c r="G386" s="124"/>
      <c r="H386" s="124"/>
      <c r="I386" s="124"/>
      <c r="J386" s="124"/>
      <c r="K386" s="124"/>
      <c r="L386" s="124"/>
      <c r="M386" s="124"/>
      <c r="N386" s="124"/>
      <c r="O386" s="124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</row>
    <row x14ac:dyDescent="0.25" r="387" customHeight="1" ht="15.75">
      <c r="A387" s="123"/>
      <c r="B387" s="123"/>
      <c r="C387" s="124"/>
      <c r="D387" s="124"/>
      <c r="E387" s="124"/>
      <c r="F387" s="124"/>
      <c r="G387" s="124"/>
      <c r="H387" s="124"/>
      <c r="I387" s="124"/>
      <c r="J387" s="124"/>
      <c r="K387" s="124"/>
      <c r="L387" s="124"/>
      <c r="M387" s="124"/>
      <c r="N387" s="124"/>
      <c r="O387" s="124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</row>
    <row x14ac:dyDescent="0.25" r="388" customHeight="1" ht="15.75">
      <c r="A388" s="123"/>
      <c r="B388" s="123"/>
      <c r="C388" s="124"/>
      <c r="D388" s="124"/>
      <c r="E388" s="124"/>
      <c r="F388" s="124"/>
      <c r="G388" s="124"/>
      <c r="H388" s="124"/>
      <c r="I388" s="124"/>
      <c r="J388" s="124"/>
      <c r="K388" s="124"/>
      <c r="L388" s="124"/>
      <c r="M388" s="124"/>
      <c r="N388" s="124"/>
      <c r="O388" s="124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</row>
    <row x14ac:dyDescent="0.25" r="389" customHeight="1" ht="15.75">
      <c r="A389" s="123"/>
      <c r="B389" s="123"/>
      <c r="C389" s="124"/>
      <c r="D389" s="124"/>
      <c r="E389" s="124"/>
      <c r="F389" s="124"/>
      <c r="G389" s="124"/>
      <c r="H389" s="124"/>
      <c r="I389" s="124"/>
      <c r="J389" s="124"/>
      <c r="K389" s="124"/>
      <c r="L389" s="124"/>
      <c r="M389" s="124"/>
      <c r="N389" s="124"/>
      <c r="O389" s="124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</row>
    <row x14ac:dyDescent="0.25" r="390" customHeight="1" ht="15.75">
      <c r="A390" s="123"/>
      <c r="B390" s="123"/>
      <c r="C390" s="124"/>
      <c r="D390" s="124"/>
      <c r="E390" s="124"/>
      <c r="F390" s="124"/>
      <c r="G390" s="124"/>
      <c r="H390" s="124"/>
      <c r="I390" s="124"/>
      <c r="J390" s="124"/>
      <c r="K390" s="124"/>
      <c r="L390" s="124"/>
      <c r="M390" s="124"/>
      <c r="N390" s="124"/>
      <c r="O390" s="124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</row>
    <row x14ac:dyDescent="0.25" r="391" customHeight="1" ht="15.75">
      <c r="A391" s="123"/>
      <c r="B391" s="123"/>
      <c r="C391" s="124"/>
      <c r="D391" s="124"/>
      <c r="E391" s="124"/>
      <c r="F391" s="124"/>
      <c r="G391" s="124"/>
      <c r="H391" s="124"/>
      <c r="I391" s="124"/>
      <c r="J391" s="124"/>
      <c r="K391" s="124"/>
      <c r="L391" s="124"/>
      <c r="M391" s="124"/>
      <c r="N391" s="124"/>
      <c r="O391" s="124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</row>
    <row x14ac:dyDescent="0.25" r="392" customHeight="1" ht="15.75">
      <c r="A392" s="123"/>
      <c r="B392" s="123"/>
      <c r="C392" s="124"/>
      <c r="D392" s="124"/>
      <c r="E392" s="124"/>
      <c r="F392" s="124"/>
      <c r="G392" s="124"/>
      <c r="H392" s="124"/>
      <c r="I392" s="124"/>
      <c r="J392" s="124"/>
      <c r="K392" s="124"/>
      <c r="L392" s="124"/>
      <c r="M392" s="124"/>
      <c r="N392" s="124"/>
      <c r="O392" s="124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</row>
    <row x14ac:dyDescent="0.25" r="393" customHeight="1" ht="15.75">
      <c r="A393" s="123"/>
      <c r="B393" s="123"/>
      <c r="C393" s="124"/>
      <c r="D393" s="124"/>
      <c r="E393" s="124"/>
      <c r="F393" s="124"/>
      <c r="G393" s="124"/>
      <c r="H393" s="124"/>
      <c r="I393" s="124"/>
      <c r="J393" s="124"/>
      <c r="K393" s="124"/>
      <c r="L393" s="124"/>
      <c r="M393" s="124"/>
      <c r="N393" s="124"/>
      <c r="O393" s="124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</row>
    <row x14ac:dyDescent="0.25" r="394" customHeight="1" ht="15.75">
      <c r="A394" s="123"/>
      <c r="B394" s="123"/>
      <c r="C394" s="124"/>
      <c r="D394" s="124"/>
      <c r="E394" s="124"/>
      <c r="F394" s="124"/>
      <c r="G394" s="124"/>
      <c r="H394" s="124"/>
      <c r="I394" s="124"/>
      <c r="J394" s="124"/>
      <c r="K394" s="124"/>
      <c r="L394" s="124"/>
      <c r="M394" s="124"/>
      <c r="N394" s="124"/>
      <c r="O394" s="124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</row>
    <row x14ac:dyDescent="0.25" r="395" customHeight="1" ht="15.75">
      <c r="A395" s="123"/>
      <c r="B395" s="123"/>
      <c r="C395" s="124"/>
      <c r="D395" s="124"/>
      <c r="E395" s="124"/>
      <c r="F395" s="124"/>
      <c r="G395" s="124"/>
      <c r="H395" s="124"/>
      <c r="I395" s="124"/>
      <c r="J395" s="124"/>
      <c r="K395" s="124"/>
      <c r="L395" s="124"/>
      <c r="M395" s="124"/>
      <c r="N395" s="124"/>
      <c r="O395" s="124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</row>
    <row x14ac:dyDescent="0.25" r="396" customHeight="1" ht="15.75">
      <c r="A396" s="123"/>
      <c r="B396" s="123"/>
      <c r="C396" s="124"/>
      <c r="D396" s="124"/>
      <c r="E396" s="124"/>
      <c r="F396" s="124"/>
      <c r="G396" s="124"/>
      <c r="H396" s="124"/>
      <c r="I396" s="124"/>
      <c r="J396" s="124"/>
      <c r="K396" s="124"/>
      <c r="L396" s="124"/>
      <c r="M396" s="124"/>
      <c r="N396" s="124"/>
      <c r="O396" s="124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</row>
    <row x14ac:dyDescent="0.25" r="397" customHeight="1" ht="15.75">
      <c r="A397" s="123"/>
      <c r="B397" s="123"/>
      <c r="C397" s="124"/>
      <c r="D397" s="124"/>
      <c r="E397" s="124"/>
      <c r="F397" s="124"/>
      <c r="G397" s="124"/>
      <c r="H397" s="124"/>
      <c r="I397" s="124"/>
      <c r="J397" s="124"/>
      <c r="K397" s="124"/>
      <c r="L397" s="124"/>
      <c r="M397" s="124"/>
      <c r="N397" s="124"/>
      <c r="O397" s="124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</row>
    <row x14ac:dyDescent="0.25" r="398" customHeight="1" ht="15.75">
      <c r="A398" s="123"/>
      <c r="B398" s="123"/>
      <c r="C398" s="124"/>
      <c r="D398" s="124"/>
      <c r="E398" s="124"/>
      <c r="F398" s="124"/>
      <c r="G398" s="124"/>
      <c r="H398" s="124"/>
      <c r="I398" s="124"/>
      <c r="J398" s="124"/>
      <c r="K398" s="124"/>
      <c r="L398" s="124"/>
      <c r="M398" s="124"/>
      <c r="N398" s="124"/>
      <c r="O398" s="124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</row>
    <row x14ac:dyDescent="0.25" r="399" customHeight="1" ht="15.75">
      <c r="A399" s="123"/>
      <c r="B399" s="123"/>
      <c r="C399" s="124"/>
      <c r="D399" s="124"/>
      <c r="E399" s="124"/>
      <c r="F399" s="124"/>
      <c r="G399" s="124"/>
      <c r="H399" s="124"/>
      <c r="I399" s="124"/>
      <c r="J399" s="124"/>
      <c r="K399" s="124"/>
      <c r="L399" s="124"/>
      <c r="M399" s="124"/>
      <c r="N399" s="124"/>
      <c r="O399" s="124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</row>
    <row x14ac:dyDescent="0.25" r="400" customHeight="1" ht="15.75">
      <c r="A400" s="123"/>
      <c r="B400" s="123"/>
      <c r="C400" s="124"/>
      <c r="D400" s="124"/>
      <c r="E400" s="124"/>
      <c r="F400" s="124"/>
      <c r="G400" s="124"/>
      <c r="H400" s="124"/>
      <c r="I400" s="124"/>
      <c r="J400" s="124"/>
      <c r="K400" s="124"/>
      <c r="L400" s="124"/>
      <c r="M400" s="124"/>
      <c r="N400" s="124"/>
      <c r="O400" s="124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</row>
    <row x14ac:dyDescent="0.25" r="401" customHeight="1" ht="15.75">
      <c r="A401" s="123"/>
      <c r="B401" s="123"/>
      <c r="C401" s="124"/>
      <c r="D401" s="124"/>
      <c r="E401" s="124"/>
      <c r="F401" s="124"/>
      <c r="G401" s="124"/>
      <c r="H401" s="124"/>
      <c r="I401" s="124"/>
      <c r="J401" s="124"/>
      <c r="K401" s="124"/>
      <c r="L401" s="124"/>
      <c r="M401" s="124"/>
      <c r="N401" s="124"/>
      <c r="O401" s="124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</row>
    <row x14ac:dyDescent="0.25" r="402" customHeight="1" ht="15.75">
      <c r="A402" s="123"/>
      <c r="B402" s="123"/>
      <c r="C402" s="124"/>
      <c r="D402" s="124"/>
      <c r="E402" s="124"/>
      <c r="F402" s="124"/>
      <c r="G402" s="124"/>
      <c r="H402" s="124"/>
      <c r="I402" s="124"/>
      <c r="J402" s="124"/>
      <c r="K402" s="124"/>
      <c r="L402" s="124"/>
      <c r="M402" s="124"/>
      <c r="N402" s="124"/>
      <c r="O402" s="124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</row>
    <row x14ac:dyDescent="0.25" r="403" customHeight="1" ht="15.75">
      <c r="A403" s="123"/>
      <c r="B403" s="123"/>
      <c r="C403" s="124"/>
      <c r="D403" s="124"/>
      <c r="E403" s="124"/>
      <c r="F403" s="124"/>
      <c r="G403" s="124"/>
      <c r="H403" s="124"/>
      <c r="I403" s="124"/>
      <c r="J403" s="124"/>
      <c r="K403" s="124"/>
      <c r="L403" s="124"/>
      <c r="M403" s="124"/>
      <c r="N403" s="124"/>
      <c r="O403" s="124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</row>
    <row x14ac:dyDescent="0.25" r="404" customHeight="1" ht="15.75">
      <c r="A404" s="123"/>
      <c r="B404" s="123"/>
      <c r="C404" s="124"/>
      <c r="D404" s="124"/>
      <c r="E404" s="124"/>
      <c r="F404" s="124"/>
      <c r="G404" s="124"/>
      <c r="H404" s="124"/>
      <c r="I404" s="124"/>
      <c r="J404" s="124"/>
      <c r="K404" s="124"/>
      <c r="L404" s="124"/>
      <c r="M404" s="124"/>
      <c r="N404" s="124"/>
      <c r="O404" s="124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</row>
    <row x14ac:dyDescent="0.25" r="405" customHeight="1" ht="15.75">
      <c r="A405" s="123"/>
      <c r="B405" s="123"/>
      <c r="C405" s="124"/>
      <c r="D405" s="124"/>
      <c r="E405" s="124"/>
      <c r="F405" s="124"/>
      <c r="G405" s="124"/>
      <c r="H405" s="124"/>
      <c r="I405" s="124"/>
      <c r="J405" s="124"/>
      <c r="K405" s="124"/>
      <c r="L405" s="124"/>
      <c r="M405" s="124"/>
      <c r="N405" s="124"/>
      <c r="O405" s="124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</row>
    <row x14ac:dyDescent="0.25" r="406" customHeight="1" ht="15.75">
      <c r="A406" s="123"/>
      <c r="B406" s="123"/>
      <c r="C406" s="124"/>
      <c r="D406" s="124"/>
      <c r="E406" s="124"/>
      <c r="F406" s="124"/>
      <c r="G406" s="124"/>
      <c r="H406" s="124"/>
      <c r="I406" s="124"/>
      <c r="J406" s="124"/>
      <c r="K406" s="124"/>
      <c r="L406" s="124"/>
      <c r="M406" s="124"/>
      <c r="N406" s="124"/>
      <c r="O406" s="124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</row>
    <row x14ac:dyDescent="0.25" r="407" customHeight="1" ht="15.75">
      <c r="A407" s="123"/>
      <c r="B407" s="123"/>
      <c r="C407" s="124"/>
      <c r="D407" s="124"/>
      <c r="E407" s="124"/>
      <c r="F407" s="124"/>
      <c r="G407" s="124"/>
      <c r="H407" s="124"/>
      <c r="I407" s="124"/>
      <c r="J407" s="124"/>
      <c r="K407" s="124"/>
      <c r="L407" s="124"/>
      <c r="M407" s="124"/>
      <c r="N407" s="124"/>
      <c r="O407" s="124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</row>
    <row x14ac:dyDescent="0.25" r="408" customHeight="1" ht="15.75">
      <c r="A408" s="123"/>
      <c r="B408" s="123"/>
      <c r="C408" s="124"/>
      <c r="D408" s="124"/>
      <c r="E408" s="124"/>
      <c r="F408" s="124"/>
      <c r="G408" s="124"/>
      <c r="H408" s="124"/>
      <c r="I408" s="124"/>
      <c r="J408" s="124"/>
      <c r="K408" s="124"/>
      <c r="L408" s="124"/>
      <c r="M408" s="124"/>
      <c r="N408" s="124"/>
      <c r="O408" s="124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</row>
    <row x14ac:dyDescent="0.25" r="409" customHeight="1" ht="15.75">
      <c r="A409" s="123"/>
      <c r="B409" s="123"/>
      <c r="C409" s="124"/>
      <c r="D409" s="124"/>
      <c r="E409" s="124"/>
      <c r="F409" s="124"/>
      <c r="G409" s="124"/>
      <c r="H409" s="124"/>
      <c r="I409" s="124"/>
      <c r="J409" s="124"/>
      <c r="K409" s="124"/>
      <c r="L409" s="124"/>
      <c r="M409" s="124"/>
      <c r="N409" s="124"/>
      <c r="O409" s="124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</row>
    <row x14ac:dyDescent="0.25" r="410" customHeight="1" ht="15.75">
      <c r="A410" s="123"/>
      <c r="B410" s="123"/>
      <c r="C410" s="124"/>
      <c r="D410" s="124"/>
      <c r="E410" s="124"/>
      <c r="F410" s="124"/>
      <c r="G410" s="124"/>
      <c r="H410" s="124"/>
      <c r="I410" s="124"/>
      <c r="J410" s="124"/>
      <c r="K410" s="124"/>
      <c r="L410" s="124"/>
      <c r="M410" s="124"/>
      <c r="N410" s="124"/>
      <c r="O410" s="124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</row>
    <row x14ac:dyDescent="0.25" r="411" customHeight="1" ht="15.75">
      <c r="A411" s="123"/>
      <c r="B411" s="123"/>
      <c r="C411" s="124"/>
      <c r="D411" s="124"/>
      <c r="E411" s="124"/>
      <c r="F411" s="124"/>
      <c r="G411" s="124"/>
      <c r="H411" s="124"/>
      <c r="I411" s="124"/>
      <c r="J411" s="124"/>
      <c r="K411" s="124"/>
      <c r="L411" s="124"/>
      <c r="M411" s="124"/>
      <c r="N411" s="124"/>
      <c r="O411" s="124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</row>
    <row x14ac:dyDescent="0.25" r="412" customHeight="1" ht="15.75">
      <c r="A412" s="123"/>
      <c r="B412" s="123"/>
      <c r="C412" s="124"/>
      <c r="D412" s="124"/>
      <c r="E412" s="124"/>
      <c r="F412" s="124"/>
      <c r="G412" s="124"/>
      <c r="H412" s="124"/>
      <c r="I412" s="124"/>
      <c r="J412" s="124"/>
      <c r="K412" s="124"/>
      <c r="L412" s="124"/>
      <c r="M412" s="124"/>
      <c r="N412" s="124"/>
      <c r="O412" s="124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</row>
    <row x14ac:dyDescent="0.25" r="413" customHeight="1" ht="15.75">
      <c r="A413" s="123"/>
      <c r="B413" s="123"/>
      <c r="C413" s="124"/>
      <c r="D413" s="124"/>
      <c r="E413" s="124"/>
      <c r="F413" s="124"/>
      <c r="G413" s="124"/>
      <c r="H413" s="124"/>
      <c r="I413" s="124"/>
      <c r="J413" s="124"/>
      <c r="K413" s="124"/>
      <c r="L413" s="124"/>
      <c r="M413" s="124"/>
      <c r="N413" s="124"/>
      <c r="O413" s="124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</row>
    <row x14ac:dyDescent="0.25" r="414" customHeight="1" ht="15.75">
      <c r="A414" s="123"/>
      <c r="B414" s="123"/>
      <c r="C414" s="124"/>
      <c r="D414" s="124"/>
      <c r="E414" s="124"/>
      <c r="F414" s="124"/>
      <c r="G414" s="124"/>
      <c r="H414" s="124"/>
      <c r="I414" s="124"/>
      <c r="J414" s="124"/>
      <c r="K414" s="124"/>
      <c r="L414" s="124"/>
      <c r="M414" s="124"/>
      <c r="N414" s="124"/>
      <c r="O414" s="124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</row>
    <row x14ac:dyDescent="0.25" r="415" customHeight="1" ht="15.75">
      <c r="A415" s="123"/>
      <c r="B415" s="123"/>
      <c r="C415" s="124"/>
      <c r="D415" s="124"/>
      <c r="E415" s="124"/>
      <c r="F415" s="124"/>
      <c r="G415" s="124"/>
      <c r="H415" s="124"/>
      <c r="I415" s="124"/>
      <c r="J415" s="124"/>
      <c r="K415" s="124"/>
      <c r="L415" s="124"/>
      <c r="M415" s="124"/>
      <c r="N415" s="124"/>
      <c r="O415" s="124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</row>
    <row x14ac:dyDescent="0.25" r="416" customHeight="1" ht="15.75">
      <c r="A416" s="123"/>
      <c r="B416" s="123"/>
      <c r="C416" s="124"/>
      <c r="D416" s="124"/>
      <c r="E416" s="124"/>
      <c r="F416" s="124"/>
      <c r="G416" s="124"/>
      <c r="H416" s="124"/>
      <c r="I416" s="124"/>
      <c r="J416" s="124"/>
      <c r="K416" s="124"/>
      <c r="L416" s="124"/>
      <c r="M416" s="124"/>
      <c r="N416" s="124"/>
      <c r="O416" s="124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</row>
    <row x14ac:dyDescent="0.25" r="417" customHeight="1" ht="15.75">
      <c r="A417" s="123"/>
      <c r="B417" s="123"/>
      <c r="C417" s="124"/>
      <c r="D417" s="124"/>
      <c r="E417" s="124"/>
      <c r="F417" s="124"/>
      <c r="G417" s="124"/>
      <c r="H417" s="124"/>
      <c r="I417" s="124"/>
      <c r="J417" s="124"/>
      <c r="K417" s="124"/>
      <c r="L417" s="124"/>
      <c r="M417" s="124"/>
      <c r="N417" s="124"/>
      <c r="O417" s="124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</row>
    <row x14ac:dyDescent="0.25" r="418" customHeight="1" ht="15.75">
      <c r="A418" s="123"/>
      <c r="B418" s="123"/>
      <c r="C418" s="124"/>
      <c r="D418" s="124"/>
      <c r="E418" s="124"/>
      <c r="F418" s="124"/>
      <c r="G418" s="124"/>
      <c r="H418" s="124"/>
      <c r="I418" s="124"/>
      <c r="J418" s="124"/>
      <c r="K418" s="124"/>
      <c r="L418" s="124"/>
      <c r="M418" s="124"/>
      <c r="N418" s="124"/>
      <c r="O418" s="124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</row>
    <row x14ac:dyDescent="0.25" r="419" customHeight="1" ht="15.75">
      <c r="A419" s="123"/>
      <c r="B419" s="123"/>
      <c r="C419" s="124"/>
      <c r="D419" s="124"/>
      <c r="E419" s="124"/>
      <c r="F419" s="124"/>
      <c r="G419" s="124"/>
      <c r="H419" s="124"/>
      <c r="I419" s="124"/>
      <c r="J419" s="124"/>
      <c r="K419" s="124"/>
      <c r="L419" s="124"/>
      <c r="M419" s="124"/>
      <c r="N419" s="124"/>
      <c r="O419" s="124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</row>
    <row x14ac:dyDescent="0.25" r="420" customHeight="1" ht="15.75">
      <c r="A420" s="123"/>
      <c r="B420" s="123"/>
      <c r="C420" s="124"/>
      <c r="D420" s="124"/>
      <c r="E420" s="124"/>
      <c r="F420" s="124"/>
      <c r="G420" s="124"/>
      <c r="H420" s="124"/>
      <c r="I420" s="124"/>
      <c r="J420" s="124"/>
      <c r="K420" s="124"/>
      <c r="L420" s="124"/>
      <c r="M420" s="124"/>
      <c r="N420" s="124"/>
      <c r="O420" s="124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</row>
    <row x14ac:dyDescent="0.25" r="421" customHeight="1" ht="15.75">
      <c r="A421" s="123"/>
      <c r="B421" s="123"/>
      <c r="C421" s="124"/>
      <c r="D421" s="124"/>
      <c r="E421" s="124"/>
      <c r="F421" s="124"/>
      <c r="G421" s="124"/>
      <c r="H421" s="124"/>
      <c r="I421" s="124"/>
      <c r="J421" s="124"/>
      <c r="K421" s="124"/>
      <c r="L421" s="124"/>
      <c r="M421" s="124"/>
      <c r="N421" s="124"/>
      <c r="O421" s="124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</row>
    <row x14ac:dyDescent="0.25" r="422" customHeight="1" ht="15.75">
      <c r="A422" s="123"/>
      <c r="B422" s="123"/>
      <c r="C422" s="124"/>
      <c r="D422" s="124"/>
      <c r="E422" s="124"/>
      <c r="F422" s="124"/>
      <c r="G422" s="124"/>
      <c r="H422" s="124"/>
      <c r="I422" s="124"/>
      <c r="J422" s="124"/>
      <c r="K422" s="124"/>
      <c r="L422" s="124"/>
      <c r="M422" s="124"/>
      <c r="N422" s="124"/>
      <c r="O422" s="124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</row>
    <row x14ac:dyDescent="0.25" r="423" customHeight="1" ht="15.75">
      <c r="A423" s="123"/>
      <c r="B423" s="123"/>
      <c r="C423" s="124"/>
      <c r="D423" s="124"/>
      <c r="E423" s="124"/>
      <c r="F423" s="124"/>
      <c r="G423" s="124"/>
      <c r="H423" s="124"/>
      <c r="I423" s="124"/>
      <c r="J423" s="124"/>
      <c r="K423" s="124"/>
      <c r="L423" s="124"/>
      <c r="M423" s="124"/>
      <c r="N423" s="124"/>
      <c r="O423" s="124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</row>
    <row x14ac:dyDescent="0.25" r="424" customHeight="1" ht="15.75">
      <c r="A424" s="123"/>
      <c r="B424" s="123"/>
      <c r="C424" s="124"/>
      <c r="D424" s="124"/>
      <c r="E424" s="124"/>
      <c r="F424" s="124"/>
      <c r="G424" s="124"/>
      <c r="H424" s="124"/>
      <c r="I424" s="124"/>
      <c r="J424" s="124"/>
      <c r="K424" s="124"/>
      <c r="L424" s="124"/>
      <c r="M424" s="124"/>
      <c r="N424" s="124"/>
      <c r="O424" s="124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</row>
    <row x14ac:dyDescent="0.25" r="425" customHeight="1" ht="15.75">
      <c r="A425" s="123"/>
      <c r="B425" s="123"/>
      <c r="C425" s="124"/>
      <c r="D425" s="124"/>
      <c r="E425" s="124"/>
      <c r="F425" s="124"/>
      <c r="G425" s="124"/>
      <c r="H425" s="124"/>
      <c r="I425" s="124"/>
      <c r="J425" s="124"/>
      <c r="K425" s="124"/>
      <c r="L425" s="124"/>
      <c r="M425" s="124"/>
      <c r="N425" s="124"/>
      <c r="O425" s="124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</row>
    <row x14ac:dyDescent="0.25" r="426" customHeight="1" ht="15.75">
      <c r="A426" s="123"/>
      <c r="B426" s="123"/>
      <c r="C426" s="124"/>
      <c r="D426" s="124"/>
      <c r="E426" s="124"/>
      <c r="F426" s="124"/>
      <c r="G426" s="124"/>
      <c r="H426" s="124"/>
      <c r="I426" s="124"/>
      <c r="J426" s="124"/>
      <c r="K426" s="124"/>
      <c r="L426" s="124"/>
      <c r="M426" s="124"/>
      <c r="N426" s="124"/>
      <c r="O426" s="124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</row>
    <row x14ac:dyDescent="0.25" r="427" customHeight="1" ht="15.75">
      <c r="A427" s="123"/>
      <c r="B427" s="123"/>
      <c r="C427" s="124"/>
      <c r="D427" s="124"/>
      <c r="E427" s="124"/>
      <c r="F427" s="124"/>
      <c r="G427" s="124"/>
      <c r="H427" s="124"/>
      <c r="I427" s="124"/>
      <c r="J427" s="124"/>
      <c r="K427" s="124"/>
      <c r="L427" s="124"/>
      <c r="M427" s="124"/>
      <c r="N427" s="124"/>
      <c r="O427" s="124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</row>
    <row x14ac:dyDescent="0.25" r="428" customHeight="1" ht="15.75">
      <c r="A428" s="123"/>
      <c r="B428" s="123"/>
      <c r="C428" s="124"/>
      <c r="D428" s="124"/>
      <c r="E428" s="124"/>
      <c r="F428" s="124"/>
      <c r="G428" s="124"/>
      <c r="H428" s="124"/>
      <c r="I428" s="124"/>
      <c r="J428" s="124"/>
      <c r="K428" s="124"/>
      <c r="L428" s="124"/>
      <c r="M428" s="124"/>
      <c r="N428" s="124"/>
      <c r="O428" s="124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</row>
    <row x14ac:dyDescent="0.25" r="429" customHeight="1" ht="15.75">
      <c r="A429" s="123"/>
      <c r="B429" s="123"/>
      <c r="C429" s="124"/>
      <c r="D429" s="124"/>
      <c r="E429" s="124"/>
      <c r="F429" s="124"/>
      <c r="G429" s="124"/>
      <c r="H429" s="124"/>
      <c r="I429" s="124"/>
      <c r="J429" s="124"/>
      <c r="K429" s="124"/>
      <c r="L429" s="124"/>
      <c r="M429" s="124"/>
      <c r="N429" s="124"/>
      <c r="O429" s="124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</row>
    <row x14ac:dyDescent="0.25" r="430" customHeight="1" ht="15.75">
      <c r="A430" s="123"/>
      <c r="B430" s="123"/>
      <c r="C430" s="124"/>
      <c r="D430" s="124"/>
      <c r="E430" s="124"/>
      <c r="F430" s="124"/>
      <c r="G430" s="124"/>
      <c r="H430" s="124"/>
      <c r="I430" s="124"/>
      <c r="J430" s="124"/>
      <c r="K430" s="124"/>
      <c r="L430" s="124"/>
      <c r="M430" s="124"/>
      <c r="N430" s="124"/>
      <c r="O430" s="124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</row>
    <row x14ac:dyDescent="0.25" r="431" customHeight="1" ht="15.75">
      <c r="A431" s="123"/>
      <c r="B431" s="123"/>
      <c r="C431" s="124"/>
      <c r="D431" s="124"/>
      <c r="E431" s="124"/>
      <c r="F431" s="124"/>
      <c r="G431" s="124"/>
      <c r="H431" s="124"/>
      <c r="I431" s="124"/>
      <c r="J431" s="124"/>
      <c r="K431" s="124"/>
      <c r="L431" s="124"/>
      <c r="M431" s="124"/>
      <c r="N431" s="124"/>
      <c r="O431" s="124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</row>
    <row x14ac:dyDescent="0.25" r="432" customHeight="1" ht="15.75">
      <c r="A432" s="123"/>
      <c r="B432" s="123"/>
      <c r="C432" s="124"/>
      <c r="D432" s="124"/>
      <c r="E432" s="124"/>
      <c r="F432" s="124"/>
      <c r="G432" s="124"/>
      <c r="H432" s="124"/>
      <c r="I432" s="124"/>
      <c r="J432" s="124"/>
      <c r="K432" s="124"/>
      <c r="L432" s="124"/>
      <c r="M432" s="124"/>
      <c r="N432" s="124"/>
      <c r="O432" s="124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</row>
    <row x14ac:dyDescent="0.25" r="433" customHeight="1" ht="15.75">
      <c r="A433" s="123"/>
      <c r="B433" s="123"/>
      <c r="C433" s="124"/>
      <c r="D433" s="124"/>
      <c r="E433" s="124"/>
      <c r="F433" s="124"/>
      <c r="G433" s="124"/>
      <c r="H433" s="124"/>
      <c r="I433" s="124"/>
      <c r="J433" s="124"/>
      <c r="K433" s="124"/>
      <c r="L433" s="124"/>
      <c r="M433" s="124"/>
      <c r="N433" s="124"/>
      <c r="O433" s="124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</row>
    <row x14ac:dyDescent="0.25" r="434" customHeight="1" ht="15.75">
      <c r="A434" s="123"/>
      <c r="B434" s="123"/>
      <c r="C434" s="124"/>
      <c r="D434" s="124"/>
      <c r="E434" s="124"/>
      <c r="F434" s="124"/>
      <c r="G434" s="124"/>
      <c r="H434" s="124"/>
      <c r="I434" s="124"/>
      <c r="J434" s="124"/>
      <c r="K434" s="124"/>
      <c r="L434" s="124"/>
      <c r="M434" s="124"/>
      <c r="N434" s="124"/>
      <c r="O434" s="124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</row>
    <row x14ac:dyDescent="0.25" r="435" customHeight="1" ht="15.75">
      <c r="A435" s="123"/>
      <c r="B435" s="123"/>
      <c r="C435" s="124"/>
      <c r="D435" s="124"/>
      <c r="E435" s="124"/>
      <c r="F435" s="124"/>
      <c r="G435" s="124"/>
      <c r="H435" s="124"/>
      <c r="I435" s="124"/>
      <c r="J435" s="124"/>
      <c r="K435" s="124"/>
      <c r="L435" s="124"/>
      <c r="M435" s="124"/>
      <c r="N435" s="124"/>
      <c r="O435" s="124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</row>
    <row x14ac:dyDescent="0.25" r="436" customHeight="1" ht="15.75">
      <c r="A436" s="123"/>
      <c r="B436" s="123"/>
      <c r="C436" s="124"/>
      <c r="D436" s="124"/>
      <c r="E436" s="124"/>
      <c r="F436" s="124"/>
      <c r="G436" s="124"/>
      <c r="H436" s="124"/>
      <c r="I436" s="124"/>
      <c r="J436" s="124"/>
      <c r="K436" s="124"/>
      <c r="L436" s="124"/>
      <c r="M436" s="124"/>
      <c r="N436" s="124"/>
      <c r="O436" s="124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</row>
    <row x14ac:dyDescent="0.25" r="437" customHeight="1" ht="15.75">
      <c r="A437" s="123"/>
      <c r="B437" s="123"/>
      <c r="C437" s="124"/>
      <c r="D437" s="124"/>
      <c r="E437" s="124"/>
      <c r="F437" s="124"/>
      <c r="G437" s="124"/>
      <c r="H437" s="124"/>
      <c r="I437" s="124"/>
      <c r="J437" s="124"/>
      <c r="K437" s="124"/>
      <c r="L437" s="124"/>
      <c r="M437" s="124"/>
      <c r="N437" s="124"/>
      <c r="O437" s="124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</row>
    <row x14ac:dyDescent="0.25" r="438" customHeight="1" ht="15.75">
      <c r="A438" s="123"/>
      <c r="B438" s="123"/>
      <c r="C438" s="124"/>
      <c r="D438" s="124"/>
      <c r="E438" s="124"/>
      <c r="F438" s="124"/>
      <c r="G438" s="124"/>
      <c r="H438" s="124"/>
      <c r="I438" s="124"/>
      <c r="J438" s="124"/>
      <c r="K438" s="124"/>
      <c r="L438" s="124"/>
      <c r="M438" s="124"/>
      <c r="N438" s="124"/>
      <c r="O438" s="124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</row>
    <row x14ac:dyDescent="0.25" r="439" customHeight="1" ht="15.75">
      <c r="A439" s="123"/>
      <c r="B439" s="123"/>
      <c r="C439" s="124"/>
      <c r="D439" s="124"/>
      <c r="E439" s="124"/>
      <c r="F439" s="124"/>
      <c r="G439" s="124"/>
      <c r="H439" s="124"/>
      <c r="I439" s="124"/>
      <c r="J439" s="124"/>
      <c r="K439" s="124"/>
      <c r="L439" s="124"/>
      <c r="M439" s="124"/>
      <c r="N439" s="124"/>
      <c r="O439" s="124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</row>
    <row x14ac:dyDescent="0.25" r="440" customHeight="1" ht="15.75">
      <c r="A440" s="123"/>
      <c r="B440" s="123"/>
      <c r="C440" s="124"/>
      <c r="D440" s="124"/>
      <c r="E440" s="124"/>
      <c r="F440" s="124"/>
      <c r="G440" s="124"/>
      <c r="H440" s="124"/>
      <c r="I440" s="124"/>
      <c r="J440" s="124"/>
      <c r="K440" s="124"/>
      <c r="L440" s="124"/>
      <c r="M440" s="124"/>
      <c r="N440" s="124"/>
      <c r="O440" s="124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</row>
    <row x14ac:dyDescent="0.25" r="441" customHeight="1" ht="15.75">
      <c r="A441" s="123"/>
      <c r="B441" s="123"/>
      <c r="C441" s="124"/>
      <c r="D441" s="124"/>
      <c r="E441" s="124"/>
      <c r="F441" s="124"/>
      <c r="G441" s="124"/>
      <c r="H441" s="124"/>
      <c r="I441" s="124"/>
      <c r="J441" s="124"/>
      <c r="K441" s="124"/>
      <c r="L441" s="124"/>
      <c r="M441" s="124"/>
      <c r="N441" s="124"/>
      <c r="O441" s="124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</row>
    <row x14ac:dyDescent="0.25" r="442" customHeight="1" ht="15.75">
      <c r="A442" s="123"/>
      <c r="B442" s="123"/>
      <c r="C442" s="124"/>
      <c r="D442" s="124"/>
      <c r="E442" s="124"/>
      <c r="F442" s="124"/>
      <c r="G442" s="124"/>
      <c r="H442" s="124"/>
      <c r="I442" s="124"/>
      <c r="J442" s="124"/>
      <c r="K442" s="124"/>
      <c r="L442" s="124"/>
      <c r="M442" s="124"/>
      <c r="N442" s="124"/>
      <c r="O442" s="124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</row>
    <row x14ac:dyDescent="0.25" r="443" customHeight="1" ht="15.75">
      <c r="A443" s="123"/>
      <c r="B443" s="123"/>
      <c r="C443" s="124"/>
      <c r="D443" s="124"/>
      <c r="E443" s="124"/>
      <c r="F443" s="124"/>
      <c r="G443" s="124"/>
      <c r="H443" s="124"/>
      <c r="I443" s="124"/>
      <c r="J443" s="124"/>
      <c r="K443" s="124"/>
      <c r="L443" s="124"/>
      <c r="M443" s="124"/>
      <c r="N443" s="124"/>
      <c r="O443" s="124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</row>
    <row x14ac:dyDescent="0.25" r="444" customHeight="1" ht="15.75">
      <c r="A444" s="123"/>
      <c r="B444" s="123"/>
      <c r="C444" s="124"/>
      <c r="D444" s="124"/>
      <c r="E444" s="124"/>
      <c r="F444" s="124"/>
      <c r="G444" s="124"/>
      <c r="H444" s="124"/>
      <c r="I444" s="124"/>
      <c r="J444" s="124"/>
      <c r="K444" s="124"/>
      <c r="L444" s="124"/>
      <c r="M444" s="124"/>
      <c r="N444" s="124"/>
      <c r="O444" s="124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</row>
    <row x14ac:dyDescent="0.25" r="445" customHeight="1" ht="15.75">
      <c r="A445" s="123"/>
      <c r="B445" s="123"/>
      <c r="C445" s="124"/>
      <c r="D445" s="124"/>
      <c r="E445" s="124"/>
      <c r="F445" s="124"/>
      <c r="G445" s="124"/>
      <c r="H445" s="124"/>
      <c r="I445" s="124"/>
      <c r="J445" s="124"/>
      <c r="K445" s="124"/>
      <c r="L445" s="124"/>
      <c r="M445" s="124"/>
      <c r="N445" s="124"/>
      <c r="O445" s="124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</row>
    <row x14ac:dyDescent="0.25" r="446" customHeight="1" ht="15.75">
      <c r="A446" s="123"/>
      <c r="B446" s="123"/>
      <c r="C446" s="124"/>
      <c r="D446" s="124"/>
      <c r="E446" s="124"/>
      <c r="F446" s="124"/>
      <c r="G446" s="124"/>
      <c r="H446" s="124"/>
      <c r="I446" s="124"/>
      <c r="J446" s="124"/>
      <c r="K446" s="124"/>
      <c r="L446" s="124"/>
      <c r="M446" s="124"/>
      <c r="N446" s="124"/>
      <c r="O446" s="124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</row>
    <row x14ac:dyDescent="0.25" r="447" customHeight="1" ht="15.75">
      <c r="A447" s="123"/>
      <c r="B447" s="123"/>
      <c r="C447" s="124"/>
      <c r="D447" s="124"/>
      <c r="E447" s="124"/>
      <c r="F447" s="124"/>
      <c r="G447" s="124"/>
      <c r="H447" s="124"/>
      <c r="I447" s="124"/>
      <c r="J447" s="124"/>
      <c r="K447" s="124"/>
      <c r="L447" s="124"/>
      <c r="M447" s="124"/>
      <c r="N447" s="124"/>
      <c r="O447" s="124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</row>
    <row x14ac:dyDescent="0.25" r="448" customHeight="1" ht="15.75">
      <c r="A448" s="123"/>
      <c r="B448" s="123"/>
      <c r="C448" s="124"/>
      <c r="D448" s="124"/>
      <c r="E448" s="124"/>
      <c r="F448" s="124"/>
      <c r="G448" s="124"/>
      <c r="H448" s="124"/>
      <c r="I448" s="124"/>
      <c r="J448" s="124"/>
      <c r="K448" s="124"/>
      <c r="L448" s="124"/>
      <c r="M448" s="124"/>
      <c r="N448" s="124"/>
      <c r="O448" s="124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</row>
    <row x14ac:dyDescent="0.25" r="449" customHeight="1" ht="15.75">
      <c r="A449" s="123"/>
      <c r="B449" s="123"/>
      <c r="C449" s="124"/>
      <c r="D449" s="124"/>
      <c r="E449" s="124"/>
      <c r="F449" s="124"/>
      <c r="G449" s="124"/>
      <c r="H449" s="124"/>
      <c r="I449" s="124"/>
      <c r="J449" s="124"/>
      <c r="K449" s="124"/>
      <c r="L449" s="124"/>
      <c r="M449" s="124"/>
      <c r="N449" s="124"/>
      <c r="O449" s="124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</row>
    <row x14ac:dyDescent="0.25" r="450" customHeight="1" ht="15.75">
      <c r="A450" s="123"/>
      <c r="B450" s="123"/>
      <c r="C450" s="124"/>
      <c r="D450" s="124"/>
      <c r="E450" s="124"/>
      <c r="F450" s="124"/>
      <c r="G450" s="124"/>
      <c r="H450" s="124"/>
      <c r="I450" s="124"/>
      <c r="J450" s="124"/>
      <c r="K450" s="124"/>
      <c r="L450" s="124"/>
      <c r="M450" s="124"/>
      <c r="N450" s="124"/>
      <c r="O450" s="124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</row>
    <row x14ac:dyDescent="0.25" r="451" customHeight="1" ht="15.75">
      <c r="A451" s="123"/>
      <c r="B451" s="123"/>
      <c r="C451" s="124"/>
      <c r="D451" s="124"/>
      <c r="E451" s="124"/>
      <c r="F451" s="124"/>
      <c r="G451" s="124"/>
      <c r="H451" s="124"/>
      <c r="I451" s="124"/>
      <c r="J451" s="124"/>
      <c r="K451" s="124"/>
      <c r="L451" s="124"/>
      <c r="M451" s="124"/>
      <c r="N451" s="124"/>
      <c r="O451" s="124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</row>
    <row x14ac:dyDescent="0.25" r="452" customHeight="1" ht="15.75">
      <c r="A452" s="123"/>
      <c r="B452" s="123"/>
      <c r="C452" s="124"/>
      <c r="D452" s="124"/>
      <c r="E452" s="124"/>
      <c r="F452" s="124"/>
      <c r="G452" s="124"/>
      <c r="H452" s="124"/>
      <c r="I452" s="124"/>
      <c r="J452" s="124"/>
      <c r="K452" s="124"/>
      <c r="L452" s="124"/>
      <c r="M452" s="124"/>
      <c r="N452" s="124"/>
      <c r="O452" s="124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</row>
    <row x14ac:dyDescent="0.25" r="453" customHeight="1" ht="15.75">
      <c r="A453" s="123"/>
      <c r="B453" s="123"/>
      <c r="C453" s="124"/>
      <c r="D453" s="124"/>
      <c r="E453" s="124"/>
      <c r="F453" s="124"/>
      <c r="G453" s="124"/>
      <c r="H453" s="124"/>
      <c r="I453" s="124"/>
      <c r="J453" s="124"/>
      <c r="K453" s="124"/>
      <c r="L453" s="124"/>
      <c r="M453" s="124"/>
      <c r="N453" s="124"/>
      <c r="O453" s="124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</row>
    <row x14ac:dyDescent="0.25" r="454" customHeight="1" ht="15.75">
      <c r="A454" s="123"/>
      <c r="B454" s="123"/>
      <c r="C454" s="124"/>
      <c r="D454" s="124"/>
      <c r="E454" s="124"/>
      <c r="F454" s="124"/>
      <c r="G454" s="124"/>
      <c r="H454" s="124"/>
      <c r="I454" s="124"/>
      <c r="J454" s="124"/>
      <c r="K454" s="124"/>
      <c r="L454" s="124"/>
      <c r="M454" s="124"/>
      <c r="N454" s="124"/>
      <c r="O454" s="124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</row>
    <row x14ac:dyDescent="0.25" r="455" customHeight="1" ht="15.75">
      <c r="A455" s="123"/>
      <c r="B455" s="123"/>
      <c r="C455" s="124"/>
      <c r="D455" s="124"/>
      <c r="E455" s="124"/>
      <c r="F455" s="124"/>
      <c r="G455" s="124"/>
      <c r="H455" s="124"/>
      <c r="I455" s="124"/>
      <c r="J455" s="124"/>
      <c r="K455" s="124"/>
      <c r="L455" s="124"/>
      <c r="M455" s="124"/>
      <c r="N455" s="124"/>
      <c r="O455" s="124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</row>
    <row x14ac:dyDescent="0.25" r="456" customHeight="1" ht="15.75">
      <c r="A456" s="123"/>
      <c r="B456" s="123"/>
      <c r="C456" s="124"/>
      <c r="D456" s="124"/>
      <c r="E456" s="124"/>
      <c r="F456" s="124"/>
      <c r="G456" s="124"/>
      <c r="H456" s="124"/>
      <c r="I456" s="124"/>
      <c r="J456" s="124"/>
      <c r="K456" s="124"/>
      <c r="L456" s="124"/>
      <c r="M456" s="124"/>
      <c r="N456" s="124"/>
      <c r="O456" s="124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</row>
    <row x14ac:dyDescent="0.25" r="457" customHeight="1" ht="15.75">
      <c r="A457" s="123"/>
      <c r="B457" s="123"/>
      <c r="C457" s="124"/>
      <c r="D457" s="124"/>
      <c r="E457" s="124"/>
      <c r="F457" s="124"/>
      <c r="G457" s="124"/>
      <c r="H457" s="124"/>
      <c r="I457" s="124"/>
      <c r="J457" s="124"/>
      <c r="K457" s="124"/>
      <c r="L457" s="124"/>
      <c r="M457" s="124"/>
      <c r="N457" s="124"/>
      <c r="O457" s="124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</row>
    <row x14ac:dyDescent="0.25" r="458" customHeight="1" ht="15.75">
      <c r="A458" s="123"/>
      <c r="B458" s="123"/>
      <c r="C458" s="124"/>
      <c r="D458" s="124"/>
      <c r="E458" s="124"/>
      <c r="F458" s="124"/>
      <c r="G458" s="124"/>
      <c r="H458" s="124"/>
      <c r="I458" s="124"/>
      <c r="J458" s="124"/>
      <c r="K458" s="124"/>
      <c r="L458" s="124"/>
      <c r="M458" s="124"/>
      <c r="N458" s="124"/>
      <c r="O458" s="124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</row>
    <row x14ac:dyDescent="0.25" r="459" customHeight="1" ht="15.75">
      <c r="A459" s="123"/>
      <c r="B459" s="123"/>
      <c r="C459" s="124"/>
      <c r="D459" s="124"/>
      <c r="E459" s="124"/>
      <c r="F459" s="124"/>
      <c r="G459" s="124"/>
      <c r="H459" s="124"/>
      <c r="I459" s="124"/>
      <c r="J459" s="124"/>
      <c r="K459" s="124"/>
      <c r="L459" s="124"/>
      <c r="M459" s="124"/>
      <c r="N459" s="124"/>
      <c r="O459" s="124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</row>
    <row x14ac:dyDescent="0.25" r="460" customHeight="1" ht="15.75">
      <c r="A460" s="123"/>
      <c r="B460" s="123"/>
      <c r="C460" s="124"/>
      <c r="D460" s="124"/>
      <c r="E460" s="124"/>
      <c r="F460" s="124"/>
      <c r="G460" s="124"/>
      <c r="H460" s="124"/>
      <c r="I460" s="124"/>
      <c r="J460" s="124"/>
      <c r="K460" s="124"/>
      <c r="L460" s="124"/>
      <c r="M460" s="124"/>
      <c r="N460" s="124"/>
      <c r="O460" s="124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</row>
    <row x14ac:dyDescent="0.25" r="461" customHeight="1" ht="15.75">
      <c r="A461" s="123"/>
      <c r="B461" s="123"/>
      <c r="C461" s="124"/>
      <c r="D461" s="124"/>
      <c r="E461" s="124"/>
      <c r="F461" s="124"/>
      <c r="G461" s="124"/>
      <c r="H461" s="124"/>
      <c r="I461" s="124"/>
      <c r="J461" s="124"/>
      <c r="K461" s="124"/>
      <c r="L461" s="124"/>
      <c r="M461" s="124"/>
      <c r="N461" s="124"/>
      <c r="O461" s="124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</row>
    <row x14ac:dyDescent="0.25" r="462" customHeight="1" ht="15.75">
      <c r="A462" s="123"/>
      <c r="B462" s="123"/>
      <c r="C462" s="124"/>
      <c r="D462" s="124"/>
      <c r="E462" s="124"/>
      <c r="F462" s="124"/>
      <c r="G462" s="124"/>
      <c r="H462" s="124"/>
      <c r="I462" s="124"/>
      <c r="J462" s="124"/>
      <c r="K462" s="124"/>
      <c r="L462" s="124"/>
      <c r="M462" s="124"/>
      <c r="N462" s="124"/>
      <c r="O462" s="124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</row>
    <row x14ac:dyDescent="0.25" r="463" customHeight="1" ht="15.75">
      <c r="A463" s="123"/>
      <c r="B463" s="123"/>
      <c r="C463" s="124"/>
      <c r="D463" s="124"/>
      <c r="E463" s="124"/>
      <c r="F463" s="124"/>
      <c r="G463" s="124"/>
      <c r="H463" s="124"/>
      <c r="I463" s="124"/>
      <c r="J463" s="124"/>
      <c r="K463" s="124"/>
      <c r="L463" s="124"/>
      <c r="M463" s="124"/>
      <c r="N463" s="124"/>
      <c r="O463" s="124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</row>
    <row x14ac:dyDescent="0.25" r="464" customHeight="1" ht="15.75">
      <c r="A464" s="123"/>
      <c r="B464" s="123"/>
      <c r="C464" s="124"/>
      <c r="D464" s="124"/>
      <c r="E464" s="124"/>
      <c r="F464" s="124"/>
      <c r="G464" s="124"/>
      <c r="H464" s="124"/>
      <c r="I464" s="124"/>
      <c r="J464" s="124"/>
      <c r="K464" s="124"/>
      <c r="L464" s="124"/>
      <c r="M464" s="124"/>
      <c r="N464" s="124"/>
      <c r="O464" s="124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</row>
    <row x14ac:dyDescent="0.25" r="465" customHeight="1" ht="15.75">
      <c r="A465" s="123"/>
      <c r="B465" s="123"/>
      <c r="C465" s="124"/>
      <c r="D465" s="124"/>
      <c r="E465" s="124"/>
      <c r="F465" s="124"/>
      <c r="G465" s="124"/>
      <c r="H465" s="124"/>
      <c r="I465" s="124"/>
      <c r="J465" s="124"/>
      <c r="K465" s="124"/>
      <c r="L465" s="124"/>
      <c r="M465" s="124"/>
      <c r="N465" s="124"/>
      <c r="O465" s="124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</row>
    <row x14ac:dyDescent="0.25" r="466" customHeight="1" ht="15.75">
      <c r="A466" s="123"/>
      <c r="B466" s="123"/>
      <c r="C466" s="124"/>
      <c r="D466" s="124"/>
      <c r="E466" s="124"/>
      <c r="F466" s="124"/>
      <c r="G466" s="124"/>
      <c r="H466" s="124"/>
      <c r="I466" s="124"/>
      <c r="J466" s="124"/>
      <c r="K466" s="124"/>
      <c r="L466" s="124"/>
      <c r="M466" s="124"/>
      <c r="N466" s="124"/>
      <c r="O466" s="124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</row>
    <row x14ac:dyDescent="0.25" r="467" customHeight="1" ht="15.75">
      <c r="A467" s="123"/>
      <c r="B467" s="123"/>
      <c r="C467" s="124"/>
      <c r="D467" s="124"/>
      <c r="E467" s="124"/>
      <c r="F467" s="124"/>
      <c r="G467" s="124"/>
      <c r="H467" s="124"/>
      <c r="I467" s="124"/>
      <c r="J467" s="124"/>
      <c r="K467" s="124"/>
      <c r="L467" s="124"/>
      <c r="M467" s="124"/>
      <c r="N467" s="124"/>
      <c r="O467" s="124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</row>
    <row x14ac:dyDescent="0.25" r="468" customHeight="1" ht="15.75">
      <c r="A468" s="123"/>
      <c r="B468" s="123"/>
      <c r="C468" s="124"/>
      <c r="D468" s="124"/>
      <c r="E468" s="124"/>
      <c r="F468" s="124"/>
      <c r="G468" s="124"/>
      <c r="H468" s="124"/>
      <c r="I468" s="124"/>
      <c r="J468" s="124"/>
      <c r="K468" s="124"/>
      <c r="L468" s="124"/>
      <c r="M468" s="124"/>
      <c r="N468" s="124"/>
      <c r="O468" s="124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</row>
    <row x14ac:dyDescent="0.25" r="469" customHeight="1" ht="15.75">
      <c r="A469" s="123"/>
      <c r="B469" s="123"/>
      <c r="C469" s="124"/>
      <c r="D469" s="124"/>
      <c r="E469" s="124"/>
      <c r="F469" s="124"/>
      <c r="G469" s="124"/>
      <c r="H469" s="124"/>
      <c r="I469" s="124"/>
      <c r="J469" s="124"/>
      <c r="K469" s="124"/>
      <c r="L469" s="124"/>
      <c r="M469" s="124"/>
      <c r="N469" s="124"/>
      <c r="O469" s="124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</row>
    <row x14ac:dyDescent="0.25" r="470" customHeight="1" ht="15.75">
      <c r="A470" s="123"/>
      <c r="B470" s="123"/>
      <c r="C470" s="124"/>
      <c r="D470" s="124"/>
      <c r="E470" s="124"/>
      <c r="F470" s="124"/>
      <c r="G470" s="124"/>
      <c r="H470" s="124"/>
      <c r="I470" s="124"/>
      <c r="J470" s="124"/>
      <c r="K470" s="124"/>
      <c r="L470" s="124"/>
      <c r="M470" s="124"/>
      <c r="N470" s="124"/>
      <c r="O470" s="124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</row>
    <row x14ac:dyDescent="0.25" r="471" customHeight="1" ht="15.75">
      <c r="A471" s="123"/>
      <c r="B471" s="123"/>
      <c r="C471" s="124"/>
      <c r="D471" s="124"/>
      <c r="E471" s="124"/>
      <c r="F471" s="124"/>
      <c r="G471" s="124"/>
      <c r="H471" s="124"/>
      <c r="I471" s="124"/>
      <c r="J471" s="124"/>
      <c r="K471" s="124"/>
      <c r="L471" s="124"/>
      <c r="M471" s="124"/>
      <c r="N471" s="124"/>
      <c r="O471" s="124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</row>
    <row x14ac:dyDescent="0.25" r="472" customHeight="1" ht="15.75">
      <c r="A472" s="123"/>
      <c r="B472" s="123"/>
      <c r="C472" s="124"/>
      <c r="D472" s="124"/>
      <c r="E472" s="124"/>
      <c r="F472" s="124"/>
      <c r="G472" s="124"/>
      <c r="H472" s="124"/>
      <c r="I472" s="124"/>
      <c r="J472" s="124"/>
      <c r="K472" s="124"/>
      <c r="L472" s="124"/>
      <c r="M472" s="124"/>
      <c r="N472" s="124"/>
      <c r="O472" s="124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</row>
    <row x14ac:dyDescent="0.25" r="473" customHeight="1" ht="15.75">
      <c r="A473" s="123"/>
      <c r="B473" s="123"/>
      <c r="C473" s="124"/>
      <c r="D473" s="124"/>
      <c r="E473" s="124"/>
      <c r="F473" s="124"/>
      <c r="G473" s="124"/>
      <c r="H473" s="124"/>
      <c r="I473" s="124"/>
      <c r="J473" s="124"/>
      <c r="K473" s="124"/>
      <c r="L473" s="124"/>
      <c r="M473" s="124"/>
      <c r="N473" s="124"/>
      <c r="O473" s="124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</row>
    <row x14ac:dyDescent="0.25" r="474" customHeight="1" ht="15.75">
      <c r="A474" s="123"/>
      <c r="B474" s="123"/>
      <c r="C474" s="124"/>
      <c r="D474" s="124"/>
      <c r="E474" s="124"/>
      <c r="F474" s="124"/>
      <c r="G474" s="124"/>
      <c r="H474" s="124"/>
      <c r="I474" s="124"/>
      <c r="J474" s="124"/>
      <c r="K474" s="124"/>
      <c r="L474" s="124"/>
      <c r="M474" s="124"/>
      <c r="N474" s="124"/>
      <c r="O474" s="124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</row>
    <row x14ac:dyDescent="0.25" r="475" customHeight="1" ht="15.75">
      <c r="A475" s="123"/>
      <c r="B475" s="123"/>
      <c r="C475" s="124"/>
      <c r="D475" s="124"/>
      <c r="E475" s="124"/>
      <c r="F475" s="124"/>
      <c r="G475" s="124"/>
      <c r="H475" s="124"/>
      <c r="I475" s="124"/>
      <c r="J475" s="124"/>
      <c r="K475" s="124"/>
      <c r="L475" s="124"/>
      <c r="M475" s="124"/>
      <c r="N475" s="124"/>
      <c r="O475" s="124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</row>
    <row x14ac:dyDescent="0.25" r="476" customHeight="1" ht="15.75">
      <c r="A476" s="123"/>
      <c r="B476" s="123"/>
      <c r="C476" s="124"/>
      <c r="D476" s="124"/>
      <c r="E476" s="124"/>
      <c r="F476" s="124"/>
      <c r="G476" s="124"/>
      <c r="H476" s="124"/>
      <c r="I476" s="124"/>
      <c r="J476" s="124"/>
      <c r="K476" s="124"/>
      <c r="L476" s="124"/>
      <c r="M476" s="124"/>
      <c r="N476" s="124"/>
      <c r="O476" s="124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</row>
    <row x14ac:dyDescent="0.25" r="477" customHeight="1" ht="15.75">
      <c r="A477" s="123"/>
      <c r="B477" s="123"/>
      <c r="C477" s="124"/>
      <c r="D477" s="124"/>
      <c r="E477" s="124"/>
      <c r="F477" s="124"/>
      <c r="G477" s="124"/>
      <c r="H477" s="124"/>
      <c r="I477" s="124"/>
      <c r="J477" s="124"/>
      <c r="K477" s="124"/>
      <c r="L477" s="124"/>
      <c r="M477" s="124"/>
      <c r="N477" s="124"/>
      <c r="O477" s="124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</row>
    <row x14ac:dyDescent="0.25" r="478" customHeight="1" ht="15.75">
      <c r="A478" s="123"/>
      <c r="B478" s="123"/>
      <c r="C478" s="124"/>
      <c r="D478" s="124"/>
      <c r="E478" s="124"/>
      <c r="F478" s="124"/>
      <c r="G478" s="124"/>
      <c r="H478" s="124"/>
      <c r="I478" s="124"/>
      <c r="J478" s="124"/>
      <c r="K478" s="124"/>
      <c r="L478" s="124"/>
      <c r="M478" s="124"/>
      <c r="N478" s="124"/>
      <c r="O478" s="124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</row>
    <row x14ac:dyDescent="0.25" r="479" customHeight="1" ht="15.75">
      <c r="A479" s="123"/>
      <c r="B479" s="123"/>
      <c r="C479" s="124"/>
      <c r="D479" s="124"/>
      <c r="E479" s="124"/>
      <c r="F479" s="124"/>
      <c r="G479" s="124"/>
      <c r="H479" s="124"/>
      <c r="I479" s="124"/>
      <c r="J479" s="124"/>
      <c r="K479" s="124"/>
      <c r="L479" s="124"/>
      <c r="M479" s="124"/>
      <c r="N479" s="124"/>
      <c r="O479" s="124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</row>
    <row x14ac:dyDescent="0.25" r="480" customHeight="1" ht="15.75">
      <c r="A480" s="123"/>
      <c r="B480" s="123"/>
      <c r="C480" s="124"/>
      <c r="D480" s="124"/>
      <c r="E480" s="124"/>
      <c r="F480" s="124"/>
      <c r="G480" s="124"/>
      <c r="H480" s="124"/>
      <c r="I480" s="124"/>
      <c r="J480" s="124"/>
      <c r="K480" s="124"/>
      <c r="L480" s="124"/>
      <c r="M480" s="124"/>
      <c r="N480" s="124"/>
      <c r="O480" s="124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</row>
    <row x14ac:dyDescent="0.25" r="481" customHeight="1" ht="15.75">
      <c r="A481" s="123"/>
      <c r="B481" s="123"/>
      <c r="C481" s="124"/>
      <c r="D481" s="124"/>
      <c r="E481" s="124"/>
      <c r="F481" s="124"/>
      <c r="G481" s="124"/>
      <c r="H481" s="124"/>
      <c r="I481" s="124"/>
      <c r="J481" s="124"/>
      <c r="K481" s="124"/>
      <c r="L481" s="124"/>
      <c r="M481" s="124"/>
      <c r="N481" s="124"/>
      <c r="O481" s="124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</row>
    <row x14ac:dyDescent="0.25" r="482" customHeight="1" ht="15.75">
      <c r="A482" s="123"/>
      <c r="B482" s="123"/>
      <c r="C482" s="124"/>
      <c r="D482" s="124"/>
      <c r="E482" s="124"/>
      <c r="F482" s="124"/>
      <c r="G482" s="124"/>
      <c r="H482" s="124"/>
      <c r="I482" s="124"/>
      <c r="J482" s="124"/>
      <c r="K482" s="124"/>
      <c r="L482" s="124"/>
      <c r="M482" s="124"/>
      <c r="N482" s="124"/>
      <c r="O482" s="124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</row>
    <row x14ac:dyDescent="0.25" r="483" customHeight="1" ht="15.75">
      <c r="A483" s="123"/>
      <c r="B483" s="123"/>
      <c r="C483" s="124"/>
      <c r="D483" s="124"/>
      <c r="E483" s="124"/>
      <c r="F483" s="124"/>
      <c r="G483" s="124"/>
      <c r="H483" s="124"/>
      <c r="I483" s="124"/>
      <c r="J483" s="124"/>
      <c r="K483" s="124"/>
      <c r="L483" s="124"/>
      <c r="M483" s="124"/>
      <c r="N483" s="124"/>
      <c r="O483" s="124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</row>
    <row x14ac:dyDescent="0.25" r="484" customHeight="1" ht="15.75">
      <c r="A484" s="123"/>
      <c r="B484" s="123"/>
      <c r="C484" s="124"/>
      <c r="D484" s="124"/>
      <c r="E484" s="124"/>
      <c r="F484" s="124"/>
      <c r="G484" s="124"/>
      <c r="H484" s="124"/>
      <c r="I484" s="124"/>
      <c r="J484" s="124"/>
      <c r="K484" s="124"/>
      <c r="L484" s="124"/>
      <c r="M484" s="124"/>
      <c r="N484" s="124"/>
      <c r="O484" s="124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</row>
    <row x14ac:dyDescent="0.25" r="485" customHeight="1" ht="15.75">
      <c r="A485" s="123"/>
      <c r="B485" s="123"/>
      <c r="C485" s="124"/>
      <c r="D485" s="124"/>
      <c r="E485" s="124"/>
      <c r="F485" s="124"/>
      <c r="G485" s="124"/>
      <c r="H485" s="124"/>
      <c r="I485" s="124"/>
      <c r="J485" s="124"/>
      <c r="K485" s="124"/>
      <c r="L485" s="124"/>
      <c r="M485" s="124"/>
      <c r="N485" s="124"/>
      <c r="O485" s="124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</row>
    <row x14ac:dyDescent="0.25" r="486" customHeight="1" ht="15.75">
      <c r="A486" s="123"/>
      <c r="B486" s="123"/>
      <c r="C486" s="124"/>
      <c r="D486" s="124"/>
      <c r="E486" s="124"/>
      <c r="F486" s="124"/>
      <c r="G486" s="124"/>
      <c r="H486" s="124"/>
      <c r="I486" s="124"/>
      <c r="J486" s="124"/>
      <c r="K486" s="124"/>
      <c r="L486" s="124"/>
      <c r="M486" s="124"/>
      <c r="N486" s="124"/>
      <c r="O486" s="124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</row>
    <row x14ac:dyDescent="0.25" r="487" customHeight="1" ht="15.75">
      <c r="A487" s="123"/>
      <c r="B487" s="123"/>
      <c r="C487" s="124"/>
      <c r="D487" s="124"/>
      <c r="E487" s="124"/>
      <c r="F487" s="124"/>
      <c r="G487" s="124"/>
      <c r="H487" s="124"/>
      <c r="I487" s="124"/>
      <c r="J487" s="124"/>
      <c r="K487" s="124"/>
      <c r="L487" s="124"/>
      <c r="M487" s="124"/>
      <c r="N487" s="124"/>
      <c r="O487" s="124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</row>
    <row x14ac:dyDescent="0.25" r="488" customHeight="1" ht="15.75">
      <c r="A488" s="123"/>
      <c r="B488" s="123"/>
      <c r="C488" s="124"/>
      <c r="D488" s="124"/>
      <c r="E488" s="124"/>
      <c r="F488" s="124"/>
      <c r="G488" s="124"/>
      <c r="H488" s="124"/>
      <c r="I488" s="124"/>
      <c r="J488" s="124"/>
      <c r="K488" s="124"/>
      <c r="L488" s="124"/>
      <c r="M488" s="124"/>
      <c r="N488" s="124"/>
      <c r="O488" s="124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</row>
    <row x14ac:dyDescent="0.25" r="489" customHeight="1" ht="15.75">
      <c r="A489" s="123"/>
      <c r="B489" s="123"/>
      <c r="C489" s="124"/>
      <c r="D489" s="124"/>
      <c r="E489" s="124"/>
      <c r="F489" s="124"/>
      <c r="G489" s="124"/>
      <c r="H489" s="124"/>
      <c r="I489" s="124"/>
      <c r="J489" s="124"/>
      <c r="K489" s="124"/>
      <c r="L489" s="124"/>
      <c r="M489" s="124"/>
      <c r="N489" s="124"/>
      <c r="O489" s="124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</row>
    <row x14ac:dyDescent="0.25" r="490" customHeight="1" ht="15.75">
      <c r="A490" s="123"/>
      <c r="B490" s="123"/>
      <c r="C490" s="124"/>
      <c r="D490" s="124"/>
      <c r="E490" s="124"/>
      <c r="F490" s="124"/>
      <c r="G490" s="124"/>
      <c r="H490" s="124"/>
      <c r="I490" s="124"/>
      <c r="J490" s="124"/>
      <c r="K490" s="124"/>
      <c r="L490" s="124"/>
      <c r="M490" s="124"/>
      <c r="N490" s="124"/>
      <c r="O490" s="124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</row>
    <row x14ac:dyDescent="0.25" r="491" customHeight="1" ht="15.75">
      <c r="A491" s="123"/>
      <c r="B491" s="123"/>
      <c r="C491" s="124"/>
      <c r="D491" s="124"/>
      <c r="E491" s="124"/>
      <c r="F491" s="124"/>
      <c r="G491" s="124"/>
      <c r="H491" s="124"/>
      <c r="I491" s="124"/>
      <c r="J491" s="124"/>
      <c r="K491" s="124"/>
      <c r="L491" s="124"/>
      <c r="M491" s="124"/>
      <c r="N491" s="124"/>
      <c r="O491" s="124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</row>
    <row x14ac:dyDescent="0.25" r="492" customHeight="1" ht="15.75">
      <c r="A492" s="123"/>
      <c r="B492" s="123"/>
      <c r="C492" s="124"/>
      <c r="D492" s="124"/>
      <c r="E492" s="124"/>
      <c r="F492" s="124"/>
      <c r="G492" s="124"/>
      <c r="H492" s="124"/>
      <c r="I492" s="124"/>
      <c r="J492" s="124"/>
      <c r="K492" s="124"/>
      <c r="L492" s="124"/>
      <c r="M492" s="124"/>
      <c r="N492" s="124"/>
      <c r="O492" s="124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</row>
    <row x14ac:dyDescent="0.25" r="493" customHeight="1" ht="15.75">
      <c r="A493" s="123"/>
      <c r="B493" s="123"/>
      <c r="C493" s="124"/>
      <c r="D493" s="124"/>
      <c r="E493" s="124"/>
      <c r="F493" s="124"/>
      <c r="G493" s="124"/>
      <c r="H493" s="124"/>
      <c r="I493" s="124"/>
      <c r="J493" s="124"/>
      <c r="K493" s="124"/>
      <c r="L493" s="124"/>
      <c r="M493" s="124"/>
      <c r="N493" s="124"/>
      <c r="O493" s="124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</row>
    <row x14ac:dyDescent="0.25" r="494" customHeight="1" ht="15.75">
      <c r="A494" s="123"/>
      <c r="B494" s="123"/>
      <c r="C494" s="124"/>
      <c r="D494" s="124"/>
      <c r="E494" s="124"/>
      <c r="F494" s="124"/>
      <c r="G494" s="124"/>
      <c r="H494" s="124"/>
      <c r="I494" s="124"/>
      <c r="J494" s="124"/>
      <c r="K494" s="124"/>
      <c r="L494" s="124"/>
      <c r="M494" s="124"/>
      <c r="N494" s="124"/>
      <c r="O494" s="124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</row>
    <row x14ac:dyDescent="0.25" r="495" customHeight="1" ht="15.75">
      <c r="A495" s="123"/>
      <c r="B495" s="123"/>
      <c r="C495" s="124"/>
      <c r="D495" s="124"/>
      <c r="E495" s="124"/>
      <c r="F495" s="124"/>
      <c r="G495" s="124"/>
      <c r="H495" s="124"/>
      <c r="I495" s="124"/>
      <c r="J495" s="124"/>
      <c r="K495" s="124"/>
      <c r="L495" s="124"/>
      <c r="M495" s="124"/>
      <c r="N495" s="124"/>
      <c r="O495" s="124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</row>
    <row x14ac:dyDescent="0.25" r="496" customHeight="1" ht="15.75">
      <c r="A496" s="123"/>
      <c r="B496" s="123"/>
      <c r="C496" s="124"/>
      <c r="D496" s="124"/>
      <c r="E496" s="124"/>
      <c r="F496" s="124"/>
      <c r="G496" s="124"/>
      <c r="H496" s="124"/>
      <c r="I496" s="124"/>
      <c r="J496" s="124"/>
      <c r="K496" s="124"/>
      <c r="L496" s="124"/>
      <c r="M496" s="124"/>
      <c r="N496" s="124"/>
      <c r="O496" s="124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</row>
    <row x14ac:dyDescent="0.25" r="497" customHeight="1" ht="15.75">
      <c r="A497" s="123"/>
      <c r="B497" s="123"/>
      <c r="C497" s="124"/>
      <c r="D497" s="124"/>
      <c r="E497" s="124"/>
      <c r="F497" s="124"/>
      <c r="G497" s="124"/>
      <c r="H497" s="124"/>
      <c r="I497" s="124"/>
      <c r="J497" s="124"/>
      <c r="K497" s="124"/>
      <c r="L497" s="124"/>
      <c r="M497" s="124"/>
      <c r="N497" s="124"/>
      <c r="O497" s="124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</row>
    <row x14ac:dyDescent="0.25" r="498" customHeight="1" ht="15.75">
      <c r="A498" s="123"/>
      <c r="B498" s="123"/>
      <c r="C498" s="124"/>
      <c r="D498" s="124"/>
      <c r="E498" s="124"/>
      <c r="F498" s="124"/>
      <c r="G498" s="124"/>
      <c r="H498" s="124"/>
      <c r="I498" s="124"/>
      <c r="J498" s="124"/>
      <c r="K498" s="124"/>
      <c r="L498" s="124"/>
      <c r="M498" s="124"/>
      <c r="N498" s="124"/>
      <c r="O498" s="124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</row>
    <row x14ac:dyDescent="0.25" r="499" customHeight="1" ht="15.75">
      <c r="A499" s="123"/>
      <c r="B499" s="123"/>
      <c r="C499" s="124"/>
      <c r="D499" s="124"/>
      <c r="E499" s="124"/>
      <c r="F499" s="124"/>
      <c r="G499" s="124"/>
      <c r="H499" s="124"/>
      <c r="I499" s="124"/>
      <c r="J499" s="124"/>
      <c r="K499" s="124"/>
      <c r="L499" s="124"/>
      <c r="M499" s="124"/>
      <c r="N499" s="124"/>
      <c r="O499" s="124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</row>
    <row x14ac:dyDescent="0.25" r="500" customHeight="1" ht="15.75">
      <c r="A500" s="123"/>
      <c r="B500" s="123"/>
      <c r="C500" s="124"/>
      <c r="D500" s="124"/>
      <c r="E500" s="124"/>
      <c r="F500" s="124"/>
      <c r="G500" s="124"/>
      <c r="H500" s="124"/>
      <c r="I500" s="124"/>
      <c r="J500" s="124"/>
      <c r="K500" s="124"/>
      <c r="L500" s="124"/>
      <c r="M500" s="124"/>
      <c r="N500" s="124"/>
      <c r="O500" s="124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</row>
    <row x14ac:dyDescent="0.25" r="501" customHeight="1" ht="15.75">
      <c r="A501" s="123"/>
      <c r="B501" s="123"/>
      <c r="C501" s="124"/>
      <c r="D501" s="124"/>
      <c r="E501" s="124"/>
      <c r="F501" s="124"/>
      <c r="G501" s="124"/>
      <c r="H501" s="124"/>
      <c r="I501" s="124"/>
      <c r="J501" s="124"/>
      <c r="K501" s="124"/>
      <c r="L501" s="124"/>
      <c r="M501" s="124"/>
      <c r="N501" s="124"/>
      <c r="O501" s="124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</row>
    <row x14ac:dyDescent="0.25" r="502" customHeight="1" ht="15.75">
      <c r="A502" s="123"/>
      <c r="B502" s="123"/>
      <c r="C502" s="124"/>
      <c r="D502" s="124"/>
      <c r="E502" s="124"/>
      <c r="F502" s="124"/>
      <c r="G502" s="124"/>
      <c r="H502" s="124"/>
      <c r="I502" s="124"/>
      <c r="J502" s="124"/>
      <c r="K502" s="124"/>
      <c r="L502" s="124"/>
      <c r="M502" s="124"/>
      <c r="N502" s="124"/>
      <c r="O502" s="124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</row>
    <row x14ac:dyDescent="0.25" r="503" customHeight="1" ht="15.75">
      <c r="A503" s="123"/>
      <c r="B503" s="123"/>
      <c r="C503" s="124"/>
      <c r="D503" s="124"/>
      <c r="E503" s="124"/>
      <c r="F503" s="124"/>
      <c r="G503" s="124"/>
      <c r="H503" s="124"/>
      <c r="I503" s="124"/>
      <c r="J503" s="124"/>
      <c r="K503" s="124"/>
      <c r="L503" s="124"/>
      <c r="M503" s="124"/>
      <c r="N503" s="124"/>
      <c r="O503" s="124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</row>
    <row x14ac:dyDescent="0.25" r="504" customHeight="1" ht="15.75">
      <c r="A504" s="123"/>
      <c r="B504" s="123"/>
      <c r="C504" s="124"/>
      <c r="D504" s="124"/>
      <c r="E504" s="124"/>
      <c r="F504" s="124"/>
      <c r="G504" s="124"/>
      <c r="H504" s="124"/>
      <c r="I504" s="124"/>
      <c r="J504" s="124"/>
      <c r="K504" s="124"/>
      <c r="L504" s="124"/>
      <c r="M504" s="124"/>
      <c r="N504" s="124"/>
      <c r="O504" s="124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</row>
    <row x14ac:dyDescent="0.25" r="505" customHeight="1" ht="15.75">
      <c r="A505" s="123"/>
      <c r="B505" s="123"/>
      <c r="C505" s="124"/>
      <c r="D505" s="124"/>
      <c r="E505" s="124"/>
      <c r="F505" s="124"/>
      <c r="G505" s="124"/>
      <c r="H505" s="124"/>
      <c r="I505" s="124"/>
      <c r="J505" s="124"/>
      <c r="K505" s="124"/>
      <c r="L505" s="124"/>
      <c r="M505" s="124"/>
      <c r="N505" s="124"/>
      <c r="O505" s="124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</row>
    <row x14ac:dyDescent="0.25" r="506" customHeight="1" ht="15.75">
      <c r="A506" s="123"/>
      <c r="B506" s="123"/>
      <c r="C506" s="124"/>
      <c r="D506" s="124"/>
      <c r="E506" s="124"/>
      <c r="F506" s="124"/>
      <c r="G506" s="124"/>
      <c r="H506" s="124"/>
      <c r="I506" s="124"/>
      <c r="J506" s="124"/>
      <c r="K506" s="124"/>
      <c r="L506" s="124"/>
      <c r="M506" s="124"/>
      <c r="N506" s="124"/>
      <c r="O506" s="124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</row>
    <row x14ac:dyDescent="0.25" r="507" customHeight="1" ht="15.75">
      <c r="A507" s="123"/>
      <c r="B507" s="123"/>
      <c r="C507" s="124"/>
      <c r="D507" s="124"/>
      <c r="E507" s="124"/>
      <c r="F507" s="124"/>
      <c r="G507" s="124"/>
      <c r="H507" s="124"/>
      <c r="I507" s="124"/>
      <c r="J507" s="124"/>
      <c r="K507" s="124"/>
      <c r="L507" s="124"/>
      <c r="M507" s="124"/>
      <c r="N507" s="124"/>
      <c r="O507" s="124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</row>
    <row x14ac:dyDescent="0.25" r="508" customHeight="1" ht="15.75">
      <c r="A508" s="123"/>
      <c r="B508" s="123"/>
      <c r="C508" s="124"/>
      <c r="D508" s="124"/>
      <c r="E508" s="124"/>
      <c r="F508" s="124"/>
      <c r="G508" s="124"/>
      <c r="H508" s="124"/>
      <c r="I508" s="124"/>
      <c r="J508" s="124"/>
      <c r="K508" s="124"/>
      <c r="L508" s="124"/>
      <c r="M508" s="124"/>
      <c r="N508" s="124"/>
      <c r="O508" s="124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</row>
    <row x14ac:dyDescent="0.25" r="509" customHeight="1" ht="15.75">
      <c r="A509" s="123"/>
      <c r="B509" s="123"/>
      <c r="C509" s="124"/>
      <c r="D509" s="124"/>
      <c r="E509" s="124"/>
      <c r="F509" s="124"/>
      <c r="G509" s="124"/>
      <c r="H509" s="124"/>
      <c r="I509" s="124"/>
      <c r="J509" s="124"/>
      <c r="K509" s="124"/>
      <c r="L509" s="124"/>
      <c r="M509" s="124"/>
      <c r="N509" s="124"/>
      <c r="O509" s="124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</row>
    <row x14ac:dyDescent="0.25" r="510" customHeight="1" ht="15.75">
      <c r="A510" s="123"/>
      <c r="B510" s="123"/>
      <c r="C510" s="124"/>
      <c r="D510" s="124"/>
      <c r="E510" s="124"/>
      <c r="F510" s="124"/>
      <c r="G510" s="124"/>
      <c r="H510" s="124"/>
      <c r="I510" s="124"/>
      <c r="J510" s="124"/>
      <c r="K510" s="124"/>
      <c r="L510" s="124"/>
      <c r="M510" s="124"/>
      <c r="N510" s="124"/>
      <c r="O510" s="124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</row>
    <row x14ac:dyDescent="0.25" r="511" customHeight="1" ht="15.75">
      <c r="A511" s="123"/>
      <c r="B511" s="123"/>
      <c r="C511" s="124"/>
      <c r="D511" s="124"/>
      <c r="E511" s="124"/>
      <c r="F511" s="124"/>
      <c r="G511" s="124"/>
      <c r="H511" s="124"/>
      <c r="I511" s="124"/>
      <c r="J511" s="124"/>
      <c r="K511" s="124"/>
      <c r="L511" s="124"/>
      <c r="M511" s="124"/>
      <c r="N511" s="124"/>
      <c r="O511" s="124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</row>
    <row x14ac:dyDescent="0.25" r="512" customHeight="1" ht="15.75">
      <c r="A512" s="123"/>
      <c r="B512" s="123"/>
      <c r="C512" s="124"/>
      <c r="D512" s="124"/>
      <c r="E512" s="124"/>
      <c r="F512" s="124"/>
      <c r="G512" s="124"/>
      <c r="H512" s="124"/>
      <c r="I512" s="124"/>
      <c r="J512" s="124"/>
      <c r="K512" s="124"/>
      <c r="L512" s="124"/>
      <c r="M512" s="124"/>
      <c r="N512" s="124"/>
      <c r="O512" s="124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</row>
    <row x14ac:dyDescent="0.25" r="513" customHeight="1" ht="15.75">
      <c r="A513" s="123"/>
      <c r="B513" s="123"/>
      <c r="C513" s="124"/>
      <c r="D513" s="124"/>
      <c r="E513" s="124"/>
      <c r="F513" s="124"/>
      <c r="G513" s="124"/>
      <c r="H513" s="124"/>
      <c r="I513" s="124"/>
      <c r="J513" s="124"/>
      <c r="K513" s="124"/>
      <c r="L513" s="124"/>
      <c r="M513" s="124"/>
      <c r="N513" s="124"/>
      <c r="O513" s="124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</row>
    <row x14ac:dyDescent="0.25" r="514" customHeight="1" ht="15.75">
      <c r="A514" s="123"/>
      <c r="B514" s="123"/>
      <c r="C514" s="124"/>
      <c r="D514" s="124"/>
      <c r="E514" s="124"/>
      <c r="F514" s="124"/>
      <c r="G514" s="124"/>
      <c r="H514" s="124"/>
      <c r="I514" s="124"/>
      <c r="J514" s="124"/>
      <c r="K514" s="124"/>
      <c r="L514" s="124"/>
      <c r="M514" s="124"/>
      <c r="N514" s="124"/>
      <c r="O514" s="124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</row>
    <row x14ac:dyDescent="0.25" r="515" customHeight="1" ht="15.75">
      <c r="A515" s="123"/>
      <c r="B515" s="123"/>
      <c r="C515" s="124"/>
      <c r="D515" s="124"/>
      <c r="E515" s="124"/>
      <c r="F515" s="124"/>
      <c r="G515" s="124"/>
      <c r="H515" s="124"/>
      <c r="I515" s="124"/>
      <c r="J515" s="124"/>
      <c r="K515" s="124"/>
      <c r="L515" s="124"/>
      <c r="M515" s="124"/>
      <c r="N515" s="124"/>
      <c r="O515" s="124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</row>
    <row x14ac:dyDescent="0.25" r="516" customHeight="1" ht="15.75">
      <c r="A516" s="123"/>
      <c r="B516" s="123"/>
      <c r="C516" s="124"/>
      <c r="D516" s="124"/>
      <c r="E516" s="124"/>
      <c r="F516" s="124"/>
      <c r="G516" s="124"/>
      <c r="H516" s="124"/>
      <c r="I516" s="124"/>
      <c r="J516" s="124"/>
      <c r="K516" s="124"/>
      <c r="L516" s="124"/>
      <c r="M516" s="124"/>
      <c r="N516" s="124"/>
      <c r="O516" s="124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</row>
    <row x14ac:dyDescent="0.25" r="517" customHeight="1" ht="15.75">
      <c r="A517" s="123"/>
      <c r="B517" s="123"/>
      <c r="C517" s="124"/>
      <c r="D517" s="124"/>
      <c r="E517" s="124"/>
      <c r="F517" s="124"/>
      <c r="G517" s="124"/>
      <c r="H517" s="124"/>
      <c r="I517" s="124"/>
      <c r="J517" s="124"/>
      <c r="K517" s="124"/>
      <c r="L517" s="124"/>
      <c r="M517" s="124"/>
      <c r="N517" s="124"/>
      <c r="O517" s="124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</row>
    <row x14ac:dyDescent="0.25" r="518" customHeight="1" ht="15.75">
      <c r="A518" s="123"/>
      <c r="B518" s="123"/>
      <c r="C518" s="124"/>
      <c r="D518" s="124"/>
      <c r="E518" s="124"/>
      <c r="F518" s="124"/>
      <c r="G518" s="124"/>
      <c r="H518" s="124"/>
      <c r="I518" s="124"/>
      <c r="J518" s="124"/>
      <c r="K518" s="124"/>
      <c r="L518" s="124"/>
      <c r="M518" s="124"/>
      <c r="N518" s="124"/>
      <c r="O518" s="124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</row>
    <row x14ac:dyDescent="0.25" r="519" customHeight="1" ht="15.75">
      <c r="A519" s="123"/>
      <c r="B519" s="123"/>
      <c r="C519" s="124"/>
      <c r="D519" s="124"/>
      <c r="E519" s="124"/>
      <c r="F519" s="124"/>
      <c r="G519" s="124"/>
      <c r="H519" s="124"/>
      <c r="I519" s="124"/>
      <c r="J519" s="124"/>
      <c r="K519" s="124"/>
      <c r="L519" s="124"/>
      <c r="M519" s="124"/>
      <c r="N519" s="124"/>
      <c r="O519" s="124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</row>
    <row x14ac:dyDescent="0.25" r="520" customHeight="1" ht="15.75">
      <c r="A520" s="123"/>
      <c r="B520" s="123"/>
      <c r="C520" s="124"/>
      <c r="D520" s="124"/>
      <c r="E520" s="124"/>
      <c r="F520" s="124"/>
      <c r="G520" s="124"/>
      <c r="H520" s="124"/>
      <c r="I520" s="124"/>
      <c r="J520" s="124"/>
      <c r="K520" s="124"/>
      <c r="L520" s="124"/>
      <c r="M520" s="124"/>
      <c r="N520" s="124"/>
      <c r="O520" s="124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</row>
    <row x14ac:dyDescent="0.25" r="521" customHeight="1" ht="15.75">
      <c r="A521" s="123"/>
      <c r="B521" s="123"/>
      <c r="C521" s="124"/>
      <c r="D521" s="124"/>
      <c r="E521" s="124"/>
      <c r="F521" s="124"/>
      <c r="G521" s="124"/>
      <c r="H521" s="124"/>
      <c r="I521" s="124"/>
      <c r="J521" s="124"/>
      <c r="K521" s="124"/>
      <c r="L521" s="124"/>
      <c r="M521" s="124"/>
      <c r="N521" s="124"/>
      <c r="O521" s="124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</row>
    <row x14ac:dyDescent="0.25" r="522" customHeight="1" ht="15.75">
      <c r="A522" s="123"/>
      <c r="B522" s="123"/>
      <c r="C522" s="124"/>
      <c r="D522" s="124"/>
      <c r="E522" s="124"/>
      <c r="F522" s="124"/>
      <c r="G522" s="124"/>
      <c r="H522" s="124"/>
      <c r="I522" s="124"/>
      <c r="J522" s="124"/>
      <c r="K522" s="124"/>
      <c r="L522" s="124"/>
      <c r="M522" s="124"/>
      <c r="N522" s="124"/>
      <c r="O522" s="124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</row>
    <row x14ac:dyDescent="0.25" r="523" customHeight="1" ht="15.75">
      <c r="A523" s="123"/>
      <c r="B523" s="123"/>
      <c r="C523" s="124"/>
      <c r="D523" s="124"/>
      <c r="E523" s="124"/>
      <c r="F523" s="124"/>
      <c r="G523" s="124"/>
      <c r="H523" s="124"/>
      <c r="I523" s="124"/>
      <c r="J523" s="124"/>
      <c r="K523" s="124"/>
      <c r="L523" s="124"/>
      <c r="M523" s="124"/>
      <c r="N523" s="124"/>
      <c r="O523" s="124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</row>
    <row x14ac:dyDescent="0.25" r="524" customHeight="1" ht="15.75">
      <c r="A524" s="123"/>
      <c r="B524" s="123"/>
      <c r="C524" s="124"/>
      <c r="D524" s="124"/>
      <c r="E524" s="124"/>
      <c r="F524" s="124"/>
      <c r="G524" s="124"/>
      <c r="H524" s="124"/>
      <c r="I524" s="124"/>
      <c r="J524" s="124"/>
      <c r="K524" s="124"/>
      <c r="L524" s="124"/>
      <c r="M524" s="124"/>
      <c r="N524" s="124"/>
      <c r="O524" s="124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</row>
    <row x14ac:dyDescent="0.25" r="525" customHeight="1" ht="15.75">
      <c r="A525" s="123"/>
      <c r="B525" s="123"/>
      <c r="C525" s="124"/>
      <c r="D525" s="124"/>
      <c r="E525" s="124"/>
      <c r="F525" s="124"/>
      <c r="G525" s="124"/>
      <c r="H525" s="124"/>
      <c r="I525" s="124"/>
      <c r="J525" s="124"/>
      <c r="K525" s="124"/>
      <c r="L525" s="124"/>
      <c r="M525" s="124"/>
      <c r="N525" s="124"/>
      <c r="O525" s="124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</row>
    <row x14ac:dyDescent="0.25" r="526" customHeight="1" ht="15.75">
      <c r="A526" s="123"/>
      <c r="B526" s="123"/>
      <c r="C526" s="124"/>
      <c r="D526" s="124"/>
      <c r="E526" s="124"/>
      <c r="F526" s="124"/>
      <c r="G526" s="124"/>
      <c r="H526" s="124"/>
      <c r="I526" s="124"/>
      <c r="J526" s="124"/>
      <c r="K526" s="124"/>
      <c r="L526" s="124"/>
      <c r="M526" s="124"/>
      <c r="N526" s="124"/>
      <c r="O526" s="124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</row>
    <row x14ac:dyDescent="0.25" r="527" customHeight="1" ht="15.75">
      <c r="A527" s="123"/>
      <c r="B527" s="123"/>
      <c r="C527" s="124"/>
      <c r="D527" s="124"/>
      <c r="E527" s="124"/>
      <c r="F527" s="124"/>
      <c r="G527" s="124"/>
      <c r="H527" s="124"/>
      <c r="I527" s="124"/>
      <c r="J527" s="124"/>
      <c r="K527" s="124"/>
      <c r="L527" s="124"/>
      <c r="M527" s="124"/>
      <c r="N527" s="124"/>
      <c r="O527" s="124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</row>
    <row x14ac:dyDescent="0.25" r="528" customHeight="1" ht="15.75">
      <c r="A528" s="123"/>
      <c r="B528" s="123"/>
      <c r="C528" s="124"/>
      <c r="D528" s="124"/>
      <c r="E528" s="124"/>
      <c r="F528" s="124"/>
      <c r="G528" s="124"/>
      <c r="H528" s="124"/>
      <c r="I528" s="124"/>
      <c r="J528" s="124"/>
      <c r="K528" s="124"/>
      <c r="L528" s="124"/>
      <c r="M528" s="124"/>
      <c r="N528" s="124"/>
      <c r="O528" s="124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</row>
    <row x14ac:dyDescent="0.25" r="529" customHeight="1" ht="15.75">
      <c r="A529" s="123"/>
      <c r="B529" s="123"/>
      <c r="C529" s="124"/>
      <c r="D529" s="124"/>
      <c r="E529" s="124"/>
      <c r="F529" s="124"/>
      <c r="G529" s="124"/>
      <c r="H529" s="124"/>
      <c r="I529" s="124"/>
      <c r="J529" s="124"/>
      <c r="K529" s="124"/>
      <c r="L529" s="124"/>
      <c r="M529" s="124"/>
      <c r="N529" s="124"/>
      <c r="O529" s="124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</row>
    <row x14ac:dyDescent="0.25" r="530" customHeight="1" ht="15.75">
      <c r="A530" s="123"/>
      <c r="B530" s="123"/>
      <c r="C530" s="124"/>
      <c r="D530" s="124"/>
      <c r="E530" s="124"/>
      <c r="F530" s="124"/>
      <c r="G530" s="124"/>
      <c r="H530" s="124"/>
      <c r="I530" s="124"/>
      <c r="J530" s="124"/>
      <c r="K530" s="124"/>
      <c r="L530" s="124"/>
      <c r="M530" s="124"/>
      <c r="N530" s="124"/>
      <c r="O530" s="124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</row>
    <row x14ac:dyDescent="0.25" r="531" customHeight="1" ht="15.75">
      <c r="A531" s="123"/>
      <c r="B531" s="123"/>
      <c r="C531" s="124"/>
      <c r="D531" s="124"/>
      <c r="E531" s="124"/>
      <c r="F531" s="124"/>
      <c r="G531" s="124"/>
      <c r="H531" s="124"/>
      <c r="I531" s="124"/>
      <c r="J531" s="124"/>
      <c r="K531" s="124"/>
      <c r="L531" s="124"/>
      <c r="M531" s="124"/>
      <c r="N531" s="124"/>
      <c r="O531" s="124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</row>
    <row x14ac:dyDescent="0.25" r="532" customHeight="1" ht="15.75">
      <c r="A532" s="123"/>
      <c r="B532" s="123"/>
      <c r="C532" s="124"/>
      <c r="D532" s="124"/>
      <c r="E532" s="124"/>
      <c r="F532" s="124"/>
      <c r="G532" s="124"/>
      <c r="H532" s="124"/>
      <c r="I532" s="124"/>
      <c r="J532" s="124"/>
      <c r="K532" s="124"/>
      <c r="L532" s="124"/>
      <c r="M532" s="124"/>
      <c r="N532" s="124"/>
      <c r="O532" s="124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</row>
    <row x14ac:dyDescent="0.25" r="533" customHeight="1" ht="15.75">
      <c r="A533" s="123"/>
      <c r="B533" s="123"/>
      <c r="C533" s="124"/>
      <c r="D533" s="124"/>
      <c r="E533" s="124"/>
      <c r="F533" s="124"/>
      <c r="G533" s="124"/>
      <c r="H533" s="124"/>
      <c r="I533" s="124"/>
      <c r="J533" s="124"/>
      <c r="K533" s="124"/>
      <c r="L533" s="124"/>
      <c r="M533" s="124"/>
      <c r="N533" s="124"/>
      <c r="O533" s="124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</row>
    <row x14ac:dyDescent="0.25" r="534" customHeight="1" ht="15.75">
      <c r="A534" s="123"/>
      <c r="B534" s="123"/>
      <c r="C534" s="124"/>
      <c r="D534" s="124"/>
      <c r="E534" s="124"/>
      <c r="F534" s="124"/>
      <c r="G534" s="124"/>
      <c r="H534" s="124"/>
      <c r="I534" s="124"/>
      <c r="J534" s="124"/>
      <c r="K534" s="124"/>
      <c r="L534" s="124"/>
      <c r="M534" s="124"/>
      <c r="N534" s="124"/>
      <c r="O534" s="124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</row>
    <row x14ac:dyDescent="0.25" r="535" customHeight="1" ht="15.75">
      <c r="A535" s="123"/>
      <c r="B535" s="123"/>
      <c r="C535" s="124"/>
      <c r="D535" s="124"/>
      <c r="E535" s="124"/>
      <c r="F535" s="124"/>
      <c r="G535" s="124"/>
      <c r="H535" s="124"/>
      <c r="I535" s="124"/>
      <c r="J535" s="124"/>
      <c r="K535" s="124"/>
      <c r="L535" s="124"/>
      <c r="M535" s="124"/>
      <c r="N535" s="124"/>
      <c r="O535" s="124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</row>
    <row x14ac:dyDescent="0.25" r="536" customHeight="1" ht="15.75">
      <c r="A536" s="123"/>
      <c r="B536" s="123"/>
      <c r="C536" s="124"/>
      <c r="D536" s="124"/>
      <c r="E536" s="124"/>
      <c r="F536" s="124"/>
      <c r="G536" s="124"/>
      <c r="H536" s="124"/>
      <c r="I536" s="124"/>
      <c r="J536" s="124"/>
      <c r="K536" s="124"/>
      <c r="L536" s="124"/>
      <c r="M536" s="124"/>
      <c r="N536" s="124"/>
      <c r="O536" s="124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</row>
    <row x14ac:dyDescent="0.25" r="537" customHeight="1" ht="15.75">
      <c r="A537" s="123"/>
      <c r="B537" s="123"/>
      <c r="C537" s="124"/>
      <c r="D537" s="124"/>
      <c r="E537" s="124"/>
      <c r="F537" s="124"/>
      <c r="G537" s="124"/>
      <c r="H537" s="124"/>
      <c r="I537" s="124"/>
      <c r="J537" s="124"/>
      <c r="K537" s="124"/>
      <c r="L537" s="124"/>
      <c r="M537" s="124"/>
      <c r="N537" s="124"/>
      <c r="O537" s="124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</row>
    <row x14ac:dyDescent="0.25" r="538" customHeight="1" ht="15.75">
      <c r="A538" s="123"/>
      <c r="B538" s="123"/>
      <c r="C538" s="124"/>
      <c r="D538" s="124"/>
      <c r="E538" s="124"/>
      <c r="F538" s="124"/>
      <c r="G538" s="124"/>
      <c r="H538" s="124"/>
      <c r="I538" s="124"/>
      <c r="J538" s="124"/>
      <c r="K538" s="124"/>
      <c r="L538" s="124"/>
      <c r="M538" s="124"/>
      <c r="N538" s="124"/>
      <c r="O538" s="124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</row>
    <row x14ac:dyDescent="0.25" r="539" customHeight="1" ht="15.75">
      <c r="A539" s="123"/>
      <c r="B539" s="123"/>
      <c r="C539" s="124"/>
      <c r="D539" s="124"/>
      <c r="E539" s="124"/>
      <c r="F539" s="124"/>
      <c r="G539" s="124"/>
      <c r="H539" s="124"/>
      <c r="I539" s="124"/>
      <c r="J539" s="124"/>
      <c r="K539" s="124"/>
      <c r="L539" s="124"/>
      <c r="M539" s="124"/>
      <c r="N539" s="124"/>
      <c r="O539" s="124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</row>
    <row x14ac:dyDescent="0.25" r="540" customHeight="1" ht="15.75">
      <c r="A540" s="123"/>
      <c r="B540" s="123"/>
      <c r="C540" s="124"/>
      <c r="D540" s="124"/>
      <c r="E540" s="124"/>
      <c r="F540" s="124"/>
      <c r="G540" s="124"/>
      <c r="H540" s="124"/>
      <c r="I540" s="124"/>
      <c r="J540" s="124"/>
      <c r="K540" s="124"/>
      <c r="L540" s="124"/>
      <c r="M540" s="124"/>
      <c r="N540" s="124"/>
      <c r="O540" s="124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</row>
    <row x14ac:dyDescent="0.25" r="541" customHeight="1" ht="15.75">
      <c r="A541" s="123"/>
      <c r="B541" s="123"/>
      <c r="C541" s="124"/>
      <c r="D541" s="124"/>
      <c r="E541" s="124"/>
      <c r="F541" s="124"/>
      <c r="G541" s="124"/>
      <c r="H541" s="124"/>
      <c r="I541" s="124"/>
      <c r="J541" s="124"/>
      <c r="K541" s="124"/>
      <c r="L541" s="124"/>
      <c r="M541" s="124"/>
      <c r="N541" s="124"/>
      <c r="O541" s="124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</row>
    <row x14ac:dyDescent="0.25" r="542" customHeight="1" ht="15.75">
      <c r="A542" s="123"/>
      <c r="B542" s="123"/>
      <c r="C542" s="124"/>
      <c r="D542" s="124"/>
      <c r="E542" s="124"/>
      <c r="F542" s="124"/>
      <c r="G542" s="124"/>
      <c r="H542" s="124"/>
      <c r="I542" s="124"/>
      <c r="J542" s="124"/>
      <c r="K542" s="124"/>
      <c r="L542" s="124"/>
      <c r="M542" s="124"/>
      <c r="N542" s="124"/>
      <c r="O542" s="124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</row>
    <row x14ac:dyDescent="0.25" r="543" customHeight="1" ht="15.75">
      <c r="A543" s="123"/>
      <c r="B543" s="123"/>
      <c r="C543" s="124"/>
      <c r="D543" s="124"/>
      <c r="E543" s="124"/>
      <c r="F543" s="124"/>
      <c r="G543" s="124"/>
      <c r="H543" s="124"/>
      <c r="I543" s="124"/>
      <c r="J543" s="124"/>
      <c r="K543" s="124"/>
      <c r="L543" s="124"/>
      <c r="M543" s="124"/>
      <c r="N543" s="124"/>
      <c r="O543" s="124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</row>
    <row x14ac:dyDescent="0.25" r="544" customHeight="1" ht="15.75">
      <c r="A544" s="123"/>
      <c r="B544" s="123"/>
      <c r="C544" s="124"/>
      <c r="D544" s="124"/>
      <c r="E544" s="124"/>
      <c r="F544" s="124"/>
      <c r="G544" s="124"/>
      <c r="H544" s="124"/>
      <c r="I544" s="124"/>
      <c r="J544" s="124"/>
      <c r="K544" s="124"/>
      <c r="L544" s="124"/>
      <c r="M544" s="124"/>
      <c r="N544" s="124"/>
      <c r="O544" s="124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</row>
    <row x14ac:dyDescent="0.25" r="545" customHeight="1" ht="15.75">
      <c r="A545" s="123"/>
      <c r="B545" s="123"/>
      <c r="C545" s="124"/>
      <c r="D545" s="124"/>
      <c r="E545" s="124"/>
      <c r="F545" s="124"/>
      <c r="G545" s="124"/>
      <c r="H545" s="124"/>
      <c r="I545" s="124"/>
      <c r="J545" s="124"/>
      <c r="K545" s="124"/>
      <c r="L545" s="124"/>
      <c r="M545" s="124"/>
      <c r="N545" s="124"/>
      <c r="O545" s="124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</row>
    <row x14ac:dyDescent="0.25" r="546" customHeight="1" ht="15.75">
      <c r="A546" s="123"/>
      <c r="B546" s="123"/>
      <c r="C546" s="124"/>
      <c r="D546" s="124"/>
      <c r="E546" s="124"/>
      <c r="F546" s="124"/>
      <c r="G546" s="124"/>
      <c r="H546" s="124"/>
      <c r="I546" s="124"/>
      <c r="J546" s="124"/>
      <c r="K546" s="124"/>
      <c r="L546" s="124"/>
      <c r="M546" s="124"/>
      <c r="N546" s="124"/>
      <c r="O546" s="124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</row>
    <row x14ac:dyDescent="0.25" r="547" customHeight="1" ht="15.75">
      <c r="A547" s="123"/>
      <c r="B547" s="123"/>
      <c r="C547" s="124"/>
      <c r="D547" s="124"/>
      <c r="E547" s="124"/>
      <c r="F547" s="124"/>
      <c r="G547" s="124"/>
      <c r="H547" s="124"/>
      <c r="I547" s="124"/>
      <c r="J547" s="124"/>
      <c r="K547" s="124"/>
      <c r="L547" s="124"/>
      <c r="M547" s="124"/>
      <c r="N547" s="124"/>
      <c r="O547" s="124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</row>
    <row x14ac:dyDescent="0.25" r="548" customHeight="1" ht="15.75">
      <c r="A548" s="123"/>
      <c r="B548" s="123"/>
      <c r="C548" s="124"/>
      <c r="D548" s="124"/>
      <c r="E548" s="124"/>
      <c r="F548" s="124"/>
      <c r="G548" s="124"/>
      <c r="H548" s="124"/>
      <c r="I548" s="124"/>
      <c r="J548" s="124"/>
      <c r="K548" s="124"/>
      <c r="L548" s="124"/>
      <c r="M548" s="124"/>
      <c r="N548" s="124"/>
      <c r="O548" s="124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</row>
    <row x14ac:dyDescent="0.25" r="549" customHeight="1" ht="15.75">
      <c r="A549" s="123"/>
      <c r="B549" s="123"/>
      <c r="C549" s="124"/>
      <c r="D549" s="124"/>
      <c r="E549" s="124"/>
      <c r="F549" s="124"/>
      <c r="G549" s="124"/>
      <c r="H549" s="124"/>
      <c r="I549" s="124"/>
      <c r="J549" s="124"/>
      <c r="K549" s="124"/>
      <c r="L549" s="124"/>
      <c r="M549" s="124"/>
      <c r="N549" s="124"/>
      <c r="O549" s="124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</row>
    <row x14ac:dyDescent="0.25" r="550" customHeight="1" ht="15.75">
      <c r="A550" s="123"/>
      <c r="B550" s="123"/>
      <c r="C550" s="124"/>
      <c r="D550" s="124"/>
      <c r="E550" s="124"/>
      <c r="F550" s="124"/>
      <c r="G550" s="124"/>
      <c r="H550" s="124"/>
      <c r="I550" s="124"/>
      <c r="J550" s="124"/>
      <c r="K550" s="124"/>
      <c r="L550" s="124"/>
      <c r="M550" s="124"/>
      <c r="N550" s="124"/>
      <c r="O550" s="124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</row>
    <row x14ac:dyDescent="0.25" r="551" customHeight="1" ht="15.75">
      <c r="A551" s="123"/>
      <c r="B551" s="123"/>
      <c r="C551" s="124"/>
      <c r="D551" s="124"/>
      <c r="E551" s="124"/>
      <c r="F551" s="124"/>
      <c r="G551" s="124"/>
      <c r="H551" s="124"/>
      <c r="I551" s="124"/>
      <c r="J551" s="124"/>
      <c r="K551" s="124"/>
      <c r="L551" s="124"/>
      <c r="M551" s="124"/>
      <c r="N551" s="124"/>
      <c r="O551" s="124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</row>
    <row x14ac:dyDescent="0.25" r="552" customHeight="1" ht="15.75">
      <c r="A552" s="123"/>
      <c r="B552" s="123"/>
      <c r="C552" s="124"/>
      <c r="D552" s="124"/>
      <c r="E552" s="124"/>
      <c r="F552" s="124"/>
      <c r="G552" s="124"/>
      <c r="H552" s="124"/>
      <c r="I552" s="124"/>
      <c r="J552" s="124"/>
      <c r="K552" s="124"/>
      <c r="L552" s="124"/>
      <c r="M552" s="124"/>
      <c r="N552" s="124"/>
      <c r="O552" s="124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</row>
    <row x14ac:dyDescent="0.25" r="553" customHeight="1" ht="15.75">
      <c r="A553" s="123"/>
      <c r="B553" s="123"/>
      <c r="C553" s="124"/>
      <c r="D553" s="124"/>
      <c r="E553" s="124"/>
      <c r="F553" s="124"/>
      <c r="G553" s="124"/>
      <c r="H553" s="124"/>
      <c r="I553" s="124"/>
      <c r="J553" s="124"/>
      <c r="K553" s="124"/>
      <c r="L553" s="124"/>
      <c r="M553" s="124"/>
      <c r="N553" s="124"/>
      <c r="O553" s="124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</row>
    <row x14ac:dyDescent="0.25" r="554" customHeight="1" ht="15.75">
      <c r="A554" s="123"/>
      <c r="B554" s="123"/>
      <c r="C554" s="124"/>
      <c r="D554" s="124"/>
      <c r="E554" s="124"/>
      <c r="F554" s="124"/>
      <c r="G554" s="124"/>
      <c r="H554" s="124"/>
      <c r="I554" s="124"/>
      <c r="J554" s="124"/>
      <c r="K554" s="124"/>
      <c r="L554" s="124"/>
      <c r="M554" s="124"/>
      <c r="N554" s="124"/>
      <c r="O554" s="124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</row>
    <row x14ac:dyDescent="0.25" r="555" customHeight="1" ht="15.75">
      <c r="A555" s="123"/>
      <c r="B555" s="123"/>
      <c r="C555" s="124"/>
      <c r="D555" s="124"/>
      <c r="E555" s="124"/>
      <c r="F555" s="124"/>
      <c r="G555" s="124"/>
      <c r="H555" s="124"/>
      <c r="I555" s="124"/>
      <c r="J555" s="124"/>
      <c r="K555" s="124"/>
      <c r="L555" s="124"/>
      <c r="M555" s="124"/>
      <c r="N555" s="124"/>
      <c r="O555" s="124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</row>
    <row x14ac:dyDescent="0.25" r="556" customHeight="1" ht="15.75">
      <c r="A556" s="123"/>
      <c r="B556" s="123"/>
      <c r="C556" s="124"/>
      <c r="D556" s="124"/>
      <c r="E556" s="124"/>
      <c r="F556" s="124"/>
      <c r="G556" s="124"/>
      <c r="H556" s="124"/>
      <c r="I556" s="124"/>
      <c r="J556" s="124"/>
      <c r="K556" s="124"/>
      <c r="L556" s="124"/>
      <c r="M556" s="124"/>
      <c r="N556" s="124"/>
      <c r="O556" s="124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</row>
    <row x14ac:dyDescent="0.25" r="557" customHeight="1" ht="15.75">
      <c r="A557" s="123"/>
      <c r="B557" s="123"/>
      <c r="C557" s="124"/>
      <c r="D557" s="124"/>
      <c r="E557" s="124"/>
      <c r="F557" s="124"/>
      <c r="G557" s="124"/>
      <c r="H557" s="124"/>
      <c r="I557" s="124"/>
      <c r="J557" s="124"/>
      <c r="K557" s="124"/>
      <c r="L557" s="124"/>
      <c r="M557" s="124"/>
      <c r="N557" s="124"/>
      <c r="O557" s="124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</row>
    <row x14ac:dyDescent="0.25" r="558" customHeight="1" ht="15.75">
      <c r="A558" s="123"/>
      <c r="B558" s="123"/>
      <c r="C558" s="124"/>
      <c r="D558" s="124"/>
      <c r="E558" s="124"/>
      <c r="F558" s="124"/>
      <c r="G558" s="124"/>
      <c r="H558" s="124"/>
      <c r="I558" s="124"/>
      <c r="J558" s="124"/>
      <c r="K558" s="124"/>
      <c r="L558" s="124"/>
      <c r="M558" s="124"/>
      <c r="N558" s="124"/>
      <c r="O558" s="124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</row>
    <row x14ac:dyDescent="0.25" r="559" customHeight="1" ht="15.75">
      <c r="A559" s="123"/>
      <c r="B559" s="123"/>
      <c r="C559" s="124"/>
      <c r="D559" s="124"/>
      <c r="E559" s="124"/>
      <c r="F559" s="124"/>
      <c r="G559" s="124"/>
      <c r="H559" s="124"/>
      <c r="I559" s="124"/>
      <c r="J559" s="124"/>
      <c r="K559" s="124"/>
      <c r="L559" s="124"/>
      <c r="M559" s="124"/>
      <c r="N559" s="124"/>
      <c r="O559" s="124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</row>
    <row x14ac:dyDescent="0.25" r="560" customHeight="1" ht="15.75">
      <c r="A560" s="123"/>
      <c r="B560" s="123"/>
      <c r="C560" s="124"/>
      <c r="D560" s="124"/>
      <c r="E560" s="124"/>
      <c r="F560" s="124"/>
      <c r="G560" s="124"/>
      <c r="H560" s="124"/>
      <c r="I560" s="124"/>
      <c r="J560" s="124"/>
      <c r="K560" s="124"/>
      <c r="L560" s="124"/>
      <c r="M560" s="124"/>
      <c r="N560" s="124"/>
      <c r="O560" s="124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</row>
    <row x14ac:dyDescent="0.25" r="561" customHeight="1" ht="15.75">
      <c r="A561" s="123"/>
      <c r="B561" s="123"/>
      <c r="C561" s="124"/>
      <c r="D561" s="124"/>
      <c r="E561" s="124"/>
      <c r="F561" s="124"/>
      <c r="G561" s="124"/>
      <c r="H561" s="124"/>
      <c r="I561" s="124"/>
      <c r="J561" s="124"/>
      <c r="K561" s="124"/>
      <c r="L561" s="124"/>
      <c r="M561" s="124"/>
      <c r="N561" s="124"/>
      <c r="O561" s="124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</row>
    <row x14ac:dyDescent="0.25" r="562" customHeight="1" ht="15.75">
      <c r="A562" s="123"/>
      <c r="B562" s="123"/>
      <c r="C562" s="124"/>
      <c r="D562" s="124"/>
      <c r="E562" s="124"/>
      <c r="F562" s="124"/>
      <c r="G562" s="124"/>
      <c r="H562" s="124"/>
      <c r="I562" s="124"/>
      <c r="J562" s="124"/>
      <c r="K562" s="124"/>
      <c r="L562" s="124"/>
      <c r="M562" s="124"/>
      <c r="N562" s="124"/>
      <c r="O562" s="124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</row>
    <row x14ac:dyDescent="0.25" r="563" customHeight="1" ht="15.75">
      <c r="A563" s="123"/>
      <c r="B563" s="123"/>
      <c r="C563" s="124"/>
      <c r="D563" s="124"/>
      <c r="E563" s="124"/>
      <c r="F563" s="124"/>
      <c r="G563" s="124"/>
      <c r="H563" s="124"/>
      <c r="I563" s="124"/>
      <c r="J563" s="124"/>
      <c r="K563" s="124"/>
      <c r="L563" s="124"/>
      <c r="M563" s="124"/>
      <c r="N563" s="124"/>
      <c r="O563" s="124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</row>
    <row x14ac:dyDescent="0.25" r="564" customHeight="1" ht="15.75">
      <c r="A564" s="123"/>
      <c r="B564" s="123"/>
      <c r="C564" s="124"/>
      <c r="D564" s="124"/>
      <c r="E564" s="124"/>
      <c r="F564" s="124"/>
      <c r="G564" s="124"/>
      <c r="H564" s="124"/>
      <c r="I564" s="124"/>
      <c r="J564" s="124"/>
      <c r="K564" s="124"/>
      <c r="L564" s="124"/>
      <c r="M564" s="124"/>
      <c r="N564" s="124"/>
      <c r="O564" s="124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</row>
    <row x14ac:dyDescent="0.25" r="565" customHeight="1" ht="15.75">
      <c r="A565" s="123"/>
      <c r="B565" s="123"/>
      <c r="C565" s="124"/>
      <c r="D565" s="124"/>
      <c r="E565" s="124"/>
      <c r="F565" s="124"/>
      <c r="G565" s="124"/>
      <c r="H565" s="124"/>
      <c r="I565" s="124"/>
      <c r="J565" s="124"/>
      <c r="K565" s="124"/>
      <c r="L565" s="124"/>
      <c r="M565" s="124"/>
      <c r="N565" s="124"/>
      <c r="O565" s="124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</row>
    <row x14ac:dyDescent="0.25" r="566" customHeight="1" ht="15.75">
      <c r="A566" s="123"/>
      <c r="B566" s="123"/>
      <c r="C566" s="124"/>
      <c r="D566" s="124"/>
      <c r="E566" s="124"/>
      <c r="F566" s="124"/>
      <c r="G566" s="124"/>
      <c r="H566" s="124"/>
      <c r="I566" s="124"/>
      <c r="J566" s="124"/>
      <c r="K566" s="124"/>
      <c r="L566" s="124"/>
      <c r="M566" s="124"/>
      <c r="N566" s="124"/>
      <c r="O566" s="124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</row>
    <row x14ac:dyDescent="0.25" r="567" customHeight="1" ht="15.75">
      <c r="A567" s="123"/>
      <c r="B567" s="123"/>
      <c r="C567" s="124"/>
      <c r="D567" s="124"/>
      <c r="E567" s="124"/>
      <c r="F567" s="124"/>
      <c r="G567" s="124"/>
      <c r="H567" s="124"/>
      <c r="I567" s="124"/>
      <c r="J567" s="124"/>
      <c r="K567" s="124"/>
      <c r="L567" s="124"/>
      <c r="M567" s="124"/>
      <c r="N567" s="124"/>
      <c r="O567" s="124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</row>
    <row x14ac:dyDescent="0.25" r="568" customHeight="1" ht="15.75">
      <c r="A568" s="123"/>
      <c r="B568" s="123"/>
      <c r="C568" s="124"/>
      <c r="D568" s="124"/>
      <c r="E568" s="124"/>
      <c r="F568" s="124"/>
      <c r="G568" s="124"/>
      <c r="H568" s="124"/>
      <c r="I568" s="124"/>
      <c r="J568" s="124"/>
      <c r="K568" s="124"/>
      <c r="L568" s="124"/>
      <c r="M568" s="124"/>
      <c r="N568" s="124"/>
      <c r="O568" s="124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</row>
    <row x14ac:dyDescent="0.25" r="569" customHeight="1" ht="15.75">
      <c r="A569" s="123"/>
      <c r="B569" s="123"/>
      <c r="C569" s="124"/>
      <c r="D569" s="124"/>
      <c r="E569" s="124"/>
      <c r="F569" s="124"/>
      <c r="G569" s="124"/>
      <c r="H569" s="124"/>
      <c r="I569" s="124"/>
      <c r="J569" s="124"/>
      <c r="K569" s="124"/>
      <c r="L569" s="124"/>
      <c r="M569" s="124"/>
      <c r="N569" s="124"/>
      <c r="O569" s="124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</row>
    <row x14ac:dyDescent="0.25" r="570" customHeight="1" ht="15.75">
      <c r="A570" s="123"/>
      <c r="B570" s="123"/>
      <c r="C570" s="124"/>
      <c r="D570" s="124"/>
      <c r="E570" s="124"/>
      <c r="F570" s="124"/>
      <c r="G570" s="124"/>
      <c r="H570" s="124"/>
      <c r="I570" s="124"/>
      <c r="J570" s="124"/>
      <c r="K570" s="124"/>
      <c r="L570" s="124"/>
      <c r="M570" s="124"/>
      <c r="N570" s="124"/>
      <c r="O570" s="124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</row>
    <row x14ac:dyDescent="0.25" r="571" customHeight="1" ht="15.75">
      <c r="A571" s="123"/>
      <c r="B571" s="123"/>
      <c r="C571" s="124"/>
      <c r="D571" s="124"/>
      <c r="E571" s="124"/>
      <c r="F571" s="124"/>
      <c r="G571" s="124"/>
      <c r="H571" s="124"/>
      <c r="I571" s="124"/>
      <c r="J571" s="124"/>
      <c r="K571" s="124"/>
      <c r="L571" s="124"/>
      <c r="M571" s="124"/>
      <c r="N571" s="124"/>
      <c r="O571" s="124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</row>
    <row x14ac:dyDescent="0.25" r="572" customHeight="1" ht="15.75">
      <c r="A572" s="123"/>
      <c r="B572" s="123"/>
      <c r="C572" s="124"/>
      <c r="D572" s="124"/>
      <c r="E572" s="124"/>
      <c r="F572" s="124"/>
      <c r="G572" s="124"/>
      <c r="H572" s="124"/>
      <c r="I572" s="124"/>
      <c r="J572" s="124"/>
      <c r="K572" s="124"/>
      <c r="L572" s="124"/>
      <c r="M572" s="124"/>
      <c r="N572" s="124"/>
      <c r="O572" s="124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</row>
    <row x14ac:dyDescent="0.25" r="573" customHeight="1" ht="15.75">
      <c r="A573" s="123"/>
      <c r="B573" s="123"/>
      <c r="C573" s="124"/>
      <c r="D573" s="124"/>
      <c r="E573" s="124"/>
      <c r="F573" s="124"/>
      <c r="G573" s="124"/>
      <c r="H573" s="124"/>
      <c r="I573" s="124"/>
      <c r="J573" s="124"/>
      <c r="K573" s="124"/>
      <c r="L573" s="124"/>
      <c r="M573" s="124"/>
      <c r="N573" s="124"/>
      <c r="O573" s="124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</row>
    <row x14ac:dyDescent="0.25" r="574" customHeight="1" ht="15.75">
      <c r="A574" s="123"/>
      <c r="B574" s="123"/>
      <c r="C574" s="124"/>
      <c r="D574" s="124"/>
      <c r="E574" s="124"/>
      <c r="F574" s="124"/>
      <c r="G574" s="124"/>
      <c r="H574" s="124"/>
      <c r="I574" s="124"/>
      <c r="J574" s="124"/>
      <c r="K574" s="124"/>
      <c r="L574" s="124"/>
      <c r="M574" s="124"/>
      <c r="N574" s="124"/>
      <c r="O574" s="124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</row>
    <row x14ac:dyDescent="0.25" r="575" customHeight="1" ht="15.75">
      <c r="A575" s="123"/>
      <c r="B575" s="123"/>
      <c r="C575" s="124"/>
      <c r="D575" s="124"/>
      <c r="E575" s="124"/>
      <c r="F575" s="124"/>
      <c r="G575" s="124"/>
      <c r="H575" s="124"/>
      <c r="I575" s="124"/>
      <c r="J575" s="124"/>
      <c r="K575" s="124"/>
      <c r="L575" s="124"/>
      <c r="M575" s="124"/>
      <c r="N575" s="124"/>
      <c r="O575" s="124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</row>
    <row x14ac:dyDescent="0.25" r="576" customHeight="1" ht="15.75">
      <c r="A576" s="123"/>
      <c r="B576" s="123"/>
      <c r="C576" s="124"/>
      <c r="D576" s="124"/>
      <c r="E576" s="124"/>
      <c r="F576" s="124"/>
      <c r="G576" s="124"/>
      <c r="H576" s="124"/>
      <c r="I576" s="124"/>
      <c r="J576" s="124"/>
      <c r="K576" s="124"/>
      <c r="L576" s="124"/>
      <c r="M576" s="124"/>
      <c r="N576" s="124"/>
      <c r="O576" s="124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</row>
    <row x14ac:dyDescent="0.25" r="577" customHeight="1" ht="15.75">
      <c r="A577" s="123"/>
      <c r="B577" s="123"/>
      <c r="C577" s="124"/>
      <c r="D577" s="124"/>
      <c r="E577" s="124"/>
      <c r="F577" s="124"/>
      <c r="G577" s="124"/>
      <c r="H577" s="124"/>
      <c r="I577" s="124"/>
      <c r="J577" s="124"/>
      <c r="K577" s="124"/>
      <c r="L577" s="124"/>
      <c r="M577" s="124"/>
      <c r="N577" s="124"/>
      <c r="O577" s="124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</row>
    <row x14ac:dyDescent="0.25" r="578" customHeight="1" ht="15.75">
      <c r="A578" s="123"/>
      <c r="B578" s="123"/>
      <c r="C578" s="124"/>
      <c r="D578" s="124"/>
      <c r="E578" s="124"/>
      <c r="F578" s="124"/>
      <c r="G578" s="124"/>
      <c r="H578" s="124"/>
      <c r="I578" s="124"/>
      <c r="J578" s="124"/>
      <c r="K578" s="124"/>
      <c r="L578" s="124"/>
      <c r="M578" s="124"/>
      <c r="N578" s="124"/>
      <c r="O578" s="124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</row>
    <row x14ac:dyDescent="0.25" r="579" customHeight="1" ht="15.75">
      <c r="A579" s="123"/>
      <c r="B579" s="123"/>
      <c r="C579" s="124"/>
      <c r="D579" s="124"/>
      <c r="E579" s="124"/>
      <c r="F579" s="124"/>
      <c r="G579" s="124"/>
      <c r="H579" s="124"/>
      <c r="I579" s="124"/>
      <c r="J579" s="124"/>
      <c r="K579" s="124"/>
      <c r="L579" s="124"/>
      <c r="M579" s="124"/>
      <c r="N579" s="124"/>
      <c r="O579" s="124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</row>
    <row x14ac:dyDescent="0.25" r="580" customHeight="1" ht="15.75">
      <c r="A580" s="123"/>
      <c r="B580" s="123"/>
      <c r="C580" s="124"/>
      <c r="D580" s="124"/>
      <c r="E580" s="124"/>
      <c r="F580" s="124"/>
      <c r="G580" s="124"/>
      <c r="H580" s="124"/>
      <c r="I580" s="124"/>
      <c r="J580" s="124"/>
      <c r="K580" s="124"/>
      <c r="L580" s="124"/>
      <c r="M580" s="124"/>
      <c r="N580" s="124"/>
      <c r="O580" s="124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</row>
    <row x14ac:dyDescent="0.25" r="581" customHeight="1" ht="15.75">
      <c r="A581" s="123"/>
      <c r="B581" s="123"/>
      <c r="C581" s="124"/>
      <c r="D581" s="124"/>
      <c r="E581" s="124"/>
      <c r="F581" s="124"/>
      <c r="G581" s="124"/>
      <c r="H581" s="124"/>
      <c r="I581" s="124"/>
      <c r="J581" s="124"/>
      <c r="K581" s="124"/>
      <c r="L581" s="124"/>
      <c r="M581" s="124"/>
      <c r="N581" s="124"/>
      <c r="O581" s="124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</row>
    <row x14ac:dyDescent="0.25" r="582" customHeight="1" ht="15.75">
      <c r="A582" s="123"/>
      <c r="B582" s="123"/>
      <c r="C582" s="124"/>
      <c r="D582" s="124"/>
      <c r="E582" s="124"/>
      <c r="F582" s="124"/>
      <c r="G582" s="124"/>
      <c r="H582" s="124"/>
      <c r="I582" s="124"/>
      <c r="J582" s="124"/>
      <c r="K582" s="124"/>
      <c r="L582" s="124"/>
      <c r="M582" s="124"/>
      <c r="N582" s="124"/>
      <c r="O582" s="124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</row>
    <row x14ac:dyDescent="0.25" r="583" customHeight="1" ht="15.75">
      <c r="A583" s="123"/>
      <c r="B583" s="123"/>
      <c r="C583" s="124"/>
      <c r="D583" s="124"/>
      <c r="E583" s="124"/>
      <c r="F583" s="124"/>
      <c r="G583" s="124"/>
      <c r="H583" s="124"/>
      <c r="I583" s="124"/>
      <c r="J583" s="124"/>
      <c r="K583" s="124"/>
      <c r="L583" s="124"/>
      <c r="M583" s="124"/>
      <c r="N583" s="124"/>
      <c r="O583" s="124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</row>
    <row x14ac:dyDescent="0.25" r="584" customHeight="1" ht="15.75">
      <c r="A584" s="123"/>
      <c r="B584" s="123"/>
      <c r="C584" s="124"/>
      <c r="D584" s="124"/>
      <c r="E584" s="124"/>
      <c r="F584" s="124"/>
      <c r="G584" s="124"/>
      <c r="H584" s="124"/>
      <c r="I584" s="124"/>
      <c r="J584" s="124"/>
      <c r="K584" s="124"/>
      <c r="L584" s="124"/>
      <c r="M584" s="124"/>
      <c r="N584" s="124"/>
      <c r="O584" s="124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</row>
    <row x14ac:dyDescent="0.25" r="585" customHeight="1" ht="15.75">
      <c r="A585" s="123"/>
      <c r="B585" s="123"/>
      <c r="C585" s="124"/>
      <c r="D585" s="124"/>
      <c r="E585" s="124"/>
      <c r="F585" s="124"/>
      <c r="G585" s="124"/>
      <c r="H585" s="124"/>
      <c r="I585" s="124"/>
      <c r="J585" s="124"/>
      <c r="K585" s="124"/>
      <c r="L585" s="124"/>
      <c r="M585" s="124"/>
      <c r="N585" s="124"/>
      <c r="O585" s="124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</row>
    <row x14ac:dyDescent="0.25" r="586" customHeight="1" ht="15.75">
      <c r="A586" s="123"/>
      <c r="B586" s="123"/>
      <c r="C586" s="124"/>
      <c r="D586" s="124"/>
      <c r="E586" s="124"/>
      <c r="F586" s="124"/>
      <c r="G586" s="124"/>
      <c r="H586" s="124"/>
      <c r="I586" s="124"/>
      <c r="J586" s="124"/>
      <c r="K586" s="124"/>
      <c r="L586" s="124"/>
      <c r="M586" s="124"/>
      <c r="N586" s="124"/>
      <c r="O586" s="124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</row>
    <row x14ac:dyDescent="0.25" r="587" customHeight="1" ht="15.75">
      <c r="A587" s="123"/>
      <c r="B587" s="123"/>
      <c r="C587" s="124"/>
      <c r="D587" s="124"/>
      <c r="E587" s="124"/>
      <c r="F587" s="124"/>
      <c r="G587" s="124"/>
      <c r="H587" s="124"/>
      <c r="I587" s="124"/>
      <c r="J587" s="124"/>
      <c r="K587" s="124"/>
      <c r="L587" s="124"/>
      <c r="M587" s="124"/>
      <c r="N587" s="124"/>
      <c r="O587" s="124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</row>
    <row x14ac:dyDescent="0.25" r="588" customHeight="1" ht="15.75">
      <c r="A588" s="123"/>
      <c r="B588" s="123"/>
      <c r="C588" s="124"/>
      <c r="D588" s="124"/>
      <c r="E588" s="124"/>
      <c r="F588" s="124"/>
      <c r="G588" s="124"/>
      <c r="H588" s="124"/>
      <c r="I588" s="124"/>
      <c r="J588" s="124"/>
      <c r="K588" s="124"/>
      <c r="L588" s="124"/>
      <c r="M588" s="124"/>
      <c r="N588" s="124"/>
      <c r="O588" s="124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</row>
    <row x14ac:dyDescent="0.25" r="589" customHeight="1" ht="15.75">
      <c r="A589" s="123"/>
      <c r="B589" s="123"/>
      <c r="C589" s="124"/>
      <c r="D589" s="124"/>
      <c r="E589" s="124"/>
      <c r="F589" s="124"/>
      <c r="G589" s="124"/>
      <c r="H589" s="124"/>
      <c r="I589" s="124"/>
      <c r="J589" s="124"/>
      <c r="K589" s="124"/>
      <c r="L589" s="124"/>
      <c r="M589" s="124"/>
      <c r="N589" s="124"/>
      <c r="O589" s="124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</row>
    <row x14ac:dyDescent="0.25" r="590" customHeight="1" ht="15.75">
      <c r="A590" s="123"/>
      <c r="B590" s="123"/>
      <c r="C590" s="124"/>
      <c r="D590" s="124"/>
      <c r="E590" s="124"/>
      <c r="F590" s="124"/>
      <c r="G590" s="124"/>
      <c r="H590" s="124"/>
      <c r="I590" s="124"/>
      <c r="J590" s="124"/>
      <c r="K590" s="124"/>
      <c r="L590" s="124"/>
      <c r="M590" s="124"/>
      <c r="N590" s="124"/>
      <c r="O590" s="124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</row>
    <row x14ac:dyDescent="0.25" r="591" customHeight="1" ht="15.75">
      <c r="A591" s="123"/>
      <c r="B591" s="123"/>
      <c r="C591" s="124"/>
      <c r="D591" s="124"/>
      <c r="E591" s="124"/>
      <c r="F591" s="124"/>
      <c r="G591" s="124"/>
      <c r="H591" s="124"/>
      <c r="I591" s="124"/>
      <c r="J591" s="124"/>
      <c r="K591" s="124"/>
      <c r="L591" s="124"/>
      <c r="M591" s="124"/>
      <c r="N591" s="124"/>
      <c r="O591" s="124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</row>
    <row x14ac:dyDescent="0.25" r="592" customHeight="1" ht="15.75">
      <c r="A592" s="123"/>
      <c r="B592" s="123"/>
      <c r="C592" s="124"/>
      <c r="D592" s="124"/>
      <c r="E592" s="124"/>
      <c r="F592" s="124"/>
      <c r="G592" s="124"/>
      <c r="H592" s="124"/>
      <c r="I592" s="124"/>
      <c r="J592" s="124"/>
      <c r="K592" s="124"/>
      <c r="L592" s="124"/>
      <c r="M592" s="124"/>
      <c r="N592" s="124"/>
      <c r="O592" s="124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</row>
    <row x14ac:dyDescent="0.25" r="593" customHeight="1" ht="15.75">
      <c r="A593" s="123"/>
      <c r="B593" s="123"/>
      <c r="C593" s="124"/>
      <c r="D593" s="124"/>
      <c r="E593" s="124"/>
      <c r="F593" s="124"/>
      <c r="G593" s="124"/>
      <c r="H593" s="124"/>
      <c r="I593" s="124"/>
      <c r="J593" s="124"/>
      <c r="K593" s="124"/>
      <c r="L593" s="124"/>
      <c r="M593" s="124"/>
      <c r="N593" s="124"/>
      <c r="O593" s="124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</row>
    <row x14ac:dyDescent="0.25" r="594" customHeight="1" ht="15.75">
      <c r="A594" s="123"/>
      <c r="B594" s="123"/>
      <c r="C594" s="124"/>
      <c r="D594" s="124"/>
      <c r="E594" s="124"/>
      <c r="F594" s="124"/>
      <c r="G594" s="124"/>
      <c r="H594" s="124"/>
      <c r="I594" s="124"/>
      <c r="J594" s="124"/>
      <c r="K594" s="124"/>
      <c r="L594" s="124"/>
      <c r="M594" s="124"/>
      <c r="N594" s="124"/>
      <c r="O594" s="124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</row>
    <row x14ac:dyDescent="0.25" r="595" customHeight="1" ht="15.75">
      <c r="A595" s="123"/>
      <c r="B595" s="123"/>
      <c r="C595" s="124"/>
      <c r="D595" s="124"/>
      <c r="E595" s="124"/>
      <c r="F595" s="124"/>
      <c r="G595" s="124"/>
      <c r="H595" s="124"/>
      <c r="I595" s="124"/>
      <c r="J595" s="124"/>
      <c r="K595" s="124"/>
      <c r="L595" s="124"/>
      <c r="M595" s="124"/>
      <c r="N595" s="124"/>
      <c r="O595" s="124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</row>
    <row x14ac:dyDescent="0.25" r="596" customHeight="1" ht="15.75">
      <c r="A596" s="123"/>
      <c r="B596" s="123"/>
      <c r="C596" s="124"/>
      <c r="D596" s="124"/>
      <c r="E596" s="124"/>
      <c r="F596" s="124"/>
      <c r="G596" s="124"/>
      <c r="H596" s="124"/>
      <c r="I596" s="124"/>
      <c r="J596" s="124"/>
      <c r="K596" s="124"/>
      <c r="L596" s="124"/>
      <c r="M596" s="124"/>
      <c r="N596" s="124"/>
      <c r="O596" s="124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</row>
    <row x14ac:dyDescent="0.25" r="597" customHeight="1" ht="15.75">
      <c r="A597" s="123"/>
      <c r="B597" s="123"/>
      <c r="C597" s="124"/>
      <c r="D597" s="124"/>
      <c r="E597" s="124"/>
      <c r="F597" s="124"/>
      <c r="G597" s="124"/>
      <c r="H597" s="124"/>
      <c r="I597" s="124"/>
      <c r="J597" s="124"/>
      <c r="K597" s="124"/>
      <c r="L597" s="124"/>
      <c r="M597" s="124"/>
      <c r="N597" s="124"/>
      <c r="O597" s="124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</row>
    <row x14ac:dyDescent="0.25" r="598" customHeight="1" ht="15.75">
      <c r="A598" s="123"/>
      <c r="B598" s="123"/>
      <c r="C598" s="124"/>
      <c r="D598" s="124"/>
      <c r="E598" s="124"/>
      <c r="F598" s="124"/>
      <c r="G598" s="124"/>
      <c r="H598" s="124"/>
      <c r="I598" s="124"/>
      <c r="J598" s="124"/>
      <c r="K598" s="124"/>
      <c r="L598" s="124"/>
      <c r="M598" s="124"/>
      <c r="N598" s="124"/>
      <c r="O598" s="124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</row>
    <row x14ac:dyDescent="0.25" r="599" customHeight="1" ht="15.75">
      <c r="A599" s="123"/>
      <c r="B599" s="123"/>
      <c r="C599" s="124"/>
      <c r="D599" s="124"/>
      <c r="E599" s="124"/>
      <c r="F599" s="124"/>
      <c r="G599" s="124"/>
      <c r="H599" s="124"/>
      <c r="I599" s="124"/>
      <c r="J599" s="124"/>
      <c r="K599" s="124"/>
      <c r="L599" s="124"/>
      <c r="M599" s="124"/>
      <c r="N599" s="124"/>
      <c r="O599" s="124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</row>
    <row x14ac:dyDescent="0.25" r="600" customHeight="1" ht="15.75">
      <c r="A600" s="123"/>
      <c r="B600" s="123"/>
      <c r="C600" s="124"/>
      <c r="D600" s="124"/>
      <c r="E600" s="124"/>
      <c r="F600" s="124"/>
      <c r="G600" s="124"/>
      <c r="H600" s="124"/>
      <c r="I600" s="124"/>
      <c r="J600" s="124"/>
      <c r="K600" s="124"/>
      <c r="L600" s="124"/>
      <c r="M600" s="124"/>
      <c r="N600" s="124"/>
      <c r="O600" s="124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</row>
    <row x14ac:dyDescent="0.25" r="601" customHeight="1" ht="15.75">
      <c r="A601" s="123"/>
      <c r="B601" s="123"/>
      <c r="C601" s="124"/>
      <c r="D601" s="124"/>
      <c r="E601" s="124"/>
      <c r="F601" s="124"/>
      <c r="G601" s="124"/>
      <c r="H601" s="124"/>
      <c r="I601" s="124"/>
      <c r="J601" s="124"/>
      <c r="K601" s="124"/>
      <c r="L601" s="124"/>
      <c r="M601" s="124"/>
      <c r="N601" s="124"/>
      <c r="O601" s="124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</row>
    <row x14ac:dyDescent="0.25" r="602" customHeight="1" ht="15.75">
      <c r="A602" s="123"/>
      <c r="B602" s="123"/>
      <c r="C602" s="124"/>
      <c r="D602" s="124"/>
      <c r="E602" s="124"/>
      <c r="F602" s="124"/>
      <c r="G602" s="124"/>
      <c r="H602" s="124"/>
      <c r="I602" s="124"/>
      <c r="J602" s="124"/>
      <c r="K602" s="124"/>
      <c r="L602" s="124"/>
      <c r="M602" s="124"/>
      <c r="N602" s="124"/>
      <c r="O602" s="124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</row>
    <row x14ac:dyDescent="0.25" r="603" customHeight="1" ht="15.75">
      <c r="A603" s="123"/>
      <c r="B603" s="123"/>
      <c r="C603" s="124"/>
      <c r="D603" s="124"/>
      <c r="E603" s="124"/>
      <c r="F603" s="124"/>
      <c r="G603" s="124"/>
      <c r="H603" s="124"/>
      <c r="I603" s="124"/>
      <c r="J603" s="124"/>
      <c r="K603" s="124"/>
      <c r="L603" s="124"/>
      <c r="M603" s="124"/>
      <c r="N603" s="124"/>
      <c r="O603" s="124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</row>
    <row x14ac:dyDescent="0.25" r="604" customHeight="1" ht="15.75">
      <c r="A604" s="123"/>
      <c r="B604" s="123"/>
      <c r="C604" s="124"/>
      <c r="D604" s="124"/>
      <c r="E604" s="124"/>
      <c r="F604" s="124"/>
      <c r="G604" s="124"/>
      <c r="H604" s="124"/>
      <c r="I604" s="124"/>
      <c r="J604" s="124"/>
      <c r="K604" s="124"/>
      <c r="L604" s="124"/>
      <c r="M604" s="124"/>
      <c r="N604" s="124"/>
      <c r="O604" s="124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</row>
    <row x14ac:dyDescent="0.25" r="605" customHeight="1" ht="15.75">
      <c r="A605" s="123"/>
      <c r="B605" s="123"/>
      <c r="C605" s="124"/>
      <c r="D605" s="124"/>
      <c r="E605" s="124"/>
      <c r="F605" s="124"/>
      <c r="G605" s="124"/>
      <c r="H605" s="124"/>
      <c r="I605" s="124"/>
      <c r="J605" s="124"/>
      <c r="K605" s="124"/>
      <c r="L605" s="124"/>
      <c r="M605" s="124"/>
      <c r="N605" s="124"/>
      <c r="O605" s="124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</row>
    <row x14ac:dyDescent="0.25" r="606" customHeight="1" ht="15.75">
      <c r="A606" s="123"/>
      <c r="B606" s="123"/>
      <c r="C606" s="124"/>
      <c r="D606" s="124"/>
      <c r="E606" s="124"/>
      <c r="F606" s="124"/>
      <c r="G606" s="124"/>
      <c r="H606" s="124"/>
      <c r="I606" s="124"/>
      <c r="J606" s="124"/>
      <c r="K606" s="124"/>
      <c r="L606" s="124"/>
      <c r="M606" s="124"/>
      <c r="N606" s="124"/>
      <c r="O606" s="124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</row>
    <row x14ac:dyDescent="0.25" r="607" customHeight="1" ht="15.75">
      <c r="A607" s="123"/>
      <c r="B607" s="123"/>
      <c r="C607" s="124"/>
      <c r="D607" s="124"/>
      <c r="E607" s="124"/>
      <c r="F607" s="124"/>
      <c r="G607" s="124"/>
      <c r="H607" s="124"/>
      <c r="I607" s="124"/>
      <c r="J607" s="124"/>
      <c r="K607" s="124"/>
      <c r="L607" s="124"/>
      <c r="M607" s="124"/>
      <c r="N607" s="124"/>
      <c r="O607" s="124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</row>
    <row x14ac:dyDescent="0.25" r="608" customHeight="1" ht="15.75">
      <c r="A608" s="123"/>
      <c r="B608" s="123"/>
      <c r="C608" s="124"/>
      <c r="D608" s="124"/>
      <c r="E608" s="124"/>
      <c r="F608" s="124"/>
      <c r="G608" s="124"/>
      <c r="H608" s="124"/>
      <c r="I608" s="124"/>
      <c r="J608" s="124"/>
      <c r="K608" s="124"/>
      <c r="L608" s="124"/>
      <c r="M608" s="124"/>
      <c r="N608" s="124"/>
      <c r="O608" s="124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</row>
    <row x14ac:dyDescent="0.25" r="609" customHeight="1" ht="15.75">
      <c r="A609" s="123"/>
      <c r="B609" s="123"/>
      <c r="C609" s="124"/>
      <c r="D609" s="124"/>
      <c r="E609" s="124"/>
      <c r="F609" s="124"/>
      <c r="G609" s="124"/>
      <c r="H609" s="124"/>
      <c r="I609" s="124"/>
      <c r="J609" s="124"/>
      <c r="K609" s="124"/>
      <c r="L609" s="124"/>
      <c r="M609" s="124"/>
      <c r="N609" s="124"/>
      <c r="O609" s="124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</row>
    <row x14ac:dyDescent="0.25" r="610" customHeight="1" ht="15.75">
      <c r="A610" s="123"/>
      <c r="B610" s="123"/>
      <c r="C610" s="124"/>
      <c r="D610" s="124"/>
      <c r="E610" s="124"/>
      <c r="F610" s="124"/>
      <c r="G610" s="124"/>
      <c r="H610" s="124"/>
      <c r="I610" s="124"/>
      <c r="J610" s="124"/>
      <c r="K610" s="124"/>
      <c r="L610" s="124"/>
      <c r="M610" s="124"/>
      <c r="N610" s="124"/>
      <c r="O610" s="124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</row>
    <row x14ac:dyDescent="0.25" r="611" customHeight="1" ht="15.75">
      <c r="A611" s="123"/>
      <c r="B611" s="123"/>
      <c r="C611" s="124"/>
      <c r="D611" s="124"/>
      <c r="E611" s="124"/>
      <c r="F611" s="124"/>
      <c r="G611" s="124"/>
      <c r="H611" s="124"/>
      <c r="I611" s="124"/>
      <c r="J611" s="124"/>
      <c r="K611" s="124"/>
      <c r="L611" s="124"/>
      <c r="M611" s="124"/>
      <c r="N611" s="124"/>
      <c r="O611" s="124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</row>
    <row x14ac:dyDescent="0.25" r="612" customHeight="1" ht="15.75">
      <c r="A612" s="123"/>
      <c r="B612" s="123"/>
      <c r="C612" s="124"/>
      <c r="D612" s="124"/>
      <c r="E612" s="124"/>
      <c r="F612" s="124"/>
      <c r="G612" s="124"/>
      <c r="H612" s="124"/>
      <c r="I612" s="124"/>
      <c r="J612" s="124"/>
      <c r="K612" s="124"/>
      <c r="L612" s="124"/>
      <c r="M612" s="124"/>
      <c r="N612" s="124"/>
      <c r="O612" s="124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</row>
    <row x14ac:dyDescent="0.25" r="613" customHeight="1" ht="15.75">
      <c r="A613" s="123"/>
      <c r="B613" s="123"/>
      <c r="C613" s="124"/>
      <c r="D613" s="124"/>
      <c r="E613" s="124"/>
      <c r="F613" s="124"/>
      <c r="G613" s="124"/>
      <c r="H613" s="124"/>
      <c r="I613" s="124"/>
      <c r="J613" s="124"/>
      <c r="K613" s="124"/>
      <c r="L613" s="124"/>
      <c r="M613" s="124"/>
      <c r="N613" s="124"/>
      <c r="O613" s="124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</row>
    <row x14ac:dyDescent="0.25" r="614" customHeight="1" ht="15.75">
      <c r="A614" s="123"/>
      <c r="B614" s="123"/>
      <c r="C614" s="124"/>
      <c r="D614" s="124"/>
      <c r="E614" s="124"/>
      <c r="F614" s="124"/>
      <c r="G614" s="124"/>
      <c r="H614" s="124"/>
      <c r="I614" s="124"/>
      <c r="J614" s="124"/>
      <c r="K614" s="124"/>
      <c r="L614" s="124"/>
      <c r="M614" s="124"/>
      <c r="N614" s="124"/>
      <c r="O614" s="124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</row>
    <row x14ac:dyDescent="0.25" r="615" customHeight="1" ht="15.75">
      <c r="A615" s="123"/>
      <c r="B615" s="123"/>
      <c r="C615" s="124"/>
      <c r="D615" s="124"/>
      <c r="E615" s="124"/>
      <c r="F615" s="124"/>
      <c r="G615" s="124"/>
      <c r="H615" s="124"/>
      <c r="I615" s="124"/>
      <c r="J615" s="124"/>
      <c r="K615" s="124"/>
      <c r="L615" s="124"/>
      <c r="M615" s="124"/>
      <c r="N615" s="124"/>
      <c r="O615" s="124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</row>
    <row x14ac:dyDescent="0.25" r="616" customHeight="1" ht="15.75">
      <c r="A616" s="123"/>
      <c r="B616" s="123"/>
      <c r="C616" s="124"/>
      <c r="D616" s="124"/>
      <c r="E616" s="124"/>
      <c r="F616" s="124"/>
      <c r="G616" s="124"/>
      <c r="H616" s="124"/>
      <c r="I616" s="124"/>
      <c r="J616" s="124"/>
      <c r="K616" s="124"/>
      <c r="L616" s="124"/>
      <c r="M616" s="124"/>
      <c r="N616" s="124"/>
      <c r="O616" s="124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</row>
    <row x14ac:dyDescent="0.25" r="617" customHeight="1" ht="15.75">
      <c r="A617" s="123"/>
      <c r="B617" s="123"/>
      <c r="C617" s="124"/>
      <c r="D617" s="124"/>
      <c r="E617" s="124"/>
      <c r="F617" s="124"/>
      <c r="G617" s="124"/>
      <c r="H617" s="124"/>
      <c r="I617" s="124"/>
      <c r="J617" s="124"/>
      <c r="K617" s="124"/>
      <c r="L617" s="124"/>
      <c r="M617" s="124"/>
      <c r="N617" s="124"/>
      <c r="O617" s="124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</row>
    <row x14ac:dyDescent="0.25" r="618" customHeight="1" ht="15.75">
      <c r="A618" s="123"/>
      <c r="B618" s="123"/>
      <c r="C618" s="124"/>
      <c r="D618" s="124"/>
      <c r="E618" s="124"/>
      <c r="F618" s="124"/>
      <c r="G618" s="124"/>
      <c r="H618" s="124"/>
      <c r="I618" s="124"/>
      <c r="J618" s="124"/>
      <c r="K618" s="124"/>
      <c r="L618" s="124"/>
      <c r="M618" s="124"/>
      <c r="N618" s="124"/>
      <c r="O618" s="124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</row>
    <row x14ac:dyDescent="0.25" r="619" customHeight="1" ht="15.75">
      <c r="A619" s="123"/>
      <c r="B619" s="123"/>
      <c r="C619" s="124"/>
      <c r="D619" s="124"/>
      <c r="E619" s="124"/>
      <c r="F619" s="124"/>
      <c r="G619" s="124"/>
      <c r="H619" s="124"/>
      <c r="I619" s="124"/>
      <c r="J619" s="124"/>
      <c r="K619" s="124"/>
      <c r="L619" s="124"/>
      <c r="M619" s="124"/>
      <c r="N619" s="124"/>
      <c r="O619" s="124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</row>
    <row x14ac:dyDescent="0.25" r="620" customHeight="1" ht="15.75">
      <c r="A620" s="123"/>
      <c r="B620" s="123"/>
      <c r="C620" s="124"/>
      <c r="D620" s="124"/>
      <c r="E620" s="124"/>
      <c r="F620" s="124"/>
      <c r="G620" s="124"/>
      <c r="H620" s="124"/>
      <c r="I620" s="124"/>
      <c r="J620" s="124"/>
      <c r="K620" s="124"/>
      <c r="L620" s="124"/>
      <c r="M620" s="124"/>
      <c r="N620" s="124"/>
      <c r="O620" s="124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</row>
    <row x14ac:dyDescent="0.25" r="621" customHeight="1" ht="15.75">
      <c r="A621" s="123"/>
      <c r="B621" s="123"/>
      <c r="C621" s="124"/>
      <c r="D621" s="124"/>
      <c r="E621" s="124"/>
      <c r="F621" s="124"/>
      <c r="G621" s="124"/>
      <c r="H621" s="124"/>
      <c r="I621" s="124"/>
      <c r="J621" s="124"/>
      <c r="K621" s="124"/>
      <c r="L621" s="124"/>
      <c r="M621" s="124"/>
      <c r="N621" s="124"/>
      <c r="O621" s="124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</row>
    <row x14ac:dyDescent="0.25" r="622" customHeight="1" ht="15.75">
      <c r="A622" s="123"/>
      <c r="B622" s="123"/>
      <c r="C622" s="124"/>
      <c r="D622" s="124"/>
      <c r="E622" s="124"/>
      <c r="F622" s="124"/>
      <c r="G622" s="124"/>
      <c r="H622" s="124"/>
      <c r="I622" s="124"/>
      <c r="J622" s="124"/>
      <c r="K622" s="124"/>
      <c r="L622" s="124"/>
      <c r="M622" s="124"/>
      <c r="N622" s="124"/>
      <c r="O622" s="124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</row>
    <row x14ac:dyDescent="0.25" r="623" customHeight="1" ht="15.75">
      <c r="A623" s="123"/>
      <c r="B623" s="123"/>
      <c r="C623" s="124"/>
      <c r="D623" s="124"/>
      <c r="E623" s="124"/>
      <c r="F623" s="124"/>
      <c r="G623" s="124"/>
      <c r="H623" s="124"/>
      <c r="I623" s="124"/>
      <c r="J623" s="124"/>
      <c r="K623" s="124"/>
      <c r="L623" s="124"/>
      <c r="M623" s="124"/>
      <c r="N623" s="124"/>
      <c r="O623" s="124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</row>
    <row x14ac:dyDescent="0.25" r="624" customHeight="1" ht="15.75">
      <c r="A624" s="123"/>
      <c r="B624" s="123"/>
      <c r="C624" s="124"/>
      <c r="D624" s="124"/>
      <c r="E624" s="124"/>
      <c r="F624" s="124"/>
      <c r="G624" s="124"/>
      <c r="H624" s="124"/>
      <c r="I624" s="124"/>
      <c r="J624" s="124"/>
      <c r="K624" s="124"/>
      <c r="L624" s="124"/>
      <c r="M624" s="124"/>
      <c r="N624" s="124"/>
      <c r="O624" s="124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</row>
    <row x14ac:dyDescent="0.25" r="625" customHeight="1" ht="15.75">
      <c r="A625" s="123"/>
      <c r="B625" s="123"/>
      <c r="C625" s="124"/>
      <c r="D625" s="124"/>
      <c r="E625" s="124"/>
      <c r="F625" s="124"/>
      <c r="G625" s="124"/>
      <c r="H625" s="124"/>
      <c r="I625" s="124"/>
      <c r="J625" s="124"/>
      <c r="K625" s="124"/>
      <c r="L625" s="124"/>
      <c r="M625" s="124"/>
      <c r="N625" s="124"/>
      <c r="O625" s="124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</row>
    <row x14ac:dyDescent="0.25" r="626" customHeight="1" ht="15.75">
      <c r="A626" s="123"/>
      <c r="B626" s="123"/>
      <c r="C626" s="124"/>
      <c r="D626" s="124"/>
      <c r="E626" s="124"/>
      <c r="F626" s="124"/>
      <c r="G626" s="124"/>
      <c r="H626" s="124"/>
      <c r="I626" s="124"/>
      <c r="J626" s="124"/>
      <c r="K626" s="124"/>
      <c r="L626" s="124"/>
      <c r="M626" s="124"/>
      <c r="N626" s="124"/>
      <c r="O626" s="124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</row>
    <row x14ac:dyDescent="0.25" r="627" customHeight="1" ht="15.75">
      <c r="A627" s="123"/>
      <c r="B627" s="123"/>
      <c r="C627" s="124"/>
      <c r="D627" s="124"/>
      <c r="E627" s="124"/>
      <c r="F627" s="124"/>
      <c r="G627" s="124"/>
      <c r="H627" s="124"/>
      <c r="I627" s="124"/>
      <c r="J627" s="124"/>
      <c r="K627" s="124"/>
      <c r="L627" s="124"/>
      <c r="M627" s="124"/>
      <c r="N627" s="124"/>
      <c r="O627" s="124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</row>
    <row x14ac:dyDescent="0.25" r="628" customHeight="1" ht="15.75">
      <c r="A628" s="123"/>
      <c r="B628" s="123"/>
      <c r="C628" s="124"/>
      <c r="D628" s="124"/>
      <c r="E628" s="124"/>
      <c r="F628" s="124"/>
      <c r="G628" s="124"/>
      <c r="H628" s="124"/>
      <c r="I628" s="124"/>
      <c r="J628" s="124"/>
      <c r="K628" s="124"/>
      <c r="L628" s="124"/>
      <c r="M628" s="124"/>
      <c r="N628" s="124"/>
      <c r="O628" s="124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</row>
    <row x14ac:dyDescent="0.25" r="629" customHeight="1" ht="15.75">
      <c r="A629" s="123"/>
      <c r="B629" s="123"/>
      <c r="C629" s="124"/>
      <c r="D629" s="124"/>
      <c r="E629" s="124"/>
      <c r="F629" s="124"/>
      <c r="G629" s="124"/>
      <c r="H629" s="124"/>
      <c r="I629" s="124"/>
      <c r="J629" s="124"/>
      <c r="K629" s="124"/>
      <c r="L629" s="124"/>
      <c r="M629" s="124"/>
      <c r="N629" s="124"/>
      <c r="O629" s="124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</row>
    <row x14ac:dyDescent="0.25" r="630" customHeight="1" ht="15.75">
      <c r="A630" s="123"/>
      <c r="B630" s="123"/>
      <c r="C630" s="124"/>
      <c r="D630" s="124"/>
      <c r="E630" s="124"/>
      <c r="F630" s="124"/>
      <c r="G630" s="124"/>
      <c r="H630" s="124"/>
      <c r="I630" s="124"/>
      <c r="J630" s="124"/>
      <c r="K630" s="124"/>
      <c r="L630" s="124"/>
      <c r="M630" s="124"/>
      <c r="N630" s="124"/>
      <c r="O630" s="124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</row>
    <row x14ac:dyDescent="0.25" r="631" customHeight="1" ht="15.75">
      <c r="A631" s="123"/>
      <c r="B631" s="123"/>
      <c r="C631" s="124"/>
      <c r="D631" s="124"/>
      <c r="E631" s="124"/>
      <c r="F631" s="124"/>
      <c r="G631" s="124"/>
      <c r="H631" s="124"/>
      <c r="I631" s="124"/>
      <c r="J631" s="124"/>
      <c r="K631" s="124"/>
      <c r="L631" s="124"/>
      <c r="M631" s="124"/>
      <c r="N631" s="124"/>
      <c r="O631" s="124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</row>
    <row x14ac:dyDescent="0.25" r="632" customHeight="1" ht="15.75">
      <c r="A632" s="123"/>
      <c r="B632" s="123"/>
      <c r="C632" s="124"/>
      <c r="D632" s="124"/>
      <c r="E632" s="124"/>
      <c r="F632" s="124"/>
      <c r="G632" s="124"/>
      <c r="H632" s="124"/>
      <c r="I632" s="124"/>
      <c r="J632" s="124"/>
      <c r="K632" s="124"/>
      <c r="L632" s="124"/>
      <c r="M632" s="124"/>
      <c r="N632" s="124"/>
      <c r="O632" s="124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</row>
    <row x14ac:dyDescent="0.25" r="633" customHeight="1" ht="15.75">
      <c r="A633" s="123"/>
      <c r="B633" s="123"/>
      <c r="C633" s="124"/>
      <c r="D633" s="124"/>
      <c r="E633" s="124"/>
      <c r="F633" s="124"/>
      <c r="G633" s="124"/>
      <c r="H633" s="124"/>
      <c r="I633" s="124"/>
      <c r="J633" s="124"/>
      <c r="K633" s="124"/>
      <c r="L633" s="124"/>
      <c r="M633" s="124"/>
      <c r="N633" s="124"/>
      <c r="O633" s="124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</row>
    <row x14ac:dyDescent="0.25" r="634" customHeight="1" ht="15.75">
      <c r="A634" s="123"/>
      <c r="B634" s="123"/>
      <c r="C634" s="124"/>
      <c r="D634" s="124"/>
      <c r="E634" s="124"/>
      <c r="F634" s="124"/>
      <c r="G634" s="124"/>
      <c r="H634" s="124"/>
      <c r="I634" s="124"/>
      <c r="J634" s="124"/>
      <c r="K634" s="124"/>
      <c r="L634" s="124"/>
      <c r="M634" s="124"/>
      <c r="N634" s="124"/>
      <c r="O634" s="124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</row>
    <row x14ac:dyDescent="0.25" r="635" customHeight="1" ht="15.75">
      <c r="A635" s="123"/>
      <c r="B635" s="123"/>
      <c r="C635" s="124"/>
      <c r="D635" s="124"/>
      <c r="E635" s="124"/>
      <c r="F635" s="124"/>
      <c r="G635" s="124"/>
      <c r="H635" s="124"/>
      <c r="I635" s="124"/>
      <c r="J635" s="124"/>
      <c r="K635" s="124"/>
      <c r="L635" s="124"/>
      <c r="M635" s="124"/>
      <c r="N635" s="124"/>
      <c r="O635" s="124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</row>
    <row x14ac:dyDescent="0.25" r="636" customHeight="1" ht="15.75">
      <c r="A636" s="123"/>
      <c r="B636" s="123"/>
      <c r="C636" s="124"/>
      <c r="D636" s="124"/>
      <c r="E636" s="124"/>
      <c r="F636" s="124"/>
      <c r="G636" s="124"/>
      <c r="H636" s="124"/>
      <c r="I636" s="124"/>
      <c r="J636" s="124"/>
      <c r="K636" s="124"/>
      <c r="L636" s="124"/>
      <c r="M636" s="124"/>
      <c r="N636" s="124"/>
      <c r="O636" s="124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</row>
    <row x14ac:dyDescent="0.25" r="637" customHeight="1" ht="15.75">
      <c r="A637" s="123"/>
      <c r="B637" s="123"/>
      <c r="C637" s="124"/>
      <c r="D637" s="124"/>
      <c r="E637" s="124"/>
      <c r="F637" s="124"/>
      <c r="G637" s="124"/>
      <c r="H637" s="124"/>
      <c r="I637" s="124"/>
      <c r="J637" s="124"/>
      <c r="K637" s="124"/>
      <c r="L637" s="124"/>
      <c r="M637" s="124"/>
      <c r="N637" s="124"/>
      <c r="O637" s="124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</row>
    <row x14ac:dyDescent="0.25" r="638" customHeight="1" ht="15.75">
      <c r="A638" s="123"/>
      <c r="B638" s="123"/>
      <c r="C638" s="124"/>
      <c r="D638" s="124"/>
      <c r="E638" s="124"/>
      <c r="F638" s="124"/>
      <c r="G638" s="124"/>
      <c r="H638" s="124"/>
      <c r="I638" s="124"/>
      <c r="J638" s="124"/>
      <c r="K638" s="124"/>
      <c r="L638" s="124"/>
      <c r="M638" s="124"/>
      <c r="N638" s="124"/>
      <c r="O638" s="124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</row>
    <row x14ac:dyDescent="0.25" r="639" customHeight="1" ht="15.75">
      <c r="A639" s="123"/>
      <c r="B639" s="123"/>
      <c r="C639" s="124"/>
      <c r="D639" s="124"/>
      <c r="E639" s="124"/>
      <c r="F639" s="124"/>
      <c r="G639" s="124"/>
      <c r="H639" s="124"/>
      <c r="I639" s="124"/>
      <c r="J639" s="124"/>
      <c r="K639" s="124"/>
      <c r="L639" s="124"/>
      <c r="M639" s="124"/>
      <c r="N639" s="124"/>
      <c r="O639" s="124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</row>
    <row x14ac:dyDescent="0.25" r="640" customHeight="1" ht="15.75">
      <c r="A640" s="123"/>
      <c r="B640" s="123"/>
      <c r="C640" s="124"/>
      <c r="D640" s="124"/>
      <c r="E640" s="124"/>
      <c r="F640" s="124"/>
      <c r="G640" s="124"/>
      <c r="H640" s="124"/>
      <c r="I640" s="124"/>
      <c r="J640" s="124"/>
      <c r="K640" s="124"/>
      <c r="L640" s="124"/>
      <c r="M640" s="124"/>
      <c r="N640" s="124"/>
      <c r="O640" s="124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</row>
    <row x14ac:dyDescent="0.25" r="641" customHeight="1" ht="15.75">
      <c r="A641" s="123"/>
      <c r="B641" s="123"/>
      <c r="C641" s="124"/>
      <c r="D641" s="124"/>
      <c r="E641" s="124"/>
      <c r="F641" s="124"/>
      <c r="G641" s="124"/>
      <c r="H641" s="124"/>
      <c r="I641" s="124"/>
      <c r="J641" s="124"/>
      <c r="K641" s="124"/>
      <c r="L641" s="124"/>
      <c r="M641" s="124"/>
      <c r="N641" s="124"/>
      <c r="O641" s="124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</row>
    <row x14ac:dyDescent="0.25" r="642" customHeight="1" ht="15.75">
      <c r="A642" s="123"/>
      <c r="B642" s="123"/>
      <c r="C642" s="124"/>
      <c r="D642" s="124"/>
      <c r="E642" s="124"/>
      <c r="F642" s="124"/>
      <c r="G642" s="124"/>
      <c r="H642" s="124"/>
      <c r="I642" s="124"/>
      <c r="J642" s="124"/>
      <c r="K642" s="124"/>
      <c r="L642" s="124"/>
      <c r="M642" s="124"/>
      <c r="N642" s="124"/>
      <c r="O642" s="124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</row>
    <row x14ac:dyDescent="0.25" r="643" customHeight="1" ht="15.75">
      <c r="A643" s="123"/>
      <c r="B643" s="123"/>
      <c r="C643" s="124"/>
      <c r="D643" s="124"/>
      <c r="E643" s="124"/>
      <c r="F643" s="124"/>
      <c r="G643" s="124"/>
      <c r="H643" s="124"/>
      <c r="I643" s="124"/>
      <c r="J643" s="124"/>
      <c r="K643" s="124"/>
      <c r="L643" s="124"/>
      <c r="M643" s="124"/>
      <c r="N643" s="124"/>
      <c r="O643" s="124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</row>
    <row x14ac:dyDescent="0.25" r="644" customHeight="1" ht="15.75">
      <c r="A644" s="123"/>
      <c r="B644" s="123"/>
      <c r="C644" s="124"/>
      <c r="D644" s="124"/>
      <c r="E644" s="124"/>
      <c r="F644" s="124"/>
      <c r="G644" s="124"/>
      <c r="H644" s="124"/>
      <c r="I644" s="124"/>
      <c r="J644" s="124"/>
      <c r="K644" s="124"/>
      <c r="L644" s="124"/>
      <c r="M644" s="124"/>
      <c r="N644" s="124"/>
      <c r="O644" s="124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</row>
    <row x14ac:dyDescent="0.25" r="645" customHeight="1" ht="15.75">
      <c r="A645" s="123"/>
      <c r="B645" s="123"/>
      <c r="C645" s="124"/>
      <c r="D645" s="124"/>
      <c r="E645" s="124"/>
      <c r="F645" s="124"/>
      <c r="G645" s="124"/>
      <c r="H645" s="124"/>
      <c r="I645" s="124"/>
      <c r="J645" s="124"/>
      <c r="K645" s="124"/>
      <c r="L645" s="124"/>
      <c r="M645" s="124"/>
      <c r="N645" s="124"/>
      <c r="O645" s="124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</row>
    <row x14ac:dyDescent="0.25" r="646" customHeight="1" ht="15.75">
      <c r="A646" s="123"/>
      <c r="B646" s="123"/>
      <c r="C646" s="124"/>
      <c r="D646" s="124"/>
      <c r="E646" s="124"/>
      <c r="F646" s="124"/>
      <c r="G646" s="124"/>
      <c r="H646" s="124"/>
      <c r="I646" s="124"/>
      <c r="J646" s="124"/>
      <c r="K646" s="124"/>
      <c r="L646" s="124"/>
      <c r="M646" s="124"/>
      <c r="N646" s="124"/>
      <c r="O646" s="124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</row>
    <row x14ac:dyDescent="0.25" r="647" customHeight="1" ht="15.75">
      <c r="A647" s="123"/>
      <c r="B647" s="123"/>
      <c r="C647" s="124"/>
      <c r="D647" s="124"/>
      <c r="E647" s="124"/>
      <c r="F647" s="124"/>
      <c r="G647" s="124"/>
      <c r="H647" s="124"/>
      <c r="I647" s="124"/>
      <c r="J647" s="124"/>
      <c r="K647" s="124"/>
      <c r="L647" s="124"/>
      <c r="M647" s="124"/>
      <c r="N647" s="124"/>
      <c r="O647" s="124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</row>
    <row x14ac:dyDescent="0.25" r="648" customHeight="1" ht="15.75">
      <c r="A648" s="123"/>
      <c r="B648" s="123"/>
      <c r="C648" s="124"/>
      <c r="D648" s="124"/>
      <c r="E648" s="124"/>
      <c r="F648" s="124"/>
      <c r="G648" s="124"/>
      <c r="H648" s="124"/>
      <c r="I648" s="124"/>
      <c r="J648" s="124"/>
      <c r="K648" s="124"/>
      <c r="L648" s="124"/>
      <c r="M648" s="124"/>
      <c r="N648" s="124"/>
      <c r="O648" s="124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</row>
    <row x14ac:dyDescent="0.25" r="649" customHeight="1" ht="15.75">
      <c r="A649" s="123"/>
      <c r="B649" s="123"/>
      <c r="C649" s="124"/>
      <c r="D649" s="124"/>
      <c r="E649" s="124"/>
      <c r="F649" s="124"/>
      <c r="G649" s="124"/>
      <c r="H649" s="124"/>
      <c r="I649" s="124"/>
      <c r="J649" s="124"/>
      <c r="K649" s="124"/>
      <c r="L649" s="124"/>
      <c r="M649" s="124"/>
      <c r="N649" s="124"/>
      <c r="O649" s="124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</row>
    <row x14ac:dyDescent="0.25" r="650" customHeight="1" ht="15.75">
      <c r="A650" s="123"/>
      <c r="B650" s="123"/>
      <c r="C650" s="124"/>
      <c r="D650" s="124"/>
      <c r="E650" s="124"/>
      <c r="F650" s="124"/>
      <c r="G650" s="124"/>
      <c r="H650" s="124"/>
      <c r="I650" s="124"/>
      <c r="J650" s="124"/>
      <c r="K650" s="124"/>
      <c r="L650" s="124"/>
      <c r="M650" s="124"/>
      <c r="N650" s="124"/>
      <c r="O650" s="124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</row>
    <row x14ac:dyDescent="0.25" r="651" customHeight="1" ht="15.75">
      <c r="A651" s="123"/>
      <c r="B651" s="123"/>
      <c r="C651" s="124"/>
      <c r="D651" s="124"/>
      <c r="E651" s="124"/>
      <c r="F651" s="124"/>
      <c r="G651" s="124"/>
      <c r="H651" s="124"/>
      <c r="I651" s="124"/>
      <c r="J651" s="124"/>
      <c r="K651" s="124"/>
      <c r="L651" s="124"/>
      <c r="M651" s="124"/>
      <c r="N651" s="124"/>
      <c r="O651" s="124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</row>
    <row x14ac:dyDescent="0.25" r="652" customHeight="1" ht="15.75">
      <c r="A652" s="123"/>
      <c r="B652" s="123"/>
      <c r="C652" s="124"/>
      <c r="D652" s="124"/>
      <c r="E652" s="124"/>
      <c r="F652" s="124"/>
      <c r="G652" s="124"/>
      <c r="H652" s="124"/>
      <c r="I652" s="124"/>
      <c r="J652" s="124"/>
      <c r="K652" s="124"/>
      <c r="L652" s="124"/>
      <c r="M652" s="124"/>
      <c r="N652" s="124"/>
      <c r="O652" s="124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</row>
    <row x14ac:dyDescent="0.25" r="653" customHeight="1" ht="15.75">
      <c r="A653" s="123"/>
      <c r="B653" s="123"/>
      <c r="C653" s="124"/>
      <c r="D653" s="124"/>
      <c r="E653" s="124"/>
      <c r="F653" s="124"/>
      <c r="G653" s="124"/>
      <c r="H653" s="124"/>
      <c r="I653" s="124"/>
      <c r="J653" s="124"/>
      <c r="K653" s="124"/>
      <c r="L653" s="124"/>
      <c r="M653" s="124"/>
      <c r="N653" s="124"/>
      <c r="O653" s="124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</row>
    <row x14ac:dyDescent="0.25" r="654" customHeight="1" ht="15.75">
      <c r="A654" s="123"/>
      <c r="B654" s="123"/>
      <c r="C654" s="124"/>
      <c r="D654" s="124"/>
      <c r="E654" s="124"/>
      <c r="F654" s="124"/>
      <c r="G654" s="124"/>
      <c r="H654" s="124"/>
      <c r="I654" s="124"/>
      <c r="J654" s="124"/>
      <c r="K654" s="124"/>
      <c r="L654" s="124"/>
      <c r="M654" s="124"/>
      <c r="N654" s="124"/>
      <c r="O654" s="124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</row>
    <row x14ac:dyDescent="0.25" r="655" customHeight="1" ht="15.75">
      <c r="A655" s="123"/>
      <c r="B655" s="123"/>
      <c r="C655" s="124"/>
      <c r="D655" s="124"/>
      <c r="E655" s="124"/>
      <c r="F655" s="124"/>
      <c r="G655" s="124"/>
      <c r="H655" s="124"/>
      <c r="I655" s="124"/>
      <c r="J655" s="124"/>
      <c r="K655" s="124"/>
      <c r="L655" s="124"/>
      <c r="M655" s="124"/>
      <c r="N655" s="124"/>
      <c r="O655" s="124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</row>
    <row x14ac:dyDescent="0.25" r="656" customHeight="1" ht="15.75">
      <c r="A656" s="123"/>
      <c r="B656" s="123"/>
      <c r="C656" s="124"/>
      <c r="D656" s="124"/>
      <c r="E656" s="124"/>
      <c r="F656" s="124"/>
      <c r="G656" s="124"/>
      <c r="H656" s="124"/>
      <c r="I656" s="124"/>
      <c r="J656" s="124"/>
      <c r="K656" s="124"/>
      <c r="L656" s="124"/>
      <c r="M656" s="124"/>
      <c r="N656" s="124"/>
      <c r="O656" s="124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</row>
    <row x14ac:dyDescent="0.25" r="657" customHeight="1" ht="15.75">
      <c r="A657" s="123"/>
      <c r="B657" s="123"/>
      <c r="C657" s="124"/>
      <c r="D657" s="124"/>
      <c r="E657" s="124"/>
      <c r="F657" s="124"/>
      <c r="G657" s="124"/>
      <c r="H657" s="124"/>
      <c r="I657" s="124"/>
      <c r="J657" s="124"/>
      <c r="K657" s="124"/>
      <c r="L657" s="124"/>
      <c r="M657" s="124"/>
      <c r="N657" s="124"/>
      <c r="O657" s="124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</row>
    <row x14ac:dyDescent="0.25" r="658" customHeight="1" ht="15.75">
      <c r="A658" s="123"/>
      <c r="B658" s="123"/>
      <c r="C658" s="124"/>
      <c r="D658" s="124"/>
      <c r="E658" s="124"/>
      <c r="F658" s="124"/>
      <c r="G658" s="124"/>
      <c r="H658" s="124"/>
      <c r="I658" s="124"/>
      <c r="J658" s="124"/>
      <c r="K658" s="124"/>
      <c r="L658" s="124"/>
      <c r="M658" s="124"/>
      <c r="N658" s="124"/>
      <c r="O658" s="124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</row>
    <row x14ac:dyDescent="0.25" r="659" customHeight="1" ht="15.75">
      <c r="A659" s="123"/>
      <c r="B659" s="123"/>
      <c r="C659" s="124"/>
      <c r="D659" s="124"/>
      <c r="E659" s="124"/>
      <c r="F659" s="124"/>
      <c r="G659" s="124"/>
      <c r="H659" s="124"/>
      <c r="I659" s="124"/>
      <c r="J659" s="124"/>
      <c r="K659" s="124"/>
      <c r="L659" s="124"/>
      <c r="M659" s="124"/>
      <c r="N659" s="124"/>
      <c r="O659" s="124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</row>
    <row x14ac:dyDescent="0.25" r="660" customHeight="1" ht="15.75">
      <c r="A660" s="123"/>
      <c r="B660" s="123"/>
      <c r="C660" s="124"/>
      <c r="D660" s="124"/>
      <c r="E660" s="124"/>
      <c r="F660" s="124"/>
      <c r="G660" s="124"/>
      <c r="H660" s="124"/>
      <c r="I660" s="124"/>
      <c r="J660" s="124"/>
      <c r="K660" s="124"/>
      <c r="L660" s="124"/>
      <c r="M660" s="124"/>
      <c r="N660" s="124"/>
      <c r="O660" s="124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</row>
    <row x14ac:dyDescent="0.25" r="661" customHeight="1" ht="15.75">
      <c r="A661" s="123"/>
      <c r="B661" s="123"/>
      <c r="C661" s="124"/>
      <c r="D661" s="124"/>
      <c r="E661" s="124"/>
      <c r="F661" s="124"/>
      <c r="G661" s="124"/>
      <c r="H661" s="124"/>
      <c r="I661" s="124"/>
      <c r="J661" s="124"/>
      <c r="K661" s="124"/>
      <c r="L661" s="124"/>
      <c r="M661" s="124"/>
      <c r="N661" s="124"/>
      <c r="O661" s="124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</row>
    <row x14ac:dyDescent="0.25" r="662" customHeight="1" ht="15.75">
      <c r="A662" s="123"/>
      <c r="B662" s="123"/>
      <c r="C662" s="124"/>
      <c r="D662" s="124"/>
      <c r="E662" s="124"/>
      <c r="F662" s="124"/>
      <c r="G662" s="124"/>
      <c r="H662" s="124"/>
      <c r="I662" s="124"/>
      <c r="J662" s="124"/>
      <c r="K662" s="124"/>
      <c r="L662" s="124"/>
      <c r="M662" s="124"/>
      <c r="N662" s="124"/>
      <c r="O662" s="124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</row>
    <row x14ac:dyDescent="0.25" r="663" customHeight="1" ht="15.75">
      <c r="A663" s="123"/>
      <c r="B663" s="123"/>
      <c r="C663" s="124"/>
      <c r="D663" s="124"/>
      <c r="E663" s="124"/>
      <c r="F663" s="124"/>
      <c r="G663" s="124"/>
      <c r="H663" s="124"/>
      <c r="I663" s="124"/>
      <c r="J663" s="124"/>
      <c r="K663" s="124"/>
      <c r="L663" s="124"/>
      <c r="M663" s="124"/>
      <c r="N663" s="124"/>
      <c r="O663" s="124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</row>
    <row x14ac:dyDescent="0.25" r="664" customHeight="1" ht="15.75">
      <c r="A664" s="123"/>
      <c r="B664" s="123"/>
      <c r="C664" s="124"/>
      <c r="D664" s="124"/>
      <c r="E664" s="124"/>
      <c r="F664" s="124"/>
      <c r="G664" s="124"/>
      <c r="H664" s="124"/>
      <c r="I664" s="124"/>
      <c r="J664" s="124"/>
      <c r="K664" s="124"/>
      <c r="L664" s="124"/>
      <c r="M664" s="124"/>
      <c r="N664" s="124"/>
      <c r="O664" s="124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</row>
    <row x14ac:dyDescent="0.25" r="665" customHeight="1" ht="15.75">
      <c r="A665" s="123"/>
      <c r="B665" s="123"/>
      <c r="C665" s="124"/>
      <c r="D665" s="124"/>
      <c r="E665" s="124"/>
      <c r="F665" s="124"/>
      <c r="G665" s="124"/>
      <c r="H665" s="124"/>
      <c r="I665" s="124"/>
      <c r="J665" s="124"/>
      <c r="K665" s="124"/>
      <c r="L665" s="124"/>
      <c r="M665" s="124"/>
      <c r="N665" s="124"/>
      <c r="O665" s="124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</row>
    <row x14ac:dyDescent="0.25" r="666" customHeight="1" ht="15.75">
      <c r="A666" s="123"/>
      <c r="B666" s="123"/>
      <c r="C666" s="124"/>
      <c r="D666" s="124"/>
      <c r="E666" s="124"/>
      <c r="F666" s="124"/>
      <c r="G666" s="124"/>
      <c r="H666" s="124"/>
      <c r="I666" s="124"/>
      <c r="J666" s="124"/>
      <c r="K666" s="124"/>
      <c r="L666" s="124"/>
      <c r="M666" s="124"/>
      <c r="N666" s="124"/>
      <c r="O666" s="124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</row>
    <row x14ac:dyDescent="0.25" r="667" customHeight="1" ht="15.75">
      <c r="A667" s="123"/>
      <c r="B667" s="123"/>
      <c r="C667" s="124"/>
      <c r="D667" s="124"/>
      <c r="E667" s="124"/>
      <c r="F667" s="124"/>
      <c r="G667" s="124"/>
      <c r="H667" s="124"/>
      <c r="I667" s="124"/>
      <c r="J667" s="124"/>
      <c r="K667" s="124"/>
      <c r="L667" s="124"/>
      <c r="M667" s="124"/>
      <c r="N667" s="124"/>
      <c r="O667" s="124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</row>
    <row x14ac:dyDescent="0.25" r="668" customHeight="1" ht="15.75">
      <c r="A668" s="123"/>
      <c r="B668" s="123"/>
      <c r="C668" s="124"/>
      <c r="D668" s="124"/>
      <c r="E668" s="124"/>
      <c r="F668" s="124"/>
      <c r="G668" s="124"/>
      <c r="H668" s="124"/>
      <c r="I668" s="124"/>
      <c r="J668" s="124"/>
      <c r="K668" s="124"/>
      <c r="L668" s="124"/>
      <c r="M668" s="124"/>
      <c r="N668" s="124"/>
      <c r="O668" s="124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</row>
    <row x14ac:dyDescent="0.25" r="669" customHeight="1" ht="15.75">
      <c r="A669" s="123"/>
      <c r="B669" s="123"/>
      <c r="C669" s="124"/>
      <c r="D669" s="124"/>
      <c r="E669" s="124"/>
      <c r="F669" s="124"/>
      <c r="G669" s="124"/>
      <c r="H669" s="124"/>
      <c r="I669" s="124"/>
      <c r="J669" s="124"/>
      <c r="K669" s="124"/>
      <c r="L669" s="124"/>
      <c r="M669" s="124"/>
      <c r="N669" s="124"/>
      <c r="O669" s="124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</row>
    <row x14ac:dyDescent="0.25" r="670" customHeight="1" ht="15.75">
      <c r="A670" s="123"/>
      <c r="B670" s="123"/>
      <c r="C670" s="124"/>
      <c r="D670" s="124"/>
      <c r="E670" s="124"/>
      <c r="F670" s="124"/>
      <c r="G670" s="124"/>
      <c r="H670" s="124"/>
      <c r="I670" s="124"/>
      <c r="J670" s="124"/>
      <c r="K670" s="124"/>
      <c r="L670" s="124"/>
      <c r="M670" s="124"/>
      <c r="N670" s="124"/>
      <c r="O670" s="124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</row>
    <row x14ac:dyDescent="0.25" r="671" customHeight="1" ht="15.75">
      <c r="A671" s="123"/>
      <c r="B671" s="123"/>
      <c r="C671" s="124"/>
      <c r="D671" s="124"/>
      <c r="E671" s="124"/>
      <c r="F671" s="124"/>
      <c r="G671" s="124"/>
      <c r="H671" s="124"/>
      <c r="I671" s="124"/>
      <c r="J671" s="124"/>
      <c r="K671" s="124"/>
      <c r="L671" s="124"/>
      <c r="M671" s="124"/>
      <c r="N671" s="124"/>
      <c r="O671" s="124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</row>
    <row x14ac:dyDescent="0.25" r="672" customHeight="1" ht="15.75">
      <c r="A672" s="123"/>
      <c r="B672" s="123"/>
      <c r="C672" s="124"/>
      <c r="D672" s="124"/>
      <c r="E672" s="124"/>
      <c r="F672" s="124"/>
      <c r="G672" s="124"/>
      <c r="H672" s="124"/>
      <c r="I672" s="124"/>
      <c r="J672" s="124"/>
      <c r="K672" s="124"/>
      <c r="L672" s="124"/>
      <c r="M672" s="124"/>
      <c r="N672" s="124"/>
      <c r="O672" s="124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</row>
    <row x14ac:dyDescent="0.25" r="673" customHeight="1" ht="15.75">
      <c r="A673" s="123"/>
      <c r="B673" s="123"/>
      <c r="C673" s="124"/>
      <c r="D673" s="124"/>
      <c r="E673" s="124"/>
      <c r="F673" s="124"/>
      <c r="G673" s="124"/>
      <c r="H673" s="124"/>
      <c r="I673" s="124"/>
      <c r="J673" s="124"/>
      <c r="K673" s="124"/>
      <c r="L673" s="124"/>
      <c r="M673" s="124"/>
      <c r="N673" s="124"/>
      <c r="O673" s="124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</row>
    <row x14ac:dyDescent="0.25" r="674" customHeight="1" ht="15.75">
      <c r="A674" s="123"/>
      <c r="B674" s="123"/>
      <c r="C674" s="124"/>
      <c r="D674" s="124"/>
      <c r="E674" s="124"/>
      <c r="F674" s="124"/>
      <c r="G674" s="124"/>
      <c r="H674" s="124"/>
      <c r="I674" s="124"/>
      <c r="J674" s="124"/>
      <c r="K674" s="124"/>
      <c r="L674" s="124"/>
      <c r="M674" s="124"/>
      <c r="N674" s="124"/>
      <c r="O674" s="124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</row>
    <row x14ac:dyDescent="0.25" r="675" customHeight="1" ht="15.75">
      <c r="A675" s="123"/>
      <c r="B675" s="123"/>
      <c r="C675" s="124"/>
      <c r="D675" s="124"/>
      <c r="E675" s="124"/>
      <c r="F675" s="124"/>
      <c r="G675" s="124"/>
      <c r="H675" s="124"/>
      <c r="I675" s="124"/>
      <c r="J675" s="124"/>
      <c r="K675" s="124"/>
      <c r="L675" s="124"/>
      <c r="M675" s="124"/>
      <c r="N675" s="124"/>
      <c r="O675" s="124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</row>
    <row x14ac:dyDescent="0.25" r="676" customHeight="1" ht="15.75">
      <c r="A676" s="123"/>
      <c r="B676" s="123"/>
      <c r="C676" s="124"/>
      <c r="D676" s="124"/>
      <c r="E676" s="124"/>
      <c r="F676" s="124"/>
      <c r="G676" s="124"/>
      <c r="H676" s="124"/>
      <c r="I676" s="124"/>
      <c r="J676" s="124"/>
      <c r="K676" s="124"/>
      <c r="L676" s="124"/>
      <c r="M676" s="124"/>
      <c r="N676" s="124"/>
      <c r="O676" s="124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</row>
    <row x14ac:dyDescent="0.25" r="677" customHeight="1" ht="15.75">
      <c r="A677" s="123"/>
      <c r="B677" s="123"/>
      <c r="C677" s="124"/>
      <c r="D677" s="124"/>
      <c r="E677" s="124"/>
      <c r="F677" s="124"/>
      <c r="G677" s="124"/>
      <c r="H677" s="124"/>
      <c r="I677" s="124"/>
      <c r="J677" s="124"/>
      <c r="K677" s="124"/>
      <c r="L677" s="124"/>
      <c r="M677" s="124"/>
      <c r="N677" s="124"/>
      <c r="O677" s="124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</row>
    <row x14ac:dyDescent="0.25" r="678" customHeight="1" ht="15.75">
      <c r="A678" s="123"/>
      <c r="B678" s="123"/>
      <c r="C678" s="124"/>
      <c r="D678" s="124"/>
      <c r="E678" s="124"/>
      <c r="F678" s="124"/>
      <c r="G678" s="124"/>
      <c r="H678" s="124"/>
      <c r="I678" s="124"/>
      <c r="J678" s="124"/>
      <c r="K678" s="124"/>
      <c r="L678" s="124"/>
      <c r="M678" s="124"/>
      <c r="N678" s="124"/>
      <c r="O678" s="124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</row>
    <row x14ac:dyDescent="0.25" r="679" customHeight="1" ht="15.75">
      <c r="A679" s="123"/>
      <c r="B679" s="123"/>
      <c r="C679" s="124"/>
      <c r="D679" s="124"/>
      <c r="E679" s="124"/>
      <c r="F679" s="124"/>
      <c r="G679" s="124"/>
      <c r="H679" s="124"/>
      <c r="I679" s="124"/>
      <c r="J679" s="124"/>
      <c r="K679" s="124"/>
      <c r="L679" s="124"/>
      <c r="M679" s="124"/>
      <c r="N679" s="124"/>
      <c r="O679" s="124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</row>
    <row x14ac:dyDescent="0.25" r="680" customHeight="1" ht="15.75">
      <c r="A680" s="123"/>
      <c r="B680" s="123"/>
      <c r="C680" s="124"/>
      <c r="D680" s="124"/>
      <c r="E680" s="124"/>
      <c r="F680" s="124"/>
      <c r="G680" s="124"/>
      <c r="H680" s="124"/>
      <c r="I680" s="124"/>
      <c r="J680" s="124"/>
      <c r="K680" s="124"/>
      <c r="L680" s="124"/>
      <c r="M680" s="124"/>
      <c r="N680" s="124"/>
      <c r="O680" s="124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</row>
    <row x14ac:dyDescent="0.25" r="681" customHeight="1" ht="15.75">
      <c r="A681" s="123"/>
      <c r="B681" s="123"/>
      <c r="C681" s="124"/>
      <c r="D681" s="124"/>
      <c r="E681" s="124"/>
      <c r="F681" s="124"/>
      <c r="G681" s="124"/>
      <c r="H681" s="124"/>
      <c r="I681" s="124"/>
      <c r="J681" s="124"/>
      <c r="K681" s="124"/>
      <c r="L681" s="124"/>
      <c r="M681" s="124"/>
      <c r="N681" s="124"/>
      <c r="O681" s="124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</row>
    <row x14ac:dyDescent="0.25" r="682" customHeight="1" ht="15.75">
      <c r="A682" s="123"/>
      <c r="B682" s="123"/>
      <c r="C682" s="124"/>
      <c r="D682" s="124"/>
      <c r="E682" s="124"/>
      <c r="F682" s="124"/>
      <c r="G682" s="124"/>
      <c r="H682" s="124"/>
      <c r="I682" s="124"/>
      <c r="J682" s="124"/>
      <c r="K682" s="124"/>
      <c r="L682" s="124"/>
      <c r="M682" s="124"/>
      <c r="N682" s="124"/>
      <c r="O682" s="124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</row>
    <row x14ac:dyDescent="0.25" r="683" customHeight="1" ht="15.75">
      <c r="A683" s="123"/>
      <c r="B683" s="123"/>
      <c r="C683" s="124"/>
      <c r="D683" s="124"/>
      <c r="E683" s="124"/>
      <c r="F683" s="124"/>
      <c r="G683" s="124"/>
      <c r="H683" s="124"/>
      <c r="I683" s="124"/>
      <c r="J683" s="124"/>
      <c r="K683" s="124"/>
      <c r="L683" s="124"/>
      <c r="M683" s="124"/>
      <c r="N683" s="124"/>
      <c r="O683" s="124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</row>
    <row x14ac:dyDescent="0.25" r="684" customHeight="1" ht="15.75">
      <c r="A684" s="123"/>
      <c r="B684" s="123"/>
      <c r="C684" s="124"/>
      <c r="D684" s="124"/>
      <c r="E684" s="124"/>
      <c r="F684" s="124"/>
      <c r="G684" s="124"/>
      <c r="H684" s="124"/>
      <c r="I684" s="124"/>
      <c r="J684" s="124"/>
      <c r="K684" s="124"/>
      <c r="L684" s="124"/>
      <c r="M684" s="124"/>
      <c r="N684" s="124"/>
      <c r="O684" s="124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</row>
    <row x14ac:dyDescent="0.25" r="685" customHeight="1" ht="15.75">
      <c r="A685" s="123"/>
      <c r="B685" s="123"/>
      <c r="C685" s="124"/>
      <c r="D685" s="124"/>
      <c r="E685" s="124"/>
      <c r="F685" s="124"/>
      <c r="G685" s="124"/>
      <c r="H685" s="124"/>
      <c r="I685" s="124"/>
      <c r="J685" s="124"/>
      <c r="K685" s="124"/>
      <c r="L685" s="124"/>
      <c r="M685" s="124"/>
      <c r="N685" s="124"/>
      <c r="O685" s="124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</row>
    <row x14ac:dyDescent="0.25" r="686" customHeight="1" ht="15.75">
      <c r="A686" s="123"/>
      <c r="B686" s="123"/>
      <c r="C686" s="124"/>
      <c r="D686" s="124"/>
      <c r="E686" s="124"/>
      <c r="F686" s="124"/>
      <c r="G686" s="124"/>
      <c r="H686" s="124"/>
      <c r="I686" s="124"/>
      <c r="J686" s="124"/>
      <c r="K686" s="124"/>
      <c r="L686" s="124"/>
      <c r="M686" s="124"/>
      <c r="N686" s="124"/>
      <c r="O686" s="124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</row>
    <row x14ac:dyDescent="0.25" r="687" customHeight="1" ht="15.75">
      <c r="A687" s="123"/>
      <c r="B687" s="123"/>
      <c r="C687" s="124"/>
      <c r="D687" s="124"/>
      <c r="E687" s="124"/>
      <c r="F687" s="124"/>
      <c r="G687" s="124"/>
      <c r="H687" s="124"/>
      <c r="I687" s="124"/>
      <c r="J687" s="124"/>
      <c r="K687" s="124"/>
      <c r="L687" s="124"/>
      <c r="M687" s="124"/>
      <c r="N687" s="124"/>
      <c r="O687" s="124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</row>
    <row x14ac:dyDescent="0.25" r="688" customHeight="1" ht="15.75">
      <c r="A688" s="123"/>
      <c r="B688" s="123"/>
      <c r="C688" s="124"/>
      <c r="D688" s="124"/>
      <c r="E688" s="124"/>
      <c r="F688" s="124"/>
      <c r="G688" s="124"/>
      <c r="H688" s="124"/>
      <c r="I688" s="124"/>
      <c r="J688" s="124"/>
      <c r="K688" s="124"/>
      <c r="L688" s="124"/>
      <c r="M688" s="124"/>
      <c r="N688" s="124"/>
      <c r="O688" s="124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</row>
    <row x14ac:dyDescent="0.25" r="689" customHeight="1" ht="15.75">
      <c r="A689" s="123"/>
      <c r="B689" s="123"/>
      <c r="C689" s="124"/>
      <c r="D689" s="124"/>
      <c r="E689" s="124"/>
      <c r="F689" s="124"/>
      <c r="G689" s="124"/>
      <c r="H689" s="124"/>
      <c r="I689" s="124"/>
      <c r="J689" s="124"/>
      <c r="K689" s="124"/>
      <c r="L689" s="124"/>
      <c r="M689" s="124"/>
      <c r="N689" s="124"/>
      <c r="O689" s="124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</row>
    <row x14ac:dyDescent="0.25" r="690" customHeight="1" ht="15.75">
      <c r="A690" s="123"/>
      <c r="B690" s="123"/>
      <c r="C690" s="124"/>
      <c r="D690" s="124"/>
      <c r="E690" s="124"/>
      <c r="F690" s="124"/>
      <c r="G690" s="124"/>
      <c r="H690" s="124"/>
      <c r="I690" s="124"/>
      <c r="J690" s="124"/>
      <c r="K690" s="124"/>
      <c r="L690" s="124"/>
      <c r="M690" s="124"/>
      <c r="N690" s="124"/>
      <c r="O690" s="124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</row>
    <row x14ac:dyDescent="0.25" r="691" customHeight="1" ht="15.75">
      <c r="A691" s="123"/>
      <c r="B691" s="123"/>
      <c r="C691" s="124"/>
      <c r="D691" s="124"/>
      <c r="E691" s="124"/>
      <c r="F691" s="124"/>
      <c r="G691" s="124"/>
      <c r="H691" s="124"/>
      <c r="I691" s="124"/>
      <c r="J691" s="124"/>
      <c r="K691" s="124"/>
      <c r="L691" s="124"/>
      <c r="M691" s="124"/>
      <c r="N691" s="124"/>
      <c r="O691" s="124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</row>
    <row x14ac:dyDescent="0.25" r="692" customHeight="1" ht="15.75">
      <c r="A692" s="123"/>
      <c r="B692" s="123"/>
      <c r="C692" s="124"/>
      <c r="D692" s="124"/>
      <c r="E692" s="124"/>
      <c r="F692" s="124"/>
      <c r="G692" s="124"/>
      <c r="H692" s="124"/>
      <c r="I692" s="124"/>
      <c r="J692" s="124"/>
      <c r="K692" s="124"/>
      <c r="L692" s="124"/>
      <c r="M692" s="124"/>
      <c r="N692" s="124"/>
      <c r="O692" s="124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</row>
    <row x14ac:dyDescent="0.25" r="693" customHeight="1" ht="15.75">
      <c r="A693" s="123"/>
      <c r="B693" s="123"/>
      <c r="C693" s="124"/>
      <c r="D693" s="124"/>
      <c r="E693" s="124"/>
      <c r="F693" s="124"/>
      <c r="G693" s="124"/>
      <c r="H693" s="124"/>
      <c r="I693" s="124"/>
      <c r="J693" s="124"/>
      <c r="K693" s="124"/>
      <c r="L693" s="124"/>
      <c r="M693" s="124"/>
      <c r="N693" s="124"/>
      <c r="O693" s="124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</row>
    <row x14ac:dyDescent="0.25" r="694" customHeight="1" ht="15.75">
      <c r="A694" s="123"/>
      <c r="B694" s="123"/>
      <c r="C694" s="124"/>
      <c r="D694" s="124"/>
      <c r="E694" s="124"/>
      <c r="F694" s="124"/>
      <c r="G694" s="124"/>
      <c r="H694" s="124"/>
      <c r="I694" s="124"/>
      <c r="J694" s="124"/>
      <c r="K694" s="124"/>
      <c r="L694" s="124"/>
      <c r="M694" s="124"/>
      <c r="N694" s="124"/>
      <c r="O694" s="124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</row>
    <row x14ac:dyDescent="0.25" r="695" customHeight="1" ht="15.75">
      <c r="A695" s="123"/>
      <c r="B695" s="123"/>
      <c r="C695" s="124"/>
      <c r="D695" s="124"/>
      <c r="E695" s="124"/>
      <c r="F695" s="124"/>
      <c r="G695" s="124"/>
      <c r="H695" s="124"/>
      <c r="I695" s="124"/>
      <c r="J695" s="124"/>
      <c r="K695" s="124"/>
      <c r="L695" s="124"/>
      <c r="M695" s="124"/>
      <c r="N695" s="124"/>
      <c r="O695" s="124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</row>
    <row x14ac:dyDescent="0.25" r="696" customHeight="1" ht="15.75">
      <c r="A696" s="123"/>
      <c r="B696" s="123"/>
      <c r="C696" s="124"/>
      <c r="D696" s="124"/>
      <c r="E696" s="124"/>
      <c r="F696" s="124"/>
      <c r="G696" s="124"/>
      <c r="H696" s="124"/>
      <c r="I696" s="124"/>
      <c r="J696" s="124"/>
      <c r="K696" s="124"/>
      <c r="L696" s="124"/>
      <c r="M696" s="124"/>
      <c r="N696" s="124"/>
      <c r="O696" s="124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</row>
    <row x14ac:dyDescent="0.25" r="697" customHeight="1" ht="15.75">
      <c r="A697" s="123"/>
      <c r="B697" s="123"/>
      <c r="C697" s="124"/>
      <c r="D697" s="124"/>
      <c r="E697" s="124"/>
      <c r="F697" s="124"/>
      <c r="G697" s="124"/>
      <c r="H697" s="124"/>
      <c r="I697" s="124"/>
      <c r="J697" s="124"/>
      <c r="K697" s="124"/>
      <c r="L697" s="124"/>
      <c r="M697" s="124"/>
      <c r="N697" s="124"/>
      <c r="O697" s="124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</row>
    <row x14ac:dyDescent="0.25" r="698" customHeight="1" ht="15.75">
      <c r="A698" s="123"/>
      <c r="B698" s="123"/>
      <c r="C698" s="124"/>
      <c r="D698" s="124"/>
      <c r="E698" s="124"/>
      <c r="F698" s="124"/>
      <c r="G698" s="124"/>
      <c r="H698" s="124"/>
      <c r="I698" s="124"/>
      <c r="J698" s="124"/>
      <c r="K698" s="124"/>
      <c r="L698" s="124"/>
      <c r="M698" s="124"/>
      <c r="N698" s="124"/>
      <c r="O698" s="124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</row>
    <row x14ac:dyDescent="0.25" r="699" customHeight="1" ht="15.75">
      <c r="A699" s="123"/>
      <c r="B699" s="123"/>
      <c r="C699" s="124"/>
      <c r="D699" s="124"/>
      <c r="E699" s="124"/>
      <c r="F699" s="124"/>
      <c r="G699" s="124"/>
      <c r="H699" s="124"/>
      <c r="I699" s="124"/>
      <c r="J699" s="124"/>
      <c r="K699" s="124"/>
      <c r="L699" s="124"/>
      <c r="M699" s="124"/>
      <c r="N699" s="124"/>
      <c r="O699" s="124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</row>
    <row x14ac:dyDescent="0.25" r="700" customHeight="1" ht="15.75">
      <c r="A700" s="123"/>
      <c r="B700" s="123"/>
      <c r="C700" s="124"/>
      <c r="D700" s="124"/>
      <c r="E700" s="124"/>
      <c r="F700" s="124"/>
      <c r="G700" s="124"/>
      <c r="H700" s="124"/>
      <c r="I700" s="124"/>
      <c r="J700" s="124"/>
      <c r="K700" s="124"/>
      <c r="L700" s="124"/>
      <c r="M700" s="124"/>
      <c r="N700" s="124"/>
      <c r="O700" s="124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</row>
    <row x14ac:dyDescent="0.25" r="701" customHeight="1" ht="15.75">
      <c r="A701" s="123"/>
      <c r="B701" s="123"/>
      <c r="C701" s="124"/>
      <c r="D701" s="124"/>
      <c r="E701" s="124"/>
      <c r="F701" s="124"/>
      <c r="G701" s="124"/>
      <c r="H701" s="124"/>
      <c r="I701" s="124"/>
      <c r="J701" s="124"/>
      <c r="K701" s="124"/>
      <c r="L701" s="124"/>
      <c r="M701" s="124"/>
      <c r="N701" s="124"/>
      <c r="O701" s="124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</row>
    <row x14ac:dyDescent="0.25" r="702" customHeight="1" ht="15.75">
      <c r="A702" s="123"/>
      <c r="B702" s="123"/>
      <c r="C702" s="124"/>
      <c r="D702" s="124"/>
      <c r="E702" s="124"/>
      <c r="F702" s="124"/>
      <c r="G702" s="124"/>
      <c r="H702" s="124"/>
      <c r="I702" s="124"/>
      <c r="J702" s="124"/>
      <c r="K702" s="124"/>
      <c r="L702" s="124"/>
      <c r="M702" s="124"/>
      <c r="N702" s="124"/>
      <c r="O702" s="124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</row>
    <row x14ac:dyDescent="0.25" r="703" customHeight="1" ht="15.75">
      <c r="A703" s="123"/>
      <c r="B703" s="123"/>
      <c r="C703" s="124"/>
      <c r="D703" s="124"/>
      <c r="E703" s="124"/>
      <c r="F703" s="124"/>
      <c r="G703" s="124"/>
      <c r="H703" s="124"/>
      <c r="I703" s="124"/>
      <c r="J703" s="124"/>
      <c r="K703" s="124"/>
      <c r="L703" s="124"/>
      <c r="M703" s="124"/>
      <c r="N703" s="124"/>
      <c r="O703" s="124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</row>
    <row x14ac:dyDescent="0.25" r="704" customHeight="1" ht="15.75">
      <c r="A704" s="123"/>
      <c r="B704" s="123"/>
      <c r="C704" s="124"/>
      <c r="D704" s="124"/>
      <c r="E704" s="124"/>
      <c r="F704" s="124"/>
      <c r="G704" s="124"/>
      <c r="H704" s="124"/>
      <c r="I704" s="124"/>
      <c r="J704" s="124"/>
      <c r="K704" s="124"/>
      <c r="L704" s="124"/>
      <c r="M704" s="124"/>
      <c r="N704" s="124"/>
      <c r="O704" s="124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</row>
    <row x14ac:dyDescent="0.25" r="705" customHeight="1" ht="15.75">
      <c r="A705" s="123"/>
      <c r="B705" s="123"/>
      <c r="C705" s="124"/>
      <c r="D705" s="124"/>
      <c r="E705" s="124"/>
      <c r="F705" s="124"/>
      <c r="G705" s="124"/>
      <c r="H705" s="124"/>
      <c r="I705" s="124"/>
      <c r="J705" s="124"/>
      <c r="K705" s="124"/>
      <c r="L705" s="124"/>
      <c r="M705" s="124"/>
      <c r="N705" s="124"/>
      <c r="O705" s="124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</row>
    <row x14ac:dyDescent="0.25" r="706" customHeight="1" ht="15.75">
      <c r="A706" s="123"/>
      <c r="B706" s="123"/>
      <c r="C706" s="124"/>
      <c r="D706" s="124"/>
      <c r="E706" s="124"/>
      <c r="F706" s="124"/>
      <c r="G706" s="124"/>
      <c r="H706" s="124"/>
      <c r="I706" s="124"/>
      <c r="J706" s="124"/>
      <c r="K706" s="124"/>
      <c r="L706" s="124"/>
      <c r="M706" s="124"/>
      <c r="N706" s="124"/>
      <c r="O706" s="124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</row>
    <row x14ac:dyDescent="0.25" r="707" customHeight="1" ht="15.75">
      <c r="A707" s="123"/>
      <c r="B707" s="123"/>
      <c r="C707" s="124"/>
      <c r="D707" s="124"/>
      <c r="E707" s="124"/>
      <c r="F707" s="124"/>
      <c r="G707" s="124"/>
      <c r="H707" s="124"/>
      <c r="I707" s="124"/>
      <c r="J707" s="124"/>
      <c r="K707" s="124"/>
      <c r="L707" s="124"/>
      <c r="M707" s="124"/>
      <c r="N707" s="124"/>
      <c r="O707" s="124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</row>
    <row x14ac:dyDescent="0.25" r="708" customHeight="1" ht="15.75">
      <c r="A708" s="123"/>
      <c r="B708" s="123"/>
      <c r="C708" s="124"/>
      <c r="D708" s="124"/>
      <c r="E708" s="124"/>
      <c r="F708" s="124"/>
      <c r="G708" s="124"/>
      <c r="H708" s="124"/>
      <c r="I708" s="124"/>
      <c r="J708" s="124"/>
      <c r="K708" s="124"/>
      <c r="L708" s="124"/>
      <c r="M708" s="124"/>
      <c r="N708" s="124"/>
      <c r="O708" s="124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</row>
    <row x14ac:dyDescent="0.25" r="709" customHeight="1" ht="15.75">
      <c r="A709" s="123"/>
      <c r="B709" s="123"/>
      <c r="C709" s="124"/>
      <c r="D709" s="124"/>
      <c r="E709" s="124"/>
      <c r="F709" s="124"/>
      <c r="G709" s="124"/>
      <c r="H709" s="124"/>
      <c r="I709" s="124"/>
      <c r="J709" s="124"/>
      <c r="K709" s="124"/>
      <c r="L709" s="124"/>
      <c r="M709" s="124"/>
      <c r="N709" s="124"/>
      <c r="O709" s="124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</row>
    <row x14ac:dyDescent="0.25" r="710" customHeight="1" ht="15.75">
      <c r="A710" s="123"/>
      <c r="B710" s="123"/>
      <c r="C710" s="124"/>
      <c r="D710" s="124"/>
      <c r="E710" s="124"/>
      <c r="F710" s="124"/>
      <c r="G710" s="124"/>
      <c r="H710" s="124"/>
      <c r="I710" s="124"/>
      <c r="J710" s="124"/>
      <c r="K710" s="124"/>
      <c r="L710" s="124"/>
      <c r="M710" s="124"/>
      <c r="N710" s="124"/>
      <c r="O710" s="124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</row>
    <row x14ac:dyDescent="0.25" r="711" customHeight="1" ht="15.75">
      <c r="A711" s="123"/>
      <c r="B711" s="123"/>
      <c r="C711" s="124"/>
      <c r="D711" s="124"/>
      <c r="E711" s="124"/>
      <c r="F711" s="124"/>
      <c r="G711" s="124"/>
      <c r="H711" s="124"/>
      <c r="I711" s="124"/>
      <c r="J711" s="124"/>
      <c r="K711" s="124"/>
      <c r="L711" s="124"/>
      <c r="M711" s="124"/>
      <c r="N711" s="124"/>
      <c r="O711" s="124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</row>
    <row x14ac:dyDescent="0.25" r="712" customHeight="1" ht="15.75">
      <c r="A712" s="123"/>
      <c r="B712" s="123"/>
      <c r="C712" s="124"/>
      <c r="D712" s="124"/>
      <c r="E712" s="124"/>
      <c r="F712" s="124"/>
      <c r="G712" s="124"/>
      <c r="H712" s="124"/>
      <c r="I712" s="124"/>
      <c r="J712" s="124"/>
      <c r="K712" s="124"/>
      <c r="L712" s="124"/>
      <c r="M712" s="124"/>
      <c r="N712" s="124"/>
      <c r="O712" s="124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</row>
    <row x14ac:dyDescent="0.25" r="713" customHeight="1" ht="15.75">
      <c r="A713" s="123"/>
      <c r="B713" s="123"/>
      <c r="C713" s="124"/>
      <c r="D713" s="124"/>
      <c r="E713" s="124"/>
      <c r="F713" s="124"/>
      <c r="G713" s="124"/>
      <c r="H713" s="124"/>
      <c r="I713" s="124"/>
      <c r="J713" s="124"/>
      <c r="K713" s="124"/>
      <c r="L713" s="124"/>
      <c r="M713" s="124"/>
      <c r="N713" s="124"/>
      <c r="O713" s="124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</row>
    <row x14ac:dyDescent="0.25" r="714" customHeight="1" ht="15.75">
      <c r="A714" s="123"/>
      <c r="B714" s="123"/>
      <c r="C714" s="124"/>
      <c r="D714" s="124"/>
      <c r="E714" s="124"/>
      <c r="F714" s="124"/>
      <c r="G714" s="124"/>
      <c r="H714" s="124"/>
      <c r="I714" s="124"/>
      <c r="J714" s="124"/>
      <c r="K714" s="124"/>
      <c r="L714" s="124"/>
      <c r="M714" s="124"/>
      <c r="N714" s="124"/>
      <c r="O714" s="124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</row>
    <row x14ac:dyDescent="0.25" r="715" customHeight="1" ht="15.75">
      <c r="A715" s="123"/>
      <c r="B715" s="123"/>
      <c r="C715" s="124"/>
      <c r="D715" s="124"/>
      <c r="E715" s="124"/>
      <c r="F715" s="124"/>
      <c r="G715" s="124"/>
      <c r="H715" s="124"/>
      <c r="I715" s="124"/>
      <c r="J715" s="124"/>
      <c r="K715" s="124"/>
      <c r="L715" s="124"/>
      <c r="M715" s="124"/>
      <c r="N715" s="124"/>
      <c r="O715" s="124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</row>
    <row x14ac:dyDescent="0.25" r="716" customHeight="1" ht="15.75">
      <c r="A716" s="123"/>
      <c r="B716" s="123"/>
      <c r="C716" s="124"/>
      <c r="D716" s="124"/>
      <c r="E716" s="124"/>
      <c r="F716" s="124"/>
      <c r="G716" s="124"/>
      <c r="H716" s="124"/>
      <c r="I716" s="124"/>
      <c r="J716" s="124"/>
      <c r="K716" s="124"/>
      <c r="L716" s="124"/>
      <c r="M716" s="124"/>
      <c r="N716" s="124"/>
      <c r="O716" s="124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</row>
    <row x14ac:dyDescent="0.25" r="717" customHeight="1" ht="15.75">
      <c r="A717" s="123"/>
      <c r="B717" s="123"/>
      <c r="C717" s="124"/>
      <c r="D717" s="124"/>
      <c r="E717" s="124"/>
      <c r="F717" s="124"/>
      <c r="G717" s="124"/>
      <c r="H717" s="124"/>
      <c r="I717" s="124"/>
      <c r="J717" s="124"/>
      <c r="K717" s="124"/>
      <c r="L717" s="124"/>
      <c r="M717" s="124"/>
      <c r="N717" s="124"/>
      <c r="O717" s="124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</row>
    <row x14ac:dyDescent="0.25" r="718" customHeight="1" ht="15.75">
      <c r="A718" s="123"/>
      <c r="B718" s="123"/>
      <c r="C718" s="124"/>
      <c r="D718" s="124"/>
      <c r="E718" s="124"/>
      <c r="F718" s="124"/>
      <c r="G718" s="124"/>
      <c r="H718" s="124"/>
      <c r="I718" s="124"/>
      <c r="J718" s="124"/>
      <c r="K718" s="124"/>
      <c r="L718" s="124"/>
      <c r="M718" s="124"/>
      <c r="N718" s="124"/>
      <c r="O718" s="124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</row>
    <row x14ac:dyDescent="0.25" r="719" customHeight="1" ht="15.75">
      <c r="A719" s="123"/>
      <c r="B719" s="123"/>
      <c r="C719" s="124"/>
      <c r="D719" s="124"/>
      <c r="E719" s="124"/>
      <c r="F719" s="124"/>
      <c r="G719" s="124"/>
      <c r="H719" s="124"/>
      <c r="I719" s="124"/>
      <c r="J719" s="124"/>
      <c r="K719" s="124"/>
      <c r="L719" s="124"/>
      <c r="M719" s="124"/>
      <c r="N719" s="124"/>
      <c r="O719" s="124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</row>
    <row x14ac:dyDescent="0.25" r="720" customHeight="1" ht="15.75">
      <c r="A720" s="123"/>
      <c r="B720" s="123"/>
      <c r="C720" s="124"/>
      <c r="D720" s="124"/>
      <c r="E720" s="124"/>
      <c r="F720" s="124"/>
      <c r="G720" s="124"/>
      <c r="H720" s="124"/>
      <c r="I720" s="124"/>
      <c r="J720" s="124"/>
      <c r="K720" s="124"/>
      <c r="L720" s="124"/>
      <c r="M720" s="124"/>
      <c r="N720" s="124"/>
      <c r="O720" s="124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</row>
    <row x14ac:dyDescent="0.25" r="721" customHeight="1" ht="15.75">
      <c r="A721" s="123"/>
      <c r="B721" s="123"/>
      <c r="C721" s="124"/>
      <c r="D721" s="124"/>
      <c r="E721" s="124"/>
      <c r="F721" s="124"/>
      <c r="G721" s="124"/>
      <c r="H721" s="124"/>
      <c r="I721" s="124"/>
      <c r="J721" s="124"/>
      <c r="K721" s="124"/>
      <c r="L721" s="124"/>
      <c r="M721" s="124"/>
      <c r="N721" s="124"/>
      <c r="O721" s="124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</row>
    <row x14ac:dyDescent="0.25" r="722" customHeight="1" ht="15.75">
      <c r="A722" s="123"/>
      <c r="B722" s="123"/>
      <c r="C722" s="124"/>
      <c r="D722" s="124"/>
      <c r="E722" s="124"/>
      <c r="F722" s="124"/>
      <c r="G722" s="124"/>
      <c r="H722" s="124"/>
      <c r="I722" s="124"/>
      <c r="J722" s="124"/>
      <c r="K722" s="124"/>
      <c r="L722" s="124"/>
      <c r="M722" s="124"/>
      <c r="N722" s="124"/>
      <c r="O722" s="124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</row>
    <row x14ac:dyDescent="0.25" r="723" customHeight="1" ht="15.75">
      <c r="A723" s="123"/>
      <c r="B723" s="123"/>
      <c r="C723" s="124"/>
      <c r="D723" s="124"/>
      <c r="E723" s="124"/>
      <c r="F723" s="124"/>
      <c r="G723" s="124"/>
      <c r="H723" s="124"/>
      <c r="I723" s="124"/>
      <c r="J723" s="124"/>
      <c r="K723" s="124"/>
      <c r="L723" s="124"/>
      <c r="M723" s="124"/>
      <c r="N723" s="124"/>
      <c r="O723" s="124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</row>
    <row x14ac:dyDescent="0.25" r="724" customHeight="1" ht="15.75">
      <c r="A724" s="123"/>
      <c r="B724" s="123"/>
      <c r="C724" s="124"/>
      <c r="D724" s="124"/>
      <c r="E724" s="124"/>
      <c r="F724" s="124"/>
      <c r="G724" s="124"/>
      <c r="H724" s="124"/>
      <c r="I724" s="124"/>
      <c r="J724" s="124"/>
      <c r="K724" s="124"/>
      <c r="L724" s="124"/>
      <c r="M724" s="124"/>
      <c r="N724" s="124"/>
      <c r="O724" s="124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</row>
    <row x14ac:dyDescent="0.25" r="725" customHeight="1" ht="15.75">
      <c r="A725" s="123"/>
      <c r="B725" s="123"/>
      <c r="C725" s="124"/>
      <c r="D725" s="124"/>
      <c r="E725" s="124"/>
      <c r="F725" s="124"/>
      <c r="G725" s="124"/>
      <c r="H725" s="124"/>
      <c r="I725" s="124"/>
      <c r="J725" s="124"/>
      <c r="K725" s="124"/>
      <c r="L725" s="124"/>
      <c r="M725" s="124"/>
      <c r="N725" s="124"/>
      <c r="O725" s="124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</row>
    <row x14ac:dyDescent="0.25" r="726" customHeight="1" ht="15.75">
      <c r="A726" s="123"/>
      <c r="B726" s="123"/>
      <c r="C726" s="124"/>
      <c r="D726" s="124"/>
      <c r="E726" s="124"/>
      <c r="F726" s="124"/>
      <c r="G726" s="124"/>
      <c r="H726" s="124"/>
      <c r="I726" s="124"/>
      <c r="J726" s="124"/>
      <c r="K726" s="124"/>
      <c r="L726" s="124"/>
      <c r="M726" s="124"/>
      <c r="N726" s="124"/>
      <c r="O726" s="124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</row>
    <row x14ac:dyDescent="0.25" r="727" customHeight="1" ht="15.75">
      <c r="A727" s="123"/>
      <c r="B727" s="123"/>
      <c r="C727" s="124"/>
      <c r="D727" s="124"/>
      <c r="E727" s="124"/>
      <c r="F727" s="124"/>
      <c r="G727" s="124"/>
      <c r="H727" s="124"/>
      <c r="I727" s="124"/>
      <c r="J727" s="124"/>
      <c r="K727" s="124"/>
      <c r="L727" s="124"/>
      <c r="M727" s="124"/>
      <c r="N727" s="124"/>
      <c r="O727" s="124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</row>
    <row x14ac:dyDescent="0.25" r="728" customHeight="1" ht="15.75">
      <c r="A728" s="123"/>
      <c r="B728" s="123"/>
      <c r="C728" s="124"/>
      <c r="D728" s="124"/>
      <c r="E728" s="124"/>
      <c r="F728" s="124"/>
      <c r="G728" s="124"/>
      <c r="H728" s="124"/>
      <c r="I728" s="124"/>
      <c r="J728" s="124"/>
      <c r="K728" s="124"/>
      <c r="L728" s="124"/>
      <c r="M728" s="124"/>
      <c r="N728" s="124"/>
      <c r="O728" s="124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</row>
    <row x14ac:dyDescent="0.25" r="729" customHeight="1" ht="15.75">
      <c r="A729" s="123"/>
      <c r="B729" s="123"/>
      <c r="C729" s="124"/>
      <c r="D729" s="124"/>
      <c r="E729" s="124"/>
      <c r="F729" s="124"/>
      <c r="G729" s="124"/>
      <c r="H729" s="124"/>
      <c r="I729" s="124"/>
      <c r="J729" s="124"/>
      <c r="K729" s="124"/>
      <c r="L729" s="124"/>
      <c r="M729" s="124"/>
      <c r="N729" s="124"/>
      <c r="O729" s="124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</row>
    <row x14ac:dyDescent="0.25" r="730" customHeight="1" ht="15.75">
      <c r="A730" s="123"/>
      <c r="B730" s="123"/>
      <c r="C730" s="124"/>
      <c r="D730" s="124"/>
      <c r="E730" s="124"/>
      <c r="F730" s="124"/>
      <c r="G730" s="124"/>
      <c r="H730" s="124"/>
      <c r="I730" s="124"/>
      <c r="J730" s="124"/>
      <c r="K730" s="124"/>
      <c r="L730" s="124"/>
      <c r="M730" s="124"/>
      <c r="N730" s="124"/>
      <c r="O730" s="124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</row>
    <row x14ac:dyDescent="0.25" r="731" customHeight="1" ht="15.75">
      <c r="A731" s="123"/>
      <c r="B731" s="123"/>
      <c r="C731" s="124"/>
      <c r="D731" s="124"/>
      <c r="E731" s="124"/>
      <c r="F731" s="124"/>
      <c r="G731" s="124"/>
      <c r="H731" s="124"/>
      <c r="I731" s="124"/>
      <c r="J731" s="124"/>
      <c r="K731" s="124"/>
      <c r="L731" s="124"/>
      <c r="M731" s="124"/>
      <c r="N731" s="124"/>
      <c r="O731" s="124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</row>
    <row x14ac:dyDescent="0.25" r="732" customHeight="1" ht="15.75">
      <c r="A732" s="123"/>
      <c r="B732" s="123"/>
      <c r="C732" s="124"/>
      <c r="D732" s="124"/>
      <c r="E732" s="124"/>
      <c r="F732" s="124"/>
      <c r="G732" s="124"/>
      <c r="H732" s="124"/>
      <c r="I732" s="124"/>
      <c r="J732" s="124"/>
      <c r="K732" s="124"/>
      <c r="L732" s="124"/>
      <c r="M732" s="124"/>
      <c r="N732" s="124"/>
      <c r="O732" s="124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</row>
    <row x14ac:dyDescent="0.25" r="733" customHeight="1" ht="15.75">
      <c r="A733" s="123"/>
      <c r="B733" s="123"/>
      <c r="C733" s="124"/>
      <c r="D733" s="124"/>
      <c r="E733" s="124"/>
      <c r="F733" s="124"/>
      <c r="G733" s="124"/>
      <c r="H733" s="124"/>
      <c r="I733" s="124"/>
      <c r="J733" s="124"/>
      <c r="K733" s="124"/>
      <c r="L733" s="124"/>
      <c r="M733" s="124"/>
      <c r="N733" s="124"/>
      <c r="O733" s="124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</row>
    <row x14ac:dyDescent="0.25" r="734" customHeight="1" ht="15.75">
      <c r="A734" s="123"/>
      <c r="B734" s="123"/>
      <c r="C734" s="124"/>
      <c r="D734" s="124"/>
      <c r="E734" s="124"/>
      <c r="F734" s="124"/>
      <c r="G734" s="124"/>
      <c r="H734" s="124"/>
      <c r="I734" s="124"/>
      <c r="J734" s="124"/>
      <c r="K734" s="124"/>
      <c r="L734" s="124"/>
      <c r="M734" s="124"/>
      <c r="N734" s="124"/>
      <c r="O734" s="124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</row>
    <row x14ac:dyDescent="0.25" r="735" customHeight="1" ht="15.75">
      <c r="A735" s="123"/>
      <c r="B735" s="123"/>
      <c r="C735" s="124"/>
      <c r="D735" s="124"/>
      <c r="E735" s="124"/>
      <c r="F735" s="124"/>
      <c r="G735" s="124"/>
      <c r="H735" s="124"/>
      <c r="I735" s="124"/>
      <c r="J735" s="124"/>
      <c r="K735" s="124"/>
      <c r="L735" s="124"/>
      <c r="M735" s="124"/>
      <c r="N735" s="124"/>
      <c r="O735" s="124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</row>
    <row x14ac:dyDescent="0.25" r="736" customHeight="1" ht="15.75">
      <c r="A736" s="123"/>
      <c r="B736" s="123"/>
      <c r="C736" s="124"/>
      <c r="D736" s="124"/>
      <c r="E736" s="124"/>
      <c r="F736" s="124"/>
      <c r="G736" s="124"/>
      <c r="H736" s="124"/>
      <c r="I736" s="124"/>
      <c r="J736" s="124"/>
      <c r="K736" s="124"/>
      <c r="L736" s="124"/>
      <c r="M736" s="124"/>
      <c r="N736" s="124"/>
      <c r="O736" s="124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</row>
    <row x14ac:dyDescent="0.25" r="737" customHeight="1" ht="15.75">
      <c r="A737" s="123"/>
      <c r="B737" s="123"/>
      <c r="C737" s="124"/>
      <c r="D737" s="124"/>
      <c r="E737" s="124"/>
      <c r="F737" s="124"/>
      <c r="G737" s="124"/>
      <c r="H737" s="124"/>
      <c r="I737" s="124"/>
      <c r="J737" s="124"/>
      <c r="K737" s="124"/>
      <c r="L737" s="124"/>
      <c r="M737" s="124"/>
      <c r="N737" s="124"/>
      <c r="O737" s="124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</row>
    <row x14ac:dyDescent="0.25" r="738" customHeight="1" ht="15.75">
      <c r="A738" s="123"/>
      <c r="B738" s="123"/>
      <c r="C738" s="124"/>
      <c r="D738" s="124"/>
      <c r="E738" s="124"/>
      <c r="F738" s="124"/>
      <c r="G738" s="124"/>
      <c r="H738" s="124"/>
      <c r="I738" s="124"/>
      <c r="J738" s="124"/>
      <c r="K738" s="124"/>
      <c r="L738" s="124"/>
      <c r="M738" s="124"/>
      <c r="N738" s="124"/>
      <c r="O738" s="124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</row>
    <row x14ac:dyDescent="0.25" r="739" customHeight="1" ht="15.75">
      <c r="A739" s="123"/>
      <c r="B739" s="123"/>
      <c r="C739" s="124"/>
      <c r="D739" s="124"/>
      <c r="E739" s="124"/>
      <c r="F739" s="124"/>
      <c r="G739" s="124"/>
      <c r="H739" s="124"/>
      <c r="I739" s="124"/>
      <c r="J739" s="124"/>
      <c r="K739" s="124"/>
      <c r="L739" s="124"/>
      <c r="M739" s="124"/>
      <c r="N739" s="124"/>
      <c r="O739" s="124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</row>
    <row x14ac:dyDescent="0.25" r="740" customHeight="1" ht="15.75">
      <c r="A740" s="123"/>
      <c r="B740" s="123"/>
      <c r="C740" s="124"/>
      <c r="D740" s="124"/>
      <c r="E740" s="124"/>
      <c r="F740" s="124"/>
      <c r="G740" s="124"/>
      <c r="H740" s="124"/>
      <c r="I740" s="124"/>
      <c r="J740" s="124"/>
      <c r="K740" s="124"/>
      <c r="L740" s="124"/>
      <c r="M740" s="124"/>
      <c r="N740" s="124"/>
      <c r="O740" s="124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</row>
    <row x14ac:dyDescent="0.25" r="741" customHeight="1" ht="15.75">
      <c r="A741" s="123"/>
      <c r="B741" s="123"/>
      <c r="C741" s="124"/>
      <c r="D741" s="124"/>
      <c r="E741" s="124"/>
      <c r="F741" s="124"/>
      <c r="G741" s="124"/>
      <c r="H741" s="124"/>
      <c r="I741" s="124"/>
      <c r="J741" s="124"/>
      <c r="K741" s="124"/>
      <c r="L741" s="124"/>
      <c r="M741" s="124"/>
      <c r="N741" s="124"/>
      <c r="O741" s="124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</row>
    <row x14ac:dyDescent="0.25" r="742" customHeight="1" ht="15.75">
      <c r="A742" s="123"/>
      <c r="B742" s="123"/>
      <c r="C742" s="124"/>
      <c r="D742" s="124"/>
      <c r="E742" s="124"/>
      <c r="F742" s="124"/>
      <c r="G742" s="124"/>
      <c r="H742" s="124"/>
      <c r="I742" s="124"/>
      <c r="J742" s="124"/>
      <c r="K742" s="124"/>
      <c r="L742" s="124"/>
      <c r="M742" s="124"/>
      <c r="N742" s="124"/>
      <c r="O742" s="124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</row>
    <row x14ac:dyDescent="0.25" r="743" customHeight="1" ht="15.75">
      <c r="A743" s="123"/>
      <c r="B743" s="123"/>
      <c r="C743" s="124"/>
      <c r="D743" s="124"/>
      <c r="E743" s="124"/>
      <c r="F743" s="124"/>
      <c r="G743" s="124"/>
      <c r="H743" s="124"/>
      <c r="I743" s="124"/>
      <c r="J743" s="124"/>
      <c r="K743" s="124"/>
      <c r="L743" s="124"/>
      <c r="M743" s="124"/>
      <c r="N743" s="124"/>
      <c r="O743" s="124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</row>
    <row x14ac:dyDescent="0.25" r="744" customHeight="1" ht="15.75">
      <c r="A744" s="123"/>
      <c r="B744" s="123"/>
      <c r="C744" s="124"/>
      <c r="D744" s="124"/>
      <c r="E744" s="124"/>
      <c r="F744" s="124"/>
      <c r="G744" s="124"/>
      <c r="H744" s="124"/>
      <c r="I744" s="124"/>
      <c r="J744" s="124"/>
      <c r="K744" s="124"/>
      <c r="L744" s="124"/>
      <c r="M744" s="124"/>
      <c r="N744" s="124"/>
      <c r="O744" s="124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</row>
    <row x14ac:dyDescent="0.25" r="745" customHeight="1" ht="15.75">
      <c r="A745" s="123"/>
      <c r="B745" s="123"/>
      <c r="C745" s="124"/>
      <c r="D745" s="124"/>
      <c r="E745" s="124"/>
      <c r="F745" s="124"/>
      <c r="G745" s="124"/>
      <c r="H745" s="124"/>
      <c r="I745" s="124"/>
      <c r="J745" s="124"/>
      <c r="K745" s="124"/>
      <c r="L745" s="124"/>
      <c r="M745" s="124"/>
      <c r="N745" s="124"/>
      <c r="O745" s="124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</row>
    <row x14ac:dyDescent="0.25" r="746" customHeight="1" ht="15.75">
      <c r="A746" s="123"/>
      <c r="B746" s="123"/>
      <c r="C746" s="124"/>
      <c r="D746" s="124"/>
      <c r="E746" s="124"/>
      <c r="F746" s="124"/>
      <c r="G746" s="124"/>
      <c r="H746" s="124"/>
      <c r="I746" s="124"/>
      <c r="J746" s="124"/>
      <c r="K746" s="124"/>
      <c r="L746" s="124"/>
      <c r="M746" s="124"/>
      <c r="N746" s="124"/>
      <c r="O746" s="124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</row>
    <row x14ac:dyDescent="0.25" r="747" customHeight="1" ht="15.75">
      <c r="A747" s="123"/>
      <c r="B747" s="123"/>
      <c r="C747" s="124"/>
      <c r="D747" s="124"/>
      <c r="E747" s="124"/>
      <c r="F747" s="124"/>
      <c r="G747" s="124"/>
      <c r="H747" s="124"/>
      <c r="I747" s="124"/>
      <c r="J747" s="124"/>
      <c r="K747" s="124"/>
      <c r="L747" s="124"/>
      <c r="M747" s="124"/>
      <c r="N747" s="124"/>
      <c r="O747" s="124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</row>
    <row x14ac:dyDescent="0.25" r="748" customHeight="1" ht="15.75">
      <c r="A748" s="123"/>
      <c r="B748" s="123"/>
      <c r="C748" s="124"/>
      <c r="D748" s="124"/>
      <c r="E748" s="124"/>
      <c r="F748" s="124"/>
      <c r="G748" s="124"/>
      <c r="H748" s="124"/>
      <c r="I748" s="124"/>
      <c r="J748" s="124"/>
      <c r="K748" s="124"/>
      <c r="L748" s="124"/>
      <c r="M748" s="124"/>
      <c r="N748" s="124"/>
      <c r="O748" s="124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</row>
    <row x14ac:dyDescent="0.25" r="749" customHeight="1" ht="15.75">
      <c r="A749" s="123"/>
      <c r="B749" s="123"/>
      <c r="C749" s="124"/>
      <c r="D749" s="124"/>
      <c r="E749" s="124"/>
      <c r="F749" s="124"/>
      <c r="G749" s="124"/>
      <c r="H749" s="124"/>
      <c r="I749" s="124"/>
      <c r="J749" s="124"/>
      <c r="K749" s="124"/>
      <c r="L749" s="124"/>
      <c r="M749" s="124"/>
      <c r="N749" s="124"/>
      <c r="O749" s="124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</row>
    <row x14ac:dyDescent="0.25" r="750" customHeight="1" ht="15.75">
      <c r="A750" s="123"/>
      <c r="B750" s="123"/>
      <c r="C750" s="124"/>
      <c r="D750" s="124"/>
      <c r="E750" s="124"/>
      <c r="F750" s="124"/>
      <c r="G750" s="124"/>
      <c r="H750" s="124"/>
      <c r="I750" s="124"/>
      <c r="J750" s="124"/>
      <c r="K750" s="124"/>
      <c r="L750" s="124"/>
      <c r="M750" s="124"/>
      <c r="N750" s="124"/>
      <c r="O750" s="124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</row>
    <row x14ac:dyDescent="0.25" r="751" customHeight="1" ht="15.75">
      <c r="A751" s="123"/>
      <c r="B751" s="123"/>
      <c r="C751" s="124"/>
      <c r="D751" s="124"/>
      <c r="E751" s="124"/>
      <c r="F751" s="124"/>
      <c r="G751" s="124"/>
      <c r="H751" s="124"/>
      <c r="I751" s="124"/>
      <c r="J751" s="124"/>
      <c r="K751" s="124"/>
      <c r="L751" s="124"/>
      <c r="M751" s="124"/>
      <c r="N751" s="124"/>
      <c r="O751" s="124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</row>
    <row x14ac:dyDescent="0.25" r="752" customHeight="1" ht="15.75">
      <c r="A752" s="123"/>
      <c r="B752" s="123"/>
      <c r="C752" s="124"/>
      <c r="D752" s="124"/>
      <c r="E752" s="124"/>
      <c r="F752" s="124"/>
      <c r="G752" s="124"/>
      <c r="H752" s="124"/>
      <c r="I752" s="124"/>
      <c r="J752" s="124"/>
      <c r="K752" s="124"/>
      <c r="L752" s="124"/>
      <c r="M752" s="124"/>
      <c r="N752" s="124"/>
      <c r="O752" s="124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</row>
    <row x14ac:dyDescent="0.25" r="753" customHeight="1" ht="15.75">
      <c r="A753" s="123"/>
      <c r="B753" s="123"/>
      <c r="C753" s="124"/>
      <c r="D753" s="124"/>
      <c r="E753" s="124"/>
      <c r="F753" s="124"/>
      <c r="G753" s="124"/>
      <c r="H753" s="124"/>
      <c r="I753" s="124"/>
      <c r="J753" s="124"/>
      <c r="K753" s="124"/>
      <c r="L753" s="124"/>
      <c r="M753" s="124"/>
      <c r="N753" s="124"/>
      <c r="O753" s="124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</row>
    <row x14ac:dyDescent="0.25" r="754" customHeight="1" ht="15.75">
      <c r="A754" s="123"/>
      <c r="B754" s="123"/>
      <c r="C754" s="124"/>
      <c r="D754" s="124"/>
      <c r="E754" s="124"/>
      <c r="F754" s="124"/>
      <c r="G754" s="124"/>
      <c r="H754" s="124"/>
      <c r="I754" s="124"/>
      <c r="J754" s="124"/>
      <c r="K754" s="124"/>
      <c r="L754" s="124"/>
      <c r="M754" s="124"/>
      <c r="N754" s="124"/>
      <c r="O754" s="124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</row>
    <row x14ac:dyDescent="0.25" r="755" customHeight="1" ht="15.75">
      <c r="A755" s="123"/>
      <c r="B755" s="123"/>
      <c r="C755" s="124"/>
      <c r="D755" s="124"/>
      <c r="E755" s="124"/>
      <c r="F755" s="124"/>
      <c r="G755" s="124"/>
      <c r="H755" s="124"/>
      <c r="I755" s="124"/>
      <c r="J755" s="124"/>
      <c r="K755" s="124"/>
      <c r="L755" s="124"/>
      <c r="M755" s="124"/>
      <c r="N755" s="124"/>
      <c r="O755" s="124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</row>
    <row x14ac:dyDescent="0.25" r="756" customHeight="1" ht="15.75">
      <c r="A756" s="123"/>
      <c r="B756" s="123"/>
      <c r="C756" s="124"/>
      <c r="D756" s="124"/>
      <c r="E756" s="124"/>
      <c r="F756" s="124"/>
      <c r="G756" s="124"/>
      <c r="H756" s="124"/>
      <c r="I756" s="124"/>
      <c r="J756" s="124"/>
      <c r="K756" s="124"/>
      <c r="L756" s="124"/>
      <c r="M756" s="124"/>
      <c r="N756" s="124"/>
      <c r="O756" s="124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</row>
    <row x14ac:dyDescent="0.25" r="757" customHeight="1" ht="15.75">
      <c r="A757" s="123"/>
      <c r="B757" s="123"/>
      <c r="C757" s="124"/>
      <c r="D757" s="124"/>
      <c r="E757" s="124"/>
      <c r="F757" s="124"/>
      <c r="G757" s="124"/>
      <c r="H757" s="124"/>
      <c r="I757" s="124"/>
      <c r="J757" s="124"/>
      <c r="K757" s="124"/>
      <c r="L757" s="124"/>
      <c r="M757" s="124"/>
      <c r="N757" s="124"/>
      <c r="O757" s="124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</row>
    <row x14ac:dyDescent="0.25" r="758" customHeight="1" ht="15.75">
      <c r="A758" s="123"/>
      <c r="B758" s="123"/>
      <c r="C758" s="124"/>
      <c r="D758" s="124"/>
      <c r="E758" s="124"/>
      <c r="F758" s="124"/>
      <c r="G758" s="124"/>
      <c r="H758" s="124"/>
      <c r="I758" s="124"/>
      <c r="J758" s="124"/>
      <c r="K758" s="124"/>
      <c r="L758" s="124"/>
      <c r="M758" s="124"/>
      <c r="N758" s="124"/>
      <c r="O758" s="124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</row>
    <row x14ac:dyDescent="0.25" r="759" customHeight="1" ht="15.75">
      <c r="A759" s="123"/>
      <c r="B759" s="123"/>
      <c r="C759" s="124"/>
      <c r="D759" s="124"/>
      <c r="E759" s="124"/>
      <c r="F759" s="124"/>
      <c r="G759" s="124"/>
      <c r="H759" s="124"/>
      <c r="I759" s="124"/>
      <c r="J759" s="124"/>
      <c r="K759" s="124"/>
      <c r="L759" s="124"/>
      <c r="M759" s="124"/>
      <c r="N759" s="124"/>
      <c r="O759" s="124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</row>
    <row x14ac:dyDescent="0.25" r="760" customHeight="1" ht="15.75">
      <c r="A760" s="123"/>
      <c r="B760" s="123"/>
      <c r="C760" s="124"/>
      <c r="D760" s="124"/>
      <c r="E760" s="124"/>
      <c r="F760" s="124"/>
      <c r="G760" s="124"/>
      <c r="H760" s="124"/>
      <c r="I760" s="124"/>
      <c r="J760" s="124"/>
      <c r="K760" s="124"/>
      <c r="L760" s="124"/>
      <c r="M760" s="124"/>
      <c r="N760" s="124"/>
      <c r="O760" s="124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</row>
    <row x14ac:dyDescent="0.25" r="761" customHeight="1" ht="15.75">
      <c r="A761" s="123"/>
      <c r="B761" s="123"/>
      <c r="C761" s="124"/>
      <c r="D761" s="124"/>
      <c r="E761" s="124"/>
      <c r="F761" s="124"/>
      <c r="G761" s="124"/>
      <c r="H761" s="124"/>
      <c r="I761" s="124"/>
      <c r="J761" s="124"/>
      <c r="K761" s="124"/>
      <c r="L761" s="124"/>
      <c r="M761" s="124"/>
      <c r="N761" s="124"/>
      <c r="O761" s="124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</row>
    <row x14ac:dyDescent="0.25" r="762" customHeight="1" ht="15.75">
      <c r="A762" s="123"/>
      <c r="B762" s="123"/>
      <c r="C762" s="124"/>
      <c r="D762" s="124"/>
      <c r="E762" s="124"/>
      <c r="F762" s="124"/>
      <c r="G762" s="124"/>
      <c r="H762" s="124"/>
      <c r="I762" s="124"/>
      <c r="J762" s="124"/>
      <c r="K762" s="124"/>
      <c r="L762" s="124"/>
      <c r="M762" s="124"/>
      <c r="N762" s="124"/>
      <c r="O762" s="124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</row>
    <row x14ac:dyDescent="0.25" r="763" customHeight="1" ht="15.75">
      <c r="A763" s="123"/>
      <c r="B763" s="123"/>
      <c r="C763" s="124"/>
      <c r="D763" s="124"/>
      <c r="E763" s="124"/>
      <c r="F763" s="124"/>
      <c r="G763" s="124"/>
      <c r="H763" s="124"/>
      <c r="I763" s="124"/>
      <c r="J763" s="124"/>
      <c r="K763" s="124"/>
      <c r="L763" s="124"/>
      <c r="M763" s="124"/>
      <c r="N763" s="124"/>
      <c r="O763" s="124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</row>
    <row x14ac:dyDescent="0.25" r="764" customHeight="1" ht="15.75">
      <c r="A764" s="123"/>
      <c r="B764" s="123"/>
      <c r="C764" s="124"/>
      <c r="D764" s="124"/>
      <c r="E764" s="124"/>
      <c r="F764" s="124"/>
      <c r="G764" s="124"/>
      <c r="H764" s="124"/>
      <c r="I764" s="124"/>
      <c r="J764" s="124"/>
      <c r="K764" s="124"/>
      <c r="L764" s="124"/>
      <c r="M764" s="124"/>
      <c r="N764" s="124"/>
      <c r="O764" s="124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</row>
    <row x14ac:dyDescent="0.25" r="765" customHeight="1" ht="15.75">
      <c r="A765" s="123"/>
      <c r="B765" s="123"/>
      <c r="C765" s="124"/>
      <c r="D765" s="124"/>
      <c r="E765" s="124"/>
      <c r="F765" s="124"/>
      <c r="G765" s="124"/>
      <c r="H765" s="124"/>
      <c r="I765" s="124"/>
      <c r="J765" s="124"/>
      <c r="K765" s="124"/>
      <c r="L765" s="124"/>
      <c r="M765" s="124"/>
      <c r="N765" s="124"/>
      <c r="O765" s="124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</row>
    <row x14ac:dyDescent="0.25" r="766" customHeight="1" ht="15.75">
      <c r="A766" s="123"/>
      <c r="B766" s="123"/>
      <c r="C766" s="124"/>
      <c r="D766" s="124"/>
      <c r="E766" s="124"/>
      <c r="F766" s="124"/>
      <c r="G766" s="124"/>
      <c r="H766" s="124"/>
      <c r="I766" s="124"/>
      <c r="J766" s="124"/>
      <c r="K766" s="124"/>
      <c r="L766" s="124"/>
      <c r="M766" s="124"/>
      <c r="N766" s="124"/>
      <c r="O766" s="124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</row>
    <row x14ac:dyDescent="0.25" r="767" customHeight="1" ht="15.75">
      <c r="A767" s="123"/>
      <c r="B767" s="123"/>
      <c r="C767" s="124"/>
      <c r="D767" s="124"/>
      <c r="E767" s="124"/>
      <c r="F767" s="124"/>
      <c r="G767" s="124"/>
      <c r="H767" s="124"/>
      <c r="I767" s="124"/>
      <c r="J767" s="124"/>
      <c r="K767" s="124"/>
      <c r="L767" s="124"/>
      <c r="M767" s="124"/>
      <c r="N767" s="124"/>
      <c r="O767" s="124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</row>
    <row x14ac:dyDescent="0.25" r="768" customHeight="1" ht="15.75">
      <c r="A768" s="123"/>
      <c r="B768" s="123"/>
      <c r="C768" s="124"/>
      <c r="D768" s="124"/>
      <c r="E768" s="124"/>
      <c r="F768" s="124"/>
      <c r="G768" s="124"/>
      <c r="H768" s="124"/>
      <c r="I768" s="124"/>
      <c r="J768" s="124"/>
      <c r="K768" s="124"/>
      <c r="L768" s="124"/>
      <c r="M768" s="124"/>
      <c r="N768" s="124"/>
      <c r="O768" s="124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</row>
    <row x14ac:dyDescent="0.25" r="769" customHeight="1" ht="15.75">
      <c r="A769" s="123"/>
      <c r="B769" s="123"/>
      <c r="C769" s="124"/>
      <c r="D769" s="124"/>
      <c r="E769" s="124"/>
      <c r="F769" s="124"/>
      <c r="G769" s="124"/>
      <c r="H769" s="124"/>
      <c r="I769" s="124"/>
      <c r="J769" s="124"/>
      <c r="K769" s="124"/>
      <c r="L769" s="124"/>
      <c r="M769" s="124"/>
      <c r="N769" s="124"/>
      <c r="O769" s="124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</row>
    <row x14ac:dyDescent="0.25" r="770" customHeight="1" ht="15.75">
      <c r="A770" s="123"/>
      <c r="B770" s="123"/>
      <c r="C770" s="124"/>
      <c r="D770" s="124"/>
      <c r="E770" s="124"/>
      <c r="F770" s="124"/>
      <c r="G770" s="124"/>
      <c r="H770" s="124"/>
      <c r="I770" s="124"/>
      <c r="J770" s="124"/>
      <c r="K770" s="124"/>
      <c r="L770" s="124"/>
      <c r="M770" s="124"/>
      <c r="N770" s="124"/>
      <c r="O770" s="124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</row>
    <row x14ac:dyDescent="0.25" r="771" customHeight="1" ht="15.75">
      <c r="A771" s="123"/>
      <c r="B771" s="123"/>
      <c r="C771" s="124"/>
      <c r="D771" s="124"/>
      <c r="E771" s="124"/>
      <c r="F771" s="124"/>
      <c r="G771" s="124"/>
      <c r="H771" s="124"/>
      <c r="I771" s="124"/>
      <c r="J771" s="124"/>
      <c r="K771" s="124"/>
      <c r="L771" s="124"/>
      <c r="M771" s="124"/>
      <c r="N771" s="124"/>
      <c r="O771" s="124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</row>
    <row x14ac:dyDescent="0.25" r="772" customHeight="1" ht="15.75">
      <c r="A772" s="123"/>
      <c r="B772" s="123"/>
      <c r="C772" s="124"/>
      <c r="D772" s="124"/>
      <c r="E772" s="124"/>
      <c r="F772" s="124"/>
      <c r="G772" s="124"/>
      <c r="H772" s="124"/>
      <c r="I772" s="124"/>
      <c r="J772" s="124"/>
      <c r="K772" s="124"/>
      <c r="L772" s="124"/>
      <c r="M772" s="124"/>
      <c r="N772" s="124"/>
      <c r="O772" s="124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</row>
    <row x14ac:dyDescent="0.25" r="773" customHeight="1" ht="15.75">
      <c r="A773" s="123"/>
      <c r="B773" s="123"/>
      <c r="C773" s="124"/>
      <c r="D773" s="124"/>
      <c r="E773" s="124"/>
      <c r="F773" s="124"/>
      <c r="G773" s="124"/>
      <c r="H773" s="124"/>
      <c r="I773" s="124"/>
      <c r="J773" s="124"/>
      <c r="K773" s="124"/>
      <c r="L773" s="124"/>
      <c r="M773" s="124"/>
      <c r="N773" s="124"/>
      <c r="O773" s="124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</row>
    <row x14ac:dyDescent="0.25" r="774" customHeight="1" ht="15.75">
      <c r="A774" s="123"/>
      <c r="B774" s="123"/>
      <c r="C774" s="124"/>
      <c r="D774" s="124"/>
      <c r="E774" s="124"/>
      <c r="F774" s="124"/>
      <c r="G774" s="124"/>
      <c r="H774" s="124"/>
      <c r="I774" s="124"/>
      <c r="J774" s="124"/>
      <c r="K774" s="124"/>
      <c r="L774" s="124"/>
      <c r="M774" s="124"/>
      <c r="N774" s="124"/>
      <c r="O774" s="124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</row>
    <row x14ac:dyDescent="0.25" r="775" customHeight="1" ht="15.75">
      <c r="A775" s="123"/>
      <c r="B775" s="123"/>
      <c r="C775" s="124"/>
      <c r="D775" s="124"/>
      <c r="E775" s="124"/>
      <c r="F775" s="124"/>
      <c r="G775" s="124"/>
      <c r="H775" s="124"/>
      <c r="I775" s="124"/>
      <c r="J775" s="124"/>
      <c r="K775" s="124"/>
      <c r="L775" s="124"/>
      <c r="M775" s="124"/>
      <c r="N775" s="124"/>
      <c r="O775" s="124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</row>
    <row x14ac:dyDescent="0.25" r="776" customHeight="1" ht="15.75">
      <c r="A776" s="123"/>
      <c r="B776" s="123"/>
      <c r="C776" s="124"/>
      <c r="D776" s="124"/>
      <c r="E776" s="124"/>
      <c r="F776" s="124"/>
      <c r="G776" s="124"/>
      <c r="H776" s="124"/>
      <c r="I776" s="124"/>
      <c r="J776" s="124"/>
      <c r="K776" s="124"/>
      <c r="L776" s="124"/>
      <c r="M776" s="124"/>
      <c r="N776" s="124"/>
      <c r="O776" s="124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</row>
    <row x14ac:dyDescent="0.25" r="777" customHeight="1" ht="15.75">
      <c r="A777" s="123"/>
      <c r="B777" s="123"/>
      <c r="C777" s="124"/>
      <c r="D777" s="124"/>
      <c r="E777" s="124"/>
      <c r="F777" s="124"/>
      <c r="G777" s="124"/>
      <c r="H777" s="124"/>
      <c r="I777" s="124"/>
      <c r="J777" s="124"/>
      <c r="K777" s="124"/>
      <c r="L777" s="124"/>
      <c r="M777" s="124"/>
      <c r="N777" s="124"/>
      <c r="O777" s="124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</row>
    <row x14ac:dyDescent="0.25" r="778" customHeight="1" ht="15.75">
      <c r="A778" s="123"/>
      <c r="B778" s="123"/>
      <c r="C778" s="124"/>
      <c r="D778" s="124"/>
      <c r="E778" s="124"/>
      <c r="F778" s="124"/>
      <c r="G778" s="124"/>
      <c r="H778" s="124"/>
      <c r="I778" s="124"/>
      <c r="J778" s="124"/>
      <c r="K778" s="124"/>
      <c r="L778" s="124"/>
      <c r="M778" s="124"/>
      <c r="N778" s="124"/>
      <c r="O778" s="124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</row>
    <row x14ac:dyDescent="0.25" r="779" customHeight="1" ht="15.75">
      <c r="A779" s="123"/>
      <c r="B779" s="123"/>
      <c r="C779" s="124"/>
      <c r="D779" s="124"/>
      <c r="E779" s="124"/>
      <c r="F779" s="124"/>
      <c r="G779" s="124"/>
      <c r="H779" s="124"/>
      <c r="I779" s="124"/>
      <c r="J779" s="124"/>
      <c r="K779" s="124"/>
      <c r="L779" s="124"/>
      <c r="M779" s="124"/>
      <c r="N779" s="124"/>
      <c r="O779" s="124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</row>
    <row x14ac:dyDescent="0.25" r="780" customHeight="1" ht="15.75">
      <c r="A780" s="123"/>
      <c r="B780" s="123"/>
      <c r="C780" s="124"/>
      <c r="D780" s="124"/>
      <c r="E780" s="124"/>
      <c r="F780" s="124"/>
      <c r="G780" s="124"/>
      <c r="H780" s="124"/>
      <c r="I780" s="124"/>
      <c r="J780" s="124"/>
      <c r="K780" s="124"/>
      <c r="L780" s="124"/>
      <c r="M780" s="124"/>
      <c r="N780" s="124"/>
      <c r="O780" s="124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</row>
    <row x14ac:dyDescent="0.25" r="781" customHeight="1" ht="15.75">
      <c r="A781" s="123"/>
      <c r="B781" s="123"/>
      <c r="C781" s="124"/>
      <c r="D781" s="124"/>
      <c r="E781" s="124"/>
      <c r="F781" s="124"/>
      <c r="G781" s="124"/>
      <c r="H781" s="124"/>
      <c r="I781" s="124"/>
      <c r="J781" s="124"/>
      <c r="K781" s="124"/>
      <c r="L781" s="124"/>
      <c r="M781" s="124"/>
      <c r="N781" s="124"/>
      <c r="O781" s="124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</row>
    <row x14ac:dyDescent="0.25" r="782" customHeight="1" ht="15.75">
      <c r="A782" s="123"/>
      <c r="B782" s="123"/>
      <c r="C782" s="124"/>
      <c r="D782" s="124"/>
      <c r="E782" s="124"/>
      <c r="F782" s="124"/>
      <c r="G782" s="124"/>
      <c r="H782" s="124"/>
      <c r="I782" s="124"/>
      <c r="J782" s="124"/>
      <c r="K782" s="124"/>
      <c r="L782" s="124"/>
      <c r="M782" s="124"/>
      <c r="N782" s="124"/>
      <c r="O782" s="124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</row>
    <row x14ac:dyDescent="0.25" r="783" customHeight="1" ht="15.75">
      <c r="A783" s="123"/>
      <c r="B783" s="123"/>
      <c r="C783" s="124"/>
      <c r="D783" s="124"/>
      <c r="E783" s="124"/>
      <c r="F783" s="124"/>
      <c r="G783" s="124"/>
      <c r="H783" s="124"/>
      <c r="I783" s="124"/>
      <c r="J783" s="124"/>
      <c r="K783" s="124"/>
      <c r="L783" s="124"/>
      <c r="M783" s="124"/>
      <c r="N783" s="124"/>
      <c r="O783" s="124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</row>
    <row x14ac:dyDescent="0.25" r="784" customHeight="1" ht="15.75">
      <c r="A784" s="123"/>
      <c r="B784" s="123"/>
      <c r="C784" s="124"/>
      <c r="D784" s="124"/>
      <c r="E784" s="124"/>
      <c r="F784" s="124"/>
      <c r="G784" s="124"/>
      <c r="H784" s="124"/>
      <c r="I784" s="124"/>
      <c r="J784" s="124"/>
      <c r="K784" s="124"/>
      <c r="L784" s="124"/>
      <c r="M784" s="124"/>
      <c r="N784" s="124"/>
      <c r="O784" s="124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</row>
    <row x14ac:dyDescent="0.25" r="785" customHeight="1" ht="15.75">
      <c r="A785" s="123"/>
      <c r="B785" s="123"/>
      <c r="C785" s="124"/>
      <c r="D785" s="124"/>
      <c r="E785" s="124"/>
      <c r="F785" s="124"/>
      <c r="G785" s="124"/>
      <c r="H785" s="124"/>
      <c r="I785" s="124"/>
      <c r="J785" s="124"/>
      <c r="K785" s="124"/>
      <c r="L785" s="124"/>
      <c r="M785" s="124"/>
      <c r="N785" s="124"/>
      <c r="O785" s="124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</row>
    <row x14ac:dyDescent="0.25" r="786" customHeight="1" ht="15.75">
      <c r="A786" s="123"/>
      <c r="B786" s="123"/>
      <c r="C786" s="124"/>
      <c r="D786" s="124"/>
      <c r="E786" s="124"/>
      <c r="F786" s="124"/>
      <c r="G786" s="124"/>
      <c r="H786" s="124"/>
      <c r="I786" s="124"/>
      <c r="J786" s="124"/>
      <c r="K786" s="124"/>
      <c r="L786" s="124"/>
      <c r="M786" s="124"/>
      <c r="N786" s="124"/>
      <c r="O786" s="124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</row>
    <row x14ac:dyDescent="0.25" r="787" customHeight="1" ht="15.75">
      <c r="A787" s="123"/>
      <c r="B787" s="123"/>
      <c r="C787" s="124"/>
      <c r="D787" s="124"/>
      <c r="E787" s="124"/>
      <c r="F787" s="124"/>
      <c r="G787" s="124"/>
      <c r="H787" s="124"/>
      <c r="I787" s="124"/>
      <c r="J787" s="124"/>
      <c r="K787" s="124"/>
      <c r="L787" s="124"/>
      <c r="M787" s="124"/>
      <c r="N787" s="124"/>
      <c r="O787" s="124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</row>
    <row x14ac:dyDescent="0.25" r="788" customHeight="1" ht="15.75">
      <c r="A788" s="123"/>
      <c r="B788" s="123"/>
      <c r="C788" s="124"/>
      <c r="D788" s="124"/>
      <c r="E788" s="124"/>
      <c r="F788" s="124"/>
      <c r="G788" s="124"/>
      <c r="H788" s="124"/>
      <c r="I788" s="124"/>
      <c r="J788" s="124"/>
      <c r="K788" s="124"/>
      <c r="L788" s="124"/>
      <c r="M788" s="124"/>
      <c r="N788" s="124"/>
      <c r="O788" s="124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</row>
    <row x14ac:dyDescent="0.25" r="789" customHeight="1" ht="15.75">
      <c r="A789" s="123"/>
      <c r="B789" s="123"/>
      <c r="C789" s="124"/>
      <c r="D789" s="124"/>
      <c r="E789" s="124"/>
      <c r="F789" s="124"/>
      <c r="G789" s="124"/>
      <c r="H789" s="124"/>
      <c r="I789" s="124"/>
      <c r="J789" s="124"/>
      <c r="K789" s="124"/>
      <c r="L789" s="124"/>
      <c r="M789" s="124"/>
      <c r="N789" s="124"/>
      <c r="O789" s="124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</row>
    <row x14ac:dyDescent="0.25" r="790" customHeight="1" ht="15.75">
      <c r="A790" s="123"/>
      <c r="B790" s="123"/>
      <c r="C790" s="124"/>
      <c r="D790" s="124"/>
      <c r="E790" s="124"/>
      <c r="F790" s="124"/>
      <c r="G790" s="124"/>
      <c r="H790" s="124"/>
      <c r="I790" s="124"/>
      <c r="J790" s="124"/>
      <c r="K790" s="124"/>
      <c r="L790" s="124"/>
      <c r="M790" s="124"/>
      <c r="N790" s="124"/>
      <c r="O790" s="124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</row>
    <row x14ac:dyDescent="0.25" r="791" customHeight="1" ht="15.75">
      <c r="A791" s="123"/>
      <c r="B791" s="123"/>
      <c r="C791" s="124"/>
      <c r="D791" s="124"/>
      <c r="E791" s="124"/>
      <c r="F791" s="124"/>
      <c r="G791" s="124"/>
      <c r="H791" s="124"/>
      <c r="I791" s="124"/>
      <c r="J791" s="124"/>
      <c r="K791" s="124"/>
      <c r="L791" s="124"/>
      <c r="M791" s="124"/>
      <c r="N791" s="124"/>
      <c r="O791" s="124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</row>
    <row x14ac:dyDescent="0.25" r="792" customHeight="1" ht="15.75">
      <c r="A792" s="123"/>
      <c r="B792" s="123"/>
      <c r="C792" s="124"/>
      <c r="D792" s="124"/>
      <c r="E792" s="124"/>
      <c r="F792" s="124"/>
      <c r="G792" s="124"/>
      <c r="H792" s="124"/>
      <c r="I792" s="124"/>
      <c r="J792" s="124"/>
      <c r="K792" s="124"/>
      <c r="L792" s="124"/>
      <c r="M792" s="124"/>
      <c r="N792" s="124"/>
      <c r="O792" s="124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</row>
    <row x14ac:dyDescent="0.25" r="793" customHeight="1" ht="15.75">
      <c r="A793" s="123"/>
      <c r="B793" s="123"/>
      <c r="C793" s="124"/>
      <c r="D793" s="124"/>
      <c r="E793" s="124"/>
      <c r="F793" s="124"/>
      <c r="G793" s="124"/>
      <c r="H793" s="124"/>
      <c r="I793" s="124"/>
      <c r="J793" s="124"/>
      <c r="K793" s="124"/>
      <c r="L793" s="124"/>
      <c r="M793" s="124"/>
      <c r="N793" s="124"/>
      <c r="O793" s="124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</row>
    <row x14ac:dyDescent="0.25" r="794" customHeight="1" ht="15.75">
      <c r="A794" s="123"/>
      <c r="B794" s="123"/>
      <c r="C794" s="124"/>
      <c r="D794" s="124"/>
      <c r="E794" s="124"/>
      <c r="F794" s="124"/>
      <c r="G794" s="124"/>
      <c r="H794" s="124"/>
      <c r="I794" s="124"/>
      <c r="J794" s="124"/>
      <c r="K794" s="124"/>
      <c r="L794" s="124"/>
      <c r="M794" s="124"/>
      <c r="N794" s="124"/>
      <c r="O794" s="124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</row>
    <row x14ac:dyDescent="0.25" r="795" customHeight="1" ht="15.75">
      <c r="A795" s="123"/>
      <c r="B795" s="123"/>
      <c r="C795" s="124"/>
      <c r="D795" s="124"/>
      <c r="E795" s="124"/>
      <c r="F795" s="124"/>
      <c r="G795" s="124"/>
      <c r="H795" s="124"/>
      <c r="I795" s="124"/>
      <c r="J795" s="124"/>
      <c r="K795" s="124"/>
      <c r="L795" s="124"/>
      <c r="M795" s="124"/>
      <c r="N795" s="124"/>
      <c r="O795" s="124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</row>
    <row x14ac:dyDescent="0.25" r="796" customHeight="1" ht="15.75">
      <c r="A796" s="123"/>
      <c r="B796" s="123"/>
      <c r="C796" s="124"/>
      <c r="D796" s="124"/>
      <c r="E796" s="124"/>
      <c r="F796" s="124"/>
      <c r="G796" s="124"/>
      <c r="H796" s="124"/>
      <c r="I796" s="124"/>
      <c r="J796" s="124"/>
      <c r="K796" s="124"/>
      <c r="L796" s="124"/>
      <c r="M796" s="124"/>
      <c r="N796" s="124"/>
      <c r="O796" s="124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</row>
    <row x14ac:dyDescent="0.25" r="797" customHeight="1" ht="15.75">
      <c r="A797" s="123"/>
      <c r="B797" s="123"/>
      <c r="C797" s="124"/>
      <c r="D797" s="124"/>
      <c r="E797" s="124"/>
      <c r="F797" s="124"/>
      <c r="G797" s="124"/>
      <c r="H797" s="124"/>
      <c r="I797" s="124"/>
      <c r="J797" s="124"/>
      <c r="K797" s="124"/>
      <c r="L797" s="124"/>
      <c r="M797" s="124"/>
      <c r="N797" s="124"/>
      <c r="O797" s="124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</row>
    <row x14ac:dyDescent="0.25" r="798" customHeight="1" ht="15.75">
      <c r="A798" s="123"/>
      <c r="B798" s="123"/>
      <c r="C798" s="124"/>
      <c r="D798" s="124"/>
      <c r="E798" s="124"/>
      <c r="F798" s="124"/>
      <c r="G798" s="124"/>
      <c r="H798" s="124"/>
      <c r="I798" s="124"/>
      <c r="J798" s="124"/>
      <c r="K798" s="124"/>
      <c r="L798" s="124"/>
      <c r="M798" s="124"/>
      <c r="N798" s="124"/>
      <c r="O798" s="124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</row>
    <row x14ac:dyDescent="0.25" r="799" customHeight="1" ht="15.75">
      <c r="A799" s="123"/>
      <c r="B799" s="123"/>
      <c r="C799" s="124"/>
      <c r="D799" s="124"/>
      <c r="E799" s="124"/>
      <c r="F799" s="124"/>
      <c r="G799" s="124"/>
      <c r="H799" s="124"/>
      <c r="I799" s="124"/>
      <c r="J799" s="124"/>
      <c r="K799" s="124"/>
      <c r="L799" s="124"/>
      <c r="M799" s="124"/>
      <c r="N799" s="124"/>
      <c r="O799" s="124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</row>
    <row x14ac:dyDescent="0.25" r="800" customHeight="1" ht="15.75">
      <c r="A800" s="123"/>
      <c r="B800" s="123"/>
      <c r="C800" s="124"/>
      <c r="D800" s="124"/>
      <c r="E800" s="124"/>
      <c r="F800" s="124"/>
      <c r="G800" s="124"/>
      <c r="H800" s="124"/>
      <c r="I800" s="124"/>
      <c r="J800" s="124"/>
      <c r="K800" s="124"/>
      <c r="L800" s="124"/>
      <c r="M800" s="124"/>
      <c r="N800" s="124"/>
      <c r="O800" s="124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</row>
    <row x14ac:dyDescent="0.25" r="801" customHeight="1" ht="15.75">
      <c r="A801" s="123"/>
      <c r="B801" s="123"/>
      <c r="C801" s="124"/>
      <c r="D801" s="124"/>
      <c r="E801" s="124"/>
      <c r="F801" s="124"/>
      <c r="G801" s="124"/>
      <c r="H801" s="124"/>
      <c r="I801" s="124"/>
      <c r="J801" s="124"/>
      <c r="K801" s="124"/>
      <c r="L801" s="124"/>
      <c r="M801" s="124"/>
      <c r="N801" s="124"/>
      <c r="O801" s="124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</row>
    <row x14ac:dyDescent="0.25" r="802" customHeight="1" ht="15.75">
      <c r="A802" s="123"/>
      <c r="B802" s="123"/>
      <c r="C802" s="124"/>
      <c r="D802" s="124"/>
      <c r="E802" s="124"/>
      <c r="F802" s="124"/>
      <c r="G802" s="124"/>
      <c r="H802" s="124"/>
      <c r="I802" s="124"/>
      <c r="J802" s="124"/>
      <c r="K802" s="124"/>
      <c r="L802" s="124"/>
      <c r="M802" s="124"/>
      <c r="N802" s="124"/>
      <c r="O802" s="124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</row>
    <row x14ac:dyDescent="0.25" r="803" customHeight="1" ht="15.75">
      <c r="A803" s="123"/>
      <c r="B803" s="123"/>
      <c r="C803" s="124"/>
      <c r="D803" s="124"/>
      <c r="E803" s="124"/>
      <c r="F803" s="124"/>
      <c r="G803" s="124"/>
      <c r="H803" s="124"/>
      <c r="I803" s="124"/>
      <c r="J803" s="124"/>
      <c r="K803" s="124"/>
      <c r="L803" s="124"/>
      <c r="M803" s="124"/>
      <c r="N803" s="124"/>
      <c r="O803" s="124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</row>
    <row x14ac:dyDescent="0.25" r="804" customHeight="1" ht="15.75">
      <c r="A804" s="123"/>
      <c r="B804" s="123"/>
      <c r="C804" s="124"/>
      <c r="D804" s="124"/>
      <c r="E804" s="124"/>
      <c r="F804" s="124"/>
      <c r="G804" s="124"/>
      <c r="H804" s="124"/>
      <c r="I804" s="124"/>
      <c r="J804" s="124"/>
      <c r="K804" s="124"/>
      <c r="L804" s="124"/>
      <c r="M804" s="124"/>
      <c r="N804" s="124"/>
      <c r="O804" s="124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</row>
    <row x14ac:dyDescent="0.25" r="805" customHeight="1" ht="15.75">
      <c r="A805" s="123"/>
      <c r="B805" s="123"/>
      <c r="C805" s="124"/>
      <c r="D805" s="124"/>
      <c r="E805" s="124"/>
      <c r="F805" s="124"/>
      <c r="G805" s="124"/>
      <c r="H805" s="124"/>
      <c r="I805" s="124"/>
      <c r="J805" s="124"/>
      <c r="K805" s="124"/>
      <c r="L805" s="124"/>
      <c r="M805" s="124"/>
      <c r="N805" s="124"/>
      <c r="O805" s="124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</row>
    <row x14ac:dyDescent="0.25" r="806" customHeight="1" ht="15.75">
      <c r="A806" s="123"/>
      <c r="B806" s="123"/>
      <c r="C806" s="124"/>
      <c r="D806" s="124"/>
      <c r="E806" s="124"/>
      <c r="F806" s="124"/>
      <c r="G806" s="124"/>
      <c r="H806" s="124"/>
      <c r="I806" s="124"/>
      <c r="J806" s="124"/>
      <c r="K806" s="124"/>
      <c r="L806" s="124"/>
      <c r="M806" s="124"/>
      <c r="N806" s="124"/>
      <c r="O806" s="124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</row>
    <row x14ac:dyDescent="0.25" r="807" customHeight="1" ht="15.75">
      <c r="A807" s="123"/>
      <c r="B807" s="123"/>
      <c r="C807" s="124"/>
      <c r="D807" s="124"/>
      <c r="E807" s="124"/>
      <c r="F807" s="124"/>
      <c r="G807" s="124"/>
      <c r="H807" s="124"/>
      <c r="I807" s="124"/>
      <c r="J807" s="124"/>
      <c r="K807" s="124"/>
      <c r="L807" s="124"/>
      <c r="M807" s="124"/>
      <c r="N807" s="124"/>
      <c r="O807" s="124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</row>
    <row x14ac:dyDescent="0.25" r="808" customHeight="1" ht="15.75">
      <c r="A808" s="123"/>
      <c r="B808" s="123"/>
      <c r="C808" s="124"/>
      <c r="D808" s="124"/>
      <c r="E808" s="124"/>
      <c r="F808" s="124"/>
      <c r="G808" s="124"/>
      <c r="H808" s="124"/>
      <c r="I808" s="124"/>
      <c r="J808" s="124"/>
      <c r="K808" s="124"/>
      <c r="L808" s="124"/>
      <c r="M808" s="124"/>
      <c r="N808" s="124"/>
      <c r="O808" s="124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</row>
    <row x14ac:dyDescent="0.25" r="809" customHeight="1" ht="15.75">
      <c r="A809" s="123"/>
      <c r="B809" s="123"/>
      <c r="C809" s="124"/>
      <c r="D809" s="124"/>
      <c r="E809" s="124"/>
      <c r="F809" s="124"/>
      <c r="G809" s="124"/>
      <c r="H809" s="124"/>
      <c r="I809" s="124"/>
      <c r="J809" s="124"/>
      <c r="K809" s="124"/>
      <c r="L809" s="124"/>
      <c r="M809" s="124"/>
      <c r="N809" s="124"/>
      <c r="O809" s="124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</row>
    <row x14ac:dyDescent="0.25" r="810" customHeight="1" ht="15.75">
      <c r="A810" s="123"/>
      <c r="B810" s="123"/>
      <c r="C810" s="124"/>
      <c r="D810" s="124"/>
      <c r="E810" s="124"/>
      <c r="F810" s="124"/>
      <c r="G810" s="124"/>
      <c r="H810" s="124"/>
      <c r="I810" s="124"/>
      <c r="J810" s="124"/>
      <c r="K810" s="124"/>
      <c r="L810" s="124"/>
      <c r="M810" s="124"/>
      <c r="N810" s="124"/>
      <c r="O810" s="124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</row>
    <row x14ac:dyDescent="0.25" r="811" customHeight="1" ht="15.75">
      <c r="A811" s="123"/>
      <c r="B811" s="123"/>
      <c r="C811" s="124"/>
      <c r="D811" s="124"/>
      <c r="E811" s="124"/>
      <c r="F811" s="124"/>
      <c r="G811" s="124"/>
      <c r="H811" s="124"/>
      <c r="I811" s="124"/>
      <c r="J811" s="124"/>
      <c r="K811" s="124"/>
      <c r="L811" s="124"/>
      <c r="M811" s="124"/>
      <c r="N811" s="124"/>
      <c r="O811" s="124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</row>
    <row x14ac:dyDescent="0.25" r="812" customHeight="1" ht="15.75">
      <c r="A812" s="123"/>
      <c r="B812" s="123"/>
      <c r="C812" s="124"/>
      <c r="D812" s="124"/>
      <c r="E812" s="124"/>
      <c r="F812" s="124"/>
      <c r="G812" s="124"/>
      <c r="H812" s="124"/>
      <c r="I812" s="124"/>
      <c r="J812" s="124"/>
      <c r="K812" s="124"/>
      <c r="L812" s="124"/>
      <c r="M812" s="124"/>
      <c r="N812" s="124"/>
      <c r="O812" s="124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</row>
    <row x14ac:dyDescent="0.25" r="813" customHeight="1" ht="15.75">
      <c r="A813" s="123"/>
      <c r="B813" s="123"/>
      <c r="C813" s="124"/>
      <c r="D813" s="124"/>
      <c r="E813" s="124"/>
      <c r="F813" s="124"/>
      <c r="G813" s="124"/>
      <c r="H813" s="124"/>
      <c r="I813" s="124"/>
      <c r="J813" s="124"/>
      <c r="K813" s="124"/>
      <c r="L813" s="124"/>
      <c r="M813" s="124"/>
      <c r="N813" s="124"/>
      <c r="O813" s="124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</row>
    <row x14ac:dyDescent="0.25" r="814" customHeight="1" ht="15.75">
      <c r="A814" s="123"/>
      <c r="B814" s="123"/>
      <c r="C814" s="124"/>
      <c r="D814" s="124"/>
      <c r="E814" s="124"/>
      <c r="F814" s="124"/>
      <c r="G814" s="124"/>
      <c r="H814" s="124"/>
      <c r="I814" s="124"/>
      <c r="J814" s="124"/>
      <c r="K814" s="124"/>
      <c r="L814" s="124"/>
      <c r="M814" s="124"/>
      <c r="N814" s="124"/>
      <c r="O814" s="124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</row>
    <row x14ac:dyDescent="0.25" r="815" customHeight="1" ht="15.75">
      <c r="A815" s="123"/>
      <c r="B815" s="123"/>
      <c r="C815" s="124"/>
      <c r="D815" s="124"/>
      <c r="E815" s="124"/>
      <c r="F815" s="124"/>
      <c r="G815" s="124"/>
      <c r="H815" s="124"/>
      <c r="I815" s="124"/>
      <c r="J815" s="124"/>
      <c r="K815" s="124"/>
      <c r="L815" s="124"/>
      <c r="M815" s="124"/>
      <c r="N815" s="124"/>
      <c r="O815" s="124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</row>
    <row x14ac:dyDescent="0.25" r="816" customHeight="1" ht="15.75">
      <c r="A816" s="123"/>
      <c r="B816" s="123"/>
      <c r="C816" s="124"/>
      <c r="D816" s="124"/>
      <c r="E816" s="124"/>
      <c r="F816" s="124"/>
      <c r="G816" s="124"/>
      <c r="H816" s="124"/>
      <c r="I816" s="124"/>
      <c r="J816" s="124"/>
      <c r="K816" s="124"/>
      <c r="L816" s="124"/>
      <c r="M816" s="124"/>
      <c r="N816" s="124"/>
      <c r="O816" s="124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</row>
    <row x14ac:dyDescent="0.25" r="817" customHeight="1" ht="15.75">
      <c r="A817" s="123"/>
      <c r="B817" s="123"/>
      <c r="C817" s="124"/>
      <c r="D817" s="124"/>
      <c r="E817" s="124"/>
      <c r="F817" s="124"/>
      <c r="G817" s="124"/>
      <c r="H817" s="124"/>
      <c r="I817" s="124"/>
      <c r="J817" s="124"/>
      <c r="K817" s="124"/>
      <c r="L817" s="124"/>
      <c r="M817" s="124"/>
      <c r="N817" s="124"/>
      <c r="O817" s="124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</row>
    <row x14ac:dyDescent="0.25" r="818" customHeight="1" ht="15.75">
      <c r="A818" s="123"/>
      <c r="B818" s="123"/>
      <c r="C818" s="124"/>
      <c r="D818" s="124"/>
      <c r="E818" s="124"/>
      <c r="F818" s="124"/>
      <c r="G818" s="124"/>
      <c r="H818" s="124"/>
      <c r="I818" s="124"/>
      <c r="J818" s="124"/>
      <c r="K818" s="124"/>
      <c r="L818" s="124"/>
      <c r="M818" s="124"/>
      <c r="N818" s="124"/>
      <c r="O818" s="124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</row>
    <row x14ac:dyDescent="0.25" r="819" customHeight="1" ht="15.75">
      <c r="A819" s="123"/>
      <c r="B819" s="123"/>
      <c r="C819" s="124"/>
      <c r="D819" s="124"/>
      <c r="E819" s="124"/>
      <c r="F819" s="124"/>
      <c r="G819" s="124"/>
      <c r="H819" s="124"/>
      <c r="I819" s="124"/>
      <c r="J819" s="124"/>
      <c r="K819" s="124"/>
      <c r="L819" s="124"/>
      <c r="M819" s="124"/>
      <c r="N819" s="124"/>
      <c r="O819" s="124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</row>
    <row x14ac:dyDescent="0.25" r="820" customHeight="1" ht="15.75">
      <c r="A820" s="123"/>
      <c r="B820" s="123"/>
      <c r="C820" s="124"/>
      <c r="D820" s="124"/>
      <c r="E820" s="124"/>
      <c r="F820" s="124"/>
      <c r="G820" s="124"/>
      <c r="H820" s="124"/>
      <c r="I820" s="124"/>
      <c r="J820" s="124"/>
      <c r="K820" s="124"/>
      <c r="L820" s="124"/>
      <c r="M820" s="124"/>
      <c r="N820" s="124"/>
      <c r="O820" s="124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</row>
    <row x14ac:dyDescent="0.25" r="821" customHeight="1" ht="15.75">
      <c r="A821" s="123"/>
      <c r="B821" s="123"/>
      <c r="C821" s="124"/>
      <c r="D821" s="124"/>
      <c r="E821" s="124"/>
      <c r="F821" s="124"/>
      <c r="G821" s="124"/>
      <c r="H821" s="124"/>
      <c r="I821" s="124"/>
      <c r="J821" s="124"/>
      <c r="K821" s="124"/>
      <c r="L821" s="124"/>
      <c r="M821" s="124"/>
      <c r="N821" s="124"/>
      <c r="O821" s="124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</row>
    <row x14ac:dyDescent="0.25" r="822" customHeight="1" ht="15.75">
      <c r="A822" s="123"/>
      <c r="B822" s="123"/>
      <c r="C822" s="124"/>
      <c r="D822" s="124"/>
      <c r="E822" s="124"/>
      <c r="F822" s="124"/>
      <c r="G822" s="124"/>
      <c r="H822" s="124"/>
      <c r="I822" s="124"/>
      <c r="J822" s="124"/>
      <c r="K822" s="124"/>
      <c r="L822" s="124"/>
      <c r="M822" s="124"/>
      <c r="N822" s="124"/>
      <c r="O822" s="124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</row>
    <row x14ac:dyDescent="0.25" r="823" customHeight="1" ht="15.75">
      <c r="A823" s="123"/>
      <c r="B823" s="123"/>
      <c r="C823" s="124"/>
      <c r="D823" s="124"/>
      <c r="E823" s="124"/>
      <c r="F823" s="124"/>
      <c r="G823" s="124"/>
      <c r="H823" s="124"/>
      <c r="I823" s="124"/>
      <c r="J823" s="124"/>
      <c r="K823" s="124"/>
      <c r="L823" s="124"/>
      <c r="M823" s="124"/>
      <c r="N823" s="124"/>
      <c r="O823" s="124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</row>
    <row x14ac:dyDescent="0.25" r="824" customHeight="1" ht="15.75">
      <c r="A824" s="123"/>
      <c r="B824" s="123"/>
      <c r="C824" s="124"/>
      <c r="D824" s="124"/>
      <c r="E824" s="124"/>
      <c r="F824" s="124"/>
      <c r="G824" s="124"/>
      <c r="H824" s="124"/>
      <c r="I824" s="124"/>
      <c r="J824" s="124"/>
      <c r="K824" s="124"/>
      <c r="L824" s="124"/>
      <c r="M824" s="124"/>
      <c r="N824" s="124"/>
      <c r="O824" s="124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</row>
    <row x14ac:dyDescent="0.25" r="825" customHeight="1" ht="15.75">
      <c r="A825" s="123"/>
      <c r="B825" s="123"/>
      <c r="C825" s="124"/>
      <c r="D825" s="124"/>
      <c r="E825" s="124"/>
      <c r="F825" s="124"/>
      <c r="G825" s="124"/>
      <c r="H825" s="124"/>
      <c r="I825" s="124"/>
      <c r="J825" s="124"/>
      <c r="K825" s="124"/>
      <c r="L825" s="124"/>
      <c r="M825" s="124"/>
      <c r="N825" s="124"/>
      <c r="O825" s="124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</row>
    <row x14ac:dyDescent="0.25" r="826" customHeight="1" ht="15.75">
      <c r="A826" s="123"/>
      <c r="B826" s="123"/>
      <c r="C826" s="124"/>
      <c r="D826" s="124"/>
      <c r="E826" s="124"/>
      <c r="F826" s="124"/>
      <c r="G826" s="124"/>
      <c r="H826" s="124"/>
      <c r="I826" s="124"/>
      <c r="J826" s="124"/>
      <c r="K826" s="124"/>
      <c r="L826" s="124"/>
      <c r="M826" s="124"/>
      <c r="N826" s="124"/>
      <c r="O826" s="124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</row>
    <row x14ac:dyDescent="0.25" r="827" customHeight="1" ht="15.75">
      <c r="A827" s="123"/>
      <c r="B827" s="123"/>
      <c r="C827" s="124"/>
      <c r="D827" s="124"/>
      <c r="E827" s="124"/>
      <c r="F827" s="124"/>
      <c r="G827" s="124"/>
      <c r="H827" s="124"/>
      <c r="I827" s="124"/>
      <c r="J827" s="124"/>
      <c r="K827" s="124"/>
      <c r="L827" s="124"/>
      <c r="M827" s="124"/>
      <c r="N827" s="124"/>
      <c r="O827" s="124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</row>
    <row x14ac:dyDescent="0.25" r="828" customHeight="1" ht="15.75">
      <c r="A828" s="123"/>
      <c r="B828" s="123"/>
      <c r="C828" s="124"/>
      <c r="D828" s="124"/>
      <c r="E828" s="124"/>
      <c r="F828" s="124"/>
      <c r="G828" s="124"/>
      <c r="H828" s="124"/>
      <c r="I828" s="124"/>
      <c r="J828" s="124"/>
      <c r="K828" s="124"/>
      <c r="L828" s="124"/>
      <c r="M828" s="124"/>
      <c r="N828" s="124"/>
      <c r="O828" s="124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</row>
    <row x14ac:dyDescent="0.25" r="829" customHeight="1" ht="15.75">
      <c r="A829" s="123"/>
      <c r="B829" s="123"/>
      <c r="C829" s="124"/>
      <c r="D829" s="124"/>
      <c r="E829" s="124"/>
      <c r="F829" s="124"/>
      <c r="G829" s="124"/>
      <c r="H829" s="124"/>
      <c r="I829" s="124"/>
      <c r="J829" s="124"/>
      <c r="K829" s="124"/>
      <c r="L829" s="124"/>
      <c r="M829" s="124"/>
      <c r="N829" s="124"/>
      <c r="O829" s="124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</row>
    <row x14ac:dyDescent="0.25" r="830" customHeight="1" ht="15.75">
      <c r="A830" s="123"/>
      <c r="B830" s="123"/>
      <c r="C830" s="124"/>
      <c r="D830" s="124"/>
      <c r="E830" s="124"/>
      <c r="F830" s="124"/>
      <c r="G830" s="124"/>
      <c r="H830" s="124"/>
      <c r="I830" s="124"/>
      <c r="J830" s="124"/>
      <c r="K830" s="124"/>
      <c r="L830" s="124"/>
      <c r="M830" s="124"/>
      <c r="N830" s="124"/>
      <c r="O830" s="124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</row>
    <row x14ac:dyDescent="0.25" r="831" customHeight="1" ht="15.75">
      <c r="A831" s="123"/>
      <c r="B831" s="123"/>
      <c r="C831" s="124"/>
      <c r="D831" s="124"/>
      <c r="E831" s="124"/>
      <c r="F831" s="124"/>
      <c r="G831" s="124"/>
      <c r="H831" s="124"/>
      <c r="I831" s="124"/>
      <c r="J831" s="124"/>
      <c r="K831" s="124"/>
      <c r="L831" s="124"/>
      <c r="M831" s="124"/>
      <c r="N831" s="124"/>
      <c r="O831" s="124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</row>
    <row x14ac:dyDescent="0.25" r="832" customHeight="1" ht="15.75">
      <c r="A832" s="123"/>
      <c r="B832" s="123"/>
      <c r="C832" s="124"/>
      <c r="D832" s="124"/>
      <c r="E832" s="124"/>
      <c r="F832" s="124"/>
      <c r="G832" s="124"/>
      <c r="H832" s="124"/>
      <c r="I832" s="124"/>
      <c r="J832" s="124"/>
      <c r="K832" s="124"/>
      <c r="L832" s="124"/>
      <c r="M832" s="124"/>
      <c r="N832" s="124"/>
      <c r="O832" s="124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</row>
    <row x14ac:dyDescent="0.25" r="833" customHeight="1" ht="15.75">
      <c r="A833" s="123"/>
      <c r="B833" s="123"/>
      <c r="C833" s="124"/>
      <c r="D833" s="124"/>
      <c r="E833" s="124"/>
      <c r="F833" s="124"/>
      <c r="G833" s="124"/>
      <c r="H833" s="124"/>
      <c r="I833" s="124"/>
      <c r="J833" s="124"/>
      <c r="K833" s="124"/>
      <c r="L833" s="124"/>
      <c r="M833" s="124"/>
      <c r="N833" s="124"/>
      <c r="O833" s="124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</row>
    <row x14ac:dyDescent="0.25" r="834" customHeight="1" ht="15.75">
      <c r="A834" s="123"/>
      <c r="B834" s="123"/>
      <c r="C834" s="124"/>
      <c r="D834" s="124"/>
      <c r="E834" s="124"/>
      <c r="F834" s="124"/>
      <c r="G834" s="124"/>
      <c r="H834" s="124"/>
      <c r="I834" s="124"/>
      <c r="J834" s="124"/>
      <c r="K834" s="124"/>
      <c r="L834" s="124"/>
      <c r="M834" s="124"/>
      <c r="N834" s="124"/>
      <c r="O834" s="124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</row>
    <row x14ac:dyDescent="0.25" r="835" customHeight="1" ht="15.75">
      <c r="A835" s="123"/>
      <c r="B835" s="123"/>
      <c r="C835" s="124"/>
      <c r="D835" s="124"/>
      <c r="E835" s="124"/>
      <c r="F835" s="124"/>
      <c r="G835" s="124"/>
      <c r="H835" s="124"/>
      <c r="I835" s="124"/>
      <c r="J835" s="124"/>
      <c r="K835" s="124"/>
      <c r="L835" s="124"/>
      <c r="M835" s="124"/>
      <c r="N835" s="124"/>
      <c r="O835" s="124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</row>
    <row x14ac:dyDescent="0.25" r="836" customHeight="1" ht="15.75">
      <c r="A836" s="123"/>
      <c r="B836" s="123"/>
      <c r="C836" s="124"/>
      <c r="D836" s="124"/>
      <c r="E836" s="124"/>
      <c r="F836" s="124"/>
      <c r="G836" s="124"/>
      <c r="H836" s="124"/>
      <c r="I836" s="124"/>
      <c r="J836" s="124"/>
      <c r="K836" s="124"/>
      <c r="L836" s="124"/>
      <c r="M836" s="124"/>
      <c r="N836" s="124"/>
      <c r="O836" s="124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</row>
    <row x14ac:dyDescent="0.25" r="837" customHeight="1" ht="15.75">
      <c r="A837" s="123"/>
      <c r="B837" s="123"/>
      <c r="C837" s="124"/>
      <c r="D837" s="124"/>
      <c r="E837" s="124"/>
      <c r="F837" s="124"/>
      <c r="G837" s="124"/>
      <c r="H837" s="124"/>
      <c r="I837" s="124"/>
      <c r="J837" s="124"/>
      <c r="K837" s="124"/>
      <c r="L837" s="124"/>
      <c r="M837" s="124"/>
      <c r="N837" s="124"/>
      <c r="O837" s="124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</row>
    <row x14ac:dyDescent="0.25" r="838" customHeight="1" ht="15.75">
      <c r="A838" s="123"/>
      <c r="B838" s="123"/>
      <c r="C838" s="124"/>
      <c r="D838" s="124"/>
      <c r="E838" s="124"/>
      <c r="F838" s="124"/>
      <c r="G838" s="124"/>
      <c r="H838" s="124"/>
      <c r="I838" s="124"/>
      <c r="J838" s="124"/>
      <c r="K838" s="124"/>
      <c r="L838" s="124"/>
      <c r="M838" s="124"/>
      <c r="N838" s="124"/>
      <c r="O838" s="124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</row>
    <row x14ac:dyDescent="0.25" r="839" customHeight="1" ht="15.75">
      <c r="A839" s="123"/>
      <c r="B839" s="123"/>
      <c r="C839" s="124"/>
      <c r="D839" s="124"/>
      <c r="E839" s="124"/>
      <c r="F839" s="124"/>
      <c r="G839" s="124"/>
      <c r="H839" s="124"/>
      <c r="I839" s="124"/>
      <c r="J839" s="124"/>
      <c r="K839" s="124"/>
      <c r="L839" s="124"/>
      <c r="M839" s="124"/>
      <c r="N839" s="124"/>
      <c r="O839" s="124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</row>
    <row x14ac:dyDescent="0.25" r="840" customHeight="1" ht="15.75">
      <c r="A840" s="123"/>
      <c r="B840" s="123"/>
      <c r="C840" s="124"/>
      <c r="D840" s="124"/>
      <c r="E840" s="124"/>
      <c r="F840" s="124"/>
      <c r="G840" s="124"/>
      <c r="H840" s="124"/>
      <c r="I840" s="124"/>
      <c r="J840" s="124"/>
      <c r="K840" s="124"/>
      <c r="L840" s="124"/>
      <c r="M840" s="124"/>
      <c r="N840" s="124"/>
      <c r="O840" s="124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</row>
    <row x14ac:dyDescent="0.25" r="841" customHeight="1" ht="15.75">
      <c r="A841" s="123"/>
      <c r="B841" s="123"/>
      <c r="C841" s="124"/>
      <c r="D841" s="124"/>
      <c r="E841" s="124"/>
      <c r="F841" s="124"/>
      <c r="G841" s="124"/>
      <c r="H841" s="124"/>
      <c r="I841" s="124"/>
      <c r="J841" s="124"/>
      <c r="K841" s="124"/>
      <c r="L841" s="124"/>
      <c r="M841" s="124"/>
      <c r="N841" s="124"/>
      <c r="O841" s="124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</row>
    <row x14ac:dyDescent="0.25" r="842" customHeight="1" ht="15.75">
      <c r="A842" s="123"/>
      <c r="B842" s="123"/>
      <c r="C842" s="124"/>
      <c r="D842" s="124"/>
      <c r="E842" s="124"/>
      <c r="F842" s="124"/>
      <c r="G842" s="124"/>
      <c r="H842" s="124"/>
      <c r="I842" s="124"/>
      <c r="J842" s="124"/>
      <c r="K842" s="124"/>
      <c r="L842" s="124"/>
      <c r="M842" s="124"/>
      <c r="N842" s="124"/>
      <c r="O842" s="124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</row>
    <row x14ac:dyDescent="0.25" r="843" customHeight="1" ht="15.75">
      <c r="A843" s="123"/>
      <c r="B843" s="123"/>
      <c r="C843" s="124"/>
      <c r="D843" s="124"/>
      <c r="E843" s="124"/>
      <c r="F843" s="124"/>
      <c r="G843" s="124"/>
      <c r="H843" s="124"/>
      <c r="I843" s="124"/>
      <c r="J843" s="124"/>
      <c r="K843" s="124"/>
      <c r="L843" s="124"/>
      <c r="M843" s="124"/>
      <c r="N843" s="124"/>
      <c r="O843" s="124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</row>
    <row x14ac:dyDescent="0.25" r="844" customHeight="1" ht="15.75">
      <c r="A844" s="123"/>
      <c r="B844" s="123"/>
      <c r="C844" s="124"/>
      <c r="D844" s="124"/>
      <c r="E844" s="124"/>
      <c r="F844" s="124"/>
      <c r="G844" s="124"/>
      <c r="H844" s="124"/>
      <c r="I844" s="124"/>
      <c r="J844" s="124"/>
      <c r="K844" s="124"/>
      <c r="L844" s="124"/>
      <c r="M844" s="124"/>
      <c r="N844" s="124"/>
      <c r="O844" s="124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</row>
    <row x14ac:dyDescent="0.25" r="845" customHeight="1" ht="15.75">
      <c r="A845" s="123"/>
      <c r="B845" s="123"/>
      <c r="C845" s="124"/>
      <c r="D845" s="124"/>
      <c r="E845" s="124"/>
      <c r="F845" s="124"/>
      <c r="G845" s="124"/>
      <c r="H845" s="124"/>
      <c r="I845" s="124"/>
      <c r="J845" s="124"/>
      <c r="K845" s="124"/>
      <c r="L845" s="124"/>
      <c r="M845" s="124"/>
      <c r="N845" s="124"/>
      <c r="O845" s="124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</row>
    <row x14ac:dyDescent="0.25" r="846" customHeight="1" ht="15.75">
      <c r="A846" s="123"/>
      <c r="B846" s="123"/>
      <c r="C846" s="124"/>
      <c r="D846" s="124"/>
      <c r="E846" s="124"/>
      <c r="F846" s="124"/>
      <c r="G846" s="124"/>
      <c r="H846" s="124"/>
      <c r="I846" s="124"/>
      <c r="J846" s="124"/>
      <c r="K846" s="124"/>
      <c r="L846" s="124"/>
      <c r="M846" s="124"/>
      <c r="N846" s="124"/>
      <c r="O846" s="124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</row>
    <row x14ac:dyDescent="0.25" r="847" customHeight="1" ht="15.75">
      <c r="A847" s="123"/>
      <c r="B847" s="123"/>
      <c r="C847" s="124"/>
      <c r="D847" s="124"/>
      <c r="E847" s="124"/>
      <c r="F847" s="124"/>
      <c r="G847" s="124"/>
      <c r="H847" s="124"/>
      <c r="I847" s="124"/>
      <c r="J847" s="124"/>
      <c r="K847" s="124"/>
      <c r="L847" s="124"/>
      <c r="M847" s="124"/>
      <c r="N847" s="124"/>
      <c r="O847" s="124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</row>
    <row x14ac:dyDescent="0.25" r="848" customHeight="1" ht="15.75">
      <c r="A848" s="123"/>
      <c r="B848" s="123"/>
      <c r="C848" s="124"/>
      <c r="D848" s="124"/>
      <c r="E848" s="124"/>
      <c r="F848" s="124"/>
      <c r="G848" s="124"/>
      <c r="H848" s="124"/>
      <c r="I848" s="124"/>
      <c r="J848" s="124"/>
      <c r="K848" s="124"/>
      <c r="L848" s="124"/>
      <c r="M848" s="124"/>
      <c r="N848" s="124"/>
      <c r="O848" s="124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</row>
    <row x14ac:dyDescent="0.25" r="849" customHeight="1" ht="15.75">
      <c r="A849" s="123"/>
      <c r="B849" s="123"/>
      <c r="C849" s="124"/>
      <c r="D849" s="124"/>
      <c r="E849" s="124"/>
      <c r="F849" s="124"/>
      <c r="G849" s="124"/>
      <c r="H849" s="124"/>
      <c r="I849" s="124"/>
      <c r="J849" s="124"/>
      <c r="K849" s="124"/>
      <c r="L849" s="124"/>
      <c r="M849" s="124"/>
      <c r="N849" s="124"/>
      <c r="O849" s="124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</row>
    <row x14ac:dyDescent="0.25" r="850" customHeight="1" ht="15.75">
      <c r="A850" s="123"/>
      <c r="B850" s="123"/>
      <c r="C850" s="124"/>
      <c r="D850" s="124"/>
      <c r="E850" s="124"/>
      <c r="F850" s="124"/>
      <c r="G850" s="124"/>
      <c r="H850" s="124"/>
      <c r="I850" s="124"/>
      <c r="J850" s="124"/>
      <c r="K850" s="124"/>
      <c r="L850" s="124"/>
      <c r="M850" s="124"/>
      <c r="N850" s="124"/>
      <c r="O850" s="124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</row>
    <row x14ac:dyDescent="0.25" r="851" customHeight="1" ht="15.75">
      <c r="A851" s="123"/>
      <c r="B851" s="123"/>
      <c r="C851" s="124"/>
      <c r="D851" s="124"/>
      <c r="E851" s="124"/>
      <c r="F851" s="124"/>
      <c r="G851" s="124"/>
      <c r="H851" s="124"/>
      <c r="I851" s="124"/>
      <c r="J851" s="124"/>
      <c r="K851" s="124"/>
      <c r="L851" s="124"/>
      <c r="M851" s="124"/>
      <c r="N851" s="124"/>
      <c r="O851" s="124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</row>
    <row x14ac:dyDescent="0.25" r="852" customHeight="1" ht="15.75">
      <c r="A852" s="123"/>
      <c r="B852" s="123"/>
      <c r="C852" s="124"/>
      <c r="D852" s="124"/>
      <c r="E852" s="124"/>
      <c r="F852" s="124"/>
      <c r="G852" s="124"/>
      <c r="H852" s="124"/>
      <c r="I852" s="124"/>
      <c r="J852" s="124"/>
      <c r="K852" s="124"/>
      <c r="L852" s="124"/>
      <c r="M852" s="124"/>
      <c r="N852" s="124"/>
      <c r="O852" s="124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</row>
    <row x14ac:dyDescent="0.25" r="853" customHeight="1" ht="15.75">
      <c r="A853" s="123"/>
      <c r="B853" s="123"/>
      <c r="C853" s="124"/>
      <c r="D853" s="124"/>
      <c r="E853" s="124"/>
      <c r="F853" s="124"/>
      <c r="G853" s="124"/>
      <c r="H853" s="124"/>
      <c r="I853" s="124"/>
      <c r="J853" s="124"/>
      <c r="K853" s="124"/>
      <c r="L853" s="124"/>
      <c r="M853" s="124"/>
      <c r="N853" s="124"/>
      <c r="O853" s="124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</row>
    <row x14ac:dyDescent="0.25" r="854" customHeight="1" ht="15.75">
      <c r="A854" s="123"/>
      <c r="B854" s="123"/>
      <c r="C854" s="124"/>
      <c r="D854" s="124"/>
      <c r="E854" s="124"/>
      <c r="F854" s="124"/>
      <c r="G854" s="124"/>
      <c r="H854" s="124"/>
      <c r="I854" s="124"/>
      <c r="J854" s="124"/>
      <c r="K854" s="124"/>
      <c r="L854" s="124"/>
      <c r="M854" s="124"/>
      <c r="N854" s="124"/>
      <c r="O854" s="124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</row>
    <row x14ac:dyDescent="0.25" r="855" customHeight="1" ht="15.75">
      <c r="A855" s="123"/>
      <c r="B855" s="123"/>
      <c r="C855" s="124"/>
      <c r="D855" s="124"/>
      <c r="E855" s="124"/>
      <c r="F855" s="124"/>
      <c r="G855" s="124"/>
      <c r="H855" s="124"/>
      <c r="I855" s="124"/>
      <c r="J855" s="124"/>
      <c r="K855" s="124"/>
      <c r="L855" s="124"/>
      <c r="M855" s="124"/>
      <c r="N855" s="124"/>
      <c r="O855" s="124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</row>
    <row x14ac:dyDescent="0.25" r="856" customHeight="1" ht="15.75">
      <c r="A856" s="123"/>
      <c r="B856" s="123"/>
      <c r="C856" s="124"/>
      <c r="D856" s="124"/>
      <c r="E856" s="124"/>
      <c r="F856" s="124"/>
      <c r="G856" s="124"/>
      <c r="H856" s="124"/>
      <c r="I856" s="124"/>
      <c r="J856" s="124"/>
      <c r="K856" s="124"/>
      <c r="L856" s="124"/>
      <c r="M856" s="124"/>
      <c r="N856" s="124"/>
      <c r="O856" s="124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</row>
    <row x14ac:dyDescent="0.25" r="857" customHeight="1" ht="15.75">
      <c r="A857" s="123"/>
      <c r="B857" s="123"/>
      <c r="C857" s="124"/>
      <c r="D857" s="124"/>
      <c r="E857" s="124"/>
      <c r="F857" s="124"/>
      <c r="G857" s="124"/>
      <c r="H857" s="124"/>
      <c r="I857" s="124"/>
      <c r="J857" s="124"/>
      <c r="K857" s="124"/>
      <c r="L857" s="124"/>
      <c r="M857" s="124"/>
      <c r="N857" s="124"/>
      <c r="O857" s="124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</row>
    <row x14ac:dyDescent="0.25" r="858" customHeight="1" ht="15.75">
      <c r="A858" s="123"/>
      <c r="B858" s="123"/>
      <c r="C858" s="124"/>
      <c r="D858" s="124"/>
      <c r="E858" s="124"/>
      <c r="F858" s="124"/>
      <c r="G858" s="124"/>
      <c r="H858" s="124"/>
      <c r="I858" s="124"/>
      <c r="J858" s="124"/>
      <c r="K858" s="124"/>
      <c r="L858" s="124"/>
      <c r="M858" s="124"/>
      <c r="N858" s="124"/>
      <c r="O858" s="124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</row>
    <row x14ac:dyDescent="0.25" r="859" customHeight="1" ht="15.75">
      <c r="A859" s="123"/>
      <c r="B859" s="123"/>
      <c r="C859" s="124"/>
      <c r="D859" s="124"/>
      <c r="E859" s="124"/>
      <c r="F859" s="124"/>
      <c r="G859" s="124"/>
      <c r="H859" s="124"/>
      <c r="I859" s="124"/>
      <c r="J859" s="124"/>
      <c r="K859" s="124"/>
      <c r="L859" s="124"/>
      <c r="M859" s="124"/>
      <c r="N859" s="124"/>
      <c r="O859" s="124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</row>
    <row x14ac:dyDescent="0.25" r="860" customHeight="1" ht="15.75">
      <c r="A860" s="123"/>
      <c r="B860" s="123"/>
      <c r="C860" s="124"/>
      <c r="D860" s="124"/>
      <c r="E860" s="124"/>
      <c r="F860" s="124"/>
      <c r="G860" s="124"/>
      <c r="H860" s="124"/>
      <c r="I860" s="124"/>
      <c r="J860" s="124"/>
      <c r="K860" s="124"/>
      <c r="L860" s="124"/>
      <c r="M860" s="124"/>
      <c r="N860" s="124"/>
      <c r="O860" s="124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</row>
    <row x14ac:dyDescent="0.25" r="861" customHeight="1" ht="15.75">
      <c r="A861" s="123"/>
      <c r="B861" s="123"/>
      <c r="C861" s="124"/>
      <c r="D861" s="124"/>
      <c r="E861" s="124"/>
      <c r="F861" s="124"/>
      <c r="G861" s="124"/>
      <c r="H861" s="124"/>
      <c r="I861" s="124"/>
      <c r="J861" s="124"/>
      <c r="K861" s="124"/>
      <c r="L861" s="124"/>
      <c r="M861" s="124"/>
      <c r="N861" s="124"/>
      <c r="O861" s="124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</row>
    <row x14ac:dyDescent="0.25" r="862" customHeight="1" ht="15.75">
      <c r="A862" s="123"/>
      <c r="B862" s="123"/>
      <c r="C862" s="124"/>
      <c r="D862" s="124"/>
      <c r="E862" s="124"/>
      <c r="F862" s="124"/>
      <c r="G862" s="124"/>
      <c r="H862" s="124"/>
      <c r="I862" s="124"/>
      <c r="J862" s="124"/>
      <c r="K862" s="124"/>
      <c r="L862" s="124"/>
      <c r="M862" s="124"/>
      <c r="N862" s="124"/>
      <c r="O862" s="124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</row>
    <row x14ac:dyDescent="0.25" r="863" customHeight="1" ht="15.75">
      <c r="A863" s="123"/>
      <c r="B863" s="123"/>
      <c r="C863" s="124"/>
      <c r="D863" s="124"/>
      <c r="E863" s="124"/>
      <c r="F863" s="124"/>
      <c r="G863" s="124"/>
      <c r="H863" s="124"/>
      <c r="I863" s="124"/>
      <c r="J863" s="124"/>
      <c r="K863" s="124"/>
      <c r="L863" s="124"/>
      <c r="M863" s="124"/>
      <c r="N863" s="124"/>
      <c r="O863" s="124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</row>
    <row x14ac:dyDescent="0.25" r="864" customHeight="1" ht="15.75">
      <c r="A864" s="123"/>
      <c r="B864" s="123"/>
      <c r="C864" s="124"/>
      <c r="D864" s="124"/>
      <c r="E864" s="124"/>
      <c r="F864" s="124"/>
      <c r="G864" s="124"/>
      <c r="H864" s="124"/>
      <c r="I864" s="124"/>
      <c r="J864" s="124"/>
      <c r="K864" s="124"/>
      <c r="L864" s="124"/>
      <c r="M864" s="124"/>
      <c r="N864" s="124"/>
      <c r="O864" s="124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</row>
    <row x14ac:dyDescent="0.25" r="865" customHeight="1" ht="15.75">
      <c r="A865" s="123"/>
      <c r="B865" s="123"/>
      <c r="C865" s="124"/>
      <c r="D865" s="124"/>
      <c r="E865" s="124"/>
      <c r="F865" s="124"/>
      <c r="G865" s="124"/>
      <c r="H865" s="124"/>
      <c r="I865" s="124"/>
      <c r="J865" s="124"/>
      <c r="K865" s="124"/>
      <c r="L865" s="124"/>
      <c r="M865" s="124"/>
      <c r="N865" s="124"/>
      <c r="O865" s="124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</row>
    <row x14ac:dyDescent="0.25" r="866" customHeight="1" ht="15.75">
      <c r="A866" s="123"/>
      <c r="B866" s="123"/>
      <c r="C866" s="124"/>
      <c r="D866" s="124"/>
      <c r="E866" s="124"/>
      <c r="F866" s="124"/>
      <c r="G866" s="124"/>
      <c r="H866" s="124"/>
      <c r="I866" s="124"/>
      <c r="J866" s="124"/>
      <c r="K866" s="124"/>
      <c r="L866" s="124"/>
      <c r="M866" s="124"/>
      <c r="N866" s="124"/>
      <c r="O866" s="124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</row>
    <row x14ac:dyDescent="0.25" r="867" customHeight="1" ht="15.75">
      <c r="A867" s="123"/>
      <c r="B867" s="123"/>
      <c r="C867" s="124"/>
      <c r="D867" s="124"/>
      <c r="E867" s="124"/>
      <c r="F867" s="124"/>
      <c r="G867" s="124"/>
      <c r="H867" s="124"/>
      <c r="I867" s="124"/>
      <c r="J867" s="124"/>
      <c r="K867" s="124"/>
      <c r="L867" s="124"/>
      <c r="M867" s="124"/>
      <c r="N867" s="124"/>
      <c r="O867" s="124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</row>
    <row x14ac:dyDescent="0.25" r="868" customHeight="1" ht="15.75">
      <c r="A868" s="123"/>
      <c r="B868" s="123"/>
      <c r="C868" s="124"/>
      <c r="D868" s="124"/>
      <c r="E868" s="124"/>
      <c r="F868" s="124"/>
      <c r="G868" s="124"/>
      <c r="H868" s="124"/>
      <c r="I868" s="124"/>
      <c r="J868" s="124"/>
      <c r="K868" s="124"/>
      <c r="L868" s="124"/>
      <c r="M868" s="124"/>
      <c r="N868" s="124"/>
      <c r="O868" s="124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</row>
    <row x14ac:dyDescent="0.25" r="869" customHeight="1" ht="15.75">
      <c r="A869" s="123"/>
      <c r="B869" s="123"/>
      <c r="C869" s="124"/>
      <c r="D869" s="124"/>
      <c r="E869" s="124"/>
      <c r="F869" s="124"/>
      <c r="G869" s="124"/>
      <c r="H869" s="124"/>
      <c r="I869" s="124"/>
      <c r="J869" s="124"/>
      <c r="K869" s="124"/>
      <c r="L869" s="124"/>
      <c r="M869" s="124"/>
      <c r="N869" s="124"/>
      <c r="O869" s="124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</row>
    <row x14ac:dyDescent="0.25" r="870" customHeight="1" ht="15.75">
      <c r="A870" s="123"/>
      <c r="B870" s="123"/>
      <c r="C870" s="124"/>
      <c r="D870" s="124"/>
      <c r="E870" s="124"/>
      <c r="F870" s="124"/>
      <c r="G870" s="124"/>
      <c r="H870" s="124"/>
      <c r="I870" s="124"/>
      <c r="J870" s="124"/>
      <c r="K870" s="124"/>
      <c r="L870" s="124"/>
      <c r="M870" s="124"/>
      <c r="N870" s="124"/>
      <c r="O870" s="124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</row>
    <row x14ac:dyDescent="0.25" r="871" customHeight="1" ht="15.75">
      <c r="A871" s="123"/>
      <c r="B871" s="123"/>
      <c r="C871" s="124"/>
      <c r="D871" s="124"/>
      <c r="E871" s="124"/>
      <c r="F871" s="124"/>
      <c r="G871" s="124"/>
      <c r="H871" s="124"/>
      <c r="I871" s="124"/>
      <c r="J871" s="124"/>
      <c r="K871" s="124"/>
      <c r="L871" s="124"/>
      <c r="M871" s="124"/>
      <c r="N871" s="124"/>
      <c r="O871" s="124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</row>
    <row x14ac:dyDescent="0.25" r="872" customHeight="1" ht="15.75">
      <c r="A872" s="123"/>
      <c r="B872" s="123"/>
      <c r="C872" s="124"/>
      <c r="D872" s="124"/>
      <c r="E872" s="124"/>
      <c r="F872" s="124"/>
      <c r="G872" s="124"/>
      <c r="H872" s="124"/>
      <c r="I872" s="124"/>
      <c r="J872" s="124"/>
      <c r="K872" s="124"/>
      <c r="L872" s="124"/>
      <c r="M872" s="124"/>
      <c r="N872" s="124"/>
      <c r="O872" s="124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</row>
    <row x14ac:dyDescent="0.25" r="873" customHeight="1" ht="15.75">
      <c r="A873" s="123"/>
      <c r="B873" s="123"/>
      <c r="C873" s="124"/>
      <c r="D873" s="124"/>
      <c r="E873" s="124"/>
      <c r="F873" s="124"/>
      <c r="G873" s="124"/>
      <c r="H873" s="124"/>
      <c r="I873" s="124"/>
      <c r="J873" s="124"/>
      <c r="K873" s="124"/>
      <c r="L873" s="124"/>
      <c r="M873" s="124"/>
      <c r="N873" s="124"/>
      <c r="O873" s="124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</row>
    <row x14ac:dyDescent="0.25" r="874" customHeight="1" ht="15.75">
      <c r="A874" s="123"/>
      <c r="B874" s="123"/>
      <c r="C874" s="124"/>
      <c r="D874" s="124"/>
      <c r="E874" s="124"/>
      <c r="F874" s="124"/>
      <c r="G874" s="124"/>
      <c r="H874" s="124"/>
      <c r="I874" s="124"/>
      <c r="J874" s="124"/>
      <c r="K874" s="124"/>
      <c r="L874" s="124"/>
      <c r="M874" s="124"/>
      <c r="N874" s="124"/>
      <c r="O874" s="124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</row>
    <row x14ac:dyDescent="0.25" r="875" customHeight="1" ht="15.75">
      <c r="A875" s="123"/>
      <c r="B875" s="123"/>
      <c r="C875" s="124"/>
      <c r="D875" s="124"/>
      <c r="E875" s="124"/>
      <c r="F875" s="124"/>
      <c r="G875" s="124"/>
      <c r="H875" s="124"/>
      <c r="I875" s="124"/>
      <c r="J875" s="124"/>
      <c r="K875" s="124"/>
      <c r="L875" s="124"/>
      <c r="M875" s="124"/>
      <c r="N875" s="124"/>
      <c r="O875" s="124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</row>
    <row x14ac:dyDescent="0.25" r="876" customHeight="1" ht="15.75">
      <c r="A876" s="123"/>
      <c r="B876" s="123"/>
      <c r="C876" s="124"/>
      <c r="D876" s="124"/>
      <c r="E876" s="124"/>
      <c r="F876" s="124"/>
      <c r="G876" s="124"/>
      <c r="H876" s="124"/>
      <c r="I876" s="124"/>
      <c r="J876" s="124"/>
      <c r="K876" s="124"/>
      <c r="L876" s="124"/>
      <c r="M876" s="124"/>
      <c r="N876" s="124"/>
      <c r="O876" s="124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</row>
    <row x14ac:dyDescent="0.25" r="877" customHeight="1" ht="15.75">
      <c r="A877" s="123"/>
      <c r="B877" s="123"/>
      <c r="C877" s="124"/>
      <c r="D877" s="124"/>
      <c r="E877" s="124"/>
      <c r="F877" s="124"/>
      <c r="G877" s="124"/>
      <c r="H877" s="124"/>
      <c r="I877" s="124"/>
      <c r="J877" s="124"/>
      <c r="K877" s="124"/>
      <c r="L877" s="124"/>
      <c r="M877" s="124"/>
      <c r="N877" s="124"/>
      <c r="O877" s="124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</row>
    <row x14ac:dyDescent="0.25" r="878" customHeight="1" ht="15.75">
      <c r="A878" s="123"/>
      <c r="B878" s="123"/>
      <c r="C878" s="124"/>
      <c r="D878" s="124"/>
      <c r="E878" s="124"/>
      <c r="F878" s="124"/>
      <c r="G878" s="124"/>
      <c r="H878" s="124"/>
      <c r="I878" s="124"/>
      <c r="J878" s="124"/>
      <c r="K878" s="124"/>
      <c r="L878" s="124"/>
      <c r="M878" s="124"/>
      <c r="N878" s="124"/>
      <c r="O878" s="124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</row>
    <row x14ac:dyDescent="0.25" r="879" customHeight="1" ht="15.75">
      <c r="A879" s="123"/>
      <c r="B879" s="123"/>
      <c r="C879" s="124"/>
      <c r="D879" s="124"/>
      <c r="E879" s="124"/>
      <c r="F879" s="124"/>
      <c r="G879" s="124"/>
      <c r="H879" s="124"/>
      <c r="I879" s="124"/>
      <c r="J879" s="124"/>
      <c r="K879" s="124"/>
      <c r="L879" s="124"/>
      <c r="M879" s="124"/>
      <c r="N879" s="124"/>
      <c r="O879" s="124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</row>
    <row x14ac:dyDescent="0.25" r="880" customHeight="1" ht="15.75">
      <c r="A880" s="123"/>
      <c r="B880" s="123"/>
      <c r="C880" s="124"/>
      <c r="D880" s="124"/>
      <c r="E880" s="124"/>
      <c r="F880" s="124"/>
      <c r="G880" s="124"/>
      <c r="H880" s="124"/>
      <c r="I880" s="124"/>
      <c r="J880" s="124"/>
      <c r="K880" s="124"/>
      <c r="L880" s="124"/>
      <c r="M880" s="124"/>
      <c r="N880" s="124"/>
      <c r="O880" s="124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</row>
    <row x14ac:dyDescent="0.25" r="881" customHeight="1" ht="15.75">
      <c r="A881" s="123"/>
      <c r="B881" s="123"/>
      <c r="C881" s="124"/>
      <c r="D881" s="124"/>
      <c r="E881" s="124"/>
      <c r="F881" s="124"/>
      <c r="G881" s="124"/>
      <c r="H881" s="124"/>
      <c r="I881" s="124"/>
      <c r="J881" s="124"/>
      <c r="K881" s="124"/>
      <c r="L881" s="124"/>
      <c r="M881" s="124"/>
      <c r="N881" s="124"/>
      <c r="O881" s="124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</row>
    <row x14ac:dyDescent="0.25" r="882" customHeight="1" ht="15.75">
      <c r="A882" s="123"/>
      <c r="B882" s="123"/>
      <c r="C882" s="124"/>
      <c r="D882" s="124"/>
      <c r="E882" s="124"/>
      <c r="F882" s="124"/>
      <c r="G882" s="124"/>
      <c r="H882" s="124"/>
      <c r="I882" s="124"/>
      <c r="J882" s="124"/>
      <c r="K882" s="124"/>
      <c r="L882" s="124"/>
      <c r="M882" s="124"/>
      <c r="N882" s="124"/>
      <c r="O882" s="124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</row>
    <row x14ac:dyDescent="0.25" r="883" customHeight="1" ht="15.75">
      <c r="A883" s="123"/>
      <c r="B883" s="123"/>
      <c r="C883" s="124"/>
      <c r="D883" s="124"/>
      <c r="E883" s="124"/>
      <c r="F883" s="124"/>
      <c r="G883" s="124"/>
      <c r="H883" s="124"/>
      <c r="I883" s="124"/>
      <c r="J883" s="124"/>
      <c r="K883" s="124"/>
      <c r="L883" s="124"/>
      <c r="M883" s="124"/>
      <c r="N883" s="124"/>
      <c r="O883" s="124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</row>
    <row x14ac:dyDescent="0.25" r="884" customHeight="1" ht="15.75">
      <c r="A884" s="123"/>
      <c r="B884" s="123"/>
      <c r="C884" s="124"/>
      <c r="D884" s="124"/>
      <c r="E884" s="124"/>
      <c r="F884" s="124"/>
      <c r="G884" s="124"/>
      <c r="H884" s="124"/>
      <c r="I884" s="124"/>
      <c r="J884" s="124"/>
      <c r="K884" s="124"/>
      <c r="L884" s="124"/>
      <c r="M884" s="124"/>
      <c r="N884" s="124"/>
      <c r="O884" s="124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</row>
    <row x14ac:dyDescent="0.25" r="885" customHeight="1" ht="15.75">
      <c r="A885" s="123"/>
      <c r="B885" s="123"/>
      <c r="C885" s="124"/>
      <c r="D885" s="124"/>
      <c r="E885" s="124"/>
      <c r="F885" s="124"/>
      <c r="G885" s="124"/>
      <c r="H885" s="124"/>
      <c r="I885" s="124"/>
      <c r="J885" s="124"/>
      <c r="K885" s="124"/>
      <c r="L885" s="124"/>
      <c r="M885" s="124"/>
      <c r="N885" s="124"/>
      <c r="O885" s="124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</row>
    <row x14ac:dyDescent="0.25" r="886" customHeight="1" ht="15.75">
      <c r="A886" s="123"/>
      <c r="B886" s="123"/>
      <c r="C886" s="124"/>
      <c r="D886" s="124"/>
      <c r="E886" s="124"/>
      <c r="F886" s="124"/>
      <c r="G886" s="124"/>
      <c r="H886" s="124"/>
      <c r="I886" s="124"/>
      <c r="J886" s="124"/>
      <c r="K886" s="124"/>
      <c r="L886" s="124"/>
      <c r="M886" s="124"/>
      <c r="N886" s="124"/>
      <c r="O886" s="124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</row>
    <row x14ac:dyDescent="0.25" r="887" customHeight="1" ht="15.75">
      <c r="A887" s="123"/>
      <c r="B887" s="123"/>
      <c r="C887" s="124"/>
      <c r="D887" s="124"/>
      <c r="E887" s="124"/>
      <c r="F887" s="124"/>
      <c r="G887" s="124"/>
      <c r="H887" s="124"/>
      <c r="I887" s="124"/>
      <c r="J887" s="124"/>
      <c r="K887" s="124"/>
      <c r="L887" s="124"/>
      <c r="M887" s="124"/>
      <c r="N887" s="124"/>
      <c r="O887" s="124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</row>
    <row x14ac:dyDescent="0.25" r="888" customHeight="1" ht="15.75">
      <c r="A888" s="123"/>
      <c r="B888" s="123"/>
      <c r="C888" s="124"/>
      <c r="D888" s="124"/>
      <c r="E888" s="124"/>
      <c r="F888" s="124"/>
      <c r="G888" s="124"/>
      <c r="H888" s="124"/>
      <c r="I888" s="124"/>
      <c r="J888" s="124"/>
      <c r="K888" s="124"/>
      <c r="L888" s="124"/>
      <c r="M888" s="124"/>
      <c r="N888" s="124"/>
      <c r="O888" s="124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</row>
    <row x14ac:dyDescent="0.25" r="889" customHeight="1" ht="15.75">
      <c r="A889" s="123"/>
      <c r="B889" s="123"/>
      <c r="C889" s="124"/>
      <c r="D889" s="124"/>
      <c r="E889" s="124"/>
      <c r="F889" s="124"/>
      <c r="G889" s="124"/>
      <c r="H889" s="124"/>
      <c r="I889" s="124"/>
      <c r="J889" s="124"/>
      <c r="K889" s="124"/>
      <c r="L889" s="124"/>
      <c r="M889" s="124"/>
      <c r="N889" s="124"/>
      <c r="O889" s="124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</row>
    <row x14ac:dyDescent="0.25" r="890" customHeight="1" ht="15.75">
      <c r="A890" s="123"/>
      <c r="B890" s="123"/>
      <c r="C890" s="124"/>
      <c r="D890" s="124"/>
      <c r="E890" s="124"/>
      <c r="F890" s="124"/>
      <c r="G890" s="124"/>
      <c r="H890" s="124"/>
      <c r="I890" s="124"/>
      <c r="J890" s="124"/>
      <c r="K890" s="124"/>
      <c r="L890" s="124"/>
      <c r="M890" s="124"/>
      <c r="N890" s="124"/>
      <c r="O890" s="124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</row>
    <row x14ac:dyDescent="0.25" r="891" customHeight="1" ht="15.75">
      <c r="A891" s="123"/>
      <c r="B891" s="123"/>
      <c r="C891" s="124"/>
      <c r="D891" s="124"/>
      <c r="E891" s="124"/>
      <c r="F891" s="124"/>
      <c r="G891" s="124"/>
      <c r="H891" s="124"/>
      <c r="I891" s="124"/>
      <c r="J891" s="124"/>
      <c r="K891" s="124"/>
      <c r="L891" s="124"/>
      <c r="M891" s="124"/>
      <c r="N891" s="124"/>
      <c r="O891" s="124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</row>
    <row x14ac:dyDescent="0.25" r="892" customHeight="1" ht="15.75">
      <c r="A892" s="123"/>
      <c r="B892" s="123"/>
      <c r="C892" s="124"/>
      <c r="D892" s="124"/>
      <c r="E892" s="124"/>
      <c r="F892" s="124"/>
      <c r="G892" s="124"/>
      <c r="H892" s="124"/>
      <c r="I892" s="124"/>
      <c r="J892" s="124"/>
      <c r="K892" s="124"/>
      <c r="L892" s="124"/>
      <c r="M892" s="124"/>
      <c r="N892" s="124"/>
      <c r="O892" s="124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</row>
    <row x14ac:dyDescent="0.25" r="893" customHeight="1" ht="15.75">
      <c r="A893" s="123"/>
      <c r="B893" s="123"/>
      <c r="C893" s="124"/>
      <c r="D893" s="124"/>
      <c r="E893" s="124"/>
      <c r="F893" s="124"/>
      <c r="G893" s="124"/>
      <c r="H893" s="124"/>
      <c r="I893" s="124"/>
      <c r="J893" s="124"/>
      <c r="K893" s="124"/>
      <c r="L893" s="124"/>
      <c r="M893" s="124"/>
      <c r="N893" s="124"/>
      <c r="O893" s="124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</row>
    <row x14ac:dyDescent="0.25" r="894" customHeight="1" ht="15.75">
      <c r="A894" s="123"/>
      <c r="B894" s="123"/>
      <c r="C894" s="124"/>
      <c r="D894" s="124"/>
      <c r="E894" s="124"/>
      <c r="F894" s="124"/>
      <c r="G894" s="124"/>
      <c r="H894" s="124"/>
      <c r="I894" s="124"/>
      <c r="J894" s="124"/>
      <c r="K894" s="124"/>
      <c r="L894" s="124"/>
      <c r="M894" s="124"/>
      <c r="N894" s="124"/>
      <c r="O894" s="124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</row>
    <row x14ac:dyDescent="0.25" r="895" customHeight="1" ht="15.75">
      <c r="A895" s="123"/>
      <c r="B895" s="123"/>
      <c r="C895" s="124"/>
      <c r="D895" s="124"/>
      <c r="E895" s="124"/>
      <c r="F895" s="124"/>
      <c r="G895" s="124"/>
      <c r="H895" s="124"/>
      <c r="I895" s="124"/>
      <c r="J895" s="124"/>
      <c r="K895" s="124"/>
      <c r="L895" s="124"/>
      <c r="M895" s="124"/>
      <c r="N895" s="124"/>
      <c r="O895" s="124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</row>
    <row x14ac:dyDescent="0.25" r="896" customHeight="1" ht="15.75">
      <c r="A896" s="123"/>
      <c r="B896" s="123"/>
      <c r="C896" s="124"/>
      <c r="D896" s="124"/>
      <c r="E896" s="124"/>
      <c r="F896" s="124"/>
      <c r="G896" s="124"/>
      <c r="H896" s="124"/>
      <c r="I896" s="124"/>
      <c r="J896" s="124"/>
      <c r="K896" s="124"/>
      <c r="L896" s="124"/>
      <c r="M896" s="124"/>
      <c r="N896" s="124"/>
      <c r="O896" s="124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</row>
    <row x14ac:dyDescent="0.25" r="897" customHeight="1" ht="15.75">
      <c r="A897" s="123"/>
      <c r="B897" s="123"/>
      <c r="C897" s="124"/>
      <c r="D897" s="124"/>
      <c r="E897" s="124"/>
      <c r="F897" s="124"/>
      <c r="G897" s="124"/>
      <c r="H897" s="124"/>
      <c r="I897" s="124"/>
      <c r="J897" s="124"/>
      <c r="K897" s="124"/>
      <c r="L897" s="124"/>
      <c r="M897" s="124"/>
      <c r="N897" s="124"/>
      <c r="O897" s="124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</row>
    <row x14ac:dyDescent="0.25" r="898" customHeight="1" ht="15.75">
      <c r="A898" s="123"/>
      <c r="B898" s="123"/>
      <c r="C898" s="124"/>
      <c r="D898" s="124"/>
      <c r="E898" s="124"/>
      <c r="F898" s="124"/>
      <c r="G898" s="124"/>
      <c r="H898" s="124"/>
      <c r="I898" s="124"/>
      <c r="J898" s="124"/>
      <c r="K898" s="124"/>
      <c r="L898" s="124"/>
      <c r="M898" s="124"/>
      <c r="N898" s="124"/>
      <c r="O898" s="124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</row>
    <row x14ac:dyDescent="0.25" r="899" customHeight="1" ht="15.75">
      <c r="A899" s="123"/>
      <c r="B899" s="123"/>
      <c r="C899" s="124"/>
      <c r="D899" s="124"/>
      <c r="E899" s="124"/>
      <c r="F899" s="124"/>
      <c r="G899" s="124"/>
      <c r="H899" s="124"/>
      <c r="I899" s="124"/>
      <c r="J899" s="124"/>
      <c r="K899" s="124"/>
      <c r="L899" s="124"/>
      <c r="M899" s="124"/>
      <c r="N899" s="124"/>
      <c r="O899" s="124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</row>
    <row x14ac:dyDescent="0.25" r="900" customHeight="1" ht="15.75">
      <c r="A900" s="123"/>
      <c r="B900" s="123"/>
      <c r="C900" s="124"/>
      <c r="D900" s="124"/>
      <c r="E900" s="124"/>
      <c r="F900" s="124"/>
      <c r="G900" s="124"/>
      <c r="H900" s="124"/>
      <c r="I900" s="124"/>
      <c r="J900" s="124"/>
      <c r="K900" s="124"/>
      <c r="L900" s="124"/>
      <c r="M900" s="124"/>
      <c r="N900" s="124"/>
      <c r="O900" s="124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</row>
    <row x14ac:dyDescent="0.25" r="901" customHeight="1" ht="15.75">
      <c r="A901" s="123"/>
      <c r="B901" s="123"/>
      <c r="C901" s="124"/>
      <c r="D901" s="124"/>
      <c r="E901" s="124"/>
      <c r="F901" s="124"/>
      <c r="G901" s="124"/>
      <c r="H901" s="124"/>
      <c r="I901" s="124"/>
      <c r="J901" s="124"/>
      <c r="K901" s="124"/>
      <c r="L901" s="124"/>
      <c r="M901" s="124"/>
      <c r="N901" s="124"/>
      <c r="O901" s="124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</row>
    <row x14ac:dyDescent="0.25" r="902" customHeight="1" ht="15.75">
      <c r="A902" s="123"/>
      <c r="B902" s="123"/>
      <c r="C902" s="124"/>
      <c r="D902" s="124"/>
      <c r="E902" s="124"/>
      <c r="F902" s="124"/>
      <c r="G902" s="124"/>
      <c r="H902" s="124"/>
      <c r="I902" s="124"/>
      <c r="J902" s="124"/>
      <c r="K902" s="124"/>
      <c r="L902" s="124"/>
      <c r="M902" s="124"/>
      <c r="N902" s="124"/>
      <c r="O902" s="124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</row>
    <row x14ac:dyDescent="0.25" r="903" customHeight="1" ht="15.75">
      <c r="A903" s="123"/>
      <c r="B903" s="123"/>
      <c r="C903" s="124"/>
      <c r="D903" s="124"/>
      <c r="E903" s="124"/>
      <c r="F903" s="124"/>
      <c r="G903" s="124"/>
      <c r="H903" s="124"/>
      <c r="I903" s="124"/>
      <c r="J903" s="124"/>
      <c r="K903" s="124"/>
      <c r="L903" s="124"/>
      <c r="M903" s="124"/>
      <c r="N903" s="124"/>
      <c r="O903" s="124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</row>
    <row x14ac:dyDescent="0.25" r="904" customHeight="1" ht="15.75">
      <c r="A904" s="123"/>
      <c r="B904" s="123"/>
      <c r="C904" s="124"/>
      <c r="D904" s="124"/>
      <c r="E904" s="124"/>
      <c r="F904" s="124"/>
      <c r="G904" s="124"/>
      <c r="H904" s="124"/>
      <c r="I904" s="124"/>
      <c r="J904" s="124"/>
      <c r="K904" s="124"/>
      <c r="L904" s="124"/>
      <c r="M904" s="124"/>
      <c r="N904" s="124"/>
      <c r="O904" s="124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</row>
    <row x14ac:dyDescent="0.25" r="905" customHeight="1" ht="15.75">
      <c r="A905" s="123"/>
      <c r="B905" s="123"/>
      <c r="C905" s="124"/>
      <c r="D905" s="124"/>
      <c r="E905" s="124"/>
      <c r="F905" s="124"/>
      <c r="G905" s="124"/>
      <c r="H905" s="124"/>
      <c r="I905" s="124"/>
      <c r="J905" s="124"/>
      <c r="K905" s="124"/>
      <c r="L905" s="124"/>
      <c r="M905" s="124"/>
      <c r="N905" s="124"/>
      <c r="O905" s="124"/>
      <c r="P905" s="113"/>
      <c r="Q905" s="113"/>
      <c r="R905" s="113"/>
      <c r="S905" s="113"/>
      <c r="T905" s="113"/>
      <c r="U905" s="113"/>
      <c r="V905" s="113"/>
      <c r="W905" s="113"/>
      <c r="X905" s="113"/>
      <c r="Y905" s="113"/>
      <c r="Z905" s="113"/>
    </row>
    <row x14ac:dyDescent="0.25" r="906" customHeight="1" ht="15.75">
      <c r="A906" s="123"/>
      <c r="B906" s="123"/>
      <c r="C906" s="124"/>
      <c r="D906" s="124"/>
      <c r="E906" s="124"/>
      <c r="F906" s="124"/>
      <c r="G906" s="124"/>
      <c r="H906" s="124"/>
      <c r="I906" s="124"/>
      <c r="J906" s="124"/>
      <c r="K906" s="124"/>
      <c r="L906" s="124"/>
      <c r="M906" s="124"/>
      <c r="N906" s="124"/>
      <c r="O906" s="124"/>
      <c r="P906" s="113"/>
      <c r="Q906" s="113"/>
      <c r="R906" s="113"/>
      <c r="S906" s="113"/>
      <c r="T906" s="113"/>
      <c r="U906" s="113"/>
      <c r="V906" s="113"/>
      <c r="W906" s="113"/>
      <c r="X906" s="113"/>
      <c r="Y906" s="113"/>
      <c r="Z906" s="113"/>
    </row>
    <row x14ac:dyDescent="0.25" r="907" customHeight="1" ht="15.75">
      <c r="A907" s="123"/>
      <c r="B907" s="123"/>
      <c r="C907" s="124"/>
      <c r="D907" s="124"/>
      <c r="E907" s="124"/>
      <c r="F907" s="124"/>
      <c r="G907" s="124"/>
      <c r="H907" s="124"/>
      <c r="I907" s="124"/>
      <c r="J907" s="124"/>
      <c r="K907" s="124"/>
      <c r="L907" s="124"/>
      <c r="M907" s="124"/>
      <c r="N907" s="124"/>
      <c r="O907" s="124"/>
      <c r="P907" s="113"/>
      <c r="Q907" s="113"/>
      <c r="R907" s="113"/>
      <c r="S907" s="113"/>
      <c r="T907" s="113"/>
      <c r="U907" s="113"/>
      <c r="V907" s="113"/>
      <c r="W907" s="113"/>
      <c r="X907" s="113"/>
      <c r="Y907" s="113"/>
      <c r="Z907" s="113"/>
    </row>
    <row x14ac:dyDescent="0.25" r="908" customHeight="1" ht="15.75">
      <c r="A908" s="123"/>
      <c r="B908" s="123"/>
      <c r="C908" s="124"/>
      <c r="D908" s="124"/>
      <c r="E908" s="124"/>
      <c r="F908" s="124"/>
      <c r="G908" s="124"/>
      <c r="H908" s="124"/>
      <c r="I908" s="124"/>
      <c r="J908" s="124"/>
      <c r="K908" s="124"/>
      <c r="L908" s="124"/>
      <c r="M908" s="124"/>
      <c r="N908" s="124"/>
      <c r="O908" s="124"/>
      <c r="P908" s="113"/>
      <c r="Q908" s="113"/>
      <c r="R908" s="113"/>
      <c r="S908" s="113"/>
      <c r="T908" s="113"/>
      <c r="U908" s="113"/>
      <c r="V908" s="113"/>
      <c r="W908" s="113"/>
      <c r="X908" s="113"/>
      <c r="Y908" s="113"/>
      <c r="Z908" s="113"/>
    </row>
    <row x14ac:dyDescent="0.25" r="909" customHeight="1" ht="15.75">
      <c r="A909" s="123"/>
      <c r="B909" s="123"/>
      <c r="C909" s="124"/>
      <c r="D909" s="124"/>
      <c r="E909" s="124"/>
      <c r="F909" s="124"/>
      <c r="G909" s="124"/>
      <c r="H909" s="124"/>
      <c r="I909" s="124"/>
      <c r="J909" s="124"/>
      <c r="K909" s="124"/>
      <c r="L909" s="124"/>
      <c r="M909" s="124"/>
      <c r="N909" s="124"/>
      <c r="O909" s="124"/>
      <c r="P909" s="113"/>
      <c r="Q909" s="113"/>
      <c r="R909" s="113"/>
      <c r="S909" s="113"/>
      <c r="T909" s="113"/>
      <c r="U909" s="113"/>
      <c r="V909" s="113"/>
      <c r="W909" s="113"/>
      <c r="X909" s="113"/>
      <c r="Y909" s="113"/>
      <c r="Z909" s="113"/>
    </row>
    <row x14ac:dyDescent="0.25" r="910" customHeight="1" ht="15.75">
      <c r="A910" s="123"/>
      <c r="B910" s="123"/>
      <c r="C910" s="124"/>
      <c r="D910" s="124"/>
      <c r="E910" s="124"/>
      <c r="F910" s="124"/>
      <c r="G910" s="124"/>
      <c r="H910" s="124"/>
      <c r="I910" s="124"/>
      <c r="J910" s="124"/>
      <c r="K910" s="124"/>
      <c r="L910" s="124"/>
      <c r="M910" s="124"/>
      <c r="N910" s="124"/>
      <c r="O910" s="124"/>
      <c r="P910" s="113"/>
      <c r="Q910" s="113"/>
      <c r="R910" s="113"/>
      <c r="S910" s="113"/>
      <c r="T910" s="113"/>
      <c r="U910" s="113"/>
      <c r="V910" s="113"/>
      <c r="W910" s="113"/>
      <c r="X910" s="113"/>
      <c r="Y910" s="113"/>
      <c r="Z910" s="113"/>
    </row>
    <row x14ac:dyDescent="0.25" r="911" customHeight="1" ht="15.75">
      <c r="A911" s="123"/>
      <c r="B911" s="123"/>
      <c r="C911" s="124"/>
      <c r="D911" s="124"/>
      <c r="E911" s="124"/>
      <c r="F911" s="124"/>
      <c r="G911" s="124"/>
      <c r="H911" s="124"/>
      <c r="I911" s="124"/>
      <c r="J911" s="124"/>
      <c r="K911" s="124"/>
      <c r="L911" s="124"/>
      <c r="M911" s="124"/>
      <c r="N911" s="124"/>
      <c r="O911" s="124"/>
      <c r="P911" s="113"/>
      <c r="Q911" s="113"/>
      <c r="R911" s="113"/>
      <c r="S911" s="113"/>
      <c r="T911" s="113"/>
      <c r="U911" s="113"/>
      <c r="V911" s="113"/>
      <c r="W911" s="113"/>
      <c r="X911" s="113"/>
      <c r="Y911" s="113"/>
      <c r="Z911" s="113"/>
    </row>
    <row x14ac:dyDescent="0.25" r="912" customHeight="1" ht="15.75">
      <c r="A912" s="123"/>
      <c r="B912" s="123"/>
      <c r="C912" s="124"/>
      <c r="D912" s="124"/>
      <c r="E912" s="124"/>
      <c r="F912" s="124"/>
      <c r="G912" s="124"/>
      <c r="H912" s="124"/>
      <c r="I912" s="124"/>
      <c r="J912" s="124"/>
      <c r="K912" s="124"/>
      <c r="L912" s="124"/>
      <c r="M912" s="124"/>
      <c r="N912" s="124"/>
      <c r="O912" s="124"/>
      <c r="P912" s="113"/>
      <c r="Q912" s="113"/>
      <c r="R912" s="113"/>
      <c r="S912" s="113"/>
      <c r="T912" s="113"/>
      <c r="U912" s="113"/>
      <c r="V912" s="113"/>
      <c r="W912" s="113"/>
      <c r="X912" s="113"/>
      <c r="Y912" s="113"/>
      <c r="Z912" s="113"/>
    </row>
    <row x14ac:dyDescent="0.25" r="913" customHeight="1" ht="15.75">
      <c r="A913" s="123"/>
      <c r="B913" s="123"/>
      <c r="C913" s="124"/>
      <c r="D913" s="124"/>
      <c r="E913" s="124"/>
      <c r="F913" s="124"/>
      <c r="G913" s="124"/>
      <c r="H913" s="124"/>
      <c r="I913" s="124"/>
      <c r="J913" s="124"/>
      <c r="K913" s="124"/>
      <c r="L913" s="124"/>
      <c r="M913" s="124"/>
      <c r="N913" s="124"/>
      <c r="O913" s="124"/>
      <c r="P913" s="113"/>
      <c r="Q913" s="113"/>
      <c r="R913" s="113"/>
      <c r="S913" s="113"/>
      <c r="T913" s="113"/>
      <c r="U913" s="113"/>
      <c r="V913" s="113"/>
      <c r="W913" s="113"/>
      <c r="X913" s="113"/>
      <c r="Y913" s="113"/>
      <c r="Z913" s="113"/>
    </row>
    <row x14ac:dyDescent="0.25" r="914" customHeight="1" ht="15.75">
      <c r="A914" s="123"/>
      <c r="B914" s="123"/>
      <c r="C914" s="124"/>
      <c r="D914" s="124"/>
      <c r="E914" s="124"/>
      <c r="F914" s="124"/>
      <c r="G914" s="124"/>
      <c r="H914" s="124"/>
      <c r="I914" s="124"/>
      <c r="J914" s="124"/>
      <c r="K914" s="124"/>
      <c r="L914" s="124"/>
      <c r="M914" s="124"/>
      <c r="N914" s="124"/>
      <c r="O914" s="124"/>
      <c r="P914" s="113"/>
      <c r="Q914" s="113"/>
      <c r="R914" s="113"/>
      <c r="S914" s="113"/>
      <c r="T914" s="113"/>
      <c r="U914" s="113"/>
      <c r="V914" s="113"/>
      <c r="W914" s="113"/>
      <c r="X914" s="113"/>
      <c r="Y914" s="113"/>
      <c r="Z914" s="113"/>
    </row>
    <row x14ac:dyDescent="0.25" r="915" customHeight="1" ht="15.75">
      <c r="A915" s="123"/>
      <c r="B915" s="123"/>
      <c r="C915" s="124"/>
      <c r="D915" s="124"/>
      <c r="E915" s="124"/>
      <c r="F915" s="124"/>
      <c r="G915" s="124"/>
      <c r="H915" s="124"/>
      <c r="I915" s="124"/>
      <c r="J915" s="124"/>
      <c r="K915" s="124"/>
      <c r="L915" s="124"/>
      <c r="M915" s="124"/>
      <c r="N915" s="124"/>
      <c r="O915" s="124"/>
      <c r="P915" s="113"/>
      <c r="Q915" s="113"/>
      <c r="R915" s="113"/>
      <c r="S915" s="113"/>
      <c r="T915" s="113"/>
      <c r="U915" s="113"/>
      <c r="V915" s="113"/>
      <c r="W915" s="113"/>
      <c r="X915" s="113"/>
      <c r="Y915" s="113"/>
      <c r="Z915" s="113"/>
    </row>
    <row x14ac:dyDescent="0.25" r="916" customHeight="1" ht="15.75">
      <c r="A916" s="123"/>
      <c r="B916" s="123"/>
      <c r="C916" s="124"/>
      <c r="D916" s="124"/>
      <c r="E916" s="124"/>
      <c r="F916" s="124"/>
      <c r="G916" s="124"/>
      <c r="H916" s="124"/>
      <c r="I916" s="124"/>
      <c r="J916" s="124"/>
      <c r="K916" s="124"/>
      <c r="L916" s="124"/>
      <c r="M916" s="124"/>
      <c r="N916" s="124"/>
      <c r="O916" s="124"/>
      <c r="P916" s="113"/>
      <c r="Q916" s="113"/>
      <c r="R916" s="113"/>
      <c r="S916" s="113"/>
      <c r="T916" s="113"/>
      <c r="U916" s="113"/>
      <c r="V916" s="113"/>
      <c r="W916" s="113"/>
      <c r="X916" s="113"/>
      <c r="Y916" s="113"/>
      <c r="Z916" s="113"/>
    </row>
    <row x14ac:dyDescent="0.25" r="917" customHeight="1" ht="15.75">
      <c r="A917" s="123"/>
      <c r="B917" s="123"/>
      <c r="C917" s="124"/>
      <c r="D917" s="124"/>
      <c r="E917" s="124"/>
      <c r="F917" s="124"/>
      <c r="G917" s="124"/>
      <c r="H917" s="124"/>
      <c r="I917" s="124"/>
      <c r="J917" s="124"/>
      <c r="K917" s="124"/>
      <c r="L917" s="124"/>
      <c r="M917" s="124"/>
      <c r="N917" s="124"/>
      <c r="O917" s="124"/>
      <c r="P917" s="113"/>
      <c r="Q917" s="113"/>
      <c r="R917" s="113"/>
      <c r="S917" s="113"/>
      <c r="T917" s="113"/>
      <c r="U917" s="113"/>
      <c r="V917" s="113"/>
      <c r="W917" s="113"/>
      <c r="X917" s="113"/>
      <c r="Y917" s="113"/>
      <c r="Z917" s="113"/>
    </row>
    <row x14ac:dyDescent="0.25" r="918" customHeight="1" ht="15.75">
      <c r="A918" s="123"/>
      <c r="B918" s="123"/>
      <c r="C918" s="124"/>
      <c r="D918" s="124"/>
      <c r="E918" s="124"/>
      <c r="F918" s="124"/>
      <c r="G918" s="124"/>
      <c r="H918" s="124"/>
      <c r="I918" s="124"/>
      <c r="J918" s="124"/>
      <c r="K918" s="124"/>
      <c r="L918" s="124"/>
      <c r="M918" s="124"/>
      <c r="N918" s="124"/>
      <c r="O918" s="124"/>
      <c r="P918" s="113"/>
      <c r="Q918" s="113"/>
      <c r="R918" s="113"/>
      <c r="S918" s="113"/>
      <c r="T918" s="113"/>
      <c r="U918" s="113"/>
      <c r="V918" s="113"/>
      <c r="W918" s="113"/>
      <c r="X918" s="113"/>
      <c r="Y918" s="113"/>
      <c r="Z918" s="113"/>
    </row>
    <row x14ac:dyDescent="0.25" r="919" customHeight="1" ht="15.75">
      <c r="A919" s="123"/>
      <c r="B919" s="123"/>
      <c r="C919" s="124"/>
      <c r="D919" s="124"/>
      <c r="E919" s="124"/>
      <c r="F919" s="124"/>
      <c r="G919" s="124"/>
      <c r="H919" s="124"/>
      <c r="I919" s="124"/>
      <c r="J919" s="124"/>
      <c r="K919" s="124"/>
      <c r="L919" s="124"/>
      <c r="M919" s="124"/>
      <c r="N919" s="124"/>
      <c r="O919" s="124"/>
      <c r="P919" s="113"/>
      <c r="Q919" s="113"/>
      <c r="R919" s="113"/>
      <c r="S919" s="113"/>
      <c r="T919" s="113"/>
      <c r="U919" s="113"/>
      <c r="V919" s="113"/>
      <c r="W919" s="113"/>
      <c r="X919" s="113"/>
      <c r="Y919" s="113"/>
      <c r="Z919" s="113"/>
    </row>
    <row x14ac:dyDescent="0.25" r="920" customHeight="1" ht="15.75">
      <c r="A920" s="123"/>
      <c r="B920" s="123"/>
      <c r="C920" s="124"/>
      <c r="D920" s="124"/>
      <c r="E920" s="124"/>
      <c r="F920" s="124"/>
      <c r="G920" s="124"/>
      <c r="H920" s="124"/>
      <c r="I920" s="124"/>
      <c r="J920" s="124"/>
      <c r="K920" s="124"/>
      <c r="L920" s="124"/>
      <c r="M920" s="124"/>
      <c r="N920" s="124"/>
      <c r="O920" s="124"/>
      <c r="P920" s="113"/>
      <c r="Q920" s="113"/>
      <c r="R920" s="113"/>
      <c r="S920" s="113"/>
      <c r="T920" s="113"/>
      <c r="U920" s="113"/>
      <c r="V920" s="113"/>
      <c r="W920" s="113"/>
      <c r="X920" s="113"/>
      <c r="Y920" s="113"/>
      <c r="Z920" s="113"/>
    </row>
    <row x14ac:dyDescent="0.25" r="921" customHeight="1" ht="15.75">
      <c r="A921" s="123"/>
      <c r="B921" s="123"/>
      <c r="C921" s="124"/>
      <c r="D921" s="124"/>
      <c r="E921" s="124"/>
      <c r="F921" s="124"/>
      <c r="G921" s="124"/>
      <c r="H921" s="124"/>
      <c r="I921" s="124"/>
      <c r="J921" s="124"/>
      <c r="K921" s="124"/>
      <c r="L921" s="124"/>
      <c r="M921" s="124"/>
      <c r="N921" s="124"/>
      <c r="O921" s="124"/>
      <c r="P921" s="113"/>
      <c r="Q921" s="113"/>
      <c r="R921" s="113"/>
      <c r="S921" s="113"/>
      <c r="T921" s="113"/>
      <c r="U921" s="113"/>
      <c r="V921" s="113"/>
      <c r="W921" s="113"/>
      <c r="X921" s="113"/>
      <c r="Y921" s="113"/>
      <c r="Z921" s="113"/>
    </row>
    <row x14ac:dyDescent="0.25" r="922" customHeight="1" ht="15.75">
      <c r="A922" s="123"/>
      <c r="B922" s="123"/>
      <c r="C922" s="124"/>
      <c r="D922" s="124"/>
      <c r="E922" s="124"/>
      <c r="F922" s="124"/>
      <c r="G922" s="124"/>
      <c r="H922" s="124"/>
      <c r="I922" s="124"/>
      <c r="J922" s="124"/>
      <c r="K922" s="124"/>
      <c r="L922" s="124"/>
      <c r="M922" s="124"/>
      <c r="N922" s="124"/>
      <c r="O922" s="124"/>
      <c r="P922" s="113"/>
      <c r="Q922" s="113"/>
      <c r="R922" s="113"/>
      <c r="S922" s="113"/>
      <c r="T922" s="113"/>
      <c r="U922" s="113"/>
      <c r="V922" s="113"/>
      <c r="W922" s="113"/>
      <c r="X922" s="113"/>
      <c r="Y922" s="113"/>
      <c r="Z922" s="113"/>
    </row>
    <row x14ac:dyDescent="0.25" r="923" customHeight="1" ht="15.75">
      <c r="A923" s="123"/>
      <c r="B923" s="123"/>
      <c r="C923" s="124"/>
      <c r="D923" s="124"/>
      <c r="E923" s="124"/>
      <c r="F923" s="124"/>
      <c r="G923" s="124"/>
      <c r="H923" s="124"/>
      <c r="I923" s="124"/>
      <c r="J923" s="124"/>
      <c r="K923" s="124"/>
      <c r="L923" s="124"/>
      <c r="M923" s="124"/>
      <c r="N923" s="124"/>
      <c r="O923" s="124"/>
      <c r="P923" s="113"/>
      <c r="Q923" s="113"/>
      <c r="R923" s="113"/>
      <c r="S923" s="113"/>
      <c r="T923" s="113"/>
      <c r="U923" s="113"/>
      <c r="V923" s="113"/>
      <c r="W923" s="113"/>
      <c r="X923" s="113"/>
      <c r="Y923" s="113"/>
      <c r="Z923" s="113"/>
    </row>
    <row x14ac:dyDescent="0.25" r="924" customHeight="1" ht="15.75">
      <c r="A924" s="123"/>
      <c r="B924" s="123"/>
      <c r="C924" s="124"/>
      <c r="D924" s="124"/>
      <c r="E924" s="124"/>
      <c r="F924" s="124"/>
      <c r="G924" s="124"/>
      <c r="H924" s="124"/>
      <c r="I924" s="124"/>
      <c r="J924" s="124"/>
      <c r="K924" s="124"/>
      <c r="L924" s="124"/>
      <c r="M924" s="124"/>
      <c r="N924" s="124"/>
      <c r="O924" s="124"/>
      <c r="P924" s="113"/>
      <c r="Q924" s="113"/>
      <c r="R924" s="113"/>
      <c r="S924" s="113"/>
      <c r="T924" s="113"/>
      <c r="U924" s="113"/>
      <c r="V924" s="113"/>
      <c r="W924" s="113"/>
      <c r="X924" s="113"/>
      <c r="Y924" s="113"/>
      <c r="Z924" s="113"/>
    </row>
    <row x14ac:dyDescent="0.25" r="925" customHeight="1" ht="15.75">
      <c r="A925" s="123"/>
      <c r="B925" s="123"/>
      <c r="C925" s="124"/>
      <c r="D925" s="124"/>
      <c r="E925" s="124"/>
      <c r="F925" s="124"/>
      <c r="G925" s="124"/>
      <c r="H925" s="124"/>
      <c r="I925" s="124"/>
      <c r="J925" s="124"/>
      <c r="K925" s="124"/>
      <c r="L925" s="124"/>
      <c r="M925" s="124"/>
      <c r="N925" s="124"/>
      <c r="O925" s="124"/>
      <c r="P925" s="113"/>
      <c r="Q925" s="113"/>
      <c r="R925" s="113"/>
      <c r="S925" s="113"/>
      <c r="T925" s="113"/>
      <c r="U925" s="113"/>
      <c r="V925" s="113"/>
      <c r="W925" s="113"/>
      <c r="X925" s="113"/>
      <c r="Y925" s="113"/>
      <c r="Z925" s="113"/>
    </row>
    <row x14ac:dyDescent="0.25" r="926" customHeight="1" ht="15.75">
      <c r="A926" s="123"/>
      <c r="B926" s="123"/>
      <c r="C926" s="124"/>
      <c r="D926" s="124"/>
      <c r="E926" s="124"/>
      <c r="F926" s="124"/>
      <c r="G926" s="124"/>
      <c r="H926" s="124"/>
      <c r="I926" s="124"/>
      <c r="J926" s="124"/>
      <c r="K926" s="124"/>
      <c r="L926" s="124"/>
      <c r="M926" s="124"/>
      <c r="N926" s="124"/>
      <c r="O926" s="124"/>
      <c r="P926" s="113"/>
      <c r="Q926" s="113"/>
      <c r="R926" s="113"/>
      <c r="S926" s="113"/>
      <c r="T926" s="113"/>
      <c r="U926" s="113"/>
      <c r="V926" s="113"/>
      <c r="W926" s="113"/>
      <c r="X926" s="113"/>
      <c r="Y926" s="113"/>
      <c r="Z926" s="113"/>
    </row>
    <row x14ac:dyDescent="0.25" r="927" customHeight="1" ht="15.75">
      <c r="A927" s="123"/>
      <c r="B927" s="123"/>
      <c r="C927" s="124"/>
      <c r="D927" s="124"/>
      <c r="E927" s="124"/>
      <c r="F927" s="124"/>
      <c r="G927" s="124"/>
      <c r="H927" s="124"/>
      <c r="I927" s="124"/>
      <c r="J927" s="124"/>
      <c r="K927" s="124"/>
      <c r="L927" s="124"/>
      <c r="M927" s="124"/>
      <c r="N927" s="124"/>
      <c r="O927" s="124"/>
      <c r="P927" s="113"/>
      <c r="Q927" s="113"/>
      <c r="R927" s="113"/>
      <c r="S927" s="113"/>
      <c r="T927" s="113"/>
      <c r="U927" s="113"/>
      <c r="V927" s="113"/>
      <c r="W927" s="113"/>
      <c r="X927" s="113"/>
      <c r="Y927" s="113"/>
      <c r="Z927" s="113"/>
    </row>
    <row x14ac:dyDescent="0.25" r="928" customHeight="1" ht="15.75">
      <c r="A928" s="123"/>
      <c r="B928" s="123"/>
      <c r="C928" s="124"/>
      <c r="D928" s="124"/>
      <c r="E928" s="124"/>
      <c r="F928" s="124"/>
      <c r="G928" s="124"/>
      <c r="H928" s="124"/>
      <c r="I928" s="124"/>
      <c r="J928" s="124"/>
      <c r="K928" s="124"/>
      <c r="L928" s="124"/>
      <c r="M928" s="124"/>
      <c r="N928" s="124"/>
      <c r="O928" s="124"/>
      <c r="P928" s="113"/>
      <c r="Q928" s="113"/>
      <c r="R928" s="113"/>
      <c r="S928" s="113"/>
      <c r="T928" s="113"/>
      <c r="U928" s="113"/>
      <c r="V928" s="113"/>
      <c r="W928" s="113"/>
      <c r="X928" s="113"/>
      <c r="Y928" s="113"/>
      <c r="Z928" s="113"/>
    </row>
    <row x14ac:dyDescent="0.25" r="929" customHeight="1" ht="15.75">
      <c r="A929" s="123"/>
      <c r="B929" s="123"/>
      <c r="C929" s="124"/>
      <c r="D929" s="124"/>
      <c r="E929" s="124"/>
      <c r="F929" s="124"/>
      <c r="G929" s="124"/>
      <c r="H929" s="124"/>
      <c r="I929" s="124"/>
      <c r="J929" s="124"/>
      <c r="K929" s="124"/>
      <c r="L929" s="124"/>
      <c r="M929" s="124"/>
      <c r="N929" s="124"/>
      <c r="O929" s="124"/>
      <c r="P929" s="113"/>
      <c r="Q929" s="113"/>
      <c r="R929" s="113"/>
      <c r="S929" s="113"/>
      <c r="T929" s="113"/>
      <c r="U929" s="113"/>
      <c r="V929" s="113"/>
      <c r="W929" s="113"/>
      <c r="X929" s="113"/>
      <c r="Y929" s="113"/>
      <c r="Z929" s="113"/>
    </row>
    <row x14ac:dyDescent="0.25" r="930" customHeight="1" ht="15.75">
      <c r="A930" s="123"/>
      <c r="B930" s="123"/>
      <c r="C930" s="124"/>
      <c r="D930" s="124"/>
      <c r="E930" s="124"/>
      <c r="F930" s="124"/>
      <c r="G930" s="124"/>
      <c r="H930" s="124"/>
      <c r="I930" s="124"/>
      <c r="J930" s="124"/>
      <c r="K930" s="124"/>
      <c r="L930" s="124"/>
      <c r="M930" s="124"/>
      <c r="N930" s="124"/>
      <c r="O930" s="124"/>
      <c r="P930" s="113"/>
      <c r="Q930" s="113"/>
      <c r="R930" s="113"/>
      <c r="S930" s="113"/>
      <c r="T930" s="113"/>
      <c r="U930" s="113"/>
      <c r="V930" s="113"/>
      <c r="W930" s="113"/>
      <c r="X930" s="113"/>
      <c r="Y930" s="113"/>
      <c r="Z930" s="113"/>
    </row>
    <row x14ac:dyDescent="0.25" r="931" customHeight="1" ht="15.75">
      <c r="A931" s="123"/>
      <c r="B931" s="123"/>
      <c r="C931" s="124"/>
      <c r="D931" s="124"/>
      <c r="E931" s="124"/>
      <c r="F931" s="124"/>
      <c r="G931" s="124"/>
      <c r="H931" s="124"/>
      <c r="I931" s="124"/>
      <c r="J931" s="124"/>
      <c r="K931" s="124"/>
      <c r="L931" s="124"/>
      <c r="M931" s="124"/>
      <c r="N931" s="124"/>
      <c r="O931" s="124"/>
      <c r="P931" s="113"/>
      <c r="Q931" s="113"/>
      <c r="R931" s="113"/>
      <c r="S931" s="113"/>
      <c r="T931" s="113"/>
      <c r="U931" s="113"/>
      <c r="V931" s="113"/>
      <c r="W931" s="113"/>
      <c r="X931" s="113"/>
      <c r="Y931" s="113"/>
      <c r="Z931" s="113"/>
    </row>
    <row x14ac:dyDescent="0.25" r="932" customHeight="1" ht="15.75">
      <c r="A932" s="123"/>
      <c r="B932" s="123"/>
      <c r="C932" s="124"/>
      <c r="D932" s="124"/>
      <c r="E932" s="124"/>
      <c r="F932" s="124"/>
      <c r="G932" s="124"/>
      <c r="H932" s="124"/>
      <c r="I932" s="124"/>
      <c r="J932" s="124"/>
      <c r="K932" s="124"/>
      <c r="L932" s="124"/>
      <c r="M932" s="124"/>
      <c r="N932" s="124"/>
      <c r="O932" s="124"/>
      <c r="P932" s="113"/>
      <c r="Q932" s="113"/>
      <c r="R932" s="113"/>
      <c r="S932" s="113"/>
      <c r="T932" s="113"/>
      <c r="U932" s="113"/>
      <c r="V932" s="113"/>
      <c r="W932" s="113"/>
      <c r="X932" s="113"/>
      <c r="Y932" s="113"/>
      <c r="Z932" s="113"/>
    </row>
  </sheetData>
  <mergeCells count="21">
    <mergeCell ref="A1:O1"/>
    <mergeCell ref="A3:B3"/>
    <mergeCell ref="A4:B4"/>
    <mergeCell ref="A7:B7"/>
    <mergeCell ref="A8:B8"/>
    <mergeCell ref="A9:B9"/>
    <mergeCell ref="A11:B11"/>
    <mergeCell ref="A12:A18"/>
    <mergeCell ref="A20:A25"/>
    <mergeCell ref="A27:B27"/>
    <mergeCell ref="A31:B31"/>
    <mergeCell ref="A34:B34"/>
    <mergeCell ref="A37:B37"/>
    <mergeCell ref="A40:B40"/>
    <mergeCell ref="A43:B43"/>
    <mergeCell ref="A44:A46"/>
    <mergeCell ref="A49:B49"/>
    <mergeCell ref="A50:A58"/>
    <mergeCell ref="A61:B61"/>
    <mergeCell ref="A62:A63"/>
    <mergeCell ref="A66:B6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Z1000"/>
  <sheetViews>
    <sheetView workbookViewId="0"/>
  </sheetViews>
  <sheetFormatPr defaultRowHeight="15" x14ac:dyDescent="0.25"/>
  <cols>
    <col min="1" max="1" style="80" width="32.29071428571429" customWidth="1" bestFit="1"/>
    <col min="2" max="2" style="80" width="56.71928571428572" customWidth="1" bestFit="1"/>
    <col min="3" max="3" style="62" width="15.290714285714287" customWidth="1" bestFit="1"/>
    <col min="4" max="4" style="62" width="15.290714285714287" customWidth="1" bestFit="1"/>
    <col min="5" max="5" style="62" width="15.290714285714287" customWidth="1" bestFit="1"/>
    <col min="6" max="6" style="62" width="15.290714285714287" customWidth="1" bestFit="1"/>
    <col min="7" max="7" style="62" width="15.290714285714287" customWidth="1" bestFit="1"/>
    <col min="8" max="8" style="62" width="15.290714285714287" customWidth="1" bestFit="1"/>
    <col min="9" max="9" style="62" width="15.290714285714287" customWidth="1" bestFit="1"/>
    <col min="10" max="10" style="62" width="15.290714285714287" customWidth="1" bestFit="1"/>
    <col min="11" max="11" style="62" width="15.290714285714287" customWidth="1" bestFit="1"/>
    <col min="12" max="12" style="62" width="15.290714285714287" customWidth="1" bestFit="1"/>
    <col min="13" max="13" style="62" width="15.290714285714287" customWidth="1" bestFit="1"/>
    <col min="14" max="14" style="62" width="15.290714285714287" customWidth="1" bestFit="1"/>
    <col min="15" max="15" style="62" width="21.290714285714284" customWidth="1" bestFit="1"/>
    <col min="16" max="16" style="61" width="8.862142857142858" customWidth="1" bestFit="1"/>
    <col min="17" max="17" style="61" width="8.862142857142858" customWidth="1" bestFit="1"/>
    <col min="18" max="18" style="61" width="8.862142857142858" customWidth="1" bestFit="1"/>
    <col min="19" max="19" style="61" width="8.862142857142858" customWidth="1" bestFit="1"/>
    <col min="20" max="20" style="61" width="8.862142857142858" customWidth="1" bestFit="1"/>
    <col min="21" max="21" style="61" width="8.862142857142858" customWidth="1" bestFit="1"/>
    <col min="22" max="22" style="61" width="8.862142857142858" customWidth="1" bestFit="1"/>
    <col min="23" max="23" style="61" width="8.862142857142858" customWidth="1" bestFit="1"/>
    <col min="24" max="24" style="61" width="8.862142857142858" customWidth="1" bestFit="1"/>
    <col min="25" max="25" style="61" width="8.862142857142858" customWidth="1" bestFit="1"/>
    <col min="26" max="26" style="61" width="8.862142857142858" customWidth="1" bestFit="1"/>
  </cols>
  <sheetData>
    <row x14ac:dyDescent="0.25" r="1" customHeight="1" ht="61.5">
      <c r="A1" s="109"/>
      <c r="B1" s="110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</row>
    <row x14ac:dyDescent="0.25" r="2" customHeight="1" ht="18.75">
      <c r="A2" s="114" t="s">
        <v>3206</v>
      </c>
      <c r="B2" s="114"/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</row>
    <row x14ac:dyDescent="0.25" r="3" customHeight="1" ht="18.75">
      <c r="A3" s="114"/>
      <c r="B3" s="117"/>
      <c r="C3" s="115" t="s">
        <v>3127</v>
      </c>
      <c r="D3" s="115" t="s">
        <v>3128</v>
      </c>
      <c r="E3" s="115" t="s">
        <v>3129</v>
      </c>
      <c r="F3" s="115" t="s">
        <v>3130</v>
      </c>
      <c r="G3" s="115" t="s">
        <v>3131</v>
      </c>
      <c r="H3" s="115" t="s">
        <v>3132</v>
      </c>
      <c r="I3" s="115" t="s">
        <v>3133</v>
      </c>
      <c r="J3" s="115" t="s">
        <v>3134</v>
      </c>
      <c r="K3" s="115" t="s">
        <v>3135</v>
      </c>
      <c r="L3" s="115" t="s">
        <v>3136</v>
      </c>
      <c r="M3" s="115" t="s">
        <v>3137</v>
      </c>
      <c r="N3" s="115" t="s">
        <v>3138</v>
      </c>
      <c r="O3" s="115" t="s">
        <v>3139</v>
      </c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</row>
    <row x14ac:dyDescent="0.25" r="4" customHeight="1" ht="18.75">
      <c r="A4" s="126" t="s">
        <v>3207</v>
      </c>
      <c r="B4" s="117"/>
      <c r="C4" s="127">
        <v>305</v>
      </c>
      <c r="D4" s="127">
        <v>290</v>
      </c>
      <c r="E4" s="127">
        <v>600</v>
      </c>
      <c r="F4" s="127">
        <v>0</v>
      </c>
      <c r="G4" s="127">
        <v>0</v>
      </c>
      <c r="H4" s="127">
        <v>0</v>
      </c>
      <c r="I4" s="127">
        <v>0</v>
      </c>
      <c r="J4" s="127">
        <v>0</v>
      </c>
      <c r="K4" s="127">
        <v>0</v>
      </c>
      <c r="L4" s="127">
        <v>0</v>
      </c>
      <c r="M4" s="127">
        <v>0</v>
      </c>
      <c r="N4" s="127">
        <v>0</v>
      </c>
      <c r="O4" s="120">
        <f>SUM(C4:N4)</f>
      </c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</row>
    <row x14ac:dyDescent="0.25" r="5" customHeight="1" ht="18.75">
      <c r="A5" s="126" t="s">
        <v>3208</v>
      </c>
      <c r="B5" s="126"/>
      <c r="C5" s="127">
        <f>C4/31</f>
      </c>
      <c r="D5" s="127">
        <f>D4/31</f>
      </c>
      <c r="E5" s="127">
        <f>E4/31</f>
      </c>
      <c r="F5" s="127">
        <f>F4/31</f>
      </c>
      <c r="G5" s="127">
        <f>G4/31</f>
      </c>
      <c r="H5" s="127">
        <f>H4/31</f>
      </c>
      <c r="I5" s="127">
        <f>I4/31</f>
      </c>
      <c r="J5" s="127">
        <f>J4/31</f>
      </c>
      <c r="K5" s="127">
        <f>K4/31</f>
      </c>
      <c r="L5" s="127">
        <f>L4/31</f>
      </c>
      <c r="M5" s="127">
        <f>M4/31</f>
      </c>
      <c r="N5" s="127">
        <f>N4/31</f>
      </c>
      <c r="O5" s="120">
        <f>AVERAGE(C5:N5)</f>
      </c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</row>
    <row x14ac:dyDescent="0.25" r="6" customHeight="1" ht="10.5">
      <c r="A6" s="128"/>
      <c r="B6" s="128"/>
      <c r="C6" s="124"/>
      <c r="D6" s="124"/>
      <c r="E6" s="124"/>
      <c r="F6" s="124"/>
      <c r="G6" s="124"/>
      <c r="H6" s="124"/>
      <c r="I6" s="124"/>
      <c r="J6" s="124"/>
      <c r="K6" s="124"/>
      <c r="L6" s="124"/>
      <c r="M6" s="124"/>
      <c r="N6" s="124"/>
      <c r="O6" s="129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</row>
    <row x14ac:dyDescent="0.25" r="7" customHeight="1" ht="18.75">
      <c r="A7" s="114"/>
      <c r="B7" s="117"/>
      <c r="C7" s="115" t="s">
        <v>3127</v>
      </c>
      <c r="D7" s="115" t="s">
        <v>3128</v>
      </c>
      <c r="E7" s="115" t="s">
        <v>3129</v>
      </c>
      <c r="F7" s="115" t="s">
        <v>3130</v>
      </c>
      <c r="G7" s="115" t="s">
        <v>3131</v>
      </c>
      <c r="H7" s="115" t="s">
        <v>3132</v>
      </c>
      <c r="I7" s="115" t="s">
        <v>3133</v>
      </c>
      <c r="J7" s="115" t="s">
        <v>3134</v>
      </c>
      <c r="K7" s="115" t="s">
        <v>3135</v>
      </c>
      <c r="L7" s="115" t="s">
        <v>3136</v>
      </c>
      <c r="M7" s="115" t="s">
        <v>3137</v>
      </c>
      <c r="N7" s="115" t="s">
        <v>3138</v>
      </c>
      <c r="O7" s="115" t="s">
        <v>3139</v>
      </c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</row>
    <row x14ac:dyDescent="0.25" r="8" customHeight="1" ht="18.75">
      <c r="A8" s="126" t="s">
        <v>3209</v>
      </c>
      <c r="B8" s="119" t="s">
        <v>3139</v>
      </c>
      <c r="C8" s="120">
        <v>5</v>
      </c>
      <c r="D8" s="127">
        <v>1</v>
      </c>
      <c r="E8" s="127">
        <v>0</v>
      </c>
      <c r="F8" s="127">
        <v>0</v>
      </c>
      <c r="G8" s="127">
        <v>0</v>
      </c>
      <c r="H8" s="127">
        <v>0</v>
      </c>
      <c r="I8" s="127">
        <v>0</v>
      </c>
      <c r="J8" s="127">
        <v>0</v>
      </c>
      <c r="K8" s="127">
        <v>0</v>
      </c>
      <c r="L8" s="127">
        <v>0</v>
      </c>
      <c r="M8" s="127">
        <v>0</v>
      </c>
      <c r="N8" s="127">
        <v>0</v>
      </c>
      <c r="O8" s="120">
        <f>SUM(C8:N8)</f>
      </c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</row>
    <row x14ac:dyDescent="0.25" r="9" customHeight="1" ht="18.75">
      <c r="A9" s="123"/>
      <c r="B9" s="123"/>
      <c r="C9" s="124"/>
      <c r="D9" s="124"/>
      <c r="E9" s="124"/>
      <c r="F9" s="124"/>
      <c r="G9" s="124"/>
      <c r="H9" s="124"/>
      <c r="I9" s="124"/>
      <c r="J9" s="124"/>
      <c r="K9" s="124"/>
      <c r="L9" s="124"/>
      <c r="M9" s="124"/>
      <c r="N9" s="124"/>
      <c r="O9" s="124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</row>
    <row x14ac:dyDescent="0.25" r="10" customHeight="1" ht="18.75">
      <c r="A10" s="114"/>
      <c r="B10" s="117"/>
      <c r="C10" s="115" t="s">
        <v>3127</v>
      </c>
      <c r="D10" s="115" t="s">
        <v>3128</v>
      </c>
      <c r="E10" s="115" t="s">
        <v>3129</v>
      </c>
      <c r="F10" s="115" t="s">
        <v>3130</v>
      </c>
      <c r="G10" s="115" t="s">
        <v>3131</v>
      </c>
      <c r="H10" s="115" t="s">
        <v>3132</v>
      </c>
      <c r="I10" s="115" t="s">
        <v>3133</v>
      </c>
      <c r="J10" s="115" t="s">
        <v>3134</v>
      </c>
      <c r="K10" s="115" t="s">
        <v>3135</v>
      </c>
      <c r="L10" s="115" t="s">
        <v>3136</v>
      </c>
      <c r="M10" s="115" t="s">
        <v>3137</v>
      </c>
      <c r="N10" s="115" t="s">
        <v>3138</v>
      </c>
      <c r="O10" s="115" t="s">
        <v>3139</v>
      </c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</row>
    <row x14ac:dyDescent="0.25" r="11" customHeight="1" ht="18.75">
      <c r="A11" s="126"/>
      <c r="B11" s="119" t="s">
        <v>3210</v>
      </c>
      <c r="C11" s="120">
        <v>198</v>
      </c>
      <c r="D11" s="127">
        <v>183</v>
      </c>
      <c r="E11" s="127">
        <v>220</v>
      </c>
      <c r="F11" s="127">
        <v>0</v>
      </c>
      <c r="G11" s="127">
        <v>0</v>
      </c>
      <c r="H11" s="127">
        <v>0</v>
      </c>
      <c r="I11" s="127">
        <v>0</v>
      </c>
      <c r="J11" s="127">
        <v>0</v>
      </c>
      <c r="K11" s="127">
        <v>0</v>
      </c>
      <c r="L11" s="127">
        <v>0</v>
      </c>
      <c r="M11" s="127">
        <v>0</v>
      </c>
      <c r="N11" s="127">
        <v>0</v>
      </c>
      <c r="O11" s="120">
        <f>SUM(C11:N11)</f>
      </c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</row>
    <row x14ac:dyDescent="0.25" r="12" customHeight="1" ht="18.75">
      <c r="A12" s="126" t="s">
        <v>3211</v>
      </c>
      <c r="B12" s="119" t="s">
        <v>3212</v>
      </c>
      <c r="C12" s="120">
        <v>0</v>
      </c>
      <c r="D12" s="127">
        <v>0</v>
      </c>
      <c r="E12" s="127">
        <v>0</v>
      </c>
      <c r="F12" s="127">
        <v>0</v>
      </c>
      <c r="G12" s="127">
        <v>0</v>
      </c>
      <c r="H12" s="127">
        <v>0</v>
      </c>
      <c r="I12" s="127">
        <v>0</v>
      </c>
      <c r="J12" s="127">
        <v>0</v>
      </c>
      <c r="K12" s="127">
        <v>0</v>
      </c>
      <c r="L12" s="127">
        <v>0</v>
      </c>
      <c r="M12" s="127">
        <v>0</v>
      </c>
      <c r="N12" s="127">
        <v>0</v>
      </c>
      <c r="O12" s="120">
        <f>SUM(C12:N12)</f>
      </c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</row>
    <row x14ac:dyDescent="0.25" r="13" customHeight="1" ht="18.75">
      <c r="A13" s="126"/>
      <c r="B13" s="119" t="s">
        <v>3213</v>
      </c>
      <c r="C13" s="120">
        <v>93</v>
      </c>
      <c r="D13" s="127">
        <v>55</v>
      </c>
      <c r="E13" s="127">
        <v>98</v>
      </c>
      <c r="F13" s="127">
        <v>0</v>
      </c>
      <c r="G13" s="127">
        <v>0</v>
      </c>
      <c r="H13" s="127">
        <v>0</v>
      </c>
      <c r="I13" s="127">
        <v>0</v>
      </c>
      <c r="J13" s="127">
        <v>0</v>
      </c>
      <c r="K13" s="127">
        <v>0</v>
      </c>
      <c r="L13" s="127">
        <v>0</v>
      </c>
      <c r="M13" s="127">
        <v>0</v>
      </c>
      <c r="N13" s="127">
        <v>0</v>
      </c>
      <c r="O13" s="120">
        <f>SUM(C13:N13)</f>
      </c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</row>
    <row x14ac:dyDescent="0.25" r="14" customHeight="1" ht="18.75">
      <c r="A14" s="123"/>
      <c r="B14" s="123"/>
      <c r="C14" s="124"/>
      <c r="D14" s="124"/>
      <c r="E14" s="124"/>
      <c r="F14" s="124"/>
      <c r="G14" s="124"/>
      <c r="H14" s="124"/>
      <c r="I14" s="124"/>
      <c r="J14" s="124"/>
      <c r="K14" s="124"/>
      <c r="L14" s="124"/>
      <c r="M14" s="124"/>
      <c r="N14" s="124"/>
      <c r="O14" s="124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</row>
    <row x14ac:dyDescent="0.25" r="15" customHeight="1" ht="18.75">
      <c r="A15" s="114"/>
      <c r="B15" s="117"/>
      <c r="C15" s="115" t="s">
        <v>3127</v>
      </c>
      <c r="D15" s="115" t="s">
        <v>3128</v>
      </c>
      <c r="E15" s="115" t="s">
        <v>3129</v>
      </c>
      <c r="F15" s="115" t="s">
        <v>3130</v>
      </c>
      <c r="G15" s="115" t="s">
        <v>3131</v>
      </c>
      <c r="H15" s="115" t="s">
        <v>3132</v>
      </c>
      <c r="I15" s="115" t="s">
        <v>3133</v>
      </c>
      <c r="J15" s="115" t="s">
        <v>3134</v>
      </c>
      <c r="K15" s="115" t="s">
        <v>3135</v>
      </c>
      <c r="L15" s="115" t="s">
        <v>3136</v>
      </c>
      <c r="M15" s="115" t="s">
        <v>3137</v>
      </c>
      <c r="N15" s="115" t="s">
        <v>3138</v>
      </c>
      <c r="O15" s="115" t="s">
        <v>3139</v>
      </c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</row>
    <row x14ac:dyDescent="0.25" r="16" customHeight="1" ht="18.75">
      <c r="A16" s="130" t="s">
        <v>3214</v>
      </c>
      <c r="B16" s="126" t="s">
        <v>3215</v>
      </c>
      <c r="C16" s="127">
        <v>538</v>
      </c>
      <c r="D16" s="127">
        <v>528</v>
      </c>
      <c r="E16" s="127">
        <v>850</v>
      </c>
      <c r="F16" s="127">
        <v>0</v>
      </c>
      <c r="G16" s="127">
        <v>0</v>
      </c>
      <c r="H16" s="127">
        <v>0</v>
      </c>
      <c r="I16" s="127">
        <v>0</v>
      </c>
      <c r="J16" s="127">
        <v>0</v>
      </c>
      <c r="K16" s="127">
        <v>0</v>
      </c>
      <c r="L16" s="127">
        <v>0</v>
      </c>
      <c r="M16" s="127">
        <v>0</v>
      </c>
      <c r="N16" s="127">
        <v>0</v>
      </c>
      <c r="O16" s="120">
        <f>SUM(C16:N16)</f>
      </c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</row>
    <row x14ac:dyDescent="0.25" r="17" customHeight="1" ht="18.75">
      <c r="A17" s="117"/>
      <c r="B17" s="126" t="s">
        <v>3216</v>
      </c>
      <c r="C17" s="127">
        <v>123</v>
      </c>
      <c r="D17" s="127">
        <v>159</v>
      </c>
      <c r="E17" s="127">
        <v>165</v>
      </c>
      <c r="F17" s="127">
        <v>0</v>
      </c>
      <c r="G17" s="127">
        <v>0</v>
      </c>
      <c r="H17" s="127">
        <v>0</v>
      </c>
      <c r="I17" s="127">
        <v>0</v>
      </c>
      <c r="J17" s="127">
        <v>0</v>
      </c>
      <c r="K17" s="127">
        <v>0</v>
      </c>
      <c r="L17" s="127">
        <v>0</v>
      </c>
      <c r="M17" s="127">
        <v>0</v>
      </c>
      <c r="N17" s="127">
        <v>0</v>
      </c>
      <c r="O17" s="120">
        <f>SUM(C17:N17)</f>
      </c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</row>
    <row x14ac:dyDescent="0.25" r="18" customHeight="1" ht="18.75">
      <c r="A18" s="117"/>
      <c r="B18" s="126" t="s">
        <v>3217</v>
      </c>
      <c r="C18" s="127">
        <v>229</v>
      </c>
      <c r="D18" s="127">
        <f>186+439</f>
      </c>
      <c r="E18" s="127">
        <f>210+350</f>
      </c>
      <c r="F18" s="127">
        <v>0</v>
      </c>
      <c r="G18" s="127">
        <v>0</v>
      </c>
      <c r="H18" s="127">
        <v>0</v>
      </c>
      <c r="I18" s="127">
        <v>0</v>
      </c>
      <c r="J18" s="127">
        <v>0</v>
      </c>
      <c r="K18" s="127">
        <v>0</v>
      </c>
      <c r="L18" s="127">
        <v>0</v>
      </c>
      <c r="M18" s="127">
        <v>0</v>
      </c>
      <c r="N18" s="127">
        <v>0</v>
      </c>
      <c r="O18" s="120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</row>
    <row x14ac:dyDescent="0.25" r="19" customHeight="1" ht="18.75">
      <c r="A19" s="117"/>
      <c r="B19" s="126" t="s">
        <v>3218</v>
      </c>
      <c r="C19" s="127">
        <v>27</v>
      </c>
      <c r="D19" s="127">
        <v>0</v>
      </c>
      <c r="E19" s="127">
        <v>2</v>
      </c>
      <c r="F19" s="127">
        <v>0</v>
      </c>
      <c r="G19" s="127">
        <v>0</v>
      </c>
      <c r="H19" s="127">
        <v>0</v>
      </c>
      <c r="I19" s="127">
        <v>0</v>
      </c>
      <c r="J19" s="127">
        <v>0</v>
      </c>
      <c r="K19" s="127">
        <v>0</v>
      </c>
      <c r="L19" s="127">
        <v>0</v>
      </c>
      <c r="M19" s="127">
        <v>0</v>
      </c>
      <c r="N19" s="127">
        <v>0</v>
      </c>
      <c r="O19" s="120">
        <f>SUM(C19:N19)</f>
      </c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</row>
    <row x14ac:dyDescent="0.25" r="20" customHeight="1" ht="18.75">
      <c r="A20" s="117"/>
      <c r="B20" s="126" t="s">
        <v>3139</v>
      </c>
      <c r="C20" s="120">
        <f>SUM(C16:C19)</f>
      </c>
      <c r="D20" s="120">
        <f>SUM(D16:D19)</f>
      </c>
      <c r="E20" s="120">
        <f>SUM(E16:E19)</f>
      </c>
      <c r="F20" s="120">
        <f>SUM(F16:F19)</f>
      </c>
      <c r="G20" s="120">
        <f>SUM(G16:G19)</f>
      </c>
      <c r="H20" s="120">
        <f>SUM(H16:H19)</f>
      </c>
      <c r="I20" s="120">
        <f>SUM(I16:I19)</f>
      </c>
      <c r="J20" s="120">
        <f>SUM(J16:J19)</f>
      </c>
      <c r="K20" s="120">
        <f>SUM(K16:K19)</f>
      </c>
      <c r="L20" s="120">
        <f>SUM(L16:L19)</f>
      </c>
      <c r="M20" s="120">
        <f>SUM(M16:M19)</f>
      </c>
      <c r="N20" s="120">
        <f>SUM(N16:N19)</f>
      </c>
      <c r="O20" s="120">
        <f>SUM(C20:N20)</f>
      </c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</row>
    <row x14ac:dyDescent="0.25" r="21" customHeight="1" ht="15.75">
      <c r="A21" s="123"/>
      <c r="B21" s="123"/>
      <c r="C21" s="124"/>
      <c r="D21" s="124"/>
      <c r="E21" s="124"/>
      <c r="F21" s="124"/>
      <c r="G21" s="124"/>
      <c r="H21" s="124"/>
      <c r="I21" s="124"/>
      <c r="J21" s="124"/>
      <c r="K21" s="124"/>
      <c r="L21" s="124"/>
      <c r="M21" s="124"/>
      <c r="N21" s="124"/>
      <c r="O21" s="124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</row>
    <row x14ac:dyDescent="0.25" r="22" customHeight="1" ht="15.75">
      <c r="A22" s="114"/>
      <c r="B22" s="117"/>
      <c r="C22" s="115" t="s">
        <v>3127</v>
      </c>
      <c r="D22" s="115" t="s">
        <v>3128</v>
      </c>
      <c r="E22" s="115" t="s">
        <v>3129</v>
      </c>
      <c r="F22" s="115" t="s">
        <v>3130</v>
      </c>
      <c r="G22" s="115" t="s">
        <v>3131</v>
      </c>
      <c r="H22" s="115" t="s">
        <v>3132</v>
      </c>
      <c r="I22" s="115" t="s">
        <v>3133</v>
      </c>
      <c r="J22" s="115" t="s">
        <v>3134</v>
      </c>
      <c r="K22" s="115" t="s">
        <v>3135</v>
      </c>
      <c r="L22" s="115" t="s">
        <v>3136</v>
      </c>
      <c r="M22" s="115" t="s">
        <v>3137</v>
      </c>
      <c r="N22" s="115" t="s">
        <v>3138</v>
      </c>
      <c r="O22" s="115" t="s">
        <v>3139</v>
      </c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</row>
    <row x14ac:dyDescent="0.25" r="23" customHeight="1" ht="15.75">
      <c r="A23" s="126"/>
      <c r="B23" s="119" t="s">
        <v>3219</v>
      </c>
      <c r="C23" s="120">
        <v>181</v>
      </c>
      <c r="D23" s="127">
        <v>267</v>
      </c>
      <c r="E23" s="127">
        <v>270</v>
      </c>
      <c r="F23" s="127">
        <v>0</v>
      </c>
      <c r="G23" s="127">
        <v>0</v>
      </c>
      <c r="H23" s="127">
        <v>0</v>
      </c>
      <c r="I23" s="127">
        <v>0</v>
      </c>
      <c r="J23" s="127">
        <v>0</v>
      </c>
      <c r="K23" s="127">
        <v>0</v>
      </c>
      <c r="L23" s="127">
        <v>0</v>
      </c>
      <c r="M23" s="127">
        <v>0</v>
      </c>
      <c r="N23" s="127">
        <v>0</v>
      </c>
      <c r="O23" s="120">
        <f>SUM(C23:N23)</f>
      </c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</row>
    <row x14ac:dyDescent="0.25" r="24" customHeight="1" ht="15.75">
      <c r="A24" s="126" t="s">
        <v>3220</v>
      </c>
      <c r="B24" s="119" t="s">
        <v>3221</v>
      </c>
      <c r="C24" s="120">
        <v>14</v>
      </c>
      <c r="D24" s="127">
        <v>8</v>
      </c>
      <c r="E24" s="127">
        <v>6</v>
      </c>
      <c r="F24" s="127">
        <v>0</v>
      </c>
      <c r="G24" s="127">
        <v>0</v>
      </c>
      <c r="H24" s="127">
        <v>0</v>
      </c>
      <c r="I24" s="127">
        <v>0</v>
      </c>
      <c r="J24" s="127">
        <v>0</v>
      </c>
      <c r="K24" s="127">
        <v>0</v>
      </c>
      <c r="L24" s="127">
        <v>0</v>
      </c>
      <c r="M24" s="127">
        <v>0</v>
      </c>
      <c r="N24" s="127">
        <v>0</v>
      </c>
      <c r="O24" s="120">
        <f>SUM(C24:N24)</f>
      </c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</row>
    <row x14ac:dyDescent="0.25" r="25" customHeight="1" ht="15.75">
      <c r="A25" s="126"/>
      <c r="B25" s="119" t="s">
        <v>3222</v>
      </c>
      <c r="C25" s="120">
        <v>13</v>
      </c>
      <c r="D25" s="127">
        <v>21</v>
      </c>
      <c r="E25" s="127">
        <v>8</v>
      </c>
      <c r="F25" s="127">
        <v>0</v>
      </c>
      <c r="G25" s="127">
        <v>0</v>
      </c>
      <c r="H25" s="127">
        <v>0</v>
      </c>
      <c r="I25" s="127">
        <v>0</v>
      </c>
      <c r="J25" s="127">
        <v>0</v>
      </c>
      <c r="K25" s="127">
        <v>0</v>
      </c>
      <c r="L25" s="127">
        <v>0</v>
      </c>
      <c r="M25" s="127">
        <v>0</v>
      </c>
      <c r="N25" s="127">
        <v>0</v>
      </c>
      <c r="O25" s="120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</row>
    <row x14ac:dyDescent="0.25" r="26" customHeight="1" ht="15.75">
      <c r="A26" s="126"/>
      <c r="B26" s="119" t="s">
        <v>3223</v>
      </c>
      <c r="C26" s="120">
        <v>116</v>
      </c>
      <c r="D26" s="127">
        <v>82</v>
      </c>
      <c r="E26" s="127">
        <v>84</v>
      </c>
      <c r="F26" s="127">
        <v>0</v>
      </c>
      <c r="G26" s="127">
        <v>0</v>
      </c>
      <c r="H26" s="127">
        <v>0</v>
      </c>
      <c r="I26" s="127">
        <v>0</v>
      </c>
      <c r="J26" s="127">
        <v>0</v>
      </c>
      <c r="K26" s="127">
        <v>0</v>
      </c>
      <c r="L26" s="127">
        <v>0</v>
      </c>
      <c r="M26" s="127">
        <v>0</v>
      </c>
      <c r="N26" s="127">
        <v>0</v>
      </c>
      <c r="O26" s="120">
        <f>SUM(C26:N26)</f>
      </c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</row>
    <row x14ac:dyDescent="0.25" r="27" customHeight="1" ht="15.75">
      <c r="A27" s="123"/>
      <c r="B27" s="123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</row>
    <row x14ac:dyDescent="0.25" r="28" customHeight="1" ht="15.75">
      <c r="A28" s="114"/>
      <c r="B28" s="117"/>
      <c r="C28" s="115" t="s">
        <v>3127</v>
      </c>
      <c r="D28" s="115" t="s">
        <v>3128</v>
      </c>
      <c r="E28" s="115" t="s">
        <v>3129</v>
      </c>
      <c r="F28" s="115" t="s">
        <v>3130</v>
      </c>
      <c r="G28" s="115" t="s">
        <v>3131</v>
      </c>
      <c r="H28" s="115" t="s">
        <v>3132</v>
      </c>
      <c r="I28" s="115" t="s">
        <v>3133</v>
      </c>
      <c r="J28" s="115" t="s">
        <v>3134</v>
      </c>
      <c r="K28" s="115" t="s">
        <v>3135</v>
      </c>
      <c r="L28" s="115" t="s">
        <v>3136</v>
      </c>
      <c r="M28" s="115" t="s">
        <v>3137</v>
      </c>
      <c r="N28" s="115" t="s">
        <v>3138</v>
      </c>
      <c r="O28" s="115" t="s">
        <v>3139</v>
      </c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</row>
    <row x14ac:dyDescent="0.25" r="29" customHeight="1" ht="15.75">
      <c r="A29" s="126"/>
      <c r="B29" s="119" t="s">
        <v>3224</v>
      </c>
      <c r="C29" s="120">
        <v>153</v>
      </c>
      <c r="D29" s="127">
        <v>224</v>
      </c>
      <c r="E29" s="127">
        <v>183</v>
      </c>
      <c r="F29" s="127">
        <v>0</v>
      </c>
      <c r="G29" s="127">
        <v>0</v>
      </c>
      <c r="H29" s="127">
        <v>0</v>
      </c>
      <c r="I29" s="127">
        <v>0</v>
      </c>
      <c r="J29" s="127">
        <v>0</v>
      </c>
      <c r="K29" s="127">
        <v>0</v>
      </c>
      <c r="L29" s="127">
        <v>0</v>
      </c>
      <c r="M29" s="127">
        <v>0</v>
      </c>
      <c r="N29" s="127">
        <v>0</v>
      </c>
      <c r="O29" s="120">
        <f>SUM(C29:N29)</f>
      </c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</row>
    <row x14ac:dyDescent="0.25" r="30" customHeight="1" ht="15.75">
      <c r="A30" s="126" t="s">
        <v>3225</v>
      </c>
      <c r="B30" s="119" t="s">
        <v>3226</v>
      </c>
      <c r="C30" s="120">
        <v>2</v>
      </c>
      <c r="D30" s="127">
        <v>0</v>
      </c>
      <c r="E30" s="127">
        <v>4</v>
      </c>
      <c r="F30" s="127">
        <v>0</v>
      </c>
      <c r="G30" s="127">
        <v>0</v>
      </c>
      <c r="H30" s="127">
        <v>0</v>
      </c>
      <c r="I30" s="127">
        <v>0</v>
      </c>
      <c r="J30" s="127">
        <v>0</v>
      </c>
      <c r="K30" s="127">
        <v>0</v>
      </c>
      <c r="L30" s="127">
        <v>0</v>
      </c>
      <c r="M30" s="127">
        <v>0</v>
      </c>
      <c r="N30" s="127">
        <v>0</v>
      </c>
      <c r="O30" s="120">
        <f>SUM(C30:N30)</f>
      </c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</row>
    <row x14ac:dyDescent="0.25" r="31" customHeight="1" ht="15.75">
      <c r="A31" s="126"/>
      <c r="B31" s="119" t="s">
        <v>3227</v>
      </c>
      <c r="C31" s="120">
        <v>0</v>
      </c>
      <c r="D31" s="127">
        <v>0</v>
      </c>
      <c r="E31" s="127">
        <v>0</v>
      </c>
      <c r="F31" s="127">
        <v>0</v>
      </c>
      <c r="G31" s="127">
        <v>0</v>
      </c>
      <c r="H31" s="127">
        <v>0</v>
      </c>
      <c r="I31" s="127">
        <v>0</v>
      </c>
      <c r="J31" s="127">
        <v>0</v>
      </c>
      <c r="K31" s="127">
        <v>0</v>
      </c>
      <c r="L31" s="127">
        <v>0</v>
      </c>
      <c r="M31" s="127">
        <v>0</v>
      </c>
      <c r="N31" s="127">
        <v>0</v>
      </c>
      <c r="O31" s="120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</row>
    <row x14ac:dyDescent="0.25" r="32" customHeight="1" ht="15.75">
      <c r="A32" s="126"/>
      <c r="B32" s="119" t="s">
        <v>3228</v>
      </c>
      <c r="C32" s="120">
        <v>0</v>
      </c>
      <c r="D32" s="127">
        <v>0</v>
      </c>
      <c r="E32" s="127">
        <v>0</v>
      </c>
      <c r="F32" s="127">
        <v>0</v>
      </c>
      <c r="G32" s="127">
        <v>0</v>
      </c>
      <c r="H32" s="127">
        <v>0</v>
      </c>
      <c r="I32" s="127">
        <v>0</v>
      </c>
      <c r="J32" s="127">
        <v>0</v>
      </c>
      <c r="K32" s="127">
        <v>0</v>
      </c>
      <c r="L32" s="127">
        <v>0</v>
      </c>
      <c r="M32" s="127">
        <v>0</v>
      </c>
      <c r="N32" s="127">
        <v>0</v>
      </c>
      <c r="O32" s="120">
        <f>SUM(C32:N32)</f>
      </c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</row>
    <row x14ac:dyDescent="0.25" r="33" customHeight="1" ht="15.75">
      <c r="A33" s="123"/>
      <c r="B33" s="123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</row>
    <row x14ac:dyDescent="0.25" r="34" customHeight="1" ht="15.75">
      <c r="A34" s="123"/>
      <c r="B34" s="123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</row>
    <row x14ac:dyDescent="0.25" r="35" customHeight="1" ht="15.75">
      <c r="A35" s="123"/>
      <c r="B35" s="123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</row>
    <row x14ac:dyDescent="0.25" r="36" customHeight="1" ht="15.75">
      <c r="A36" s="123"/>
      <c r="B36" s="123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</row>
    <row x14ac:dyDescent="0.25" r="37" customHeight="1" ht="15.75">
      <c r="A37" s="123"/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</row>
    <row x14ac:dyDescent="0.25" r="38" customHeight="1" ht="15.75">
      <c r="A38" s="123"/>
      <c r="B38" s="123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</row>
    <row x14ac:dyDescent="0.25" r="39" customHeight="1" ht="15.75">
      <c r="A39" s="123"/>
      <c r="B39" s="123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</row>
    <row x14ac:dyDescent="0.25" r="40" customHeight="1" ht="15.75">
      <c r="A40" s="123"/>
      <c r="B40" s="123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</row>
    <row x14ac:dyDescent="0.25" r="41" customHeight="1" ht="15.75">
      <c r="A41" s="123"/>
      <c r="B41" s="123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</row>
    <row x14ac:dyDescent="0.25" r="42" customHeight="1" ht="15.75">
      <c r="A42" s="123"/>
      <c r="B42" s="123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</row>
    <row x14ac:dyDescent="0.25" r="43" customHeight="1" ht="15.75">
      <c r="A43" s="123"/>
      <c r="B43" s="123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</row>
    <row x14ac:dyDescent="0.25" r="44" customHeight="1" ht="15.75">
      <c r="A44" s="123"/>
      <c r="B44" s="123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</row>
    <row x14ac:dyDescent="0.25" r="45" customHeight="1" ht="15.75">
      <c r="A45" s="123"/>
      <c r="B45" s="123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</row>
    <row x14ac:dyDescent="0.25" r="46" customHeight="1" ht="15.75">
      <c r="A46" s="123"/>
      <c r="B46" s="123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</row>
    <row x14ac:dyDescent="0.25" r="47" customHeight="1" ht="15.75">
      <c r="A47" s="123"/>
      <c r="B47" s="123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</row>
    <row x14ac:dyDescent="0.25" r="48" customHeight="1" ht="15.75">
      <c r="A48" s="123"/>
      <c r="B48" s="123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</row>
    <row x14ac:dyDescent="0.25" r="49" customHeight="1" ht="15.75">
      <c r="A49" s="123"/>
      <c r="B49" s="123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</row>
    <row x14ac:dyDescent="0.25" r="50" customHeight="1" ht="15.75">
      <c r="A50" s="123"/>
      <c r="B50" s="123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</row>
    <row x14ac:dyDescent="0.25" r="51" customHeight="1" ht="15.75">
      <c r="A51" s="123"/>
      <c r="B51" s="123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</row>
    <row x14ac:dyDescent="0.25" r="52" customHeight="1" ht="15.75">
      <c r="A52" s="123"/>
      <c r="B52" s="123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</row>
    <row x14ac:dyDescent="0.25" r="53" customHeight="1" ht="15.75">
      <c r="A53" s="123"/>
      <c r="B53" s="123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</row>
    <row x14ac:dyDescent="0.25" r="54" customHeight="1" ht="15.75">
      <c r="A54" s="123"/>
      <c r="B54" s="123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</row>
    <row x14ac:dyDescent="0.25" r="55" customHeight="1" ht="15.75">
      <c r="A55" s="123"/>
      <c r="B55" s="123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</row>
    <row x14ac:dyDescent="0.25" r="56" customHeight="1" ht="15.75">
      <c r="A56" s="123"/>
      <c r="B56" s="123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</row>
    <row x14ac:dyDescent="0.25" r="57" customHeight="1" ht="15.75">
      <c r="A57" s="123"/>
      <c r="B57" s="123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</row>
    <row x14ac:dyDescent="0.25" r="58" customHeight="1" ht="15.75">
      <c r="A58" s="123"/>
      <c r="B58" s="123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</row>
    <row x14ac:dyDescent="0.25" r="59" customHeight="1" ht="15.75">
      <c r="A59" s="123"/>
      <c r="B59" s="123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</row>
    <row x14ac:dyDescent="0.25" r="60" customHeight="1" ht="15.75">
      <c r="A60" s="123"/>
      <c r="B60" s="123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</row>
    <row x14ac:dyDescent="0.25" r="61" customHeight="1" ht="15.75">
      <c r="A61" s="123"/>
      <c r="B61" s="123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</row>
    <row x14ac:dyDescent="0.25" r="62" customHeight="1" ht="15.75">
      <c r="A62" s="123"/>
      <c r="B62" s="123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</row>
    <row x14ac:dyDescent="0.25" r="63" customHeight="1" ht="15.75">
      <c r="A63" s="123"/>
      <c r="B63" s="123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</row>
    <row x14ac:dyDescent="0.25" r="64" customHeight="1" ht="15.75">
      <c r="A64" s="123"/>
      <c r="B64" s="123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</row>
    <row x14ac:dyDescent="0.25" r="65" customHeight="1" ht="15.75">
      <c r="A65" s="123"/>
      <c r="B65" s="123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</row>
    <row x14ac:dyDescent="0.25" r="66" customHeight="1" ht="15.75">
      <c r="A66" s="123"/>
      <c r="B66" s="123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</row>
    <row x14ac:dyDescent="0.25" r="67" customHeight="1" ht="15.75">
      <c r="A67" s="123"/>
      <c r="B67" s="123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</row>
    <row x14ac:dyDescent="0.25" r="68" customHeight="1" ht="15.75">
      <c r="A68" s="123"/>
      <c r="B68" s="123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</row>
    <row x14ac:dyDescent="0.25" r="69" customHeight="1" ht="15.75">
      <c r="A69" s="123"/>
      <c r="B69" s="123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</row>
    <row x14ac:dyDescent="0.25" r="70" customHeight="1" ht="15.75">
      <c r="A70" s="123"/>
      <c r="B70" s="123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</row>
    <row x14ac:dyDescent="0.25" r="71" customHeight="1" ht="15.75">
      <c r="A71" s="123"/>
      <c r="B71" s="123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</row>
    <row x14ac:dyDescent="0.25" r="72" customHeight="1" ht="15.75">
      <c r="A72" s="123"/>
      <c r="B72" s="123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</row>
    <row x14ac:dyDescent="0.25" r="73" customHeight="1" ht="15.75">
      <c r="A73" s="123"/>
      <c r="B73" s="123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</row>
    <row x14ac:dyDescent="0.25" r="74" customHeight="1" ht="15.75">
      <c r="A74" s="123"/>
      <c r="B74" s="123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</row>
    <row x14ac:dyDescent="0.25" r="75" customHeight="1" ht="15.75">
      <c r="A75" s="123"/>
      <c r="B75" s="123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</row>
    <row x14ac:dyDescent="0.25" r="76" customHeight="1" ht="15.75">
      <c r="A76" s="123"/>
      <c r="B76" s="123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</row>
    <row x14ac:dyDescent="0.25" r="77" customHeight="1" ht="15.75">
      <c r="A77" s="123"/>
      <c r="B77" s="123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</row>
    <row x14ac:dyDescent="0.25" r="78" customHeight="1" ht="15.75">
      <c r="A78" s="123"/>
      <c r="B78" s="123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</row>
    <row x14ac:dyDescent="0.25" r="79" customHeight="1" ht="15.75">
      <c r="A79" s="123"/>
      <c r="B79" s="123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</row>
    <row x14ac:dyDescent="0.25" r="80" customHeight="1" ht="15.75">
      <c r="A80" s="123"/>
      <c r="B80" s="123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</row>
    <row x14ac:dyDescent="0.25" r="81" customHeight="1" ht="15.75">
      <c r="A81" s="123"/>
      <c r="B81" s="123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</row>
    <row x14ac:dyDescent="0.25" r="82" customHeight="1" ht="15.75">
      <c r="A82" s="123"/>
      <c r="B82" s="123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</row>
    <row x14ac:dyDescent="0.25" r="83" customHeight="1" ht="15.75">
      <c r="A83" s="123"/>
      <c r="B83" s="123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</row>
    <row x14ac:dyDescent="0.25" r="84" customHeight="1" ht="15.75">
      <c r="A84" s="123"/>
      <c r="B84" s="123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</row>
    <row x14ac:dyDescent="0.25" r="85" customHeight="1" ht="15.75">
      <c r="A85" s="123"/>
      <c r="B85" s="123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</row>
    <row x14ac:dyDescent="0.25" r="86" customHeight="1" ht="15.75">
      <c r="A86" s="123"/>
      <c r="B86" s="123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</row>
    <row x14ac:dyDescent="0.25" r="87" customHeight="1" ht="15.75">
      <c r="A87" s="123"/>
      <c r="B87" s="123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</row>
    <row x14ac:dyDescent="0.25" r="88" customHeight="1" ht="15.75">
      <c r="A88" s="123"/>
      <c r="B88" s="123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</row>
    <row x14ac:dyDescent="0.25" r="89" customHeight="1" ht="15.75">
      <c r="A89" s="123"/>
      <c r="B89" s="123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</row>
    <row x14ac:dyDescent="0.25" r="90" customHeight="1" ht="15.75">
      <c r="A90" s="123"/>
      <c r="B90" s="123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</row>
    <row x14ac:dyDescent="0.25" r="91" customHeight="1" ht="15.75">
      <c r="A91" s="123"/>
      <c r="B91" s="123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</row>
    <row x14ac:dyDescent="0.25" r="92" customHeight="1" ht="15.75">
      <c r="A92" s="123"/>
      <c r="B92" s="123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</row>
    <row x14ac:dyDescent="0.25" r="93" customHeight="1" ht="15.75">
      <c r="A93" s="123"/>
      <c r="B93" s="123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</row>
    <row x14ac:dyDescent="0.25" r="94" customHeight="1" ht="15.75">
      <c r="A94" s="123"/>
      <c r="B94" s="123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</row>
    <row x14ac:dyDescent="0.25" r="95" customHeight="1" ht="15.75">
      <c r="A95" s="123"/>
      <c r="B95" s="123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</row>
    <row x14ac:dyDescent="0.25" r="96" customHeight="1" ht="15.75">
      <c r="A96" s="123"/>
      <c r="B96" s="123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</row>
    <row x14ac:dyDescent="0.25" r="97" customHeight="1" ht="15.75">
      <c r="A97" s="123"/>
      <c r="B97" s="123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</row>
    <row x14ac:dyDescent="0.25" r="98" customHeight="1" ht="15.75">
      <c r="A98" s="123"/>
      <c r="B98" s="123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</row>
    <row x14ac:dyDescent="0.25" r="99" customHeight="1" ht="15.75">
      <c r="A99" s="123"/>
      <c r="B99" s="123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</row>
    <row x14ac:dyDescent="0.25" r="100" customHeight="1" ht="15.75">
      <c r="A100" s="123"/>
      <c r="B100" s="123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</row>
    <row x14ac:dyDescent="0.25" r="101" customHeight="1" ht="15.75">
      <c r="A101" s="123"/>
      <c r="B101" s="123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</row>
    <row x14ac:dyDescent="0.25" r="102" customHeight="1" ht="15.75">
      <c r="A102" s="123"/>
      <c r="B102" s="123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</row>
    <row x14ac:dyDescent="0.25" r="103" customHeight="1" ht="15.75">
      <c r="A103" s="123"/>
      <c r="B103" s="123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</row>
    <row x14ac:dyDescent="0.25" r="104" customHeight="1" ht="15.75">
      <c r="A104" s="123"/>
      <c r="B104" s="123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</row>
    <row x14ac:dyDescent="0.25" r="105" customHeight="1" ht="15.75">
      <c r="A105" s="123"/>
      <c r="B105" s="123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</row>
    <row x14ac:dyDescent="0.25" r="106" customHeight="1" ht="15.75">
      <c r="A106" s="123"/>
      <c r="B106" s="123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</row>
    <row x14ac:dyDescent="0.25" r="107" customHeight="1" ht="15.75">
      <c r="A107" s="123"/>
      <c r="B107" s="123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</row>
    <row x14ac:dyDescent="0.25" r="108" customHeight="1" ht="15.75">
      <c r="A108" s="123"/>
      <c r="B108" s="123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</row>
    <row x14ac:dyDescent="0.25" r="109" customHeight="1" ht="15.75">
      <c r="A109" s="123"/>
      <c r="B109" s="123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</row>
    <row x14ac:dyDescent="0.25" r="110" customHeight="1" ht="15.75">
      <c r="A110" s="123"/>
      <c r="B110" s="123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</row>
    <row x14ac:dyDescent="0.25" r="111" customHeight="1" ht="15.75">
      <c r="A111" s="123"/>
      <c r="B111" s="123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</row>
    <row x14ac:dyDescent="0.25" r="112" customHeight="1" ht="15.75">
      <c r="A112" s="123"/>
      <c r="B112" s="123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</row>
    <row x14ac:dyDescent="0.25" r="113" customHeight="1" ht="15.75">
      <c r="A113" s="123"/>
      <c r="B113" s="123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</row>
    <row x14ac:dyDescent="0.25" r="114" customHeight="1" ht="15.75">
      <c r="A114" s="123"/>
      <c r="B114" s="123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</row>
    <row x14ac:dyDescent="0.25" r="115" customHeight="1" ht="15.75">
      <c r="A115" s="123"/>
      <c r="B115" s="123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</row>
    <row x14ac:dyDescent="0.25" r="116" customHeight="1" ht="15.75">
      <c r="A116" s="123"/>
      <c r="B116" s="123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</row>
    <row x14ac:dyDescent="0.25" r="117" customHeight="1" ht="15.75">
      <c r="A117" s="123"/>
      <c r="B117" s="123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</row>
    <row x14ac:dyDescent="0.25" r="118" customHeight="1" ht="15.75">
      <c r="A118" s="123"/>
      <c r="B118" s="123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</row>
    <row x14ac:dyDescent="0.25" r="119" customHeight="1" ht="15.75">
      <c r="A119" s="123"/>
      <c r="B119" s="123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</row>
    <row x14ac:dyDescent="0.25" r="120" customHeight="1" ht="15.75">
      <c r="A120" s="123"/>
      <c r="B120" s="123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</row>
    <row x14ac:dyDescent="0.25" r="121" customHeight="1" ht="15.75">
      <c r="A121" s="123"/>
      <c r="B121" s="123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</row>
    <row x14ac:dyDescent="0.25" r="122" customHeight="1" ht="15.75">
      <c r="A122" s="123"/>
      <c r="B122" s="123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</row>
    <row x14ac:dyDescent="0.25" r="123" customHeight="1" ht="15.75">
      <c r="A123" s="123"/>
      <c r="B123" s="123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</row>
    <row x14ac:dyDescent="0.25" r="124" customHeight="1" ht="15.75">
      <c r="A124" s="123"/>
      <c r="B124" s="123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</row>
    <row x14ac:dyDescent="0.25" r="125" customHeight="1" ht="15.75">
      <c r="A125" s="123"/>
      <c r="B125" s="123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</row>
    <row x14ac:dyDescent="0.25" r="126" customHeight="1" ht="15.75">
      <c r="A126" s="123"/>
      <c r="B126" s="123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</row>
    <row x14ac:dyDescent="0.25" r="127" customHeight="1" ht="15.75">
      <c r="A127" s="123"/>
      <c r="B127" s="123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</row>
    <row x14ac:dyDescent="0.25" r="128" customHeight="1" ht="15.75">
      <c r="A128" s="123"/>
      <c r="B128" s="123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</row>
    <row x14ac:dyDescent="0.25" r="129" customHeight="1" ht="15.75">
      <c r="A129" s="123"/>
      <c r="B129" s="123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</row>
    <row x14ac:dyDescent="0.25" r="130" customHeight="1" ht="15.75">
      <c r="A130" s="123"/>
      <c r="B130" s="123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</row>
    <row x14ac:dyDescent="0.25" r="131" customHeight="1" ht="15.75">
      <c r="A131" s="123"/>
      <c r="B131" s="123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</row>
    <row x14ac:dyDescent="0.25" r="132" customHeight="1" ht="15.75">
      <c r="A132" s="123"/>
      <c r="B132" s="123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</row>
    <row x14ac:dyDescent="0.25" r="133" customHeight="1" ht="15.75">
      <c r="A133" s="123"/>
      <c r="B133" s="123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</row>
    <row x14ac:dyDescent="0.25" r="134" customHeight="1" ht="15.75">
      <c r="A134" s="123"/>
      <c r="B134" s="123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</row>
    <row x14ac:dyDescent="0.25" r="135" customHeight="1" ht="15.75">
      <c r="A135" s="123"/>
      <c r="B135" s="123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</row>
    <row x14ac:dyDescent="0.25" r="136" customHeight="1" ht="15.75">
      <c r="A136" s="123"/>
      <c r="B136" s="123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</row>
    <row x14ac:dyDescent="0.25" r="137" customHeight="1" ht="15.75">
      <c r="A137" s="123"/>
      <c r="B137" s="123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</row>
    <row x14ac:dyDescent="0.25" r="138" customHeight="1" ht="15.75">
      <c r="A138" s="123"/>
      <c r="B138" s="123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</row>
    <row x14ac:dyDescent="0.25" r="139" customHeight="1" ht="15.75">
      <c r="A139" s="123"/>
      <c r="B139" s="123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</row>
    <row x14ac:dyDescent="0.25" r="140" customHeight="1" ht="15.75">
      <c r="A140" s="123"/>
      <c r="B140" s="123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</row>
    <row x14ac:dyDescent="0.25" r="141" customHeight="1" ht="15.75">
      <c r="A141" s="123"/>
      <c r="B141" s="123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</row>
    <row x14ac:dyDescent="0.25" r="142" customHeight="1" ht="15.75">
      <c r="A142" s="123"/>
      <c r="B142" s="123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</row>
    <row x14ac:dyDescent="0.25" r="143" customHeight="1" ht="15.75">
      <c r="A143" s="123"/>
      <c r="B143" s="123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</row>
    <row x14ac:dyDescent="0.25" r="144" customHeight="1" ht="15.75">
      <c r="A144" s="123"/>
      <c r="B144" s="123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</row>
    <row x14ac:dyDescent="0.25" r="145" customHeight="1" ht="15.75">
      <c r="A145" s="123"/>
      <c r="B145" s="123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</row>
    <row x14ac:dyDescent="0.25" r="146" customHeight="1" ht="15.75">
      <c r="A146" s="123"/>
      <c r="B146" s="123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</row>
    <row x14ac:dyDescent="0.25" r="147" customHeight="1" ht="15.75">
      <c r="A147" s="123"/>
      <c r="B147" s="123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</row>
    <row x14ac:dyDescent="0.25" r="148" customHeight="1" ht="15.75">
      <c r="A148" s="123"/>
      <c r="B148" s="123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</row>
    <row x14ac:dyDescent="0.25" r="149" customHeight="1" ht="15.75">
      <c r="A149" s="123"/>
      <c r="B149" s="123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</row>
    <row x14ac:dyDescent="0.25" r="150" customHeight="1" ht="15.75">
      <c r="A150" s="123"/>
      <c r="B150" s="123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</row>
    <row x14ac:dyDescent="0.25" r="151" customHeight="1" ht="15.75">
      <c r="A151" s="123"/>
      <c r="B151" s="123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</row>
    <row x14ac:dyDescent="0.25" r="152" customHeight="1" ht="15.75">
      <c r="A152" s="123"/>
      <c r="B152" s="123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</row>
    <row x14ac:dyDescent="0.25" r="153" customHeight="1" ht="15.75">
      <c r="A153" s="123"/>
      <c r="B153" s="123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</row>
    <row x14ac:dyDescent="0.25" r="154" customHeight="1" ht="15.75">
      <c r="A154" s="123"/>
      <c r="B154" s="123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</row>
    <row x14ac:dyDescent="0.25" r="155" customHeight="1" ht="15.75">
      <c r="A155" s="123"/>
      <c r="B155" s="123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</row>
    <row x14ac:dyDescent="0.25" r="156" customHeight="1" ht="15.75">
      <c r="A156" s="123"/>
      <c r="B156" s="123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</row>
    <row x14ac:dyDescent="0.25" r="157" customHeight="1" ht="15.75">
      <c r="A157" s="123"/>
      <c r="B157" s="123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</row>
    <row x14ac:dyDescent="0.25" r="158" customHeight="1" ht="15.75">
      <c r="A158" s="123"/>
      <c r="B158" s="123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</row>
    <row x14ac:dyDescent="0.25" r="159" customHeight="1" ht="15.75">
      <c r="A159" s="123"/>
      <c r="B159" s="123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</row>
    <row x14ac:dyDescent="0.25" r="160" customHeight="1" ht="15.75">
      <c r="A160" s="123"/>
      <c r="B160" s="123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</row>
    <row x14ac:dyDescent="0.25" r="161" customHeight="1" ht="15.75">
      <c r="A161" s="123"/>
      <c r="B161" s="123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</row>
    <row x14ac:dyDescent="0.25" r="162" customHeight="1" ht="15.75">
      <c r="A162" s="123"/>
      <c r="B162" s="123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</row>
    <row x14ac:dyDescent="0.25" r="163" customHeight="1" ht="15.75">
      <c r="A163" s="123"/>
      <c r="B163" s="123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</row>
    <row x14ac:dyDescent="0.25" r="164" customHeight="1" ht="15.75">
      <c r="A164" s="123"/>
      <c r="B164" s="123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</row>
    <row x14ac:dyDescent="0.25" r="165" customHeight="1" ht="15.75">
      <c r="A165" s="123"/>
      <c r="B165" s="123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</row>
    <row x14ac:dyDescent="0.25" r="166" customHeight="1" ht="15.75">
      <c r="A166" s="123"/>
      <c r="B166" s="123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</row>
    <row x14ac:dyDescent="0.25" r="167" customHeight="1" ht="15.75">
      <c r="A167" s="123"/>
      <c r="B167" s="123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</row>
    <row x14ac:dyDescent="0.25" r="168" customHeight="1" ht="15.75">
      <c r="A168" s="123"/>
      <c r="B168" s="123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</row>
    <row x14ac:dyDescent="0.25" r="169" customHeight="1" ht="15.75">
      <c r="A169" s="123"/>
      <c r="B169" s="123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</row>
    <row x14ac:dyDescent="0.25" r="170" customHeight="1" ht="15.75">
      <c r="A170" s="123"/>
      <c r="B170" s="123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</row>
    <row x14ac:dyDescent="0.25" r="171" customHeight="1" ht="15.75">
      <c r="A171" s="123"/>
      <c r="B171" s="123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</row>
    <row x14ac:dyDescent="0.25" r="172" customHeight="1" ht="15.75">
      <c r="A172" s="123"/>
      <c r="B172" s="123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</row>
    <row x14ac:dyDescent="0.25" r="173" customHeight="1" ht="15.75">
      <c r="A173" s="123"/>
      <c r="B173" s="123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</row>
    <row x14ac:dyDescent="0.25" r="174" customHeight="1" ht="15.75">
      <c r="A174" s="123"/>
      <c r="B174" s="123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</row>
    <row x14ac:dyDescent="0.25" r="175" customHeight="1" ht="15.75">
      <c r="A175" s="123"/>
      <c r="B175" s="123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</row>
    <row x14ac:dyDescent="0.25" r="176" customHeight="1" ht="15.75">
      <c r="A176" s="123"/>
      <c r="B176" s="123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</row>
    <row x14ac:dyDescent="0.25" r="177" customHeight="1" ht="15.75">
      <c r="A177" s="123"/>
      <c r="B177" s="123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</row>
    <row x14ac:dyDescent="0.25" r="178" customHeight="1" ht="15.75">
      <c r="A178" s="123"/>
      <c r="B178" s="123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</row>
    <row x14ac:dyDescent="0.25" r="179" customHeight="1" ht="15.75">
      <c r="A179" s="123"/>
      <c r="B179" s="123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</row>
    <row x14ac:dyDescent="0.25" r="180" customHeight="1" ht="15.75">
      <c r="A180" s="123"/>
      <c r="B180" s="123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</row>
    <row x14ac:dyDescent="0.25" r="181" customHeight="1" ht="15.75">
      <c r="A181" s="123"/>
      <c r="B181" s="123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</row>
    <row x14ac:dyDescent="0.25" r="182" customHeight="1" ht="15.75">
      <c r="A182" s="123"/>
      <c r="B182" s="123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</row>
    <row x14ac:dyDescent="0.25" r="183" customHeight="1" ht="15.75">
      <c r="A183" s="123"/>
      <c r="B183" s="123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</row>
    <row x14ac:dyDescent="0.25" r="184" customHeight="1" ht="15.75">
      <c r="A184" s="123"/>
      <c r="B184" s="123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</row>
    <row x14ac:dyDescent="0.25" r="185" customHeight="1" ht="15.75">
      <c r="A185" s="123"/>
      <c r="B185" s="123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</row>
    <row x14ac:dyDescent="0.25" r="186" customHeight="1" ht="15.75">
      <c r="A186" s="123"/>
      <c r="B186" s="123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</row>
    <row x14ac:dyDescent="0.25" r="187" customHeight="1" ht="15.75">
      <c r="A187" s="123"/>
      <c r="B187" s="123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</row>
    <row x14ac:dyDescent="0.25" r="188" customHeight="1" ht="15.75">
      <c r="A188" s="123"/>
      <c r="B188" s="123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</row>
    <row x14ac:dyDescent="0.25" r="189" customHeight="1" ht="15.75">
      <c r="A189" s="123"/>
      <c r="B189" s="123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</row>
    <row x14ac:dyDescent="0.25" r="190" customHeight="1" ht="15.75">
      <c r="A190" s="123"/>
      <c r="B190" s="123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</row>
    <row x14ac:dyDescent="0.25" r="191" customHeight="1" ht="15.75">
      <c r="A191" s="123"/>
      <c r="B191" s="123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</row>
    <row x14ac:dyDescent="0.25" r="192" customHeight="1" ht="15.75">
      <c r="A192" s="123"/>
      <c r="B192" s="123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</row>
    <row x14ac:dyDescent="0.25" r="193" customHeight="1" ht="15.75">
      <c r="A193" s="123"/>
      <c r="B193" s="123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</row>
    <row x14ac:dyDescent="0.25" r="194" customHeight="1" ht="15.75">
      <c r="A194" s="123"/>
      <c r="B194" s="123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</row>
    <row x14ac:dyDescent="0.25" r="195" customHeight="1" ht="15.75">
      <c r="A195" s="123"/>
      <c r="B195" s="123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</row>
    <row x14ac:dyDescent="0.25" r="196" customHeight="1" ht="15.75">
      <c r="A196" s="123"/>
      <c r="B196" s="123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</row>
    <row x14ac:dyDescent="0.25" r="197" customHeight="1" ht="15.75">
      <c r="A197" s="123"/>
      <c r="B197" s="123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</row>
    <row x14ac:dyDescent="0.25" r="198" customHeight="1" ht="15.75">
      <c r="A198" s="123"/>
      <c r="B198" s="123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</row>
    <row x14ac:dyDescent="0.25" r="199" customHeight="1" ht="15.75">
      <c r="A199" s="123"/>
      <c r="B199" s="123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</row>
    <row x14ac:dyDescent="0.25" r="200" customHeight="1" ht="15.75">
      <c r="A200" s="123"/>
      <c r="B200" s="123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</row>
    <row x14ac:dyDescent="0.25" r="201" customHeight="1" ht="15.75">
      <c r="A201" s="123"/>
      <c r="B201" s="123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</row>
    <row x14ac:dyDescent="0.25" r="202" customHeight="1" ht="15.75">
      <c r="A202" s="123"/>
      <c r="B202" s="123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</row>
    <row x14ac:dyDescent="0.25" r="203" customHeight="1" ht="15.75">
      <c r="A203" s="123"/>
      <c r="B203" s="123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</row>
    <row x14ac:dyDescent="0.25" r="204" customHeight="1" ht="15.75">
      <c r="A204" s="123"/>
      <c r="B204" s="123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</row>
    <row x14ac:dyDescent="0.25" r="205" customHeight="1" ht="15.75">
      <c r="A205" s="123"/>
      <c r="B205" s="123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</row>
    <row x14ac:dyDescent="0.25" r="206" customHeight="1" ht="15.75">
      <c r="A206" s="123"/>
      <c r="B206" s="123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</row>
    <row x14ac:dyDescent="0.25" r="207" customHeight="1" ht="15.75">
      <c r="A207" s="123"/>
      <c r="B207" s="123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</row>
    <row x14ac:dyDescent="0.25" r="208" customHeight="1" ht="15.75">
      <c r="A208" s="123"/>
      <c r="B208" s="123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</row>
    <row x14ac:dyDescent="0.25" r="209" customHeight="1" ht="15.75">
      <c r="A209" s="123"/>
      <c r="B209" s="123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</row>
    <row x14ac:dyDescent="0.25" r="210" customHeight="1" ht="15.75">
      <c r="A210" s="123"/>
      <c r="B210" s="123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</row>
    <row x14ac:dyDescent="0.25" r="211" customHeight="1" ht="15.75">
      <c r="A211" s="123"/>
      <c r="B211" s="123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</row>
    <row x14ac:dyDescent="0.25" r="212" customHeight="1" ht="15.75">
      <c r="A212" s="123"/>
      <c r="B212" s="123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</row>
    <row x14ac:dyDescent="0.25" r="213" customHeight="1" ht="15.75">
      <c r="A213" s="123"/>
      <c r="B213" s="123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</row>
    <row x14ac:dyDescent="0.25" r="214" customHeight="1" ht="15.75">
      <c r="A214" s="123"/>
      <c r="B214" s="123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</row>
    <row x14ac:dyDescent="0.25" r="215" customHeight="1" ht="15.75">
      <c r="A215" s="123"/>
      <c r="B215" s="123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</row>
    <row x14ac:dyDescent="0.25" r="216" customHeight="1" ht="15.75">
      <c r="A216" s="123"/>
      <c r="B216" s="123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</row>
    <row x14ac:dyDescent="0.25" r="217" customHeight="1" ht="15.75">
      <c r="A217" s="123"/>
      <c r="B217" s="123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</row>
    <row x14ac:dyDescent="0.25" r="218" customHeight="1" ht="15.75">
      <c r="A218" s="123"/>
      <c r="B218" s="123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</row>
    <row x14ac:dyDescent="0.25" r="219" customHeight="1" ht="15.75">
      <c r="A219" s="123"/>
      <c r="B219" s="123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</row>
    <row x14ac:dyDescent="0.25" r="220" customHeight="1" ht="15.75">
      <c r="A220" s="123"/>
      <c r="B220" s="123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</row>
    <row x14ac:dyDescent="0.25" r="221" customHeight="1" ht="15.75">
      <c r="A221" s="123"/>
      <c r="B221" s="123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</row>
    <row x14ac:dyDescent="0.25" r="222" customHeight="1" ht="15.75">
      <c r="A222" s="123"/>
      <c r="B222" s="123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</row>
    <row x14ac:dyDescent="0.25" r="223" customHeight="1" ht="15.75">
      <c r="A223" s="123"/>
      <c r="B223" s="123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</row>
    <row x14ac:dyDescent="0.25" r="224" customHeight="1" ht="15.75">
      <c r="A224" s="123"/>
      <c r="B224" s="123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</row>
    <row x14ac:dyDescent="0.25" r="225" customHeight="1" ht="15.75">
      <c r="A225" s="123"/>
      <c r="B225" s="123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</row>
    <row x14ac:dyDescent="0.25" r="226" customHeight="1" ht="15.75">
      <c r="A226" s="123"/>
      <c r="B226" s="123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</row>
    <row x14ac:dyDescent="0.25" r="227" customHeight="1" ht="15.75">
      <c r="A227" s="123"/>
      <c r="B227" s="123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</row>
    <row x14ac:dyDescent="0.25" r="228" customHeight="1" ht="15.75">
      <c r="A228" s="123"/>
      <c r="B228" s="123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</row>
    <row x14ac:dyDescent="0.25" r="229" customHeight="1" ht="15.75">
      <c r="A229" s="123"/>
      <c r="B229" s="123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</row>
    <row x14ac:dyDescent="0.25" r="230" customHeight="1" ht="15.75">
      <c r="A230" s="123"/>
      <c r="B230" s="123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</row>
    <row x14ac:dyDescent="0.25" r="231" customHeight="1" ht="15.75">
      <c r="A231" s="123"/>
      <c r="B231" s="123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</row>
    <row x14ac:dyDescent="0.25" r="232" customHeight="1" ht="15.75">
      <c r="A232" s="123"/>
      <c r="B232" s="123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</row>
    <row x14ac:dyDescent="0.25" r="233" customHeight="1" ht="15.75">
      <c r="A233" s="123"/>
      <c r="B233" s="123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</row>
    <row x14ac:dyDescent="0.25" r="234" customHeight="1" ht="15.75">
      <c r="A234" s="123"/>
      <c r="B234" s="123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</row>
    <row x14ac:dyDescent="0.25" r="235" customHeight="1" ht="15.75">
      <c r="A235" s="123"/>
      <c r="B235" s="123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</row>
    <row x14ac:dyDescent="0.25" r="236" customHeight="1" ht="15.75">
      <c r="A236" s="123"/>
      <c r="B236" s="123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</row>
    <row x14ac:dyDescent="0.25" r="237" customHeight="1" ht="15.75">
      <c r="A237" s="123"/>
      <c r="B237" s="123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</row>
    <row x14ac:dyDescent="0.25" r="238" customHeight="1" ht="15.75">
      <c r="A238" s="123"/>
      <c r="B238" s="123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</row>
    <row x14ac:dyDescent="0.25" r="239" customHeight="1" ht="15.75">
      <c r="A239" s="123"/>
      <c r="B239" s="123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</row>
    <row x14ac:dyDescent="0.25" r="240" customHeight="1" ht="15.75">
      <c r="A240" s="123"/>
      <c r="B240" s="123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</row>
    <row x14ac:dyDescent="0.25" r="241" customHeight="1" ht="15.75">
      <c r="A241" s="123"/>
      <c r="B241" s="123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</row>
    <row x14ac:dyDescent="0.25" r="242" customHeight="1" ht="15.75">
      <c r="A242" s="123"/>
      <c r="B242" s="123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</row>
    <row x14ac:dyDescent="0.25" r="243" customHeight="1" ht="15.75">
      <c r="A243" s="123"/>
      <c r="B243" s="123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</row>
    <row x14ac:dyDescent="0.25" r="244" customHeight="1" ht="15.75">
      <c r="A244" s="123"/>
      <c r="B244" s="123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</row>
    <row x14ac:dyDescent="0.25" r="245" customHeight="1" ht="15.75">
      <c r="A245" s="123"/>
      <c r="B245" s="123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</row>
    <row x14ac:dyDescent="0.25" r="246" customHeight="1" ht="15.75">
      <c r="A246" s="123"/>
      <c r="B246" s="123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</row>
    <row x14ac:dyDescent="0.25" r="247" customHeight="1" ht="15.75">
      <c r="A247" s="123"/>
      <c r="B247" s="123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</row>
    <row x14ac:dyDescent="0.25" r="248" customHeight="1" ht="15.75">
      <c r="A248" s="123"/>
      <c r="B248" s="123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</row>
    <row x14ac:dyDescent="0.25" r="249" customHeight="1" ht="15.75">
      <c r="A249" s="123"/>
      <c r="B249" s="123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</row>
    <row x14ac:dyDescent="0.25" r="250" customHeight="1" ht="15.75">
      <c r="A250" s="123"/>
      <c r="B250" s="123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</row>
    <row x14ac:dyDescent="0.25" r="251" customHeight="1" ht="15.75">
      <c r="A251" s="123"/>
      <c r="B251" s="123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</row>
    <row x14ac:dyDescent="0.25" r="252" customHeight="1" ht="15.75">
      <c r="A252" s="123"/>
      <c r="B252" s="123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</row>
    <row x14ac:dyDescent="0.25" r="253" customHeight="1" ht="15.75">
      <c r="A253" s="123"/>
      <c r="B253" s="123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</row>
    <row x14ac:dyDescent="0.25" r="254" customHeight="1" ht="15.75">
      <c r="A254" s="123"/>
      <c r="B254" s="123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</row>
    <row x14ac:dyDescent="0.25" r="255" customHeight="1" ht="15.75">
      <c r="A255" s="123"/>
      <c r="B255" s="123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</row>
    <row x14ac:dyDescent="0.25" r="256" customHeight="1" ht="15.75">
      <c r="A256" s="123"/>
      <c r="B256" s="123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</row>
    <row x14ac:dyDescent="0.25" r="257" customHeight="1" ht="15.75">
      <c r="A257" s="123"/>
      <c r="B257" s="123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</row>
    <row x14ac:dyDescent="0.25" r="258" customHeight="1" ht="15.75">
      <c r="A258" s="123"/>
      <c r="B258" s="123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</row>
    <row x14ac:dyDescent="0.25" r="259" customHeight="1" ht="15.75">
      <c r="A259" s="123"/>
      <c r="B259" s="123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</row>
    <row x14ac:dyDescent="0.25" r="260" customHeight="1" ht="15.75">
      <c r="A260" s="123"/>
      <c r="B260" s="123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</row>
    <row x14ac:dyDescent="0.25" r="261" customHeight="1" ht="15.75">
      <c r="A261" s="123"/>
      <c r="B261" s="123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</row>
    <row x14ac:dyDescent="0.25" r="262" customHeight="1" ht="15.75">
      <c r="A262" s="123"/>
      <c r="B262" s="123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</row>
    <row x14ac:dyDescent="0.25" r="263" customHeight="1" ht="15.75">
      <c r="A263" s="123"/>
      <c r="B263" s="123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</row>
    <row x14ac:dyDescent="0.25" r="264" customHeight="1" ht="15.75">
      <c r="A264" s="123"/>
      <c r="B264" s="123"/>
      <c r="C264" s="124"/>
      <c r="D264" s="124"/>
      <c r="E264" s="124"/>
      <c r="F264" s="124"/>
      <c r="G264" s="124"/>
      <c r="H264" s="124"/>
      <c r="I264" s="124"/>
      <c r="J264" s="124"/>
      <c r="K264" s="124"/>
      <c r="L264" s="124"/>
      <c r="M264" s="124"/>
      <c r="N264" s="124"/>
      <c r="O264" s="124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</row>
    <row x14ac:dyDescent="0.25" r="265" customHeight="1" ht="15.75">
      <c r="A265" s="123"/>
      <c r="B265" s="123"/>
      <c r="C265" s="124"/>
      <c r="D265" s="124"/>
      <c r="E265" s="124"/>
      <c r="F265" s="124"/>
      <c r="G265" s="124"/>
      <c r="H265" s="124"/>
      <c r="I265" s="124"/>
      <c r="J265" s="124"/>
      <c r="K265" s="124"/>
      <c r="L265" s="124"/>
      <c r="M265" s="124"/>
      <c r="N265" s="124"/>
      <c r="O265" s="124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</row>
    <row x14ac:dyDescent="0.25" r="266" customHeight="1" ht="15.75">
      <c r="A266" s="123"/>
      <c r="B266" s="123"/>
      <c r="C266" s="124"/>
      <c r="D266" s="124"/>
      <c r="E266" s="124"/>
      <c r="F266" s="124"/>
      <c r="G266" s="124"/>
      <c r="H266" s="124"/>
      <c r="I266" s="124"/>
      <c r="J266" s="124"/>
      <c r="K266" s="124"/>
      <c r="L266" s="124"/>
      <c r="M266" s="124"/>
      <c r="N266" s="124"/>
      <c r="O266" s="124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</row>
    <row x14ac:dyDescent="0.25" r="267" customHeight="1" ht="15.75">
      <c r="A267" s="123"/>
      <c r="B267" s="123"/>
      <c r="C267" s="124"/>
      <c r="D267" s="124"/>
      <c r="E267" s="124"/>
      <c r="F267" s="124"/>
      <c r="G267" s="124"/>
      <c r="H267" s="124"/>
      <c r="I267" s="124"/>
      <c r="J267" s="124"/>
      <c r="K267" s="124"/>
      <c r="L267" s="124"/>
      <c r="M267" s="124"/>
      <c r="N267" s="124"/>
      <c r="O267" s="124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</row>
    <row x14ac:dyDescent="0.25" r="268" customHeight="1" ht="15.75">
      <c r="A268" s="123"/>
      <c r="B268" s="123"/>
      <c r="C268" s="124"/>
      <c r="D268" s="124"/>
      <c r="E268" s="124"/>
      <c r="F268" s="124"/>
      <c r="G268" s="124"/>
      <c r="H268" s="124"/>
      <c r="I268" s="124"/>
      <c r="J268" s="124"/>
      <c r="K268" s="124"/>
      <c r="L268" s="124"/>
      <c r="M268" s="124"/>
      <c r="N268" s="124"/>
      <c r="O268" s="124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</row>
    <row x14ac:dyDescent="0.25" r="269" customHeight="1" ht="15.75">
      <c r="A269" s="123"/>
      <c r="B269" s="123"/>
      <c r="C269" s="124"/>
      <c r="D269" s="124"/>
      <c r="E269" s="124"/>
      <c r="F269" s="124"/>
      <c r="G269" s="124"/>
      <c r="H269" s="124"/>
      <c r="I269" s="124"/>
      <c r="J269" s="124"/>
      <c r="K269" s="124"/>
      <c r="L269" s="124"/>
      <c r="M269" s="124"/>
      <c r="N269" s="124"/>
      <c r="O269" s="124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</row>
    <row x14ac:dyDescent="0.25" r="270" customHeight="1" ht="15.75">
      <c r="A270" s="123"/>
      <c r="B270" s="123"/>
      <c r="C270" s="124"/>
      <c r="D270" s="124"/>
      <c r="E270" s="124"/>
      <c r="F270" s="124"/>
      <c r="G270" s="124"/>
      <c r="H270" s="124"/>
      <c r="I270" s="124"/>
      <c r="J270" s="124"/>
      <c r="K270" s="124"/>
      <c r="L270" s="124"/>
      <c r="M270" s="124"/>
      <c r="N270" s="124"/>
      <c r="O270" s="124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</row>
    <row x14ac:dyDescent="0.25" r="271" customHeight="1" ht="15.75">
      <c r="A271" s="123"/>
      <c r="B271" s="123"/>
      <c r="C271" s="124"/>
      <c r="D271" s="124"/>
      <c r="E271" s="124"/>
      <c r="F271" s="124"/>
      <c r="G271" s="124"/>
      <c r="H271" s="124"/>
      <c r="I271" s="124"/>
      <c r="J271" s="124"/>
      <c r="K271" s="124"/>
      <c r="L271" s="124"/>
      <c r="M271" s="124"/>
      <c r="N271" s="124"/>
      <c r="O271" s="124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</row>
    <row x14ac:dyDescent="0.25" r="272" customHeight="1" ht="15.75">
      <c r="A272" s="123"/>
      <c r="B272" s="123"/>
      <c r="C272" s="124"/>
      <c r="D272" s="124"/>
      <c r="E272" s="124"/>
      <c r="F272" s="124"/>
      <c r="G272" s="124"/>
      <c r="H272" s="124"/>
      <c r="I272" s="124"/>
      <c r="J272" s="124"/>
      <c r="K272" s="124"/>
      <c r="L272" s="124"/>
      <c r="M272" s="124"/>
      <c r="N272" s="124"/>
      <c r="O272" s="124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</row>
    <row x14ac:dyDescent="0.25" r="273" customHeight="1" ht="15.75">
      <c r="A273" s="123"/>
      <c r="B273" s="123"/>
      <c r="C273" s="124"/>
      <c r="D273" s="124"/>
      <c r="E273" s="124"/>
      <c r="F273" s="124"/>
      <c r="G273" s="124"/>
      <c r="H273" s="124"/>
      <c r="I273" s="124"/>
      <c r="J273" s="124"/>
      <c r="K273" s="124"/>
      <c r="L273" s="124"/>
      <c r="M273" s="124"/>
      <c r="N273" s="124"/>
      <c r="O273" s="124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</row>
    <row x14ac:dyDescent="0.25" r="274" customHeight="1" ht="15.75">
      <c r="A274" s="123"/>
      <c r="B274" s="123"/>
      <c r="C274" s="124"/>
      <c r="D274" s="124"/>
      <c r="E274" s="124"/>
      <c r="F274" s="124"/>
      <c r="G274" s="124"/>
      <c r="H274" s="124"/>
      <c r="I274" s="124"/>
      <c r="J274" s="124"/>
      <c r="K274" s="124"/>
      <c r="L274" s="124"/>
      <c r="M274" s="124"/>
      <c r="N274" s="124"/>
      <c r="O274" s="124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</row>
    <row x14ac:dyDescent="0.25" r="275" customHeight="1" ht="15.75">
      <c r="A275" s="123"/>
      <c r="B275" s="123"/>
      <c r="C275" s="124"/>
      <c r="D275" s="124"/>
      <c r="E275" s="124"/>
      <c r="F275" s="124"/>
      <c r="G275" s="124"/>
      <c r="H275" s="124"/>
      <c r="I275" s="124"/>
      <c r="J275" s="124"/>
      <c r="K275" s="124"/>
      <c r="L275" s="124"/>
      <c r="M275" s="124"/>
      <c r="N275" s="124"/>
      <c r="O275" s="124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</row>
    <row x14ac:dyDescent="0.25" r="276" customHeight="1" ht="15.75">
      <c r="A276" s="123"/>
      <c r="B276" s="123"/>
      <c r="C276" s="124"/>
      <c r="D276" s="124"/>
      <c r="E276" s="124"/>
      <c r="F276" s="124"/>
      <c r="G276" s="124"/>
      <c r="H276" s="124"/>
      <c r="I276" s="124"/>
      <c r="J276" s="124"/>
      <c r="K276" s="124"/>
      <c r="L276" s="124"/>
      <c r="M276" s="124"/>
      <c r="N276" s="124"/>
      <c r="O276" s="124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</row>
    <row x14ac:dyDescent="0.25" r="277" customHeight="1" ht="15.75">
      <c r="A277" s="123"/>
      <c r="B277" s="123"/>
      <c r="C277" s="124"/>
      <c r="D277" s="124"/>
      <c r="E277" s="124"/>
      <c r="F277" s="124"/>
      <c r="G277" s="124"/>
      <c r="H277" s="124"/>
      <c r="I277" s="124"/>
      <c r="J277" s="124"/>
      <c r="K277" s="124"/>
      <c r="L277" s="124"/>
      <c r="M277" s="124"/>
      <c r="N277" s="124"/>
      <c r="O277" s="124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</row>
    <row x14ac:dyDescent="0.25" r="278" customHeight="1" ht="15.75">
      <c r="A278" s="123"/>
      <c r="B278" s="123"/>
      <c r="C278" s="124"/>
      <c r="D278" s="124"/>
      <c r="E278" s="124"/>
      <c r="F278" s="124"/>
      <c r="G278" s="124"/>
      <c r="H278" s="124"/>
      <c r="I278" s="124"/>
      <c r="J278" s="124"/>
      <c r="K278" s="124"/>
      <c r="L278" s="124"/>
      <c r="M278" s="124"/>
      <c r="N278" s="124"/>
      <c r="O278" s="124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</row>
    <row x14ac:dyDescent="0.25" r="279" customHeight="1" ht="15.75">
      <c r="A279" s="123"/>
      <c r="B279" s="123"/>
      <c r="C279" s="124"/>
      <c r="D279" s="124"/>
      <c r="E279" s="124"/>
      <c r="F279" s="124"/>
      <c r="G279" s="124"/>
      <c r="H279" s="124"/>
      <c r="I279" s="124"/>
      <c r="J279" s="124"/>
      <c r="K279" s="124"/>
      <c r="L279" s="124"/>
      <c r="M279" s="124"/>
      <c r="N279" s="124"/>
      <c r="O279" s="124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</row>
    <row x14ac:dyDescent="0.25" r="280" customHeight="1" ht="15.75">
      <c r="A280" s="123"/>
      <c r="B280" s="123"/>
      <c r="C280" s="124"/>
      <c r="D280" s="124"/>
      <c r="E280" s="124"/>
      <c r="F280" s="124"/>
      <c r="G280" s="124"/>
      <c r="H280" s="124"/>
      <c r="I280" s="124"/>
      <c r="J280" s="124"/>
      <c r="K280" s="124"/>
      <c r="L280" s="124"/>
      <c r="M280" s="124"/>
      <c r="N280" s="124"/>
      <c r="O280" s="124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</row>
    <row x14ac:dyDescent="0.25" r="281" customHeight="1" ht="15.75">
      <c r="A281" s="123"/>
      <c r="B281" s="123"/>
      <c r="C281" s="124"/>
      <c r="D281" s="124"/>
      <c r="E281" s="124"/>
      <c r="F281" s="124"/>
      <c r="G281" s="124"/>
      <c r="H281" s="124"/>
      <c r="I281" s="124"/>
      <c r="J281" s="124"/>
      <c r="K281" s="124"/>
      <c r="L281" s="124"/>
      <c r="M281" s="124"/>
      <c r="N281" s="124"/>
      <c r="O281" s="124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</row>
    <row x14ac:dyDescent="0.25" r="282" customHeight="1" ht="15.75">
      <c r="A282" s="123"/>
      <c r="B282" s="123"/>
      <c r="C282" s="124"/>
      <c r="D282" s="124"/>
      <c r="E282" s="124"/>
      <c r="F282" s="124"/>
      <c r="G282" s="124"/>
      <c r="H282" s="124"/>
      <c r="I282" s="124"/>
      <c r="J282" s="124"/>
      <c r="K282" s="124"/>
      <c r="L282" s="124"/>
      <c r="M282" s="124"/>
      <c r="N282" s="124"/>
      <c r="O282" s="124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</row>
    <row x14ac:dyDescent="0.25" r="283" customHeight="1" ht="15.75">
      <c r="A283" s="123"/>
      <c r="B283" s="123"/>
      <c r="C283" s="124"/>
      <c r="D283" s="124"/>
      <c r="E283" s="124"/>
      <c r="F283" s="124"/>
      <c r="G283" s="124"/>
      <c r="H283" s="124"/>
      <c r="I283" s="124"/>
      <c r="J283" s="124"/>
      <c r="K283" s="124"/>
      <c r="L283" s="124"/>
      <c r="M283" s="124"/>
      <c r="N283" s="124"/>
      <c r="O283" s="124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</row>
    <row x14ac:dyDescent="0.25" r="284" customHeight="1" ht="15.75">
      <c r="A284" s="123"/>
      <c r="B284" s="123"/>
      <c r="C284" s="124"/>
      <c r="D284" s="124"/>
      <c r="E284" s="124"/>
      <c r="F284" s="124"/>
      <c r="G284" s="124"/>
      <c r="H284" s="124"/>
      <c r="I284" s="124"/>
      <c r="J284" s="124"/>
      <c r="K284" s="124"/>
      <c r="L284" s="124"/>
      <c r="M284" s="124"/>
      <c r="N284" s="124"/>
      <c r="O284" s="124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</row>
    <row x14ac:dyDescent="0.25" r="285" customHeight="1" ht="15.75">
      <c r="A285" s="123"/>
      <c r="B285" s="123"/>
      <c r="C285" s="124"/>
      <c r="D285" s="124"/>
      <c r="E285" s="124"/>
      <c r="F285" s="124"/>
      <c r="G285" s="124"/>
      <c r="H285" s="124"/>
      <c r="I285" s="124"/>
      <c r="J285" s="124"/>
      <c r="K285" s="124"/>
      <c r="L285" s="124"/>
      <c r="M285" s="124"/>
      <c r="N285" s="124"/>
      <c r="O285" s="124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</row>
    <row x14ac:dyDescent="0.25" r="286" customHeight="1" ht="15.75">
      <c r="A286" s="123"/>
      <c r="B286" s="123"/>
      <c r="C286" s="124"/>
      <c r="D286" s="124"/>
      <c r="E286" s="124"/>
      <c r="F286" s="124"/>
      <c r="G286" s="124"/>
      <c r="H286" s="124"/>
      <c r="I286" s="124"/>
      <c r="J286" s="124"/>
      <c r="K286" s="124"/>
      <c r="L286" s="124"/>
      <c r="M286" s="124"/>
      <c r="N286" s="124"/>
      <c r="O286" s="124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</row>
    <row x14ac:dyDescent="0.25" r="287" customHeight="1" ht="15.75">
      <c r="A287" s="123"/>
      <c r="B287" s="123"/>
      <c r="C287" s="124"/>
      <c r="D287" s="124"/>
      <c r="E287" s="124"/>
      <c r="F287" s="124"/>
      <c r="G287" s="124"/>
      <c r="H287" s="124"/>
      <c r="I287" s="124"/>
      <c r="J287" s="124"/>
      <c r="K287" s="124"/>
      <c r="L287" s="124"/>
      <c r="M287" s="124"/>
      <c r="N287" s="124"/>
      <c r="O287" s="124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</row>
    <row x14ac:dyDescent="0.25" r="288" customHeight="1" ht="15.75">
      <c r="A288" s="123"/>
      <c r="B288" s="123"/>
      <c r="C288" s="124"/>
      <c r="D288" s="124"/>
      <c r="E288" s="124"/>
      <c r="F288" s="124"/>
      <c r="G288" s="124"/>
      <c r="H288" s="124"/>
      <c r="I288" s="124"/>
      <c r="J288" s="124"/>
      <c r="K288" s="124"/>
      <c r="L288" s="124"/>
      <c r="M288" s="124"/>
      <c r="N288" s="124"/>
      <c r="O288" s="124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</row>
    <row x14ac:dyDescent="0.25" r="289" customHeight="1" ht="15.75">
      <c r="A289" s="123"/>
      <c r="B289" s="123"/>
      <c r="C289" s="124"/>
      <c r="D289" s="124"/>
      <c r="E289" s="124"/>
      <c r="F289" s="124"/>
      <c r="G289" s="124"/>
      <c r="H289" s="124"/>
      <c r="I289" s="124"/>
      <c r="J289" s="124"/>
      <c r="K289" s="124"/>
      <c r="L289" s="124"/>
      <c r="M289" s="124"/>
      <c r="N289" s="124"/>
      <c r="O289" s="124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</row>
    <row x14ac:dyDescent="0.25" r="290" customHeight="1" ht="15.75">
      <c r="A290" s="123"/>
      <c r="B290" s="123"/>
      <c r="C290" s="124"/>
      <c r="D290" s="124"/>
      <c r="E290" s="124"/>
      <c r="F290" s="124"/>
      <c r="G290" s="124"/>
      <c r="H290" s="124"/>
      <c r="I290" s="124"/>
      <c r="J290" s="124"/>
      <c r="K290" s="124"/>
      <c r="L290" s="124"/>
      <c r="M290" s="124"/>
      <c r="N290" s="124"/>
      <c r="O290" s="124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</row>
    <row x14ac:dyDescent="0.25" r="291" customHeight="1" ht="15.75">
      <c r="A291" s="123"/>
      <c r="B291" s="123"/>
      <c r="C291" s="124"/>
      <c r="D291" s="124"/>
      <c r="E291" s="124"/>
      <c r="F291" s="124"/>
      <c r="G291" s="124"/>
      <c r="H291" s="124"/>
      <c r="I291" s="124"/>
      <c r="J291" s="124"/>
      <c r="K291" s="124"/>
      <c r="L291" s="124"/>
      <c r="M291" s="124"/>
      <c r="N291" s="124"/>
      <c r="O291" s="124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</row>
    <row x14ac:dyDescent="0.25" r="292" customHeight="1" ht="15.75">
      <c r="A292" s="123"/>
      <c r="B292" s="123"/>
      <c r="C292" s="124"/>
      <c r="D292" s="124"/>
      <c r="E292" s="124"/>
      <c r="F292" s="124"/>
      <c r="G292" s="124"/>
      <c r="H292" s="124"/>
      <c r="I292" s="124"/>
      <c r="J292" s="124"/>
      <c r="K292" s="124"/>
      <c r="L292" s="124"/>
      <c r="M292" s="124"/>
      <c r="N292" s="124"/>
      <c r="O292" s="124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</row>
    <row x14ac:dyDescent="0.25" r="293" customHeight="1" ht="15.75">
      <c r="A293" s="123"/>
      <c r="B293" s="123"/>
      <c r="C293" s="124"/>
      <c r="D293" s="124"/>
      <c r="E293" s="124"/>
      <c r="F293" s="124"/>
      <c r="G293" s="124"/>
      <c r="H293" s="124"/>
      <c r="I293" s="124"/>
      <c r="J293" s="124"/>
      <c r="K293" s="124"/>
      <c r="L293" s="124"/>
      <c r="M293" s="124"/>
      <c r="N293" s="124"/>
      <c r="O293" s="124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</row>
    <row x14ac:dyDescent="0.25" r="294" customHeight="1" ht="15.75">
      <c r="A294" s="123"/>
      <c r="B294" s="123"/>
      <c r="C294" s="124"/>
      <c r="D294" s="124"/>
      <c r="E294" s="124"/>
      <c r="F294" s="124"/>
      <c r="G294" s="124"/>
      <c r="H294" s="124"/>
      <c r="I294" s="124"/>
      <c r="J294" s="124"/>
      <c r="K294" s="124"/>
      <c r="L294" s="124"/>
      <c r="M294" s="124"/>
      <c r="N294" s="124"/>
      <c r="O294" s="124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</row>
    <row x14ac:dyDescent="0.25" r="295" customHeight="1" ht="15.75">
      <c r="A295" s="123"/>
      <c r="B295" s="123"/>
      <c r="C295" s="124"/>
      <c r="D295" s="124"/>
      <c r="E295" s="124"/>
      <c r="F295" s="124"/>
      <c r="G295" s="124"/>
      <c r="H295" s="124"/>
      <c r="I295" s="124"/>
      <c r="J295" s="124"/>
      <c r="K295" s="124"/>
      <c r="L295" s="124"/>
      <c r="M295" s="124"/>
      <c r="N295" s="124"/>
      <c r="O295" s="124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</row>
    <row x14ac:dyDescent="0.25" r="296" customHeight="1" ht="15.75">
      <c r="A296" s="123"/>
      <c r="B296" s="123"/>
      <c r="C296" s="124"/>
      <c r="D296" s="124"/>
      <c r="E296" s="124"/>
      <c r="F296" s="124"/>
      <c r="G296" s="124"/>
      <c r="H296" s="124"/>
      <c r="I296" s="124"/>
      <c r="J296" s="124"/>
      <c r="K296" s="124"/>
      <c r="L296" s="124"/>
      <c r="M296" s="124"/>
      <c r="N296" s="124"/>
      <c r="O296" s="124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</row>
    <row x14ac:dyDescent="0.25" r="297" customHeight="1" ht="15.75">
      <c r="A297" s="123"/>
      <c r="B297" s="123"/>
      <c r="C297" s="124"/>
      <c r="D297" s="124"/>
      <c r="E297" s="124"/>
      <c r="F297" s="124"/>
      <c r="G297" s="124"/>
      <c r="H297" s="124"/>
      <c r="I297" s="124"/>
      <c r="J297" s="124"/>
      <c r="K297" s="124"/>
      <c r="L297" s="124"/>
      <c r="M297" s="124"/>
      <c r="N297" s="124"/>
      <c r="O297" s="124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</row>
    <row x14ac:dyDescent="0.25" r="298" customHeight="1" ht="15.75">
      <c r="A298" s="123"/>
      <c r="B298" s="123"/>
      <c r="C298" s="124"/>
      <c r="D298" s="124"/>
      <c r="E298" s="124"/>
      <c r="F298" s="124"/>
      <c r="G298" s="124"/>
      <c r="H298" s="124"/>
      <c r="I298" s="124"/>
      <c r="J298" s="124"/>
      <c r="K298" s="124"/>
      <c r="L298" s="124"/>
      <c r="M298" s="124"/>
      <c r="N298" s="124"/>
      <c r="O298" s="124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</row>
    <row x14ac:dyDescent="0.25" r="299" customHeight="1" ht="15.75">
      <c r="A299" s="123"/>
      <c r="B299" s="123"/>
      <c r="C299" s="124"/>
      <c r="D299" s="124"/>
      <c r="E299" s="124"/>
      <c r="F299" s="124"/>
      <c r="G299" s="124"/>
      <c r="H299" s="124"/>
      <c r="I299" s="124"/>
      <c r="J299" s="124"/>
      <c r="K299" s="124"/>
      <c r="L299" s="124"/>
      <c r="M299" s="124"/>
      <c r="N299" s="124"/>
      <c r="O299" s="124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</row>
    <row x14ac:dyDescent="0.25" r="300" customHeight="1" ht="15.75">
      <c r="A300" s="123"/>
      <c r="B300" s="123"/>
      <c r="C300" s="124"/>
      <c r="D300" s="124"/>
      <c r="E300" s="124"/>
      <c r="F300" s="124"/>
      <c r="G300" s="124"/>
      <c r="H300" s="124"/>
      <c r="I300" s="124"/>
      <c r="J300" s="124"/>
      <c r="K300" s="124"/>
      <c r="L300" s="124"/>
      <c r="M300" s="124"/>
      <c r="N300" s="124"/>
      <c r="O300" s="124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</row>
    <row x14ac:dyDescent="0.25" r="301" customHeight="1" ht="15.75">
      <c r="A301" s="123"/>
      <c r="B301" s="123"/>
      <c r="C301" s="124"/>
      <c r="D301" s="124"/>
      <c r="E301" s="124"/>
      <c r="F301" s="124"/>
      <c r="G301" s="124"/>
      <c r="H301" s="124"/>
      <c r="I301" s="124"/>
      <c r="J301" s="124"/>
      <c r="K301" s="124"/>
      <c r="L301" s="124"/>
      <c r="M301" s="124"/>
      <c r="N301" s="124"/>
      <c r="O301" s="124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</row>
    <row x14ac:dyDescent="0.25" r="302" customHeight="1" ht="15.75">
      <c r="A302" s="123"/>
      <c r="B302" s="123"/>
      <c r="C302" s="124"/>
      <c r="D302" s="124"/>
      <c r="E302" s="124"/>
      <c r="F302" s="124"/>
      <c r="G302" s="124"/>
      <c r="H302" s="124"/>
      <c r="I302" s="124"/>
      <c r="J302" s="124"/>
      <c r="K302" s="124"/>
      <c r="L302" s="124"/>
      <c r="M302" s="124"/>
      <c r="N302" s="124"/>
      <c r="O302" s="124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</row>
    <row x14ac:dyDescent="0.25" r="303" customHeight="1" ht="15.75">
      <c r="A303" s="123"/>
      <c r="B303" s="123"/>
      <c r="C303" s="124"/>
      <c r="D303" s="124"/>
      <c r="E303" s="124"/>
      <c r="F303" s="124"/>
      <c r="G303" s="124"/>
      <c r="H303" s="124"/>
      <c r="I303" s="124"/>
      <c r="J303" s="124"/>
      <c r="K303" s="124"/>
      <c r="L303" s="124"/>
      <c r="M303" s="124"/>
      <c r="N303" s="124"/>
      <c r="O303" s="124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</row>
    <row x14ac:dyDescent="0.25" r="304" customHeight="1" ht="15.75">
      <c r="A304" s="123"/>
      <c r="B304" s="123"/>
      <c r="C304" s="124"/>
      <c r="D304" s="124"/>
      <c r="E304" s="124"/>
      <c r="F304" s="124"/>
      <c r="G304" s="124"/>
      <c r="H304" s="124"/>
      <c r="I304" s="124"/>
      <c r="J304" s="124"/>
      <c r="K304" s="124"/>
      <c r="L304" s="124"/>
      <c r="M304" s="124"/>
      <c r="N304" s="124"/>
      <c r="O304" s="124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</row>
    <row x14ac:dyDescent="0.25" r="305" customHeight="1" ht="15.75">
      <c r="A305" s="123"/>
      <c r="B305" s="123"/>
      <c r="C305" s="124"/>
      <c r="D305" s="124"/>
      <c r="E305" s="124"/>
      <c r="F305" s="124"/>
      <c r="G305" s="124"/>
      <c r="H305" s="124"/>
      <c r="I305" s="124"/>
      <c r="J305" s="124"/>
      <c r="K305" s="124"/>
      <c r="L305" s="124"/>
      <c r="M305" s="124"/>
      <c r="N305" s="124"/>
      <c r="O305" s="124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</row>
    <row x14ac:dyDescent="0.25" r="306" customHeight="1" ht="15.75">
      <c r="A306" s="123"/>
      <c r="B306" s="123"/>
      <c r="C306" s="124"/>
      <c r="D306" s="124"/>
      <c r="E306" s="124"/>
      <c r="F306" s="124"/>
      <c r="G306" s="124"/>
      <c r="H306" s="124"/>
      <c r="I306" s="124"/>
      <c r="J306" s="124"/>
      <c r="K306" s="124"/>
      <c r="L306" s="124"/>
      <c r="M306" s="124"/>
      <c r="N306" s="124"/>
      <c r="O306" s="124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</row>
    <row x14ac:dyDescent="0.25" r="307" customHeight="1" ht="15.75">
      <c r="A307" s="123"/>
      <c r="B307" s="123"/>
      <c r="C307" s="124"/>
      <c r="D307" s="124"/>
      <c r="E307" s="124"/>
      <c r="F307" s="124"/>
      <c r="G307" s="124"/>
      <c r="H307" s="124"/>
      <c r="I307" s="124"/>
      <c r="J307" s="124"/>
      <c r="K307" s="124"/>
      <c r="L307" s="124"/>
      <c r="M307" s="124"/>
      <c r="N307" s="124"/>
      <c r="O307" s="124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</row>
    <row x14ac:dyDescent="0.25" r="308" customHeight="1" ht="15.75">
      <c r="A308" s="123"/>
      <c r="B308" s="123"/>
      <c r="C308" s="124"/>
      <c r="D308" s="124"/>
      <c r="E308" s="124"/>
      <c r="F308" s="124"/>
      <c r="G308" s="124"/>
      <c r="H308" s="124"/>
      <c r="I308" s="124"/>
      <c r="J308" s="124"/>
      <c r="K308" s="124"/>
      <c r="L308" s="124"/>
      <c r="M308" s="124"/>
      <c r="N308" s="124"/>
      <c r="O308" s="124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</row>
    <row x14ac:dyDescent="0.25" r="309" customHeight="1" ht="15.75">
      <c r="A309" s="123"/>
      <c r="B309" s="123"/>
      <c r="C309" s="124"/>
      <c r="D309" s="124"/>
      <c r="E309" s="124"/>
      <c r="F309" s="124"/>
      <c r="G309" s="124"/>
      <c r="H309" s="124"/>
      <c r="I309" s="124"/>
      <c r="J309" s="124"/>
      <c r="K309" s="124"/>
      <c r="L309" s="124"/>
      <c r="M309" s="124"/>
      <c r="N309" s="124"/>
      <c r="O309" s="124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</row>
    <row x14ac:dyDescent="0.25" r="310" customHeight="1" ht="15.75">
      <c r="A310" s="123"/>
      <c r="B310" s="123"/>
      <c r="C310" s="124"/>
      <c r="D310" s="124"/>
      <c r="E310" s="124"/>
      <c r="F310" s="124"/>
      <c r="G310" s="124"/>
      <c r="H310" s="124"/>
      <c r="I310" s="124"/>
      <c r="J310" s="124"/>
      <c r="K310" s="124"/>
      <c r="L310" s="124"/>
      <c r="M310" s="124"/>
      <c r="N310" s="124"/>
      <c r="O310" s="124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</row>
    <row x14ac:dyDescent="0.25" r="311" customHeight="1" ht="15.75">
      <c r="A311" s="123"/>
      <c r="B311" s="123"/>
      <c r="C311" s="124"/>
      <c r="D311" s="124"/>
      <c r="E311" s="124"/>
      <c r="F311" s="124"/>
      <c r="G311" s="124"/>
      <c r="H311" s="124"/>
      <c r="I311" s="124"/>
      <c r="J311" s="124"/>
      <c r="K311" s="124"/>
      <c r="L311" s="124"/>
      <c r="M311" s="124"/>
      <c r="N311" s="124"/>
      <c r="O311" s="124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</row>
    <row x14ac:dyDescent="0.25" r="312" customHeight="1" ht="15.75">
      <c r="A312" s="123"/>
      <c r="B312" s="123"/>
      <c r="C312" s="124"/>
      <c r="D312" s="124"/>
      <c r="E312" s="124"/>
      <c r="F312" s="124"/>
      <c r="G312" s="124"/>
      <c r="H312" s="124"/>
      <c r="I312" s="124"/>
      <c r="J312" s="124"/>
      <c r="K312" s="124"/>
      <c r="L312" s="124"/>
      <c r="M312" s="124"/>
      <c r="N312" s="124"/>
      <c r="O312" s="124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</row>
    <row x14ac:dyDescent="0.25" r="313" customHeight="1" ht="15.75">
      <c r="A313" s="123"/>
      <c r="B313" s="123"/>
      <c r="C313" s="124"/>
      <c r="D313" s="124"/>
      <c r="E313" s="124"/>
      <c r="F313" s="124"/>
      <c r="G313" s="124"/>
      <c r="H313" s="124"/>
      <c r="I313" s="124"/>
      <c r="J313" s="124"/>
      <c r="K313" s="124"/>
      <c r="L313" s="124"/>
      <c r="M313" s="124"/>
      <c r="N313" s="124"/>
      <c r="O313" s="124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</row>
    <row x14ac:dyDescent="0.25" r="314" customHeight="1" ht="15.75">
      <c r="A314" s="123"/>
      <c r="B314" s="123"/>
      <c r="C314" s="124"/>
      <c r="D314" s="124"/>
      <c r="E314" s="124"/>
      <c r="F314" s="124"/>
      <c r="G314" s="124"/>
      <c r="H314" s="124"/>
      <c r="I314" s="124"/>
      <c r="J314" s="124"/>
      <c r="K314" s="124"/>
      <c r="L314" s="124"/>
      <c r="M314" s="124"/>
      <c r="N314" s="124"/>
      <c r="O314" s="124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</row>
    <row x14ac:dyDescent="0.25" r="315" customHeight="1" ht="15.75">
      <c r="A315" s="123"/>
      <c r="B315" s="123"/>
      <c r="C315" s="124"/>
      <c r="D315" s="124"/>
      <c r="E315" s="124"/>
      <c r="F315" s="124"/>
      <c r="G315" s="124"/>
      <c r="H315" s="124"/>
      <c r="I315" s="124"/>
      <c r="J315" s="124"/>
      <c r="K315" s="124"/>
      <c r="L315" s="124"/>
      <c r="M315" s="124"/>
      <c r="N315" s="124"/>
      <c r="O315" s="124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</row>
    <row x14ac:dyDescent="0.25" r="316" customHeight="1" ht="15.75">
      <c r="A316" s="123"/>
      <c r="B316" s="123"/>
      <c r="C316" s="124"/>
      <c r="D316" s="124"/>
      <c r="E316" s="124"/>
      <c r="F316" s="124"/>
      <c r="G316" s="124"/>
      <c r="H316" s="124"/>
      <c r="I316" s="124"/>
      <c r="J316" s="124"/>
      <c r="K316" s="124"/>
      <c r="L316" s="124"/>
      <c r="M316" s="124"/>
      <c r="N316" s="124"/>
      <c r="O316" s="124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</row>
    <row x14ac:dyDescent="0.25" r="317" customHeight="1" ht="15.75">
      <c r="A317" s="123"/>
      <c r="B317" s="123"/>
      <c r="C317" s="124"/>
      <c r="D317" s="124"/>
      <c r="E317" s="124"/>
      <c r="F317" s="124"/>
      <c r="G317" s="124"/>
      <c r="H317" s="124"/>
      <c r="I317" s="124"/>
      <c r="J317" s="124"/>
      <c r="K317" s="124"/>
      <c r="L317" s="124"/>
      <c r="M317" s="124"/>
      <c r="N317" s="124"/>
      <c r="O317" s="124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</row>
    <row x14ac:dyDescent="0.25" r="318" customHeight="1" ht="15.75">
      <c r="A318" s="123"/>
      <c r="B318" s="123"/>
      <c r="C318" s="124"/>
      <c r="D318" s="124"/>
      <c r="E318" s="124"/>
      <c r="F318" s="124"/>
      <c r="G318" s="124"/>
      <c r="H318" s="124"/>
      <c r="I318" s="124"/>
      <c r="J318" s="124"/>
      <c r="K318" s="124"/>
      <c r="L318" s="124"/>
      <c r="M318" s="124"/>
      <c r="N318" s="124"/>
      <c r="O318" s="124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</row>
    <row x14ac:dyDescent="0.25" r="319" customHeight="1" ht="15.75">
      <c r="A319" s="123"/>
      <c r="B319" s="123"/>
      <c r="C319" s="124"/>
      <c r="D319" s="124"/>
      <c r="E319" s="124"/>
      <c r="F319" s="124"/>
      <c r="G319" s="124"/>
      <c r="H319" s="124"/>
      <c r="I319" s="124"/>
      <c r="J319" s="124"/>
      <c r="K319" s="124"/>
      <c r="L319" s="124"/>
      <c r="M319" s="124"/>
      <c r="N319" s="124"/>
      <c r="O319" s="124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</row>
    <row x14ac:dyDescent="0.25" r="320" customHeight="1" ht="15.75">
      <c r="A320" s="123"/>
      <c r="B320" s="123"/>
      <c r="C320" s="124"/>
      <c r="D320" s="124"/>
      <c r="E320" s="124"/>
      <c r="F320" s="124"/>
      <c r="G320" s="124"/>
      <c r="H320" s="124"/>
      <c r="I320" s="124"/>
      <c r="J320" s="124"/>
      <c r="K320" s="124"/>
      <c r="L320" s="124"/>
      <c r="M320" s="124"/>
      <c r="N320" s="124"/>
      <c r="O320" s="124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</row>
    <row x14ac:dyDescent="0.25" r="321" customHeight="1" ht="15.75">
      <c r="A321" s="123"/>
      <c r="B321" s="123"/>
      <c r="C321" s="124"/>
      <c r="D321" s="124"/>
      <c r="E321" s="124"/>
      <c r="F321" s="124"/>
      <c r="G321" s="124"/>
      <c r="H321" s="124"/>
      <c r="I321" s="124"/>
      <c r="J321" s="124"/>
      <c r="K321" s="124"/>
      <c r="L321" s="124"/>
      <c r="M321" s="124"/>
      <c r="N321" s="124"/>
      <c r="O321" s="124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</row>
    <row x14ac:dyDescent="0.25" r="322" customHeight="1" ht="15.75">
      <c r="A322" s="123"/>
      <c r="B322" s="123"/>
      <c r="C322" s="124"/>
      <c r="D322" s="124"/>
      <c r="E322" s="124"/>
      <c r="F322" s="124"/>
      <c r="G322" s="124"/>
      <c r="H322" s="124"/>
      <c r="I322" s="124"/>
      <c r="J322" s="124"/>
      <c r="K322" s="124"/>
      <c r="L322" s="124"/>
      <c r="M322" s="124"/>
      <c r="N322" s="124"/>
      <c r="O322" s="124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</row>
    <row x14ac:dyDescent="0.25" r="323" customHeight="1" ht="15.75">
      <c r="A323" s="123"/>
      <c r="B323" s="123"/>
      <c r="C323" s="124"/>
      <c r="D323" s="124"/>
      <c r="E323" s="124"/>
      <c r="F323" s="124"/>
      <c r="G323" s="124"/>
      <c r="H323" s="124"/>
      <c r="I323" s="124"/>
      <c r="J323" s="124"/>
      <c r="K323" s="124"/>
      <c r="L323" s="124"/>
      <c r="M323" s="124"/>
      <c r="N323" s="124"/>
      <c r="O323" s="124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</row>
    <row x14ac:dyDescent="0.25" r="324" customHeight="1" ht="15.75">
      <c r="A324" s="123"/>
      <c r="B324" s="123"/>
      <c r="C324" s="124"/>
      <c r="D324" s="124"/>
      <c r="E324" s="124"/>
      <c r="F324" s="124"/>
      <c r="G324" s="124"/>
      <c r="H324" s="124"/>
      <c r="I324" s="124"/>
      <c r="J324" s="124"/>
      <c r="K324" s="124"/>
      <c r="L324" s="124"/>
      <c r="M324" s="124"/>
      <c r="N324" s="124"/>
      <c r="O324" s="124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</row>
    <row x14ac:dyDescent="0.25" r="325" customHeight="1" ht="15.75">
      <c r="A325" s="123"/>
      <c r="B325" s="123"/>
      <c r="C325" s="124"/>
      <c r="D325" s="124"/>
      <c r="E325" s="124"/>
      <c r="F325" s="124"/>
      <c r="G325" s="124"/>
      <c r="H325" s="124"/>
      <c r="I325" s="124"/>
      <c r="J325" s="124"/>
      <c r="K325" s="124"/>
      <c r="L325" s="124"/>
      <c r="M325" s="124"/>
      <c r="N325" s="124"/>
      <c r="O325" s="124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</row>
    <row x14ac:dyDescent="0.25" r="326" customHeight="1" ht="15.75">
      <c r="A326" s="123"/>
      <c r="B326" s="123"/>
      <c r="C326" s="124"/>
      <c r="D326" s="124"/>
      <c r="E326" s="124"/>
      <c r="F326" s="124"/>
      <c r="G326" s="124"/>
      <c r="H326" s="124"/>
      <c r="I326" s="124"/>
      <c r="J326" s="124"/>
      <c r="K326" s="124"/>
      <c r="L326" s="124"/>
      <c r="M326" s="124"/>
      <c r="N326" s="124"/>
      <c r="O326" s="124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</row>
    <row x14ac:dyDescent="0.25" r="327" customHeight="1" ht="15.75">
      <c r="A327" s="123"/>
      <c r="B327" s="123"/>
      <c r="C327" s="124"/>
      <c r="D327" s="124"/>
      <c r="E327" s="124"/>
      <c r="F327" s="124"/>
      <c r="G327" s="124"/>
      <c r="H327" s="124"/>
      <c r="I327" s="124"/>
      <c r="J327" s="124"/>
      <c r="K327" s="124"/>
      <c r="L327" s="124"/>
      <c r="M327" s="124"/>
      <c r="N327" s="124"/>
      <c r="O327" s="124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</row>
    <row x14ac:dyDescent="0.25" r="328" customHeight="1" ht="15.75">
      <c r="A328" s="123"/>
      <c r="B328" s="123"/>
      <c r="C328" s="124"/>
      <c r="D328" s="124"/>
      <c r="E328" s="124"/>
      <c r="F328" s="124"/>
      <c r="G328" s="124"/>
      <c r="H328" s="124"/>
      <c r="I328" s="124"/>
      <c r="J328" s="124"/>
      <c r="K328" s="124"/>
      <c r="L328" s="124"/>
      <c r="M328" s="124"/>
      <c r="N328" s="124"/>
      <c r="O328" s="124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</row>
    <row x14ac:dyDescent="0.25" r="329" customHeight="1" ht="15.75">
      <c r="A329" s="123"/>
      <c r="B329" s="123"/>
      <c r="C329" s="124"/>
      <c r="D329" s="124"/>
      <c r="E329" s="124"/>
      <c r="F329" s="124"/>
      <c r="G329" s="124"/>
      <c r="H329" s="124"/>
      <c r="I329" s="124"/>
      <c r="J329" s="124"/>
      <c r="K329" s="124"/>
      <c r="L329" s="124"/>
      <c r="M329" s="124"/>
      <c r="N329" s="124"/>
      <c r="O329" s="124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</row>
    <row x14ac:dyDescent="0.25" r="330" customHeight="1" ht="15.75">
      <c r="A330" s="123"/>
      <c r="B330" s="123"/>
      <c r="C330" s="124"/>
      <c r="D330" s="124"/>
      <c r="E330" s="124"/>
      <c r="F330" s="124"/>
      <c r="G330" s="124"/>
      <c r="H330" s="124"/>
      <c r="I330" s="124"/>
      <c r="J330" s="124"/>
      <c r="K330" s="124"/>
      <c r="L330" s="124"/>
      <c r="M330" s="124"/>
      <c r="N330" s="124"/>
      <c r="O330" s="124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</row>
    <row x14ac:dyDescent="0.25" r="331" customHeight="1" ht="15.75">
      <c r="A331" s="123"/>
      <c r="B331" s="123"/>
      <c r="C331" s="124"/>
      <c r="D331" s="124"/>
      <c r="E331" s="124"/>
      <c r="F331" s="124"/>
      <c r="G331" s="124"/>
      <c r="H331" s="124"/>
      <c r="I331" s="124"/>
      <c r="J331" s="124"/>
      <c r="K331" s="124"/>
      <c r="L331" s="124"/>
      <c r="M331" s="124"/>
      <c r="N331" s="124"/>
      <c r="O331" s="124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</row>
    <row x14ac:dyDescent="0.25" r="332" customHeight="1" ht="15.75">
      <c r="A332" s="123"/>
      <c r="B332" s="123"/>
      <c r="C332" s="124"/>
      <c r="D332" s="124"/>
      <c r="E332" s="124"/>
      <c r="F332" s="124"/>
      <c r="G332" s="124"/>
      <c r="H332" s="124"/>
      <c r="I332" s="124"/>
      <c r="J332" s="124"/>
      <c r="K332" s="124"/>
      <c r="L332" s="124"/>
      <c r="M332" s="124"/>
      <c r="N332" s="124"/>
      <c r="O332" s="124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</row>
    <row x14ac:dyDescent="0.25" r="333" customHeight="1" ht="15.75">
      <c r="A333" s="123"/>
      <c r="B333" s="123"/>
      <c r="C333" s="124"/>
      <c r="D333" s="124"/>
      <c r="E333" s="124"/>
      <c r="F333" s="124"/>
      <c r="G333" s="124"/>
      <c r="H333" s="124"/>
      <c r="I333" s="124"/>
      <c r="J333" s="124"/>
      <c r="K333" s="124"/>
      <c r="L333" s="124"/>
      <c r="M333" s="124"/>
      <c r="N333" s="124"/>
      <c r="O333" s="124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</row>
    <row x14ac:dyDescent="0.25" r="334" customHeight="1" ht="15.75">
      <c r="A334" s="123"/>
      <c r="B334" s="123"/>
      <c r="C334" s="124"/>
      <c r="D334" s="124"/>
      <c r="E334" s="124"/>
      <c r="F334" s="124"/>
      <c r="G334" s="124"/>
      <c r="H334" s="124"/>
      <c r="I334" s="124"/>
      <c r="J334" s="124"/>
      <c r="K334" s="124"/>
      <c r="L334" s="124"/>
      <c r="M334" s="124"/>
      <c r="N334" s="124"/>
      <c r="O334" s="124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</row>
    <row x14ac:dyDescent="0.25" r="335" customHeight="1" ht="15.75">
      <c r="A335" s="123"/>
      <c r="B335" s="123"/>
      <c r="C335" s="124"/>
      <c r="D335" s="124"/>
      <c r="E335" s="124"/>
      <c r="F335" s="124"/>
      <c r="G335" s="124"/>
      <c r="H335" s="124"/>
      <c r="I335" s="124"/>
      <c r="J335" s="124"/>
      <c r="K335" s="124"/>
      <c r="L335" s="124"/>
      <c r="M335" s="124"/>
      <c r="N335" s="124"/>
      <c r="O335" s="124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</row>
    <row x14ac:dyDescent="0.25" r="336" customHeight="1" ht="15.75">
      <c r="A336" s="123"/>
      <c r="B336" s="123"/>
      <c r="C336" s="124"/>
      <c r="D336" s="124"/>
      <c r="E336" s="124"/>
      <c r="F336" s="124"/>
      <c r="G336" s="124"/>
      <c r="H336" s="124"/>
      <c r="I336" s="124"/>
      <c r="J336" s="124"/>
      <c r="K336" s="124"/>
      <c r="L336" s="124"/>
      <c r="M336" s="124"/>
      <c r="N336" s="124"/>
      <c r="O336" s="124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</row>
    <row x14ac:dyDescent="0.25" r="337" customHeight="1" ht="15.75">
      <c r="A337" s="123"/>
      <c r="B337" s="123"/>
      <c r="C337" s="124"/>
      <c r="D337" s="124"/>
      <c r="E337" s="124"/>
      <c r="F337" s="124"/>
      <c r="G337" s="124"/>
      <c r="H337" s="124"/>
      <c r="I337" s="124"/>
      <c r="J337" s="124"/>
      <c r="K337" s="124"/>
      <c r="L337" s="124"/>
      <c r="M337" s="124"/>
      <c r="N337" s="124"/>
      <c r="O337" s="124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</row>
    <row x14ac:dyDescent="0.25" r="338" customHeight="1" ht="15.75">
      <c r="A338" s="123"/>
      <c r="B338" s="123"/>
      <c r="C338" s="124"/>
      <c r="D338" s="124"/>
      <c r="E338" s="124"/>
      <c r="F338" s="124"/>
      <c r="G338" s="124"/>
      <c r="H338" s="124"/>
      <c r="I338" s="124"/>
      <c r="J338" s="124"/>
      <c r="K338" s="124"/>
      <c r="L338" s="124"/>
      <c r="M338" s="124"/>
      <c r="N338" s="124"/>
      <c r="O338" s="124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</row>
    <row x14ac:dyDescent="0.25" r="339" customHeight="1" ht="15.75">
      <c r="A339" s="123"/>
      <c r="B339" s="123"/>
      <c r="C339" s="124"/>
      <c r="D339" s="124"/>
      <c r="E339" s="124"/>
      <c r="F339" s="124"/>
      <c r="G339" s="124"/>
      <c r="H339" s="124"/>
      <c r="I339" s="124"/>
      <c r="J339" s="124"/>
      <c r="K339" s="124"/>
      <c r="L339" s="124"/>
      <c r="M339" s="124"/>
      <c r="N339" s="124"/>
      <c r="O339" s="124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</row>
    <row x14ac:dyDescent="0.25" r="340" customHeight="1" ht="15.75">
      <c r="A340" s="123"/>
      <c r="B340" s="123"/>
      <c r="C340" s="124"/>
      <c r="D340" s="124"/>
      <c r="E340" s="124"/>
      <c r="F340" s="124"/>
      <c r="G340" s="124"/>
      <c r="H340" s="124"/>
      <c r="I340" s="124"/>
      <c r="J340" s="124"/>
      <c r="K340" s="124"/>
      <c r="L340" s="124"/>
      <c r="M340" s="124"/>
      <c r="N340" s="124"/>
      <c r="O340" s="124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</row>
    <row x14ac:dyDescent="0.25" r="341" customHeight="1" ht="15.75">
      <c r="A341" s="123"/>
      <c r="B341" s="123"/>
      <c r="C341" s="124"/>
      <c r="D341" s="124"/>
      <c r="E341" s="124"/>
      <c r="F341" s="124"/>
      <c r="G341" s="124"/>
      <c r="H341" s="124"/>
      <c r="I341" s="124"/>
      <c r="J341" s="124"/>
      <c r="K341" s="124"/>
      <c r="L341" s="124"/>
      <c r="M341" s="124"/>
      <c r="N341" s="124"/>
      <c r="O341" s="124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</row>
    <row x14ac:dyDescent="0.25" r="342" customHeight="1" ht="15.75">
      <c r="A342" s="123"/>
      <c r="B342" s="123"/>
      <c r="C342" s="124"/>
      <c r="D342" s="124"/>
      <c r="E342" s="124"/>
      <c r="F342" s="124"/>
      <c r="G342" s="124"/>
      <c r="H342" s="124"/>
      <c r="I342" s="124"/>
      <c r="J342" s="124"/>
      <c r="K342" s="124"/>
      <c r="L342" s="124"/>
      <c r="M342" s="124"/>
      <c r="N342" s="124"/>
      <c r="O342" s="124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</row>
    <row x14ac:dyDescent="0.25" r="343" customHeight="1" ht="15.75">
      <c r="A343" s="123"/>
      <c r="B343" s="123"/>
      <c r="C343" s="124"/>
      <c r="D343" s="124"/>
      <c r="E343" s="124"/>
      <c r="F343" s="124"/>
      <c r="G343" s="124"/>
      <c r="H343" s="124"/>
      <c r="I343" s="124"/>
      <c r="J343" s="124"/>
      <c r="K343" s="124"/>
      <c r="L343" s="124"/>
      <c r="M343" s="124"/>
      <c r="N343" s="124"/>
      <c r="O343" s="124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</row>
    <row x14ac:dyDescent="0.25" r="344" customHeight="1" ht="15.75">
      <c r="A344" s="123"/>
      <c r="B344" s="123"/>
      <c r="C344" s="124"/>
      <c r="D344" s="124"/>
      <c r="E344" s="124"/>
      <c r="F344" s="124"/>
      <c r="G344" s="124"/>
      <c r="H344" s="124"/>
      <c r="I344" s="124"/>
      <c r="J344" s="124"/>
      <c r="K344" s="124"/>
      <c r="L344" s="124"/>
      <c r="M344" s="124"/>
      <c r="N344" s="124"/>
      <c r="O344" s="124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</row>
    <row x14ac:dyDescent="0.25" r="345" customHeight="1" ht="15.75">
      <c r="A345" s="123"/>
      <c r="B345" s="123"/>
      <c r="C345" s="124"/>
      <c r="D345" s="124"/>
      <c r="E345" s="124"/>
      <c r="F345" s="124"/>
      <c r="G345" s="124"/>
      <c r="H345" s="124"/>
      <c r="I345" s="124"/>
      <c r="J345" s="124"/>
      <c r="K345" s="124"/>
      <c r="L345" s="124"/>
      <c r="M345" s="124"/>
      <c r="N345" s="124"/>
      <c r="O345" s="124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</row>
    <row x14ac:dyDescent="0.25" r="346" customHeight="1" ht="15.75">
      <c r="A346" s="123"/>
      <c r="B346" s="123"/>
      <c r="C346" s="124"/>
      <c r="D346" s="124"/>
      <c r="E346" s="124"/>
      <c r="F346" s="124"/>
      <c r="G346" s="124"/>
      <c r="H346" s="124"/>
      <c r="I346" s="124"/>
      <c r="J346" s="124"/>
      <c r="K346" s="124"/>
      <c r="L346" s="124"/>
      <c r="M346" s="124"/>
      <c r="N346" s="124"/>
      <c r="O346" s="124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</row>
    <row x14ac:dyDescent="0.25" r="347" customHeight="1" ht="15.75">
      <c r="A347" s="123"/>
      <c r="B347" s="123"/>
      <c r="C347" s="124"/>
      <c r="D347" s="124"/>
      <c r="E347" s="124"/>
      <c r="F347" s="124"/>
      <c r="G347" s="124"/>
      <c r="H347" s="124"/>
      <c r="I347" s="124"/>
      <c r="J347" s="124"/>
      <c r="K347" s="124"/>
      <c r="L347" s="124"/>
      <c r="M347" s="124"/>
      <c r="N347" s="124"/>
      <c r="O347" s="124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</row>
    <row x14ac:dyDescent="0.25" r="348" customHeight="1" ht="15.75">
      <c r="A348" s="123"/>
      <c r="B348" s="123"/>
      <c r="C348" s="124"/>
      <c r="D348" s="124"/>
      <c r="E348" s="124"/>
      <c r="F348" s="124"/>
      <c r="G348" s="124"/>
      <c r="H348" s="124"/>
      <c r="I348" s="124"/>
      <c r="J348" s="124"/>
      <c r="K348" s="124"/>
      <c r="L348" s="124"/>
      <c r="M348" s="124"/>
      <c r="N348" s="124"/>
      <c r="O348" s="124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</row>
    <row x14ac:dyDescent="0.25" r="349" customHeight="1" ht="15.75">
      <c r="A349" s="123"/>
      <c r="B349" s="123"/>
      <c r="C349" s="124"/>
      <c r="D349" s="124"/>
      <c r="E349" s="124"/>
      <c r="F349" s="124"/>
      <c r="G349" s="124"/>
      <c r="H349" s="124"/>
      <c r="I349" s="124"/>
      <c r="J349" s="124"/>
      <c r="K349" s="124"/>
      <c r="L349" s="124"/>
      <c r="M349" s="124"/>
      <c r="N349" s="124"/>
      <c r="O349" s="124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</row>
    <row x14ac:dyDescent="0.25" r="350" customHeight="1" ht="15.75">
      <c r="A350" s="123"/>
      <c r="B350" s="123"/>
      <c r="C350" s="124"/>
      <c r="D350" s="124"/>
      <c r="E350" s="124"/>
      <c r="F350" s="124"/>
      <c r="G350" s="124"/>
      <c r="H350" s="124"/>
      <c r="I350" s="124"/>
      <c r="J350" s="124"/>
      <c r="K350" s="124"/>
      <c r="L350" s="124"/>
      <c r="M350" s="124"/>
      <c r="N350" s="124"/>
      <c r="O350" s="124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</row>
    <row x14ac:dyDescent="0.25" r="351" customHeight="1" ht="15.75">
      <c r="A351" s="123"/>
      <c r="B351" s="123"/>
      <c r="C351" s="124"/>
      <c r="D351" s="124"/>
      <c r="E351" s="124"/>
      <c r="F351" s="124"/>
      <c r="G351" s="124"/>
      <c r="H351" s="124"/>
      <c r="I351" s="124"/>
      <c r="J351" s="124"/>
      <c r="K351" s="124"/>
      <c r="L351" s="124"/>
      <c r="M351" s="124"/>
      <c r="N351" s="124"/>
      <c r="O351" s="124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</row>
    <row x14ac:dyDescent="0.25" r="352" customHeight="1" ht="15.75">
      <c r="A352" s="123"/>
      <c r="B352" s="123"/>
      <c r="C352" s="124"/>
      <c r="D352" s="124"/>
      <c r="E352" s="124"/>
      <c r="F352" s="124"/>
      <c r="G352" s="124"/>
      <c r="H352" s="124"/>
      <c r="I352" s="124"/>
      <c r="J352" s="124"/>
      <c r="K352" s="124"/>
      <c r="L352" s="124"/>
      <c r="M352" s="124"/>
      <c r="N352" s="124"/>
      <c r="O352" s="124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</row>
    <row x14ac:dyDescent="0.25" r="353" customHeight="1" ht="15.75">
      <c r="A353" s="123"/>
      <c r="B353" s="123"/>
      <c r="C353" s="124"/>
      <c r="D353" s="124"/>
      <c r="E353" s="124"/>
      <c r="F353" s="124"/>
      <c r="G353" s="124"/>
      <c r="H353" s="124"/>
      <c r="I353" s="124"/>
      <c r="J353" s="124"/>
      <c r="K353" s="124"/>
      <c r="L353" s="124"/>
      <c r="M353" s="124"/>
      <c r="N353" s="124"/>
      <c r="O353" s="124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</row>
    <row x14ac:dyDescent="0.25" r="354" customHeight="1" ht="15.75">
      <c r="A354" s="123"/>
      <c r="B354" s="123"/>
      <c r="C354" s="124"/>
      <c r="D354" s="124"/>
      <c r="E354" s="124"/>
      <c r="F354" s="124"/>
      <c r="G354" s="124"/>
      <c r="H354" s="124"/>
      <c r="I354" s="124"/>
      <c r="J354" s="124"/>
      <c r="K354" s="124"/>
      <c r="L354" s="124"/>
      <c r="M354" s="124"/>
      <c r="N354" s="124"/>
      <c r="O354" s="124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</row>
    <row x14ac:dyDescent="0.25" r="355" customHeight="1" ht="15.75">
      <c r="A355" s="123"/>
      <c r="B355" s="123"/>
      <c r="C355" s="124"/>
      <c r="D355" s="124"/>
      <c r="E355" s="124"/>
      <c r="F355" s="124"/>
      <c r="G355" s="124"/>
      <c r="H355" s="124"/>
      <c r="I355" s="124"/>
      <c r="J355" s="124"/>
      <c r="K355" s="124"/>
      <c r="L355" s="124"/>
      <c r="M355" s="124"/>
      <c r="N355" s="124"/>
      <c r="O355" s="124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</row>
    <row x14ac:dyDescent="0.25" r="356" customHeight="1" ht="15.75">
      <c r="A356" s="123"/>
      <c r="B356" s="123"/>
      <c r="C356" s="124"/>
      <c r="D356" s="124"/>
      <c r="E356" s="124"/>
      <c r="F356" s="124"/>
      <c r="G356" s="124"/>
      <c r="H356" s="124"/>
      <c r="I356" s="124"/>
      <c r="J356" s="124"/>
      <c r="K356" s="124"/>
      <c r="L356" s="124"/>
      <c r="M356" s="124"/>
      <c r="N356" s="124"/>
      <c r="O356" s="124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</row>
    <row x14ac:dyDescent="0.25" r="357" customHeight="1" ht="15.75">
      <c r="A357" s="123"/>
      <c r="B357" s="123"/>
      <c r="C357" s="124"/>
      <c r="D357" s="124"/>
      <c r="E357" s="124"/>
      <c r="F357" s="124"/>
      <c r="G357" s="124"/>
      <c r="H357" s="124"/>
      <c r="I357" s="124"/>
      <c r="J357" s="124"/>
      <c r="K357" s="124"/>
      <c r="L357" s="124"/>
      <c r="M357" s="124"/>
      <c r="N357" s="124"/>
      <c r="O357" s="124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</row>
    <row x14ac:dyDescent="0.25" r="358" customHeight="1" ht="15.75">
      <c r="A358" s="123"/>
      <c r="B358" s="123"/>
      <c r="C358" s="124"/>
      <c r="D358" s="124"/>
      <c r="E358" s="124"/>
      <c r="F358" s="124"/>
      <c r="G358" s="124"/>
      <c r="H358" s="124"/>
      <c r="I358" s="124"/>
      <c r="J358" s="124"/>
      <c r="K358" s="124"/>
      <c r="L358" s="124"/>
      <c r="M358" s="124"/>
      <c r="N358" s="124"/>
      <c r="O358" s="124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</row>
    <row x14ac:dyDescent="0.25" r="359" customHeight="1" ht="15.75">
      <c r="A359" s="123"/>
      <c r="B359" s="123"/>
      <c r="C359" s="124"/>
      <c r="D359" s="124"/>
      <c r="E359" s="124"/>
      <c r="F359" s="124"/>
      <c r="G359" s="124"/>
      <c r="H359" s="124"/>
      <c r="I359" s="124"/>
      <c r="J359" s="124"/>
      <c r="K359" s="124"/>
      <c r="L359" s="124"/>
      <c r="M359" s="124"/>
      <c r="N359" s="124"/>
      <c r="O359" s="124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</row>
    <row x14ac:dyDescent="0.25" r="360" customHeight="1" ht="15.75">
      <c r="A360" s="123"/>
      <c r="B360" s="123"/>
      <c r="C360" s="124"/>
      <c r="D360" s="124"/>
      <c r="E360" s="124"/>
      <c r="F360" s="124"/>
      <c r="G360" s="124"/>
      <c r="H360" s="124"/>
      <c r="I360" s="124"/>
      <c r="J360" s="124"/>
      <c r="K360" s="124"/>
      <c r="L360" s="124"/>
      <c r="M360" s="124"/>
      <c r="N360" s="124"/>
      <c r="O360" s="124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</row>
    <row x14ac:dyDescent="0.25" r="361" customHeight="1" ht="15.75">
      <c r="A361" s="123"/>
      <c r="B361" s="123"/>
      <c r="C361" s="124"/>
      <c r="D361" s="124"/>
      <c r="E361" s="124"/>
      <c r="F361" s="124"/>
      <c r="G361" s="124"/>
      <c r="H361" s="124"/>
      <c r="I361" s="124"/>
      <c r="J361" s="124"/>
      <c r="K361" s="124"/>
      <c r="L361" s="124"/>
      <c r="M361" s="124"/>
      <c r="N361" s="124"/>
      <c r="O361" s="124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</row>
    <row x14ac:dyDescent="0.25" r="362" customHeight="1" ht="15.75">
      <c r="A362" s="123"/>
      <c r="B362" s="123"/>
      <c r="C362" s="124"/>
      <c r="D362" s="124"/>
      <c r="E362" s="124"/>
      <c r="F362" s="124"/>
      <c r="G362" s="124"/>
      <c r="H362" s="124"/>
      <c r="I362" s="124"/>
      <c r="J362" s="124"/>
      <c r="K362" s="124"/>
      <c r="L362" s="124"/>
      <c r="M362" s="124"/>
      <c r="N362" s="124"/>
      <c r="O362" s="124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</row>
    <row x14ac:dyDescent="0.25" r="363" customHeight="1" ht="15.75">
      <c r="A363" s="123"/>
      <c r="B363" s="123"/>
      <c r="C363" s="124"/>
      <c r="D363" s="124"/>
      <c r="E363" s="124"/>
      <c r="F363" s="124"/>
      <c r="G363" s="124"/>
      <c r="H363" s="124"/>
      <c r="I363" s="124"/>
      <c r="J363" s="124"/>
      <c r="K363" s="124"/>
      <c r="L363" s="124"/>
      <c r="M363" s="124"/>
      <c r="N363" s="124"/>
      <c r="O363" s="124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</row>
    <row x14ac:dyDescent="0.25" r="364" customHeight="1" ht="15.75">
      <c r="A364" s="123"/>
      <c r="B364" s="123"/>
      <c r="C364" s="124"/>
      <c r="D364" s="124"/>
      <c r="E364" s="124"/>
      <c r="F364" s="124"/>
      <c r="G364" s="124"/>
      <c r="H364" s="124"/>
      <c r="I364" s="124"/>
      <c r="J364" s="124"/>
      <c r="K364" s="124"/>
      <c r="L364" s="124"/>
      <c r="M364" s="124"/>
      <c r="N364" s="124"/>
      <c r="O364" s="124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</row>
    <row x14ac:dyDescent="0.25" r="365" customHeight="1" ht="15.75">
      <c r="A365" s="123"/>
      <c r="B365" s="123"/>
      <c r="C365" s="124"/>
      <c r="D365" s="124"/>
      <c r="E365" s="124"/>
      <c r="F365" s="124"/>
      <c r="G365" s="124"/>
      <c r="H365" s="124"/>
      <c r="I365" s="124"/>
      <c r="J365" s="124"/>
      <c r="K365" s="124"/>
      <c r="L365" s="124"/>
      <c r="M365" s="124"/>
      <c r="N365" s="124"/>
      <c r="O365" s="124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</row>
    <row x14ac:dyDescent="0.25" r="366" customHeight="1" ht="15.75">
      <c r="A366" s="123"/>
      <c r="B366" s="123"/>
      <c r="C366" s="124"/>
      <c r="D366" s="124"/>
      <c r="E366" s="124"/>
      <c r="F366" s="124"/>
      <c r="G366" s="124"/>
      <c r="H366" s="124"/>
      <c r="I366" s="124"/>
      <c r="J366" s="124"/>
      <c r="K366" s="124"/>
      <c r="L366" s="124"/>
      <c r="M366" s="124"/>
      <c r="N366" s="124"/>
      <c r="O366" s="124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</row>
    <row x14ac:dyDescent="0.25" r="367" customHeight="1" ht="15.75">
      <c r="A367" s="123"/>
      <c r="B367" s="123"/>
      <c r="C367" s="124"/>
      <c r="D367" s="124"/>
      <c r="E367" s="124"/>
      <c r="F367" s="124"/>
      <c r="G367" s="124"/>
      <c r="H367" s="124"/>
      <c r="I367" s="124"/>
      <c r="J367" s="124"/>
      <c r="K367" s="124"/>
      <c r="L367" s="124"/>
      <c r="M367" s="124"/>
      <c r="N367" s="124"/>
      <c r="O367" s="124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</row>
    <row x14ac:dyDescent="0.25" r="368" customHeight="1" ht="15.75">
      <c r="A368" s="123"/>
      <c r="B368" s="123"/>
      <c r="C368" s="124"/>
      <c r="D368" s="124"/>
      <c r="E368" s="124"/>
      <c r="F368" s="124"/>
      <c r="G368" s="124"/>
      <c r="H368" s="124"/>
      <c r="I368" s="124"/>
      <c r="J368" s="124"/>
      <c r="K368" s="124"/>
      <c r="L368" s="124"/>
      <c r="M368" s="124"/>
      <c r="N368" s="124"/>
      <c r="O368" s="124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</row>
    <row x14ac:dyDescent="0.25" r="369" customHeight="1" ht="15.75">
      <c r="A369" s="123"/>
      <c r="B369" s="123"/>
      <c r="C369" s="124"/>
      <c r="D369" s="124"/>
      <c r="E369" s="124"/>
      <c r="F369" s="124"/>
      <c r="G369" s="124"/>
      <c r="H369" s="124"/>
      <c r="I369" s="124"/>
      <c r="J369" s="124"/>
      <c r="K369" s="124"/>
      <c r="L369" s="124"/>
      <c r="M369" s="124"/>
      <c r="N369" s="124"/>
      <c r="O369" s="124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</row>
    <row x14ac:dyDescent="0.25" r="370" customHeight="1" ht="15.75">
      <c r="A370" s="123"/>
      <c r="B370" s="123"/>
      <c r="C370" s="124"/>
      <c r="D370" s="124"/>
      <c r="E370" s="124"/>
      <c r="F370" s="124"/>
      <c r="G370" s="124"/>
      <c r="H370" s="124"/>
      <c r="I370" s="124"/>
      <c r="J370" s="124"/>
      <c r="K370" s="124"/>
      <c r="L370" s="124"/>
      <c r="M370" s="124"/>
      <c r="N370" s="124"/>
      <c r="O370" s="124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</row>
    <row x14ac:dyDescent="0.25" r="371" customHeight="1" ht="15.75">
      <c r="A371" s="123"/>
      <c r="B371" s="123"/>
      <c r="C371" s="124"/>
      <c r="D371" s="124"/>
      <c r="E371" s="124"/>
      <c r="F371" s="124"/>
      <c r="G371" s="124"/>
      <c r="H371" s="124"/>
      <c r="I371" s="124"/>
      <c r="J371" s="124"/>
      <c r="K371" s="124"/>
      <c r="L371" s="124"/>
      <c r="M371" s="124"/>
      <c r="N371" s="124"/>
      <c r="O371" s="124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</row>
    <row x14ac:dyDescent="0.25" r="372" customHeight="1" ht="15.75">
      <c r="A372" s="123"/>
      <c r="B372" s="123"/>
      <c r="C372" s="124"/>
      <c r="D372" s="124"/>
      <c r="E372" s="124"/>
      <c r="F372" s="124"/>
      <c r="G372" s="124"/>
      <c r="H372" s="124"/>
      <c r="I372" s="124"/>
      <c r="J372" s="124"/>
      <c r="K372" s="124"/>
      <c r="L372" s="124"/>
      <c r="M372" s="124"/>
      <c r="N372" s="124"/>
      <c r="O372" s="124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</row>
    <row x14ac:dyDescent="0.25" r="373" customHeight="1" ht="15.75">
      <c r="A373" s="123"/>
      <c r="B373" s="123"/>
      <c r="C373" s="124"/>
      <c r="D373" s="124"/>
      <c r="E373" s="124"/>
      <c r="F373" s="124"/>
      <c r="G373" s="124"/>
      <c r="H373" s="124"/>
      <c r="I373" s="124"/>
      <c r="J373" s="124"/>
      <c r="K373" s="124"/>
      <c r="L373" s="124"/>
      <c r="M373" s="124"/>
      <c r="N373" s="124"/>
      <c r="O373" s="124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</row>
    <row x14ac:dyDescent="0.25" r="374" customHeight="1" ht="15.75">
      <c r="A374" s="123"/>
      <c r="B374" s="123"/>
      <c r="C374" s="124"/>
      <c r="D374" s="124"/>
      <c r="E374" s="124"/>
      <c r="F374" s="124"/>
      <c r="G374" s="124"/>
      <c r="H374" s="124"/>
      <c r="I374" s="124"/>
      <c r="J374" s="124"/>
      <c r="K374" s="124"/>
      <c r="L374" s="124"/>
      <c r="M374" s="124"/>
      <c r="N374" s="124"/>
      <c r="O374" s="124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</row>
    <row x14ac:dyDescent="0.25" r="375" customHeight="1" ht="15.75">
      <c r="A375" s="123"/>
      <c r="B375" s="123"/>
      <c r="C375" s="124"/>
      <c r="D375" s="124"/>
      <c r="E375" s="124"/>
      <c r="F375" s="124"/>
      <c r="G375" s="124"/>
      <c r="H375" s="124"/>
      <c r="I375" s="124"/>
      <c r="J375" s="124"/>
      <c r="K375" s="124"/>
      <c r="L375" s="124"/>
      <c r="M375" s="124"/>
      <c r="N375" s="124"/>
      <c r="O375" s="124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</row>
    <row x14ac:dyDescent="0.25" r="376" customHeight="1" ht="15.75">
      <c r="A376" s="123"/>
      <c r="B376" s="123"/>
      <c r="C376" s="124"/>
      <c r="D376" s="124"/>
      <c r="E376" s="124"/>
      <c r="F376" s="124"/>
      <c r="G376" s="124"/>
      <c r="H376" s="124"/>
      <c r="I376" s="124"/>
      <c r="J376" s="124"/>
      <c r="K376" s="124"/>
      <c r="L376" s="124"/>
      <c r="M376" s="124"/>
      <c r="N376" s="124"/>
      <c r="O376" s="124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</row>
    <row x14ac:dyDescent="0.25" r="377" customHeight="1" ht="15.75">
      <c r="A377" s="123"/>
      <c r="B377" s="123"/>
      <c r="C377" s="124"/>
      <c r="D377" s="124"/>
      <c r="E377" s="124"/>
      <c r="F377" s="124"/>
      <c r="G377" s="124"/>
      <c r="H377" s="124"/>
      <c r="I377" s="124"/>
      <c r="J377" s="124"/>
      <c r="K377" s="124"/>
      <c r="L377" s="124"/>
      <c r="M377" s="124"/>
      <c r="N377" s="124"/>
      <c r="O377" s="124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</row>
    <row x14ac:dyDescent="0.25" r="378" customHeight="1" ht="15.75">
      <c r="A378" s="123"/>
      <c r="B378" s="123"/>
      <c r="C378" s="124"/>
      <c r="D378" s="124"/>
      <c r="E378" s="124"/>
      <c r="F378" s="124"/>
      <c r="G378" s="124"/>
      <c r="H378" s="124"/>
      <c r="I378" s="124"/>
      <c r="J378" s="124"/>
      <c r="K378" s="124"/>
      <c r="L378" s="124"/>
      <c r="M378" s="124"/>
      <c r="N378" s="124"/>
      <c r="O378" s="124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</row>
    <row x14ac:dyDescent="0.25" r="379" customHeight="1" ht="15.75">
      <c r="A379" s="123"/>
      <c r="B379" s="123"/>
      <c r="C379" s="124"/>
      <c r="D379" s="124"/>
      <c r="E379" s="124"/>
      <c r="F379" s="124"/>
      <c r="G379" s="124"/>
      <c r="H379" s="124"/>
      <c r="I379" s="124"/>
      <c r="J379" s="124"/>
      <c r="K379" s="124"/>
      <c r="L379" s="124"/>
      <c r="M379" s="124"/>
      <c r="N379" s="124"/>
      <c r="O379" s="124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</row>
    <row x14ac:dyDescent="0.25" r="380" customHeight="1" ht="15.75">
      <c r="A380" s="123"/>
      <c r="B380" s="123"/>
      <c r="C380" s="124"/>
      <c r="D380" s="124"/>
      <c r="E380" s="124"/>
      <c r="F380" s="124"/>
      <c r="G380" s="124"/>
      <c r="H380" s="124"/>
      <c r="I380" s="124"/>
      <c r="J380" s="124"/>
      <c r="K380" s="124"/>
      <c r="L380" s="124"/>
      <c r="M380" s="124"/>
      <c r="N380" s="124"/>
      <c r="O380" s="124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</row>
    <row x14ac:dyDescent="0.25" r="381" customHeight="1" ht="15.75">
      <c r="A381" s="123"/>
      <c r="B381" s="123"/>
      <c r="C381" s="124"/>
      <c r="D381" s="124"/>
      <c r="E381" s="124"/>
      <c r="F381" s="124"/>
      <c r="G381" s="124"/>
      <c r="H381" s="124"/>
      <c r="I381" s="124"/>
      <c r="J381" s="124"/>
      <c r="K381" s="124"/>
      <c r="L381" s="124"/>
      <c r="M381" s="124"/>
      <c r="N381" s="124"/>
      <c r="O381" s="124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</row>
    <row x14ac:dyDescent="0.25" r="382" customHeight="1" ht="15.75">
      <c r="A382" s="123"/>
      <c r="B382" s="123"/>
      <c r="C382" s="124"/>
      <c r="D382" s="124"/>
      <c r="E382" s="124"/>
      <c r="F382" s="124"/>
      <c r="G382" s="124"/>
      <c r="H382" s="124"/>
      <c r="I382" s="124"/>
      <c r="J382" s="124"/>
      <c r="K382" s="124"/>
      <c r="L382" s="124"/>
      <c r="M382" s="124"/>
      <c r="N382" s="124"/>
      <c r="O382" s="124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</row>
    <row x14ac:dyDescent="0.25" r="383" customHeight="1" ht="15.75">
      <c r="A383" s="123"/>
      <c r="B383" s="123"/>
      <c r="C383" s="124"/>
      <c r="D383" s="124"/>
      <c r="E383" s="124"/>
      <c r="F383" s="124"/>
      <c r="G383" s="124"/>
      <c r="H383" s="124"/>
      <c r="I383" s="124"/>
      <c r="J383" s="124"/>
      <c r="K383" s="124"/>
      <c r="L383" s="124"/>
      <c r="M383" s="124"/>
      <c r="N383" s="124"/>
      <c r="O383" s="124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</row>
    <row x14ac:dyDescent="0.25" r="384" customHeight="1" ht="15.75">
      <c r="A384" s="123"/>
      <c r="B384" s="123"/>
      <c r="C384" s="124"/>
      <c r="D384" s="124"/>
      <c r="E384" s="124"/>
      <c r="F384" s="124"/>
      <c r="G384" s="124"/>
      <c r="H384" s="124"/>
      <c r="I384" s="124"/>
      <c r="J384" s="124"/>
      <c r="K384" s="124"/>
      <c r="L384" s="124"/>
      <c r="M384" s="124"/>
      <c r="N384" s="124"/>
      <c r="O384" s="124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</row>
    <row x14ac:dyDescent="0.25" r="385" customHeight="1" ht="15.75">
      <c r="A385" s="123"/>
      <c r="B385" s="123"/>
      <c r="C385" s="124"/>
      <c r="D385" s="124"/>
      <c r="E385" s="124"/>
      <c r="F385" s="124"/>
      <c r="G385" s="124"/>
      <c r="H385" s="124"/>
      <c r="I385" s="124"/>
      <c r="J385" s="124"/>
      <c r="K385" s="124"/>
      <c r="L385" s="124"/>
      <c r="M385" s="124"/>
      <c r="N385" s="124"/>
      <c r="O385" s="124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</row>
    <row x14ac:dyDescent="0.25" r="386" customHeight="1" ht="15.75">
      <c r="A386" s="123"/>
      <c r="B386" s="123"/>
      <c r="C386" s="124"/>
      <c r="D386" s="124"/>
      <c r="E386" s="124"/>
      <c r="F386" s="124"/>
      <c r="G386" s="124"/>
      <c r="H386" s="124"/>
      <c r="I386" s="124"/>
      <c r="J386" s="124"/>
      <c r="K386" s="124"/>
      <c r="L386" s="124"/>
      <c r="M386" s="124"/>
      <c r="N386" s="124"/>
      <c r="O386" s="124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</row>
    <row x14ac:dyDescent="0.25" r="387" customHeight="1" ht="15.75">
      <c r="A387" s="123"/>
      <c r="B387" s="123"/>
      <c r="C387" s="124"/>
      <c r="D387" s="124"/>
      <c r="E387" s="124"/>
      <c r="F387" s="124"/>
      <c r="G387" s="124"/>
      <c r="H387" s="124"/>
      <c r="I387" s="124"/>
      <c r="J387" s="124"/>
      <c r="K387" s="124"/>
      <c r="L387" s="124"/>
      <c r="M387" s="124"/>
      <c r="N387" s="124"/>
      <c r="O387" s="124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</row>
    <row x14ac:dyDescent="0.25" r="388" customHeight="1" ht="15.75">
      <c r="A388" s="123"/>
      <c r="B388" s="123"/>
      <c r="C388" s="124"/>
      <c r="D388" s="124"/>
      <c r="E388" s="124"/>
      <c r="F388" s="124"/>
      <c r="G388" s="124"/>
      <c r="H388" s="124"/>
      <c r="I388" s="124"/>
      <c r="J388" s="124"/>
      <c r="K388" s="124"/>
      <c r="L388" s="124"/>
      <c r="M388" s="124"/>
      <c r="N388" s="124"/>
      <c r="O388" s="124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</row>
    <row x14ac:dyDescent="0.25" r="389" customHeight="1" ht="15.75">
      <c r="A389" s="123"/>
      <c r="B389" s="123"/>
      <c r="C389" s="124"/>
      <c r="D389" s="124"/>
      <c r="E389" s="124"/>
      <c r="F389" s="124"/>
      <c r="G389" s="124"/>
      <c r="H389" s="124"/>
      <c r="I389" s="124"/>
      <c r="J389" s="124"/>
      <c r="K389" s="124"/>
      <c r="L389" s="124"/>
      <c r="M389" s="124"/>
      <c r="N389" s="124"/>
      <c r="O389" s="124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</row>
    <row x14ac:dyDescent="0.25" r="390" customHeight="1" ht="15.75">
      <c r="A390" s="123"/>
      <c r="B390" s="123"/>
      <c r="C390" s="124"/>
      <c r="D390" s="124"/>
      <c r="E390" s="124"/>
      <c r="F390" s="124"/>
      <c r="G390" s="124"/>
      <c r="H390" s="124"/>
      <c r="I390" s="124"/>
      <c r="J390" s="124"/>
      <c r="K390" s="124"/>
      <c r="L390" s="124"/>
      <c r="M390" s="124"/>
      <c r="N390" s="124"/>
      <c r="O390" s="124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</row>
    <row x14ac:dyDescent="0.25" r="391" customHeight="1" ht="15.75">
      <c r="A391" s="123"/>
      <c r="B391" s="123"/>
      <c r="C391" s="124"/>
      <c r="D391" s="124"/>
      <c r="E391" s="124"/>
      <c r="F391" s="124"/>
      <c r="G391" s="124"/>
      <c r="H391" s="124"/>
      <c r="I391" s="124"/>
      <c r="J391" s="124"/>
      <c r="K391" s="124"/>
      <c r="L391" s="124"/>
      <c r="M391" s="124"/>
      <c r="N391" s="124"/>
      <c r="O391" s="124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</row>
    <row x14ac:dyDescent="0.25" r="392" customHeight="1" ht="15.75">
      <c r="A392" s="123"/>
      <c r="B392" s="123"/>
      <c r="C392" s="124"/>
      <c r="D392" s="124"/>
      <c r="E392" s="124"/>
      <c r="F392" s="124"/>
      <c r="G392" s="124"/>
      <c r="H392" s="124"/>
      <c r="I392" s="124"/>
      <c r="J392" s="124"/>
      <c r="K392" s="124"/>
      <c r="L392" s="124"/>
      <c r="M392" s="124"/>
      <c r="N392" s="124"/>
      <c r="O392" s="124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</row>
    <row x14ac:dyDescent="0.25" r="393" customHeight="1" ht="15.75">
      <c r="A393" s="123"/>
      <c r="B393" s="123"/>
      <c r="C393" s="124"/>
      <c r="D393" s="124"/>
      <c r="E393" s="124"/>
      <c r="F393" s="124"/>
      <c r="G393" s="124"/>
      <c r="H393" s="124"/>
      <c r="I393" s="124"/>
      <c r="J393" s="124"/>
      <c r="K393" s="124"/>
      <c r="L393" s="124"/>
      <c r="M393" s="124"/>
      <c r="N393" s="124"/>
      <c r="O393" s="124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</row>
    <row x14ac:dyDescent="0.25" r="394" customHeight="1" ht="15.75">
      <c r="A394" s="123"/>
      <c r="B394" s="123"/>
      <c r="C394" s="124"/>
      <c r="D394" s="124"/>
      <c r="E394" s="124"/>
      <c r="F394" s="124"/>
      <c r="G394" s="124"/>
      <c r="H394" s="124"/>
      <c r="I394" s="124"/>
      <c r="J394" s="124"/>
      <c r="K394" s="124"/>
      <c r="L394" s="124"/>
      <c r="M394" s="124"/>
      <c r="N394" s="124"/>
      <c r="O394" s="124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</row>
    <row x14ac:dyDescent="0.25" r="395" customHeight="1" ht="15.75">
      <c r="A395" s="123"/>
      <c r="B395" s="123"/>
      <c r="C395" s="124"/>
      <c r="D395" s="124"/>
      <c r="E395" s="124"/>
      <c r="F395" s="124"/>
      <c r="G395" s="124"/>
      <c r="H395" s="124"/>
      <c r="I395" s="124"/>
      <c r="J395" s="124"/>
      <c r="K395" s="124"/>
      <c r="L395" s="124"/>
      <c r="M395" s="124"/>
      <c r="N395" s="124"/>
      <c r="O395" s="124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</row>
    <row x14ac:dyDescent="0.25" r="396" customHeight="1" ht="15.75">
      <c r="A396" s="123"/>
      <c r="B396" s="123"/>
      <c r="C396" s="124"/>
      <c r="D396" s="124"/>
      <c r="E396" s="124"/>
      <c r="F396" s="124"/>
      <c r="G396" s="124"/>
      <c r="H396" s="124"/>
      <c r="I396" s="124"/>
      <c r="J396" s="124"/>
      <c r="K396" s="124"/>
      <c r="L396" s="124"/>
      <c r="M396" s="124"/>
      <c r="N396" s="124"/>
      <c r="O396" s="124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</row>
    <row x14ac:dyDescent="0.25" r="397" customHeight="1" ht="15.75">
      <c r="A397" s="123"/>
      <c r="B397" s="123"/>
      <c r="C397" s="124"/>
      <c r="D397" s="124"/>
      <c r="E397" s="124"/>
      <c r="F397" s="124"/>
      <c r="G397" s="124"/>
      <c r="H397" s="124"/>
      <c r="I397" s="124"/>
      <c r="J397" s="124"/>
      <c r="K397" s="124"/>
      <c r="L397" s="124"/>
      <c r="M397" s="124"/>
      <c r="N397" s="124"/>
      <c r="O397" s="124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</row>
    <row x14ac:dyDescent="0.25" r="398" customHeight="1" ht="15.75">
      <c r="A398" s="123"/>
      <c r="B398" s="123"/>
      <c r="C398" s="124"/>
      <c r="D398" s="124"/>
      <c r="E398" s="124"/>
      <c r="F398" s="124"/>
      <c r="G398" s="124"/>
      <c r="H398" s="124"/>
      <c r="I398" s="124"/>
      <c r="J398" s="124"/>
      <c r="K398" s="124"/>
      <c r="L398" s="124"/>
      <c r="M398" s="124"/>
      <c r="N398" s="124"/>
      <c r="O398" s="124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</row>
    <row x14ac:dyDescent="0.25" r="399" customHeight="1" ht="15.75">
      <c r="A399" s="123"/>
      <c r="B399" s="123"/>
      <c r="C399" s="124"/>
      <c r="D399" s="124"/>
      <c r="E399" s="124"/>
      <c r="F399" s="124"/>
      <c r="G399" s="124"/>
      <c r="H399" s="124"/>
      <c r="I399" s="124"/>
      <c r="J399" s="124"/>
      <c r="K399" s="124"/>
      <c r="L399" s="124"/>
      <c r="M399" s="124"/>
      <c r="N399" s="124"/>
      <c r="O399" s="124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</row>
    <row x14ac:dyDescent="0.25" r="400" customHeight="1" ht="15.75">
      <c r="A400" s="123"/>
      <c r="B400" s="123"/>
      <c r="C400" s="124"/>
      <c r="D400" s="124"/>
      <c r="E400" s="124"/>
      <c r="F400" s="124"/>
      <c r="G400" s="124"/>
      <c r="H400" s="124"/>
      <c r="I400" s="124"/>
      <c r="J400" s="124"/>
      <c r="K400" s="124"/>
      <c r="L400" s="124"/>
      <c r="M400" s="124"/>
      <c r="N400" s="124"/>
      <c r="O400" s="124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</row>
    <row x14ac:dyDescent="0.25" r="401" customHeight="1" ht="15.75">
      <c r="A401" s="123"/>
      <c r="B401" s="123"/>
      <c r="C401" s="124"/>
      <c r="D401" s="124"/>
      <c r="E401" s="124"/>
      <c r="F401" s="124"/>
      <c r="G401" s="124"/>
      <c r="H401" s="124"/>
      <c r="I401" s="124"/>
      <c r="J401" s="124"/>
      <c r="K401" s="124"/>
      <c r="L401" s="124"/>
      <c r="M401" s="124"/>
      <c r="N401" s="124"/>
      <c r="O401" s="124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</row>
    <row x14ac:dyDescent="0.25" r="402" customHeight="1" ht="15.75">
      <c r="A402" s="123"/>
      <c r="B402" s="123"/>
      <c r="C402" s="124"/>
      <c r="D402" s="124"/>
      <c r="E402" s="124"/>
      <c r="F402" s="124"/>
      <c r="G402" s="124"/>
      <c r="H402" s="124"/>
      <c r="I402" s="124"/>
      <c r="J402" s="124"/>
      <c r="K402" s="124"/>
      <c r="L402" s="124"/>
      <c r="M402" s="124"/>
      <c r="N402" s="124"/>
      <c r="O402" s="124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</row>
    <row x14ac:dyDescent="0.25" r="403" customHeight="1" ht="15.75">
      <c r="A403" s="123"/>
      <c r="B403" s="123"/>
      <c r="C403" s="124"/>
      <c r="D403" s="124"/>
      <c r="E403" s="124"/>
      <c r="F403" s="124"/>
      <c r="G403" s="124"/>
      <c r="H403" s="124"/>
      <c r="I403" s="124"/>
      <c r="J403" s="124"/>
      <c r="K403" s="124"/>
      <c r="L403" s="124"/>
      <c r="M403" s="124"/>
      <c r="N403" s="124"/>
      <c r="O403" s="124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</row>
    <row x14ac:dyDescent="0.25" r="404" customHeight="1" ht="15.75">
      <c r="A404" s="123"/>
      <c r="B404" s="123"/>
      <c r="C404" s="124"/>
      <c r="D404" s="124"/>
      <c r="E404" s="124"/>
      <c r="F404" s="124"/>
      <c r="G404" s="124"/>
      <c r="H404" s="124"/>
      <c r="I404" s="124"/>
      <c r="J404" s="124"/>
      <c r="K404" s="124"/>
      <c r="L404" s="124"/>
      <c r="M404" s="124"/>
      <c r="N404" s="124"/>
      <c r="O404" s="124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</row>
    <row x14ac:dyDescent="0.25" r="405" customHeight="1" ht="15.75">
      <c r="A405" s="123"/>
      <c r="B405" s="123"/>
      <c r="C405" s="124"/>
      <c r="D405" s="124"/>
      <c r="E405" s="124"/>
      <c r="F405" s="124"/>
      <c r="G405" s="124"/>
      <c r="H405" s="124"/>
      <c r="I405" s="124"/>
      <c r="J405" s="124"/>
      <c r="K405" s="124"/>
      <c r="L405" s="124"/>
      <c r="M405" s="124"/>
      <c r="N405" s="124"/>
      <c r="O405" s="124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</row>
    <row x14ac:dyDescent="0.25" r="406" customHeight="1" ht="15.75">
      <c r="A406" s="123"/>
      <c r="B406" s="123"/>
      <c r="C406" s="124"/>
      <c r="D406" s="124"/>
      <c r="E406" s="124"/>
      <c r="F406" s="124"/>
      <c r="G406" s="124"/>
      <c r="H406" s="124"/>
      <c r="I406" s="124"/>
      <c r="J406" s="124"/>
      <c r="K406" s="124"/>
      <c r="L406" s="124"/>
      <c r="M406" s="124"/>
      <c r="N406" s="124"/>
      <c r="O406" s="124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</row>
    <row x14ac:dyDescent="0.25" r="407" customHeight="1" ht="15.75">
      <c r="A407" s="123"/>
      <c r="B407" s="123"/>
      <c r="C407" s="124"/>
      <c r="D407" s="124"/>
      <c r="E407" s="124"/>
      <c r="F407" s="124"/>
      <c r="G407" s="124"/>
      <c r="H407" s="124"/>
      <c r="I407" s="124"/>
      <c r="J407" s="124"/>
      <c r="K407" s="124"/>
      <c r="L407" s="124"/>
      <c r="M407" s="124"/>
      <c r="N407" s="124"/>
      <c r="O407" s="124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</row>
    <row x14ac:dyDescent="0.25" r="408" customHeight="1" ht="15.75">
      <c r="A408" s="123"/>
      <c r="B408" s="123"/>
      <c r="C408" s="124"/>
      <c r="D408" s="124"/>
      <c r="E408" s="124"/>
      <c r="F408" s="124"/>
      <c r="G408" s="124"/>
      <c r="H408" s="124"/>
      <c r="I408" s="124"/>
      <c r="J408" s="124"/>
      <c r="K408" s="124"/>
      <c r="L408" s="124"/>
      <c r="M408" s="124"/>
      <c r="N408" s="124"/>
      <c r="O408" s="124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</row>
    <row x14ac:dyDescent="0.25" r="409" customHeight="1" ht="15.75">
      <c r="A409" s="123"/>
      <c r="B409" s="123"/>
      <c r="C409" s="124"/>
      <c r="D409" s="124"/>
      <c r="E409" s="124"/>
      <c r="F409" s="124"/>
      <c r="G409" s="124"/>
      <c r="H409" s="124"/>
      <c r="I409" s="124"/>
      <c r="J409" s="124"/>
      <c r="K409" s="124"/>
      <c r="L409" s="124"/>
      <c r="M409" s="124"/>
      <c r="N409" s="124"/>
      <c r="O409" s="124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</row>
    <row x14ac:dyDescent="0.25" r="410" customHeight="1" ht="15.75">
      <c r="A410" s="123"/>
      <c r="B410" s="123"/>
      <c r="C410" s="124"/>
      <c r="D410" s="124"/>
      <c r="E410" s="124"/>
      <c r="F410" s="124"/>
      <c r="G410" s="124"/>
      <c r="H410" s="124"/>
      <c r="I410" s="124"/>
      <c r="J410" s="124"/>
      <c r="K410" s="124"/>
      <c r="L410" s="124"/>
      <c r="M410" s="124"/>
      <c r="N410" s="124"/>
      <c r="O410" s="124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</row>
    <row x14ac:dyDescent="0.25" r="411" customHeight="1" ht="15.75">
      <c r="A411" s="123"/>
      <c r="B411" s="123"/>
      <c r="C411" s="124"/>
      <c r="D411" s="124"/>
      <c r="E411" s="124"/>
      <c r="F411" s="124"/>
      <c r="G411" s="124"/>
      <c r="H411" s="124"/>
      <c r="I411" s="124"/>
      <c r="J411" s="124"/>
      <c r="K411" s="124"/>
      <c r="L411" s="124"/>
      <c r="M411" s="124"/>
      <c r="N411" s="124"/>
      <c r="O411" s="124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</row>
    <row x14ac:dyDescent="0.25" r="412" customHeight="1" ht="15.75">
      <c r="A412" s="123"/>
      <c r="B412" s="123"/>
      <c r="C412" s="124"/>
      <c r="D412" s="124"/>
      <c r="E412" s="124"/>
      <c r="F412" s="124"/>
      <c r="G412" s="124"/>
      <c r="H412" s="124"/>
      <c r="I412" s="124"/>
      <c r="J412" s="124"/>
      <c r="K412" s="124"/>
      <c r="L412" s="124"/>
      <c r="M412" s="124"/>
      <c r="N412" s="124"/>
      <c r="O412" s="124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</row>
    <row x14ac:dyDescent="0.25" r="413" customHeight="1" ht="15.75">
      <c r="A413" s="123"/>
      <c r="B413" s="123"/>
      <c r="C413" s="124"/>
      <c r="D413" s="124"/>
      <c r="E413" s="124"/>
      <c r="F413" s="124"/>
      <c r="G413" s="124"/>
      <c r="H413" s="124"/>
      <c r="I413" s="124"/>
      <c r="J413" s="124"/>
      <c r="K413" s="124"/>
      <c r="L413" s="124"/>
      <c r="M413" s="124"/>
      <c r="N413" s="124"/>
      <c r="O413" s="124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</row>
    <row x14ac:dyDescent="0.25" r="414" customHeight="1" ht="15.75">
      <c r="A414" s="123"/>
      <c r="B414" s="123"/>
      <c r="C414" s="124"/>
      <c r="D414" s="124"/>
      <c r="E414" s="124"/>
      <c r="F414" s="124"/>
      <c r="G414" s="124"/>
      <c r="H414" s="124"/>
      <c r="I414" s="124"/>
      <c r="J414" s="124"/>
      <c r="K414" s="124"/>
      <c r="L414" s="124"/>
      <c r="M414" s="124"/>
      <c r="N414" s="124"/>
      <c r="O414" s="124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</row>
    <row x14ac:dyDescent="0.25" r="415" customHeight="1" ht="15.75">
      <c r="A415" s="123"/>
      <c r="B415" s="123"/>
      <c r="C415" s="124"/>
      <c r="D415" s="124"/>
      <c r="E415" s="124"/>
      <c r="F415" s="124"/>
      <c r="G415" s="124"/>
      <c r="H415" s="124"/>
      <c r="I415" s="124"/>
      <c r="J415" s="124"/>
      <c r="K415" s="124"/>
      <c r="L415" s="124"/>
      <c r="M415" s="124"/>
      <c r="N415" s="124"/>
      <c r="O415" s="124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</row>
    <row x14ac:dyDescent="0.25" r="416" customHeight="1" ht="15.75">
      <c r="A416" s="123"/>
      <c r="B416" s="123"/>
      <c r="C416" s="124"/>
      <c r="D416" s="124"/>
      <c r="E416" s="124"/>
      <c r="F416" s="124"/>
      <c r="G416" s="124"/>
      <c r="H416" s="124"/>
      <c r="I416" s="124"/>
      <c r="J416" s="124"/>
      <c r="K416" s="124"/>
      <c r="L416" s="124"/>
      <c r="M416" s="124"/>
      <c r="N416" s="124"/>
      <c r="O416" s="124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</row>
    <row x14ac:dyDescent="0.25" r="417" customHeight="1" ht="15.75">
      <c r="A417" s="123"/>
      <c r="B417" s="123"/>
      <c r="C417" s="124"/>
      <c r="D417" s="124"/>
      <c r="E417" s="124"/>
      <c r="F417" s="124"/>
      <c r="G417" s="124"/>
      <c r="H417" s="124"/>
      <c r="I417" s="124"/>
      <c r="J417" s="124"/>
      <c r="K417" s="124"/>
      <c r="L417" s="124"/>
      <c r="M417" s="124"/>
      <c r="N417" s="124"/>
      <c r="O417" s="124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</row>
    <row x14ac:dyDescent="0.25" r="418" customHeight="1" ht="15.75">
      <c r="A418" s="123"/>
      <c r="B418" s="123"/>
      <c r="C418" s="124"/>
      <c r="D418" s="124"/>
      <c r="E418" s="124"/>
      <c r="F418" s="124"/>
      <c r="G418" s="124"/>
      <c r="H418" s="124"/>
      <c r="I418" s="124"/>
      <c r="J418" s="124"/>
      <c r="K418" s="124"/>
      <c r="L418" s="124"/>
      <c r="M418" s="124"/>
      <c r="N418" s="124"/>
      <c r="O418" s="124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</row>
    <row x14ac:dyDescent="0.25" r="419" customHeight="1" ht="15.75">
      <c r="A419" s="123"/>
      <c r="B419" s="123"/>
      <c r="C419" s="124"/>
      <c r="D419" s="124"/>
      <c r="E419" s="124"/>
      <c r="F419" s="124"/>
      <c r="G419" s="124"/>
      <c r="H419" s="124"/>
      <c r="I419" s="124"/>
      <c r="J419" s="124"/>
      <c r="K419" s="124"/>
      <c r="L419" s="124"/>
      <c r="M419" s="124"/>
      <c r="N419" s="124"/>
      <c r="O419" s="124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</row>
    <row x14ac:dyDescent="0.25" r="420" customHeight="1" ht="15.75">
      <c r="A420" s="123"/>
      <c r="B420" s="123"/>
      <c r="C420" s="124"/>
      <c r="D420" s="124"/>
      <c r="E420" s="124"/>
      <c r="F420" s="124"/>
      <c r="G420" s="124"/>
      <c r="H420" s="124"/>
      <c r="I420" s="124"/>
      <c r="J420" s="124"/>
      <c r="K420" s="124"/>
      <c r="L420" s="124"/>
      <c r="M420" s="124"/>
      <c r="N420" s="124"/>
      <c r="O420" s="124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</row>
    <row x14ac:dyDescent="0.25" r="421" customHeight="1" ht="15.75">
      <c r="A421" s="123"/>
      <c r="B421" s="123"/>
      <c r="C421" s="124"/>
      <c r="D421" s="124"/>
      <c r="E421" s="124"/>
      <c r="F421" s="124"/>
      <c r="G421" s="124"/>
      <c r="H421" s="124"/>
      <c r="I421" s="124"/>
      <c r="J421" s="124"/>
      <c r="K421" s="124"/>
      <c r="L421" s="124"/>
      <c r="M421" s="124"/>
      <c r="N421" s="124"/>
      <c r="O421" s="124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</row>
    <row x14ac:dyDescent="0.25" r="422" customHeight="1" ht="15.75">
      <c r="A422" s="123"/>
      <c r="B422" s="123"/>
      <c r="C422" s="124"/>
      <c r="D422" s="124"/>
      <c r="E422" s="124"/>
      <c r="F422" s="124"/>
      <c r="G422" s="124"/>
      <c r="H422" s="124"/>
      <c r="I422" s="124"/>
      <c r="J422" s="124"/>
      <c r="K422" s="124"/>
      <c r="L422" s="124"/>
      <c r="M422" s="124"/>
      <c r="N422" s="124"/>
      <c r="O422" s="124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</row>
    <row x14ac:dyDescent="0.25" r="423" customHeight="1" ht="15.75">
      <c r="A423" s="123"/>
      <c r="B423" s="123"/>
      <c r="C423" s="124"/>
      <c r="D423" s="124"/>
      <c r="E423" s="124"/>
      <c r="F423" s="124"/>
      <c r="G423" s="124"/>
      <c r="H423" s="124"/>
      <c r="I423" s="124"/>
      <c r="J423" s="124"/>
      <c r="K423" s="124"/>
      <c r="L423" s="124"/>
      <c r="M423" s="124"/>
      <c r="N423" s="124"/>
      <c r="O423" s="124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</row>
    <row x14ac:dyDescent="0.25" r="424" customHeight="1" ht="15.75">
      <c r="A424" s="123"/>
      <c r="B424" s="123"/>
      <c r="C424" s="124"/>
      <c r="D424" s="124"/>
      <c r="E424" s="124"/>
      <c r="F424" s="124"/>
      <c r="G424" s="124"/>
      <c r="H424" s="124"/>
      <c r="I424" s="124"/>
      <c r="J424" s="124"/>
      <c r="K424" s="124"/>
      <c r="L424" s="124"/>
      <c r="M424" s="124"/>
      <c r="N424" s="124"/>
      <c r="O424" s="124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</row>
    <row x14ac:dyDescent="0.25" r="425" customHeight="1" ht="15.75">
      <c r="A425" s="123"/>
      <c r="B425" s="123"/>
      <c r="C425" s="124"/>
      <c r="D425" s="124"/>
      <c r="E425" s="124"/>
      <c r="F425" s="124"/>
      <c r="G425" s="124"/>
      <c r="H425" s="124"/>
      <c r="I425" s="124"/>
      <c r="J425" s="124"/>
      <c r="K425" s="124"/>
      <c r="L425" s="124"/>
      <c r="M425" s="124"/>
      <c r="N425" s="124"/>
      <c r="O425" s="124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</row>
    <row x14ac:dyDescent="0.25" r="426" customHeight="1" ht="15.75">
      <c r="A426" s="123"/>
      <c r="B426" s="123"/>
      <c r="C426" s="124"/>
      <c r="D426" s="124"/>
      <c r="E426" s="124"/>
      <c r="F426" s="124"/>
      <c r="G426" s="124"/>
      <c r="H426" s="124"/>
      <c r="I426" s="124"/>
      <c r="J426" s="124"/>
      <c r="K426" s="124"/>
      <c r="L426" s="124"/>
      <c r="M426" s="124"/>
      <c r="N426" s="124"/>
      <c r="O426" s="124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</row>
    <row x14ac:dyDescent="0.25" r="427" customHeight="1" ht="15.75">
      <c r="A427" s="123"/>
      <c r="B427" s="123"/>
      <c r="C427" s="124"/>
      <c r="D427" s="124"/>
      <c r="E427" s="124"/>
      <c r="F427" s="124"/>
      <c r="G427" s="124"/>
      <c r="H427" s="124"/>
      <c r="I427" s="124"/>
      <c r="J427" s="124"/>
      <c r="K427" s="124"/>
      <c r="L427" s="124"/>
      <c r="M427" s="124"/>
      <c r="N427" s="124"/>
      <c r="O427" s="124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</row>
    <row x14ac:dyDescent="0.25" r="428" customHeight="1" ht="15.75">
      <c r="A428" s="123"/>
      <c r="B428" s="123"/>
      <c r="C428" s="124"/>
      <c r="D428" s="124"/>
      <c r="E428" s="124"/>
      <c r="F428" s="124"/>
      <c r="G428" s="124"/>
      <c r="H428" s="124"/>
      <c r="I428" s="124"/>
      <c r="J428" s="124"/>
      <c r="K428" s="124"/>
      <c r="L428" s="124"/>
      <c r="M428" s="124"/>
      <c r="N428" s="124"/>
      <c r="O428" s="124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</row>
    <row x14ac:dyDescent="0.25" r="429" customHeight="1" ht="15.75">
      <c r="A429" s="123"/>
      <c r="B429" s="123"/>
      <c r="C429" s="124"/>
      <c r="D429" s="124"/>
      <c r="E429" s="124"/>
      <c r="F429" s="124"/>
      <c r="G429" s="124"/>
      <c r="H429" s="124"/>
      <c r="I429" s="124"/>
      <c r="J429" s="124"/>
      <c r="K429" s="124"/>
      <c r="L429" s="124"/>
      <c r="M429" s="124"/>
      <c r="N429" s="124"/>
      <c r="O429" s="124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</row>
    <row x14ac:dyDescent="0.25" r="430" customHeight="1" ht="15.75">
      <c r="A430" s="123"/>
      <c r="B430" s="123"/>
      <c r="C430" s="124"/>
      <c r="D430" s="124"/>
      <c r="E430" s="124"/>
      <c r="F430" s="124"/>
      <c r="G430" s="124"/>
      <c r="H430" s="124"/>
      <c r="I430" s="124"/>
      <c r="J430" s="124"/>
      <c r="K430" s="124"/>
      <c r="L430" s="124"/>
      <c r="M430" s="124"/>
      <c r="N430" s="124"/>
      <c r="O430" s="124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</row>
    <row x14ac:dyDescent="0.25" r="431" customHeight="1" ht="15.75">
      <c r="A431" s="123"/>
      <c r="B431" s="123"/>
      <c r="C431" s="124"/>
      <c r="D431" s="124"/>
      <c r="E431" s="124"/>
      <c r="F431" s="124"/>
      <c r="G431" s="124"/>
      <c r="H431" s="124"/>
      <c r="I431" s="124"/>
      <c r="J431" s="124"/>
      <c r="K431" s="124"/>
      <c r="L431" s="124"/>
      <c r="M431" s="124"/>
      <c r="N431" s="124"/>
      <c r="O431" s="124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</row>
    <row x14ac:dyDescent="0.25" r="432" customHeight="1" ht="15.75">
      <c r="A432" s="123"/>
      <c r="B432" s="123"/>
      <c r="C432" s="124"/>
      <c r="D432" s="124"/>
      <c r="E432" s="124"/>
      <c r="F432" s="124"/>
      <c r="G432" s="124"/>
      <c r="H432" s="124"/>
      <c r="I432" s="124"/>
      <c r="J432" s="124"/>
      <c r="K432" s="124"/>
      <c r="L432" s="124"/>
      <c r="M432" s="124"/>
      <c r="N432" s="124"/>
      <c r="O432" s="124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</row>
    <row x14ac:dyDescent="0.25" r="433" customHeight="1" ht="15.75">
      <c r="A433" s="123"/>
      <c r="B433" s="123"/>
      <c r="C433" s="124"/>
      <c r="D433" s="124"/>
      <c r="E433" s="124"/>
      <c r="F433" s="124"/>
      <c r="G433" s="124"/>
      <c r="H433" s="124"/>
      <c r="I433" s="124"/>
      <c r="J433" s="124"/>
      <c r="K433" s="124"/>
      <c r="L433" s="124"/>
      <c r="M433" s="124"/>
      <c r="N433" s="124"/>
      <c r="O433" s="124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</row>
    <row x14ac:dyDescent="0.25" r="434" customHeight="1" ht="15.75">
      <c r="A434" s="123"/>
      <c r="B434" s="123"/>
      <c r="C434" s="124"/>
      <c r="D434" s="124"/>
      <c r="E434" s="124"/>
      <c r="F434" s="124"/>
      <c r="G434" s="124"/>
      <c r="H434" s="124"/>
      <c r="I434" s="124"/>
      <c r="J434" s="124"/>
      <c r="K434" s="124"/>
      <c r="L434" s="124"/>
      <c r="M434" s="124"/>
      <c r="N434" s="124"/>
      <c r="O434" s="124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</row>
    <row x14ac:dyDescent="0.25" r="435" customHeight="1" ht="15.75">
      <c r="A435" s="123"/>
      <c r="B435" s="123"/>
      <c r="C435" s="124"/>
      <c r="D435" s="124"/>
      <c r="E435" s="124"/>
      <c r="F435" s="124"/>
      <c r="G435" s="124"/>
      <c r="H435" s="124"/>
      <c r="I435" s="124"/>
      <c r="J435" s="124"/>
      <c r="K435" s="124"/>
      <c r="L435" s="124"/>
      <c r="M435" s="124"/>
      <c r="N435" s="124"/>
      <c r="O435" s="124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</row>
    <row x14ac:dyDescent="0.25" r="436" customHeight="1" ht="15.75">
      <c r="A436" s="123"/>
      <c r="B436" s="123"/>
      <c r="C436" s="124"/>
      <c r="D436" s="124"/>
      <c r="E436" s="124"/>
      <c r="F436" s="124"/>
      <c r="G436" s="124"/>
      <c r="H436" s="124"/>
      <c r="I436" s="124"/>
      <c r="J436" s="124"/>
      <c r="K436" s="124"/>
      <c r="L436" s="124"/>
      <c r="M436" s="124"/>
      <c r="N436" s="124"/>
      <c r="O436" s="124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</row>
    <row x14ac:dyDescent="0.25" r="437" customHeight="1" ht="15.75">
      <c r="A437" s="123"/>
      <c r="B437" s="123"/>
      <c r="C437" s="124"/>
      <c r="D437" s="124"/>
      <c r="E437" s="124"/>
      <c r="F437" s="124"/>
      <c r="G437" s="124"/>
      <c r="H437" s="124"/>
      <c r="I437" s="124"/>
      <c r="J437" s="124"/>
      <c r="K437" s="124"/>
      <c r="L437" s="124"/>
      <c r="M437" s="124"/>
      <c r="N437" s="124"/>
      <c r="O437" s="124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</row>
    <row x14ac:dyDescent="0.25" r="438" customHeight="1" ht="15.75">
      <c r="A438" s="123"/>
      <c r="B438" s="123"/>
      <c r="C438" s="124"/>
      <c r="D438" s="124"/>
      <c r="E438" s="124"/>
      <c r="F438" s="124"/>
      <c r="G438" s="124"/>
      <c r="H438" s="124"/>
      <c r="I438" s="124"/>
      <c r="J438" s="124"/>
      <c r="K438" s="124"/>
      <c r="L438" s="124"/>
      <c r="M438" s="124"/>
      <c r="N438" s="124"/>
      <c r="O438" s="124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</row>
    <row x14ac:dyDescent="0.25" r="439" customHeight="1" ht="15.75">
      <c r="A439" s="123"/>
      <c r="B439" s="123"/>
      <c r="C439" s="124"/>
      <c r="D439" s="124"/>
      <c r="E439" s="124"/>
      <c r="F439" s="124"/>
      <c r="G439" s="124"/>
      <c r="H439" s="124"/>
      <c r="I439" s="124"/>
      <c r="J439" s="124"/>
      <c r="K439" s="124"/>
      <c r="L439" s="124"/>
      <c r="M439" s="124"/>
      <c r="N439" s="124"/>
      <c r="O439" s="124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</row>
    <row x14ac:dyDescent="0.25" r="440" customHeight="1" ht="15.75">
      <c r="A440" s="123"/>
      <c r="B440" s="123"/>
      <c r="C440" s="124"/>
      <c r="D440" s="124"/>
      <c r="E440" s="124"/>
      <c r="F440" s="124"/>
      <c r="G440" s="124"/>
      <c r="H440" s="124"/>
      <c r="I440" s="124"/>
      <c r="J440" s="124"/>
      <c r="K440" s="124"/>
      <c r="L440" s="124"/>
      <c r="M440" s="124"/>
      <c r="N440" s="124"/>
      <c r="O440" s="124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</row>
    <row x14ac:dyDescent="0.25" r="441" customHeight="1" ht="15.75">
      <c r="A441" s="123"/>
      <c r="B441" s="123"/>
      <c r="C441" s="124"/>
      <c r="D441" s="124"/>
      <c r="E441" s="124"/>
      <c r="F441" s="124"/>
      <c r="G441" s="124"/>
      <c r="H441" s="124"/>
      <c r="I441" s="124"/>
      <c r="J441" s="124"/>
      <c r="K441" s="124"/>
      <c r="L441" s="124"/>
      <c r="M441" s="124"/>
      <c r="N441" s="124"/>
      <c r="O441" s="124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</row>
    <row x14ac:dyDescent="0.25" r="442" customHeight="1" ht="15.75">
      <c r="A442" s="123"/>
      <c r="B442" s="123"/>
      <c r="C442" s="124"/>
      <c r="D442" s="124"/>
      <c r="E442" s="124"/>
      <c r="F442" s="124"/>
      <c r="G442" s="124"/>
      <c r="H442" s="124"/>
      <c r="I442" s="124"/>
      <c r="J442" s="124"/>
      <c r="K442" s="124"/>
      <c r="L442" s="124"/>
      <c r="M442" s="124"/>
      <c r="N442" s="124"/>
      <c r="O442" s="124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</row>
    <row x14ac:dyDescent="0.25" r="443" customHeight="1" ht="15.75">
      <c r="A443" s="123"/>
      <c r="B443" s="123"/>
      <c r="C443" s="124"/>
      <c r="D443" s="124"/>
      <c r="E443" s="124"/>
      <c r="F443" s="124"/>
      <c r="G443" s="124"/>
      <c r="H443" s="124"/>
      <c r="I443" s="124"/>
      <c r="J443" s="124"/>
      <c r="K443" s="124"/>
      <c r="L443" s="124"/>
      <c r="M443" s="124"/>
      <c r="N443" s="124"/>
      <c r="O443" s="124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</row>
    <row x14ac:dyDescent="0.25" r="444" customHeight="1" ht="15.75">
      <c r="A444" s="123"/>
      <c r="B444" s="123"/>
      <c r="C444" s="124"/>
      <c r="D444" s="124"/>
      <c r="E444" s="124"/>
      <c r="F444" s="124"/>
      <c r="G444" s="124"/>
      <c r="H444" s="124"/>
      <c r="I444" s="124"/>
      <c r="J444" s="124"/>
      <c r="K444" s="124"/>
      <c r="L444" s="124"/>
      <c r="M444" s="124"/>
      <c r="N444" s="124"/>
      <c r="O444" s="124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</row>
    <row x14ac:dyDescent="0.25" r="445" customHeight="1" ht="15.75">
      <c r="A445" s="123"/>
      <c r="B445" s="123"/>
      <c r="C445" s="124"/>
      <c r="D445" s="124"/>
      <c r="E445" s="124"/>
      <c r="F445" s="124"/>
      <c r="G445" s="124"/>
      <c r="H445" s="124"/>
      <c r="I445" s="124"/>
      <c r="J445" s="124"/>
      <c r="K445" s="124"/>
      <c r="L445" s="124"/>
      <c r="M445" s="124"/>
      <c r="N445" s="124"/>
      <c r="O445" s="124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</row>
    <row x14ac:dyDescent="0.25" r="446" customHeight="1" ht="15.75">
      <c r="A446" s="123"/>
      <c r="B446" s="123"/>
      <c r="C446" s="124"/>
      <c r="D446" s="124"/>
      <c r="E446" s="124"/>
      <c r="F446" s="124"/>
      <c r="G446" s="124"/>
      <c r="H446" s="124"/>
      <c r="I446" s="124"/>
      <c r="J446" s="124"/>
      <c r="K446" s="124"/>
      <c r="L446" s="124"/>
      <c r="M446" s="124"/>
      <c r="N446" s="124"/>
      <c r="O446" s="124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</row>
    <row x14ac:dyDescent="0.25" r="447" customHeight="1" ht="15.75">
      <c r="A447" s="123"/>
      <c r="B447" s="123"/>
      <c r="C447" s="124"/>
      <c r="D447" s="124"/>
      <c r="E447" s="124"/>
      <c r="F447" s="124"/>
      <c r="G447" s="124"/>
      <c r="H447" s="124"/>
      <c r="I447" s="124"/>
      <c r="J447" s="124"/>
      <c r="K447" s="124"/>
      <c r="L447" s="124"/>
      <c r="M447" s="124"/>
      <c r="N447" s="124"/>
      <c r="O447" s="124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</row>
    <row x14ac:dyDescent="0.25" r="448" customHeight="1" ht="15.75">
      <c r="A448" s="123"/>
      <c r="B448" s="123"/>
      <c r="C448" s="124"/>
      <c r="D448" s="124"/>
      <c r="E448" s="124"/>
      <c r="F448" s="124"/>
      <c r="G448" s="124"/>
      <c r="H448" s="124"/>
      <c r="I448" s="124"/>
      <c r="J448" s="124"/>
      <c r="K448" s="124"/>
      <c r="L448" s="124"/>
      <c r="M448" s="124"/>
      <c r="N448" s="124"/>
      <c r="O448" s="124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</row>
    <row x14ac:dyDescent="0.25" r="449" customHeight="1" ht="15.75">
      <c r="A449" s="123"/>
      <c r="B449" s="123"/>
      <c r="C449" s="124"/>
      <c r="D449" s="124"/>
      <c r="E449" s="124"/>
      <c r="F449" s="124"/>
      <c r="G449" s="124"/>
      <c r="H449" s="124"/>
      <c r="I449" s="124"/>
      <c r="J449" s="124"/>
      <c r="K449" s="124"/>
      <c r="L449" s="124"/>
      <c r="M449" s="124"/>
      <c r="N449" s="124"/>
      <c r="O449" s="124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</row>
    <row x14ac:dyDescent="0.25" r="450" customHeight="1" ht="15.75">
      <c r="A450" s="123"/>
      <c r="B450" s="123"/>
      <c r="C450" s="124"/>
      <c r="D450" s="124"/>
      <c r="E450" s="124"/>
      <c r="F450" s="124"/>
      <c r="G450" s="124"/>
      <c r="H450" s="124"/>
      <c r="I450" s="124"/>
      <c r="J450" s="124"/>
      <c r="K450" s="124"/>
      <c r="L450" s="124"/>
      <c r="M450" s="124"/>
      <c r="N450" s="124"/>
      <c r="O450" s="124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</row>
    <row x14ac:dyDescent="0.25" r="451" customHeight="1" ht="15.75">
      <c r="A451" s="123"/>
      <c r="B451" s="123"/>
      <c r="C451" s="124"/>
      <c r="D451" s="124"/>
      <c r="E451" s="124"/>
      <c r="F451" s="124"/>
      <c r="G451" s="124"/>
      <c r="H451" s="124"/>
      <c r="I451" s="124"/>
      <c r="J451" s="124"/>
      <c r="K451" s="124"/>
      <c r="L451" s="124"/>
      <c r="M451" s="124"/>
      <c r="N451" s="124"/>
      <c r="O451" s="124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</row>
    <row x14ac:dyDescent="0.25" r="452" customHeight="1" ht="15.75">
      <c r="A452" s="123"/>
      <c r="B452" s="123"/>
      <c r="C452" s="124"/>
      <c r="D452" s="124"/>
      <c r="E452" s="124"/>
      <c r="F452" s="124"/>
      <c r="G452" s="124"/>
      <c r="H452" s="124"/>
      <c r="I452" s="124"/>
      <c r="J452" s="124"/>
      <c r="K452" s="124"/>
      <c r="L452" s="124"/>
      <c r="M452" s="124"/>
      <c r="N452" s="124"/>
      <c r="O452" s="124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</row>
    <row x14ac:dyDescent="0.25" r="453" customHeight="1" ht="15.75">
      <c r="A453" s="123"/>
      <c r="B453" s="123"/>
      <c r="C453" s="124"/>
      <c r="D453" s="124"/>
      <c r="E453" s="124"/>
      <c r="F453" s="124"/>
      <c r="G453" s="124"/>
      <c r="H453" s="124"/>
      <c r="I453" s="124"/>
      <c r="J453" s="124"/>
      <c r="K453" s="124"/>
      <c r="L453" s="124"/>
      <c r="M453" s="124"/>
      <c r="N453" s="124"/>
      <c r="O453" s="124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</row>
    <row x14ac:dyDescent="0.25" r="454" customHeight="1" ht="15.75">
      <c r="A454" s="123"/>
      <c r="B454" s="123"/>
      <c r="C454" s="124"/>
      <c r="D454" s="124"/>
      <c r="E454" s="124"/>
      <c r="F454" s="124"/>
      <c r="G454" s="124"/>
      <c r="H454" s="124"/>
      <c r="I454" s="124"/>
      <c r="J454" s="124"/>
      <c r="K454" s="124"/>
      <c r="L454" s="124"/>
      <c r="M454" s="124"/>
      <c r="N454" s="124"/>
      <c r="O454" s="124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</row>
    <row x14ac:dyDescent="0.25" r="455" customHeight="1" ht="15.75">
      <c r="A455" s="123"/>
      <c r="B455" s="123"/>
      <c r="C455" s="124"/>
      <c r="D455" s="124"/>
      <c r="E455" s="124"/>
      <c r="F455" s="124"/>
      <c r="G455" s="124"/>
      <c r="H455" s="124"/>
      <c r="I455" s="124"/>
      <c r="J455" s="124"/>
      <c r="K455" s="124"/>
      <c r="L455" s="124"/>
      <c r="M455" s="124"/>
      <c r="N455" s="124"/>
      <c r="O455" s="124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</row>
    <row x14ac:dyDescent="0.25" r="456" customHeight="1" ht="15.75">
      <c r="A456" s="123"/>
      <c r="B456" s="123"/>
      <c r="C456" s="124"/>
      <c r="D456" s="124"/>
      <c r="E456" s="124"/>
      <c r="F456" s="124"/>
      <c r="G456" s="124"/>
      <c r="H456" s="124"/>
      <c r="I456" s="124"/>
      <c r="J456" s="124"/>
      <c r="K456" s="124"/>
      <c r="L456" s="124"/>
      <c r="M456" s="124"/>
      <c r="N456" s="124"/>
      <c r="O456" s="124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</row>
    <row x14ac:dyDescent="0.25" r="457" customHeight="1" ht="15.75">
      <c r="A457" s="123"/>
      <c r="B457" s="123"/>
      <c r="C457" s="124"/>
      <c r="D457" s="124"/>
      <c r="E457" s="124"/>
      <c r="F457" s="124"/>
      <c r="G457" s="124"/>
      <c r="H457" s="124"/>
      <c r="I457" s="124"/>
      <c r="J457" s="124"/>
      <c r="K457" s="124"/>
      <c r="L457" s="124"/>
      <c r="M457" s="124"/>
      <c r="N457" s="124"/>
      <c r="O457" s="124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</row>
    <row x14ac:dyDescent="0.25" r="458" customHeight="1" ht="15.75">
      <c r="A458" s="123"/>
      <c r="B458" s="123"/>
      <c r="C458" s="124"/>
      <c r="D458" s="124"/>
      <c r="E458" s="124"/>
      <c r="F458" s="124"/>
      <c r="G458" s="124"/>
      <c r="H458" s="124"/>
      <c r="I458" s="124"/>
      <c r="J458" s="124"/>
      <c r="K458" s="124"/>
      <c r="L458" s="124"/>
      <c r="M458" s="124"/>
      <c r="N458" s="124"/>
      <c r="O458" s="124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</row>
    <row x14ac:dyDescent="0.25" r="459" customHeight="1" ht="15.75">
      <c r="A459" s="123"/>
      <c r="B459" s="123"/>
      <c r="C459" s="124"/>
      <c r="D459" s="124"/>
      <c r="E459" s="124"/>
      <c r="F459" s="124"/>
      <c r="G459" s="124"/>
      <c r="H459" s="124"/>
      <c r="I459" s="124"/>
      <c r="J459" s="124"/>
      <c r="K459" s="124"/>
      <c r="L459" s="124"/>
      <c r="M459" s="124"/>
      <c r="N459" s="124"/>
      <c r="O459" s="124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</row>
    <row x14ac:dyDescent="0.25" r="460" customHeight="1" ht="15.75">
      <c r="A460" s="123"/>
      <c r="B460" s="123"/>
      <c r="C460" s="124"/>
      <c r="D460" s="124"/>
      <c r="E460" s="124"/>
      <c r="F460" s="124"/>
      <c r="G460" s="124"/>
      <c r="H460" s="124"/>
      <c r="I460" s="124"/>
      <c r="J460" s="124"/>
      <c r="K460" s="124"/>
      <c r="L460" s="124"/>
      <c r="M460" s="124"/>
      <c r="N460" s="124"/>
      <c r="O460" s="124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</row>
    <row x14ac:dyDescent="0.25" r="461" customHeight="1" ht="15.75">
      <c r="A461" s="123"/>
      <c r="B461" s="123"/>
      <c r="C461" s="124"/>
      <c r="D461" s="124"/>
      <c r="E461" s="124"/>
      <c r="F461" s="124"/>
      <c r="G461" s="124"/>
      <c r="H461" s="124"/>
      <c r="I461" s="124"/>
      <c r="J461" s="124"/>
      <c r="K461" s="124"/>
      <c r="L461" s="124"/>
      <c r="M461" s="124"/>
      <c r="N461" s="124"/>
      <c r="O461" s="124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</row>
    <row x14ac:dyDescent="0.25" r="462" customHeight="1" ht="15.75">
      <c r="A462" s="123"/>
      <c r="B462" s="123"/>
      <c r="C462" s="124"/>
      <c r="D462" s="124"/>
      <c r="E462" s="124"/>
      <c r="F462" s="124"/>
      <c r="G462" s="124"/>
      <c r="H462" s="124"/>
      <c r="I462" s="124"/>
      <c r="J462" s="124"/>
      <c r="K462" s="124"/>
      <c r="L462" s="124"/>
      <c r="M462" s="124"/>
      <c r="N462" s="124"/>
      <c r="O462" s="124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</row>
    <row x14ac:dyDescent="0.25" r="463" customHeight="1" ht="15.75">
      <c r="A463" s="123"/>
      <c r="B463" s="123"/>
      <c r="C463" s="124"/>
      <c r="D463" s="124"/>
      <c r="E463" s="124"/>
      <c r="F463" s="124"/>
      <c r="G463" s="124"/>
      <c r="H463" s="124"/>
      <c r="I463" s="124"/>
      <c r="J463" s="124"/>
      <c r="K463" s="124"/>
      <c r="L463" s="124"/>
      <c r="M463" s="124"/>
      <c r="N463" s="124"/>
      <c r="O463" s="124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</row>
    <row x14ac:dyDescent="0.25" r="464" customHeight="1" ht="15.75">
      <c r="A464" s="123"/>
      <c r="B464" s="123"/>
      <c r="C464" s="124"/>
      <c r="D464" s="124"/>
      <c r="E464" s="124"/>
      <c r="F464" s="124"/>
      <c r="G464" s="124"/>
      <c r="H464" s="124"/>
      <c r="I464" s="124"/>
      <c r="J464" s="124"/>
      <c r="K464" s="124"/>
      <c r="L464" s="124"/>
      <c r="M464" s="124"/>
      <c r="N464" s="124"/>
      <c r="O464" s="124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</row>
    <row x14ac:dyDescent="0.25" r="465" customHeight="1" ht="15.75">
      <c r="A465" s="123"/>
      <c r="B465" s="123"/>
      <c r="C465" s="124"/>
      <c r="D465" s="124"/>
      <c r="E465" s="124"/>
      <c r="F465" s="124"/>
      <c r="G465" s="124"/>
      <c r="H465" s="124"/>
      <c r="I465" s="124"/>
      <c r="J465" s="124"/>
      <c r="K465" s="124"/>
      <c r="L465" s="124"/>
      <c r="M465" s="124"/>
      <c r="N465" s="124"/>
      <c r="O465" s="124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</row>
    <row x14ac:dyDescent="0.25" r="466" customHeight="1" ht="15.75">
      <c r="A466" s="123"/>
      <c r="B466" s="123"/>
      <c r="C466" s="124"/>
      <c r="D466" s="124"/>
      <c r="E466" s="124"/>
      <c r="F466" s="124"/>
      <c r="G466" s="124"/>
      <c r="H466" s="124"/>
      <c r="I466" s="124"/>
      <c r="J466" s="124"/>
      <c r="K466" s="124"/>
      <c r="L466" s="124"/>
      <c r="M466" s="124"/>
      <c r="N466" s="124"/>
      <c r="O466" s="124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</row>
    <row x14ac:dyDescent="0.25" r="467" customHeight="1" ht="15.75">
      <c r="A467" s="123"/>
      <c r="B467" s="123"/>
      <c r="C467" s="124"/>
      <c r="D467" s="124"/>
      <c r="E467" s="124"/>
      <c r="F467" s="124"/>
      <c r="G467" s="124"/>
      <c r="H467" s="124"/>
      <c r="I467" s="124"/>
      <c r="J467" s="124"/>
      <c r="K467" s="124"/>
      <c r="L467" s="124"/>
      <c r="M467" s="124"/>
      <c r="N467" s="124"/>
      <c r="O467" s="124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</row>
    <row x14ac:dyDescent="0.25" r="468" customHeight="1" ht="15.75">
      <c r="A468" s="123"/>
      <c r="B468" s="123"/>
      <c r="C468" s="124"/>
      <c r="D468" s="124"/>
      <c r="E468" s="124"/>
      <c r="F468" s="124"/>
      <c r="G468" s="124"/>
      <c r="H468" s="124"/>
      <c r="I468" s="124"/>
      <c r="J468" s="124"/>
      <c r="K468" s="124"/>
      <c r="L468" s="124"/>
      <c r="M468" s="124"/>
      <c r="N468" s="124"/>
      <c r="O468" s="124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</row>
    <row x14ac:dyDescent="0.25" r="469" customHeight="1" ht="15.75">
      <c r="A469" s="123"/>
      <c r="B469" s="123"/>
      <c r="C469" s="124"/>
      <c r="D469" s="124"/>
      <c r="E469" s="124"/>
      <c r="F469" s="124"/>
      <c r="G469" s="124"/>
      <c r="H469" s="124"/>
      <c r="I469" s="124"/>
      <c r="J469" s="124"/>
      <c r="K469" s="124"/>
      <c r="L469" s="124"/>
      <c r="M469" s="124"/>
      <c r="N469" s="124"/>
      <c r="O469" s="124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</row>
    <row x14ac:dyDescent="0.25" r="470" customHeight="1" ht="15.75">
      <c r="A470" s="123"/>
      <c r="B470" s="123"/>
      <c r="C470" s="124"/>
      <c r="D470" s="124"/>
      <c r="E470" s="124"/>
      <c r="F470" s="124"/>
      <c r="G470" s="124"/>
      <c r="H470" s="124"/>
      <c r="I470" s="124"/>
      <c r="J470" s="124"/>
      <c r="K470" s="124"/>
      <c r="L470" s="124"/>
      <c r="M470" s="124"/>
      <c r="N470" s="124"/>
      <c r="O470" s="124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</row>
    <row x14ac:dyDescent="0.25" r="471" customHeight="1" ht="15.75">
      <c r="A471" s="123"/>
      <c r="B471" s="123"/>
      <c r="C471" s="124"/>
      <c r="D471" s="124"/>
      <c r="E471" s="124"/>
      <c r="F471" s="124"/>
      <c r="G471" s="124"/>
      <c r="H471" s="124"/>
      <c r="I471" s="124"/>
      <c r="J471" s="124"/>
      <c r="K471" s="124"/>
      <c r="L471" s="124"/>
      <c r="M471" s="124"/>
      <c r="N471" s="124"/>
      <c r="O471" s="124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</row>
    <row x14ac:dyDescent="0.25" r="472" customHeight="1" ht="15.75">
      <c r="A472" s="123"/>
      <c r="B472" s="123"/>
      <c r="C472" s="124"/>
      <c r="D472" s="124"/>
      <c r="E472" s="124"/>
      <c r="F472" s="124"/>
      <c r="G472" s="124"/>
      <c r="H472" s="124"/>
      <c r="I472" s="124"/>
      <c r="J472" s="124"/>
      <c r="K472" s="124"/>
      <c r="L472" s="124"/>
      <c r="M472" s="124"/>
      <c r="N472" s="124"/>
      <c r="O472" s="124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</row>
    <row x14ac:dyDescent="0.25" r="473" customHeight="1" ht="15.75">
      <c r="A473" s="123"/>
      <c r="B473" s="123"/>
      <c r="C473" s="124"/>
      <c r="D473" s="124"/>
      <c r="E473" s="124"/>
      <c r="F473" s="124"/>
      <c r="G473" s="124"/>
      <c r="H473" s="124"/>
      <c r="I473" s="124"/>
      <c r="J473" s="124"/>
      <c r="K473" s="124"/>
      <c r="L473" s="124"/>
      <c r="M473" s="124"/>
      <c r="N473" s="124"/>
      <c r="O473" s="124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</row>
    <row x14ac:dyDescent="0.25" r="474" customHeight="1" ht="15.75">
      <c r="A474" s="123"/>
      <c r="B474" s="123"/>
      <c r="C474" s="124"/>
      <c r="D474" s="124"/>
      <c r="E474" s="124"/>
      <c r="F474" s="124"/>
      <c r="G474" s="124"/>
      <c r="H474" s="124"/>
      <c r="I474" s="124"/>
      <c r="J474" s="124"/>
      <c r="K474" s="124"/>
      <c r="L474" s="124"/>
      <c r="M474" s="124"/>
      <c r="N474" s="124"/>
      <c r="O474" s="124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</row>
    <row x14ac:dyDescent="0.25" r="475" customHeight="1" ht="15.75">
      <c r="A475" s="123"/>
      <c r="B475" s="123"/>
      <c r="C475" s="124"/>
      <c r="D475" s="124"/>
      <c r="E475" s="124"/>
      <c r="F475" s="124"/>
      <c r="G475" s="124"/>
      <c r="H475" s="124"/>
      <c r="I475" s="124"/>
      <c r="J475" s="124"/>
      <c r="K475" s="124"/>
      <c r="L475" s="124"/>
      <c r="M475" s="124"/>
      <c r="N475" s="124"/>
      <c r="O475" s="124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</row>
    <row x14ac:dyDescent="0.25" r="476" customHeight="1" ht="15.75">
      <c r="A476" s="123"/>
      <c r="B476" s="123"/>
      <c r="C476" s="124"/>
      <c r="D476" s="124"/>
      <c r="E476" s="124"/>
      <c r="F476" s="124"/>
      <c r="G476" s="124"/>
      <c r="H476" s="124"/>
      <c r="I476" s="124"/>
      <c r="J476" s="124"/>
      <c r="K476" s="124"/>
      <c r="L476" s="124"/>
      <c r="M476" s="124"/>
      <c r="N476" s="124"/>
      <c r="O476" s="124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</row>
    <row x14ac:dyDescent="0.25" r="477" customHeight="1" ht="15.75">
      <c r="A477" s="123"/>
      <c r="B477" s="123"/>
      <c r="C477" s="124"/>
      <c r="D477" s="124"/>
      <c r="E477" s="124"/>
      <c r="F477" s="124"/>
      <c r="G477" s="124"/>
      <c r="H477" s="124"/>
      <c r="I477" s="124"/>
      <c r="J477" s="124"/>
      <c r="K477" s="124"/>
      <c r="L477" s="124"/>
      <c r="M477" s="124"/>
      <c r="N477" s="124"/>
      <c r="O477" s="124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</row>
    <row x14ac:dyDescent="0.25" r="478" customHeight="1" ht="15.75">
      <c r="A478" s="123"/>
      <c r="B478" s="123"/>
      <c r="C478" s="124"/>
      <c r="D478" s="124"/>
      <c r="E478" s="124"/>
      <c r="F478" s="124"/>
      <c r="G478" s="124"/>
      <c r="H478" s="124"/>
      <c r="I478" s="124"/>
      <c r="J478" s="124"/>
      <c r="K478" s="124"/>
      <c r="L478" s="124"/>
      <c r="M478" s="124"/>
      <c r="N478" s="124"/>
      <c r="O478" s="124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</row>
    <row x14ac:dyDescent="0.25" r="479" customHeight="1" ht="15.75">
      <c r="A479" s="123"/>
      <c r="B479" s="123"/>
      <c r="C479" s="124"/>
      <c r="D479" s="124"/>
      <c r="E479" s="124"/>
      <c r="F479" s="124"/>
      <c r="G479" s="124"/>
      <c r="H479" s="124"/>
      <c r="I479" s="124"/>
      <c r="J479" s="124"/>
      <c r="K479" s="124"/>
      <c r="L479" s="124"/>
      <c r="M479" s="124"/>
      <c r="N479" s="124"/>
      <c r="O479" s="124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</row>
    <row x14ac:dyDescent="0.25" r="480" customHeight="1" ht="15.75">
      <c r="A480" s="123"/>
      <c r="B480" s="123"/>
      <c r="C480" s="124"/>
      <c r="D480" s="124"/>
      <c r="E480" s="124"/>
      <c r="F480" s="124"/>
      <c r="G480" s="124"/>
      <c r="H480" s="124"/>
      <c r="I480" s="124"/>
      <c r="J480" s="124"/>
      <c r="K480" s="124"/>
      <c r="L480" s="124"/>
      <c r="M480" s="124"/>
      <c r="N480" s="124"/>
      <c r="O480" s="124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</row>
    <row x14ac:dyDescent="0.25" r="481" customHeight="1" ht="15.75">
      <c r="A481" s="123"/>
      <c r="B481" s="123"/>
      <c r="C481" s="124"/>
      <c r="D481" s="124"/>
      <c r="E481" s="124"/>
      <c r="F481" s="124"/>
      <c r="G481" s="124"/>
      <c r="H481" s="124"/>
      <c r="I481" s="124"/>
      <c r="J481" s="124"/>
      <c r="K481" s="124"/>
      <c r="L481" s="124"/>
      <c r="M481" s="124"/>
      <c r="N481" s="124"/>
      <c r="O481" s="124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</row>
    <row x14ac:dyDescent="0.25" r="482" customHeight="1" ht="15.75">
      <c r="A482" s="123"/>
      <c r="B482" s="123"/>
      <c r="C482" s="124"/>
      <c r="D482" s="124"/>
      <c r="E482" s="124"/>
      <c r="F482" s="124"/>
      <c r="G482" s="124"/>
      <c r="H482" s="124"/>
      <c r="I482" s="124"/>
      <c r="J482" s="124"/>
      <c r="K482" s="124"/>
      <c r="L482" s="124"/>
      <c r="M482" s="124"/>
      <c r="N482" s="124"/>
      <c r="O482" s="124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</row>
    <row x14ac:dyDescent="0.25" r="483" customHeight="1" ht="15.75">
      <c r="A483" s="123"/>
      <c r="B483" s="123"/>
      <c r="C483" s="124"/>
      <c r="D483" s="124"/>
      <c r="E483" s="124"/>
      <c r="F483" s="124"/>
      <c r="G483" s="124"/>
      <c r="H483" s="124"/>
      <c r="I483" s="124"/>
      <c r="J483" s="124"/>
      <c r="K483" s="124"/>
      <c r="L483" s="124"/>
      <c r="M483" s="124"/>
      <c r="N483" s="124"/>
      <c r="O483" s="124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</row>
    <row x14ac:dyDescent="0.25" r="484" customHeight="1" ht="15.75">
      <c r="A484" s="123"/>
      <c r="B484" s="123"/>
      <c r="C484" s="124"/>
      <c r="D484" s="124"/>
      <c r="E484" s="124"/>
      <c r="F484" s="124"/>
      <c r="G484" s="124"/>
      <c r="H484" s="124"/>
      <c r="I484" s="124"/>
      <c r="J484" s="124"/>
      <c r="K484" s="124"/>
      <c r="L484" s="124"/>
      <c r="M484" s="124"/>
      <c r="N484" s="124"/>
      <c r="O484" s="124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</row>
    <row x14ac:dyDescent="0.25" r="485" customHeight="1" ht="15.75">
      <c r="A485" s="123"/>
      <c r="B485" s="123"/>
      <c r="C485" s="124"/>
      <c r="D485" s="124"/>
      <c r="E485" s="124"/>
      <c r="F485" s="124"/>
      <c r="G485" s="124"/>
      <c r="H485" s="124"/>
      <c r="I485" s="124"/>
      <c r="J485" s="124"/>
      <c r="K485" s="124"/>
      <c r="L485" s="124"/>
      <c r="M485" s="124"/>
      <c r="N485" s="124"/>
      <c r="O485" s="124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</row>
    <row x14ac:dyDescent="0.25" r="486" customHeight="1" ht="15.75">
      <c r="A486" s="123"/>
      <c r="B486" s="123"/>
      <c r="C486" s="124"/>
      <c r="D486" s="124"/>
      <c r="E486" s="124"/>
      <c r="F486" s="124"/>
      <c r="G486" s="124"/>
      <c r="H486" s="124"/>
      <c r="I486" s="124"/>
      <c r="J486" s="124"/>
      <c r="K486" s="124"/>
      <c r="L486" s="124"/>
      <c r="M486" s="124"/>
      <c r="N486" s="124"/>
      <c r="O486" s="124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</row>
    <row x14ac:dyDescent="0.25" r="487" customHeight="1" ht="15.75">
      <c r="A487" s="123"/>
      <c r="B487" s="123"/>
      <c r="C487" s="124"/>
      <c r="D487" s="124"/>
      <c r="E487" s="124"/>
      <c r="F487" s="124"/>
      <c r="G487" s="124"/>
      <c r="H487" s="124"/>
      <c r="I487" s="124"/>
      <c r="J487" s="124"/>
      <c r="K487" s="124"/>
      <c r="L487" s="124"/>
      <c r="M487" s="124"/>
      <c r="N487" s="124"/>
      <c r="O487" s="124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</row>
    <row x14ac:dyDescent="0.25" r="488" customHeight="1" ht="15.75">
      <c r="A488" s="123"/>
      <c r="B488" s="123"/>
      <c r="C488" s="124"/>
      <c r="D488" s="124"/>
      <c r="E488" s="124"/>
      <c r="F488" s="124"/>
      <c r="G488" s="124"/>
      <c r="H488" s="124"/>
      <c r="I488" s="124"/>
      <c r="J488" s="124"/>
      <c r="K488" s="124"/>
      <c r="L488" s="124"/>
      <c r="M488" s="124"/>
      <c r="N488" s="124"/>
      <c r="O488" s="124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</row>
    <row x14ac:dyDescent="0.25" r="489" customHeight="1" ht="15.75">
      <c r="A489" s="123"/>
      <c r="B489" s="123"/>
      <c r="C489" s="124"/>
      <c r="D489" s="124"/>
      <c r="E489" s="124"/>
      <c r="F489" s="124"/>
      <c r="G489" s="124"/>
      <c r="H489" s="124"/>
      <c r="I489" s="124"/>
      <c r="J489" s="124"/>
      <c r="K489" s="124"/>
      <c r="L489" s="124"/>
      <c r="M489" s="124"/>
      <c r="N489" s="124"/>
      <c r="O489" s="124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</row>
    <row x14ac:dyDescent="0.25" r="490" customHeight="1" ht="15.75">
      <c r="A490" s="123"/>
      <c r="B490" s="123"/>
      <c r="C490" s="124"/>
      <c r="D490" s="124"/>
      <c r="E490" s="124"/>
      <c r="F490" s="124"/>
      <c r="G490" s="124"/>
      <c r="H490" s="124"/>
      <c r="I490" s="124"/>
      <c r="J490" s="124"/>
      <c r="K490" s="124"/>
      <c r="L490" s="124"/>
      <c r="M490" s="124"/>
      <c r="N490" s="124"/>
      <c r="O490" s="124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</row>
    <row x14ac:dyDescent="0.25" r="491" customHeight="1" ht="15.75">
      <c r="A491" s="123"/>
      <c r="B491" s="123"/>
      <c r="C491" s="124"/>
      <c r="D491" s="124"/>
      <c r="E491" s="124"/>
      <c r="F491" s="124"/>
      <c r="G491" s="124"/>
      <c r="H491" s="124"/>
      <c r="I491" s="124"/>
      <c r="J491" s="124"/>
      <c r="K491" s="124"/>
      <c r="L491" s="124"/>
      <c r="M491" s="124"/>
      <c r="N491" s="124"/>
      <c r="O491" s="124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</row>
    <row x14ac:dyDescent="0.25" r="492" customHeight="1" ht="15.75">
      <c r="A492" s="123"/>
      <c r="B492" s="123"/>
      <c r="C492" s="124"/>
      <c r="D492" s="124"/>
      <c r="E492" s="124"/>
      <c r="F492" s="124"/>
      <c r="G492" s="124"/>
      <c r="H492" s="124"/>
      <c r="I492" s="124"/>
      <c r="J492" s="124"/>
      <c r="K492" s="124"/>
      <c r="L492" s="124"/>
      <c r="M492" s="124"/>
      <c r="N492" s="124"/>
      <c r="O492" s="124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</row>
    <row x14ac:dyDescent="0.25" r="493" customHeight="1" ht="15.75">
      <c r="A493" s="123"/>
      <c r="B493" s="123"/>
      <c r="C493" s="124"/>
      <c r="D493" s="124"/>
      <c r="E493" s="124"/>
      <c r="F493" s="124"/>
      <c r="G493" s="124"/>
      <c r="H493" s="124"/>
      <c r="I493" s="124"/>
      <c r="J493" s="124"/>
      <c r="K493" s="124"/>
      <c r="L493" s="124"/>
      <c r="M493" s="124"/>
      <c r="N493" s="124"/>
      <c r="O493" s="124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</row>
    <row x14ac:dyDescent="0.25" r="494" customHeight="1" ht="15.75">
      <c r="A494" s="123"/>
      <c r="B494" s="123"/>
      <c r="C494" s="124"/>
      <c r="D494" s="124"/>
      <c r="E494" s="124"/>
      <c r="F494" s="124"/>
      <c r="G494" s="124"/>
      <c r="H494" s="124"/>
      <c r="I494" s="124"/>
      <c r="J494" s="124"/>
      <c r="K494" s="124"/>
      <c r="L494" s="124"/>
      <c r="M494" s="124"/>
      <c r="N494" s="124"/>
      <c r="O494" s="124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</row>
    <row x14ac:dyDescent="0.25" r="495" customHeight="1" ht="15.75">
      <c r="A495" s="123"/>
      <c r="B495" s="123"/>
      <c r="C495" s="124"/>
      <c r="D495" s="124"/>
      <c r="E495" s="124"/>
      <c r="F495" s="124"/>
      <c r="G495" s="124"/>
      <c r="H495" s="124"/>
      <c r="I495" s="124"/>
      <c r="J495" s="124"/>
      <c r="K495" s="124"/>
      <c r="L495" s="124"/>
      <c r="M495" s="124"/>
      <c r="N495" s="124"/>
      <c r="O495" s="124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</row>
    <row x14ac:dyDescent="0.25" r="496" customHeight="1" ht="15.75">
      <c r="A496" s="123"/>
      <c r="B496" s="123"/>
      <c r="C496" s="124"/>
      <c r="D496" s="124"/>
      <c r="E496" s="124"/>
      <c r="F496" s="124"/>
      <c r="G496" s="124"/>
      <c r="H496" s="124"/>
      <c r="I496" s="124"/>
      <c r="J496" s="124"/>
      <c r="K496" s="124"/>
      <c r="L496" s="124"/>
      <c r="M496" s="124"/>
      <c r="N496" s="124"/>
      <c r="O496" s="124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</row>
    <row x14ac:dyDescent="0.25" r="497" customHeight="1" ht="15.75">
      <c r="A497" s="123"/>
      <c r="B497" s="123"/>
      <c r="C497" s="124"/>
      <c r="D497" s="124"/>
      <c r="E497" s="124"/>
      <c r="F497" s="124"/>
      <c r="G497" s="124"/>
      <c r="H497" s="124"/>
      <c r="I497" s="124"/>
      <c r="J497" s="124"/>
      <c r="K497" s="124"/>
      <c r="L497" s="124"/>
      <c r="M497" s="124"/>
      <c r="N497" s="124"/>
      <c r="O497" s="124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</row>
    <row x14ac:dyDescent="0.25" r="498" customHeight="1" ht="15.75">
      <c r="A498" s="123"/>
      <c r="B498" s="123"/>
      <c r="C498" s="124"/>
      <c r="D498" s="124"/>
      <c r="E498" s="124"/>
      <c r="F498" s="124"/>
      <c r="G498" s="124"/>
      <c r="H498" s="124"/>
      <c r="I498" s="124"/>
      <c r="J498" s="124"/>
      <c r="K498" s="124"/>
      <c r="L498" s="124"/>
      <c r="M498" s="124"/>
      <c r="N498" s="124"/>
      <c r="O498" s="124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</row>
    <row x14ac:dyDescent="0.25" r="499" customHeight="1" ht="15.75">
      <c r="A499" s="123"/>
      <c r="B499" s="123"/>
      <c r="C499" s="124"/>
      <c r="D499" s="124"/>
      <c r="E499" s="124"/>
      <c r="F499" s="124"/>
      <c r="G499" s="124"/>
      <c r="H499" s="124"/>
      <c r="I499" s="124"/>
      <c r="J499" s="124"/>
      <c r="K499" s="124"/>
      <c r="L499" s="124"/>
      <c r="M499" s="124"/>
      <c r="N499" s="124"/>
      <c r="O499" s="124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</row>
    <row x14ac:dyDescent="0.25" r="500" customHeight="1" ht="15.75">
      <c r="A500" s="123"/>
      <c r="B500" s="123"/>
      <c r="C500" s="124"/>
      <c r="D500" s="124"/>
      <c r="E500" s="124"/>
      <c r="F500" s="124"/>
      <c r="G500" s="124"/>
      <c r="H500" s="124"/>
      <c r="I500" s="124"/>
      <c r="J500" s="124"/>
      <c r="K500" s="124"/>
      <c r="L500" s="124"/>
      <c r="M500" s="124"/>
      <c r="N500" s="124"/>
      <c r="O500" s="124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</row>
    <row x14ac:dyDescent="0.25" r="501" customHeight="1" ht="15.75">
      <c r="A501" s="123"/>
      <c r="B501" s="123"/>
      <c r="C501" s="124"/>
      <c r="D501" s="124"/>
      <c r="E501" s="124"/>
      <c r="F501" s="124"/>
      <c r="G501" s="124"/>
      <c r="H501" s="124"/>
      <c r="I501" s="124"/>
      <c r="J501" s="124"/>
      <c r="K501" s="124"/>
      <c r="L501" s="124"/>
      <c r="M501" s="124"/>
      <c r="N501" s="124"/>
      <c r="O501" s="124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</row>
    <row x14ac:dyDescent="0.25" r="502" customHeight="1" ht="15.75">
      <c r="A502" s="123"/>
      <c r="B502" s="123"/>
      <c r="C502" s="124"/>
      <c r="D502" s="124"/>
      <c r="E502" s="124"/>
      <c r="F502" s="124"/>
      <c r="G502" s="124"/>
      <c r="H502" s="124"/>
      <c r="I502" s="124"/>
      <c r="J502" s="124"/>
      <c r="K502" s="124"/>
      <c r="L502" s="124"/>
      <c r="M502" s="124"/>
      <c r="N502" s="124"/>
      <c r="O502" s="124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</row>
    <row x14ac:dyDescent="0.25" r="503" customHeight="1" ht="15.75">
      <c r="A503" s="123"/>
      <c r="B503" s="123"/>
      <c r="C503" s="124"/>
      <c r="D503" s="124"/>
      <c r="E503" s="124"/>
      <c r="F503" s="124"/>
      <c r="G503" s="124"/>
      <c r="H503" s="124"/>
      <c r="I503" s="124"/>
      <c r="J503" s="124"/>
      <c r="K503" s="124"/>
      <c r="L503" s="124"/>
      <c r="M503" s="124"/>
      <c r="N503" s="124"/>
      <c r="O503" s="124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</row>
    <row x14ac:dyDescent="0.25" r="504" customHeight="1" ht="15.75">
      <c r="A504" s="123"/>
      <c r="B504" s="123"/>
      <c r="C504" s="124"/>
      <c r="D504" s="124"/>
      <c r="E504" s="124"/>
      <c r="F504" s="124"/>
      <c r="G504" s="124"/>
      <c r="H504" s="124"/>
      <c r="I504" s="124"/>
      <c r="J504" s="124"/>
      <c r="K504" s="124"/>
      <c r="L504" s="124"/>
      <c r="M504" s="124"/>
      <c r="N504" s="124"/>
      <c r="O504" s="124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</row>
    <row x14ac:dyDescent="0.25" r="505" customHeight="1" ht="15.75">
      <c r="A505" s="123"/>
      <c r="B505" s="123"/>
      <c r="C505" s="124"/>
      <c r="D505" s="124"/>
      <c r="E505" s="124"/>
      <c r="F505" s="124"/>
      <c r="G505" s="124"/>
      <c r="H505" s="124"/>
      <c r="I505" s="124"/>
      <c r="J505" s="124"/>
      <c r="K505" s="124"/>
      <c r="L505" s="124"/>
      <c r="M505" s="124"/>
      <c r="N505" s="124"/>
      <c r="O505" s="124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</row>
    <row x14ac:dyDescent="0.25" r="506" customHeight="1" ht="15.75">
      <c r="A506" s="123"/>
      <c r="B506" s="123"/>
      <c r="C506" s="124"/>
      <c r="D506" s="124"/>
      <c r="E506" s="124"/>
      <c r="F506" s="124"/>
      <c r="G506" s="124"/>
      <c r="H506" s="124"/>
      <c r="I506" s="124"/>
      <c r="J506" s="124"/>
      <c r="K506" s="124"/>
      <c r="L506" s="124"/>
      <c r="M506" s="124"/>
      <c r="N506" s="124"/>
      <c r="O506" s="124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</row>
    <row x14ac:dyDescent="0.25" r="507" customHeight="1" ht="15.75">
      <c r="A507" s="123"/>
      <c r="B507" s="123"/>
      <c r="C507" s="124"/>
      <c r="D507" s="124"/>
      <c r="E507" s="124"/>
      <c r="F507" s="124"/>
      <c r="G507" s="124"/>
      <c r="H507" s="124"/>
      <c r="I507" s="124"/>
      <c r="J507" s="124"/>
      <c r="K507" s="124"/>
      <c r="L507" s="124"/>
      <c r="M507" s="124"/>
      <c r="N507" s="124"/>
      <c r="O507" s="124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</row>
    <row x14ac:dyDescent="0.25" r="508" customHeight="1" ht="15.75">
      <c r="A508" s="123"/>
      <c r="B508" s="123"/>
      <c r="C508" s="124"/>
      <c r="D508" s="124"/>
      <c r="E508" s="124"/>
      <c r="F508" s="124"/>
      <c r="G508" s="124"/>
      <c r="H508" s="124"/>
      <c r="I508" s="124"/>
      <c r="J508" s="124"/>
      <c r="K508" s="124"/>
      <c r="L508" s="124"/>
      <c r="M508" s="124"/>
      <c r="N508" s="124"/>
      <c r="O508" s="124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</row>
    <row x14ac:dyDescent="0.25" r="509" customHeight="1" ht="15.75">
      <c r="A509" s="123"/>
      <c r="B509" s="123"/>
      <c r="C509" s="124"/>
      <c r="D509" s="124"/>
      <c r="E509" s="124"/>
      <c r="F509" s="124"/>
      <c r="G509" s="124"/>
      <c r="H509" s="124"/>
      <c r="I509" s="124"/>
      <c r="J509" s="124"/>
      <c r="K509" s="124"/>
      <c r="L509" s="124"/>
      <c r="M509" s="124"/>
      <c r="N509" s="124"/>
      <c r="O509" s="124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</row>
    <row x14ac:dyDescent="0.25" r="510" customHeight="1" ht="15.75">
      <c r="A510" s="123"/>
      <c r="B510" s="123"/>
      <c r="C510" s="124"/>
      <c r="D510" s="124"/>
      <c r="E510" s="124"/>
      <c r="F510" s="124"/>
      <c r="G510" s="124"/>
      <c r="H510" s="124"/>
      <c r="I510" s="124"/>
      <c r="J510" s="124"/>
      <c r="K510" s="124"/>
      <c r="L510" s="124"/>
      <c r="M510" s="124"/>
      <c r="N510" s="124"/>
      <c r="O510" s="124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</row>
    <row x14ac:dyDescent="0.25" r="511" customHeight="1" ht="15.75">
      <c r="A511" s="123"/>
      <c r="B511" s="123"/>
      <c r="C511" s="124"/>
      <c r="D511" s="124"/>
      <c r="E511" s="124"/>
      <c r="F511" s="124"/>
      <c r="G511" s="124"/>
      <c r="H511" s="124"/>
      <c r="I511" s="124"/>
      <c r="J511" s="124"/>
      <c r="K511" s="124"/>
      <c r="L511" s="124"/>
      <c r="M511" s="124"/>
      <c r="N511" s="124"/>
      <c r="O511" s="124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</row>
    <row x14ac:dyDescent="0.25" r="512" customHeight="1" ht="15.75">
      <c r="A512" s="123"/>
      <c r="B512" s="123"/>
      <c r="C512" s="124"/>
      <c r="D512" s="124"/>
      <c r="E512" s="124"/>
      <c r="F512" s="124"/>
      <c r="G512" s="124"/>
      <c r="H512" s="124"/>
      <c r="I512" s="124"/>
      <c r="J512" s="124"/>
      <c r="K512" s="124"/>
      <c r="L512" s="124"/>
      <c r="M512" s="124"/>
      <c r="N512" s="124"/>
      <c r="O512" s="124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</row>
    <row x14ac:dyDescent="0.25" r="513" customHeight="1" ht="15.75">
      <c r="A513" s="123"/>
      <c r="B513" s="123"/>
      <c r="C513" s="124"/>
      <c r="D513" s="124"/>
      <c r="E513" s="124"/>
      <c r="F513" s="124"/>
      <c r="G513" s="124"/>
      <c r="H513" s="124"/>
      <c r="I513" s="124"/>
      <c r="J513" s="124"/>
      <c r="K513" s="124"/>
      <c r="L513" s="124"/>
      <c r="M513" s="124"/>
      <c r="N513" s="124"/>
      <c r="O513" s="124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</row>
    <row x14ac:dyDescent="0.25" r="514" customHeight="1" ht="15.75">
      <c r="A514" s="123"/>
      <c r="B514" s="123"/>
      <c r="C514" s="124"/>
      <c r="D514" s="124"/>
      <c r="E514" s="124"/>
      <c r="F514" s="124"/>
      <c r="G514" s="124"/>
      <c r="H514" s="124"/>
      <c r="I514" s="124"/>
      <c r="J514" s="124"/>
      <c r="K514" s="124"/>
      <c r="L514" s="124"/>
      <c r="M514" s="124"/>
      <c r="N514" s="124"/>
      <c r="O514" s="124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</row>
    <row x14ac:dyDescent="0.25" r="515" customHeight="1" ht="15.75">
      <c r="A515" s="123"/>
      <c r="B515" s="123"/>
      <c r="C515" s="124"/>
      <c r="D515" s="124"/>
      <c r="E515" s="124"/>
      <c r="F515" s="124"/>
      <c r="G515" s="124"/>
      <c r="H515" s="124"/>
      <c r="I515" s="124"/>
      <c r="J515" s="124"/>
      <c r="K515" s="124"/>
      <c r="L515" s="124"/>
      <c r="M515" s="124"/>
      <c r="N515" s="124"/>
      <c r="O515" s="124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</row>
    <row x14ac:dyDescent="0.25" r="516" customHeight="1" ht="15.75">
      <c r="A516" s="123"/>
      <c r="B516" s="123"/>
      <c r="C516" s="124"/>
      <c r="D516" s="124"/>
      <c r="E516" s="124"/>
      <c r="F516" s="124"/>
      <c r="G516" s="124"/>
      <c r="H516" s="124"/>
      <c r="I516" s="124"/>
      <c r="J516" s="124"/>
      <c r="K516" s="124"/>
      <c r="L516" s="124"/>
      <c r="M516" s="124"/>
      <c r="N516" s="124"/>
      <c r="O516" s="124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</row>
    <row x14ac:dyDescent="0.25" r="517" customHeight="1" ht="15.75">
      <c r="A517" s="123"/>
      <c r="B517" s="123"/>
      <c r="C517" s="124"/>
      <c r="D517" s="124"/>
      <c r="E517" s="124"/>
      <c r="F517" s="124"/>
      <c r="G517" s="124"/>
      <c r="H517" s="124"/>
      <c r="I517" s="124"/>
      <c r="J517" s="124"/>
      <c r="K517" s="124"/>
      <c r="L517" s="124"/>
      <c r="M517" s="124"/>
      <c r="N517" s="124"/>
      <c r="O517" s="124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</row>
    <row x14ac:dyDescent="0.25" r="518" customHeight="1" ht="15.75">
      <c r="A518" s="123"/>
      <c r="B518" s="123"/>
      <c r="C518" s="124"/>
      <c r="D518" s="124"/>
      <c r="E518" s="124"/>
      <c r="F518" s="124"/>
      <c r="G518" s="124"/>
      <c r="H518" s="124"/>
      <c r="I518" s="124"/>
      <c r="J518" s="124"/>
      <c r="K518" s="124"/>
      <c r="L518" s="124"/>
      <c r="M518" s="124"/>
      <c r="N518" s="124"/>
      <c r="O518" s="124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</row>
    <row x14ac:dyDescent="0.25" r="519" customHeight="1" ht="15.75">
      <c r="A519" s="123"/>
      <c r="B519" s="123"/>
      <c r="C519" s="124"/>
      <c r="D519" s="124"/>
      <c r="E519" s="124"/>
      <c r="F519" s="124"/>
      <c r="G519" s="124"/>
      <c r="H519" s="124"/>
      <c r="I519" s="124"/>
      <c r="J519" s="124"/>
      <c r="K519" s="124"/>
      <c r="L519" s="124"/>
      <c r="M519" s="124"/>
      <c r="N519" s="124"/>
      <c r="O519" s="124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</row>
    <row x14ac:dyDescent="0.25" r="520" customHeight="1" ht="15.75">
      <c r="A520" s="123"/>
      <c r="B520" s="123"/>
      <c r="C520" s="124"/>
      <c r="D520" s="124"/>
      <c r="E520" s="124"/>
      <c r="F520" s="124"/>
      <c r="G520" s="124"/>
      <c r="H520" s="124"/>
      <c r="I520" s="124"/>
      <c r="J520" s="124"/>
      <c r="K520" s="124"/>
      <c r="L520" s="124"/>
      <c r="M520" s="124"/>
      <c r="N520" s="124"/>
      <c r="O520" s="124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</row>
    <row x14ac:dyDescent="0.25" r="521" customHeight="1" ht="15.75">
      <c r="A521" s="123"/>
      <c r="B521" s="123"/>
      <c r="C521" s="124"/>
      <c r="D521" s="124"/>
      <c r="E521" s="124"/>
      <c r="F521" s="124"/>
      <c r="G521" s="124"/>
      <c r="H521" s="124"/>
      <c r="I521" s="124"/>
      <c r="J521" s="124"/>
      <c r="K521" s="124"/>
      <c r="L521" s="124"/>
      <c r="M521" s="124"/>
      <c r="N521" s="124"/>
      <c r="O521" s="124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</row>
    <row x14ac:dyDescent="0.25" r="522" customHeight="1" ht="15.75">
      <c r="A522" s="123"/>
      <c r="B522" s="123"/>
      <c r="C522" s="124"/>
      <c r="D522" s="124"/>
      <c r="E522" s="124"/>
      <c r="F522" s="124"/>
      <c r="G522" s="124"/>
      <c r="H522" s="124"/>
      <c r="I522" s="124"/>
      <c r="J522" s="124"/>
      <c r="K522" s="124"/>
      <c r="L522" s="124"/>
      <c r="M522" s="124"/>
      <c r="N522" s="124"/>
      <c r="O522" s="124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</row>
    <row x14ac:dyDescent="0.25" r="523" customHeight="1" ht="15.75">
      <c r="A523" s="123"/>
      <c r="B523" s="123"/>
      <c r="C523" s="124"/>
      <c r="D523" s="124"/>
      <c r="E523" s="124"/>
      <c r="F523" s="124"/>
      <c r="G523" s="124"/>
      <c r="H523" s="124"/>
      <c r="I523" s="124"/>
      <c r="J523" s="124"/>
      <c r="K523" s="124"/>
      <c r="L523" s="124"/>
      <c r="M523" s="124"/>
      <c r="N523" s="124"/>
      <c r="O523" s="124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</row>
    <row x14ac:dyDescent="0.25" r="524" customHeight="1" ht="15.75">
      <c r="A524" s="123"/>
      <c r="B524" s="123"/>
      <c r="C524" s="124"/>
      <c r="D524" s="124"/>
      <c r="E524" s="124"/>
      <c r="F524" s="124"/>
      <c r="G524" s="124"/>
      <c r="H524" s="124"/>
      <c r="I524" s="124"/>
      <c r="J524" s="124"/>
      <c r="K524" s="124"/>
      <c r="L524" s="124"/>
      <c r="M524" s="124"/>
      <c r="N524" s="124"/>
      <c r="O524" s="124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</row>
    <row x14ac:dyDescent="0.25" r="525" customHeight="1" ht="15.75">
      <c r="A525" s="123"/>
      <c r="B525" s="123"/>
      <c r="C525" s="124"/>
      <c r="D525" s="124"/>
      <c r="E525" s="124"/>
      <c r="F525" s="124"/>
      <c r="G525" s="124"/>
      <c r="H525" s="124"/>
      <c r="I525" s="124"/>
      <c r="J525" s="124"/>
      <c r="K525" s="124"/>
      <c r="L525" s="124"/>
      <c r="M525" s="124"/>
      <c r="N525" s="124"/>
      <c r="O525" s="124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</row>
    <row x14ac:dyDescent="0.25" r="526" customHeight="1" ht="15.75">
      <c r="A526" s="123"/>
      <c r="B526" s="123"/>
      <c r="C526" s="124"/>
      <c r="D526" s="124"/>
      <c r="E526" s="124"/>
      <c r="F526" s="124"/>
      <c r="G526" s="124"/>
      <c r="H526" s="124"/>
      <c r="I526" s="124"/>
      <c r="J526" s="124"/>
      <c r="K526" s="124"/>
      <c r="L526" s="124"/>
      <c r="M526" s="124"/>
      <c r="N526" s="124"/>
      <c r="O526" s="124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</row>
    <row x14ac:dyDescent="0.25" r="527" customHeight="1" ht="15.75">
      <c r="A527" s="123"/>
      <c r="B527" s="123"/>
      <c r="C527" s="124"/>
      <c r="D527" s="124"/>
      <c r="E527" s="124"/>
      <c r="F527" s="124"/>
      <c r="G527" s="124"/>
      <c r="H527" s="124"/>
      <c r="I527" s="124"/>
      <c r="J527" s="124"/>
      <c r="K527" s="124"/>
      <c r="L527" s="124"/>
      <c r="M527" s="124"/>
      <c r="N527" s="124"/>
      <c r="O527" s="124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</row>
    <row x14ac:dyDescent="0.25" r="528" customHeight="1" ht="15.75">
      <c r="A528" s="123"/>
      <c r="B528" s="123"/>
      <c r="C528" s="124"/>
      <c r="D528" s="124"/>
      <c r="E528" s="124"/>
      <c r="F528" s="124"/>
      <c r="G528" s="124"/>
      <c r="H528" s="124"/>
      <c r="I528" s="124"/>
      <c r="J528" s="124"/>
      <c r="K528" s="124"/>
      <c r="L528" s="124"/>
      <c r="M528" s="124"/>
      <c r="N528" s="124"/>
      <c r="O528" s="124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</row>
    <row x14ac:dyDescent="0.25" r="529" customHeight="1" ht="15.75">
      <c r="A529" s="123"/>
      <c r="B529" s="123"/>
      <c r="C529" s="124"/>
      <c r="D529" s="124"/>
      <c r="E529" s="124"/>
      <c r="F529" s="124"/>
      <c r="G529" s="124"/>
      <c r="H529" s="124"/>
      <c r="I529" s="124"/>
      <c r="J529" s="124"/>
      <c r="K529" s="124"/>
      <c r="L529" s="124"/>
      <c r="M529" s="124"/>
      <c r="N529" s="124"/>
      <c r="O529" s="124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</row>
    <row x14ac:dyDescent="0.25" r="530" customHeight="1" ht="15.75">
      <c r="A530" s="123"/>
      <c r="B530" s="123"/>
      <c r="C530" s="124"/>
      <c r="D530" s="124"/>
      <c r="E530" s="124"/>
      <c r="F530" s="124"/>
      <c r="G530" s="124"/>
      <c r="H530" s="124"/>
      <c r="I530" s="124"/>
      <c r="J530" s="124"/>
      <c r="K530" s="124"/>
      <c r="L530" s="124"/>
      <c r="M530" s="124"/>
      <c r="N530" s="124"/>
      <c r="O530" s="124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</row>
    <row x14ac:dyDescent="0.25" r="531" customHeight="1" ht="15.75">
      <c r="A531" s="123"/>
      <c r="B531" s="123"/>
      <c r="C531" s="124"/>
      <c r="D531" s="124"/>
      <c r="E531" s="124"/>
      <c r="F531" s="124"/>
      <c r="G531" s="124"/>
      <c r="H531" s="124"/>
      <c r="I531" s="124"/>
      <c r="J531" s="124"/>
      <c r="K531" s="124"/>
      <c r="L531" s="124"/>
      <c r="M531" s="124"/>
      <c r="N531" s="124"/>
      <c r="O531" s="124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</row>
    <row x14ac:dyDescent="0.25" r="532" customHeight="1" ht="15.75">
      <c r="A532" s="123"/>
      <c r="B532" s="123"/>
      <c r="C532" s="124"/>
      <c r="D532" s="124"/>
      <c r="E532" s="124"/>
      <c r="F532" s="124"/>
      <c r="G532" s="124"/>
      <c r="H532" s="124"/>
      <c r="I532" s="124"/>
      <c r="J532" s="124"/>
      <c r="K532" s="124"/>
      <c r="L532" s="124"/>
      <c r="M532" s="124"/>
      <c r="N532" s="124"/>
      <c r="O532" s="124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</row>
    <row x14ac:dyDescent="0.25" r="533" customHeight="1" ht="15.75">
      <c r="A533" s="123"/>
      <c r="B533" s="123"/>
      <c r="C533" s="124"/>
      <c r="D533" s="124"/>
      <c r="E533" s="124"/>
      <c r="F533" s="124"/>
      <c r="G533" s="124"/>
      <c r="H533" s="124"/>
      <c r="I533" s="124"/>
      <c r="J533" s="124"/>
      <c r="K533" s="124"/>
      <c r="L533" s="124"/>
      <c r="M533" s="124"/>
      <c r="N533" s="124"/>
      <c r="O533" s="124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</row>
    <row x14ac:dyDescent="0.25" r="534" customHeight="1" ht="15.75">
      <c r="A534" s="123"/>
      <c r="B534" s="123"/>
      <c r="C534" s="124"/>
      <c r="D534" s="124"/>
      <c r="E534" s="124"/>
      <c r="F534" s="124"/>
      <c r="G534" s="124"/>
      <c r="H534" s="124"/>
      <c r="I534" s="124"/>
      <c r="J534" s="124"/>
      <c r="K534" s="124"/>
      <c r="L534" s="124"/>
      <c r="M534" s="124"/>
      <c r="N534" s="124"/>
      <c r="O534" s="124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</row>
    <row x14ac:dyDescent="0.25" r="535" customHeight="1" ht="15.75">
      <c r="A535" s="123"/>
      <c r="B535" s="123"/>
      <c r="C535" s="124"/>
      <c r="D535" s="124"/>
      <c r="E535" s="124"/>
      <c r="F535" s="124"/>
      <c r="G535" s="124"/>
      <c r="H535" s="124"/>
      <c r="I535" s="124"/>
      <c r="J535" s="124"/>
      <c r="K535" s="124"/>
      <c r="L535" s="124"/>
      <c r="M535" s="124"/>
      <c r="N535" s="124"/>
      <c r="O535" s="124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</row>
    <row x14ac:dyDescent="0.25" r="536" customHeight="1" ht="15.75">
      <c r="A536" s="123"/>
      <c r="B536" s="123"/>
      <c r="C536" s="124"/>
      <c r="D536" s="124"/>
      <c r="E536" s="124"/>
      <c r="F536" s="124"/>
      <c r="G536" s="124"/>
      <c r="H536" s="124"/>
      <c r="I536" s="124"/>
      <c r="J536" s="124"/>
      <c r="K536" s="124"/>
      <c r="L536" s="124"/>
      <c r="M536" s="124"/>
      <c r="N536" s="124"/>
      <c r="O536" s="124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</row>
    <row x14ac:dyDescent="0.25" r="537" customHeight="1" ht="15.75">
      <c r="A537" s="123"/>
      <c r="B537" s="123"/>
      <c r="C537" s="124"/>
      <c r="D537" s="124"/>
      <c r="E537" s="124"/>
      <c r="F537" s="124"/>
      <c r="G537" s="124"/>
      <c r="H537" s="124"/>
      <c r="I537" s="124"/>
      <c r="J537" s="124"/>
      <c r="K537" s="124"/>
      <c r="L537" s="124"/>
      <c r="M537" s="124"/>
      <c r="N537" s="124"/>
      <c r="O537" s="124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</row>
    <row x14ac:dyDescent="0.25" r="538" customHeight="1" ht="15.75">
      <c r="A538" s="123"/>
      <c r="B538" s="123"/>
      <c r="C538" s="124"/>
      <c r="D538" s="124"/>
      <c r="E538" s="124"/>
      <c r="F538" s="124"/>
      <c r="G538" s="124"/>
      <c r="H538" s="124"/>
      <c r="I538" s="124"/>
      <c r="J538" s="124"/>
      <c r="K538" s="124"/>
      <c r="L538" s="124"/>
      <c r="M538" s="124"/>
      <c r="N538" s="124"/>
      <c r="O538" s="124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</row>
    <row x14ac:dyDescent="0.25" r="539" customHeight="1" ht="15.75">
      <c r="A539" s="123"/>
      <c r="B539" s="123"/>
      <c r="C539" s="124"/>
      <c r="D539" s="124"/>
      <c r="E539" s="124"/>
      <c r="F539" s="124"/>
      <c r="G539" s="124"/>
      <c r="H539" s="124"/>
      <c r="I539" s="124"/>
      <c r="J539" s="124"/>
      <c r="K539" s="124"/>
      <c r="L539" s="124"/>
      <c r="M539" s="124"/>
      <c r="N539" s="124"/>
      <c r="O539" s="124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</row>
    <row x14ac:dyDescent="0.25" r="540" customHeight="1" ht="15.75">
      <c r="A540" s="123"/>
      <c r="B540" s="123"/>
      <c r="C540" s="124"/>
      <c r="D540" s="124"/>
      <c r="E540" s="124"/>
      <c r="F540" s="124"/>
      <c r="G540" s="124"/>
      <c r="H540" s="124"/>
      <c r="I540" s="124"/>
      <c r="J540" s="124"/>
      <c r="K540" s="124"/>
      <c r="L540" s="124"/>
      <c r="M540" s="124"/>
      <c r="N540" s="124"/>
      <c r="O540" s="124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</row>
    <row x14ac:dyDescent="0.25" r="541" customHeight="1" ht="15.75">
      <c r="A541" s="123"/>
      <c r="B541" s="123"/>
      <c r="C541" s="124"/>
      <c r="D541" s="124"/>
      <c r="E541" s="124"/>
      <c r="F541" s="124"/>
      <c r="G541" s="124"/>
      <c r="H541" s="124"/>
      <c r="I541" s="124"/>
      <c r="J541" s="124"/>
      <c r="K541" s="124"/>
      <c r="L541" s="124"/>
      <c r="M541" s="124"/>
      <c r="N541" s="124"/>
      <c r="O541" s="124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</row>
    <row x14ac:dyDescent="0.25" r="542" customHeight="1" ht="15.75">
      <c r="A542" s="123"/>
      <c r="B542" s="123"/>
      <c r="C542" s="124"/>
      <c r="D542" s="124"/>
      <c r="E542" s="124"/>
      <c r="F542" s="124"/>
      <c r="G542" s="124"/>
      <c r="H542" s="124"/>
      <c r="I542" s="124"/>
      <c r="J542" s="124"/>
      <c r="K542" s="124"/>
      <c r="L542" s="124"/>
      <c r="M542" s="124"/>
      <c r="N542" s="124"/>
      <c r="O542" s="124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</row>
    <row x14ac:dyDescent="0.25" r="543" customHeight="1" ht="15.75">
      <c r="A543" s="123"/>
      <c r="B543" s="123"/>
      <c r="C543" s="124"/>
      <c r="D543" s="124"/>
      <c r="E543" s="124"/>
      <c r="F543" s="124"/>
      <c r="G543" s="124"/>
      <c r="H543" s="124"/>
      <c r="I543" s="124"/>
      <c r="J543" s="124"/>
      <c r="K543" s="124"/>
      <c r="L543" s="124"/>
      <c r="M543" s="124"/>
      <c r="N543" s="124"/>
      <c r="O543" s="124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</row>
    <row x14ac:dyDescent="0.25" r="544" customHeight="1" ht="15.75">
      <c r="A544" s="123"/>
      <c r="B544" s="123"/>
      <c r="C544" s="124"/>
      <c r="D544" s="124"/>
      <c r="E544" s="124"/>
      <c r="F544" s="124"/>
      <c r="G544" s="124"/>
      <c r="H544" s="124"/>
      <c r="I544" s="124"/>
      <c r="J544" s="124"/>
      <c r="K544" s="124"/>
      <c r="L544" s="124"/>
      <c r="M544" s="124"/>
      <c r="N544" s="124"/>
      <c r="O544" s="124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</row>
    <row x14ac:dyDescent="0.25" r="545" customHeight="1" ht="15.75">
      <c r="A545" s="123"/>
      <c r="B545" s="123"/>
      <c r="C545" s="124"/>
      <c r="D545" s="124"/>
      <c r="E545" s="124"/>
      <c r="F545" s="124"/>
      <c r="G545" s="124"/>
      <c r="H545" s="124"/>
      <c r="I545" s="124"/>
      <c r="J545" s="124"/>
      <c r="K545" s="124"/>
      <c r="L545" s="124"/>
      <c r="M545" s="124"/>
      <c r="N545" s="124"/>
      <c r="O545" s="124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</row>
    <row x14ac:dyDescent="0.25" r="546" customHeight="1" ht="15.75">
      <c r="A546" s="123"/>
      <c r="B546" s="123"/>
      <c r="C546" s="124"/>
      <c r="D546" s="124"/>
      <c r="E546" s="124"/>
      <c r="F546" s="124"/>
      <c r="G546" s="124"/>
      <c r="H546" s="124"/>
      <c r="I546" s="124"/>
      <c r="J546" s="124"/>
      <c r="K546" s="124"/>
      <c r="L546" s="124"/>
      <c r="M546" s="124"/>
      <c r="N546" s="124"/>
      <c r="O546" s="124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</row>
    <row x14ac:dyDescent="0.25" r="547" customHeight="1" ht="15.75">
      <c r="A547" s="123"/>
      <c r="B547" s="123"/>
      <c r="C547" s="124"/>
      <c r="D547" s="124"/>
      <c r="E547" s="124"/>
      <c r="F547" s="124"/>
      <c r="G547" s="124"/>
      <c r="H547" s="124"/>
      <c r="I547" s="124"/>
      <c r="J547" s="124"/>
      <c r="K547" s="124"/>
      <c r="L547" s="124"/>
      <c r="M547" s="124"/>
      <c r="N547" s="124"/>
      <c r="O547" s="124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</row>
    <row x14ac:dyDescent="0.25" r="548" customHeight="1" ht="15.75">
      <c r="A548" s="123"/>
      <c r="B548" s="123"/>
      <c r="C548" s="124"/>
      <c r="D548" s="124"/>
      <c r="E548" s="124"/>
      <c r="F548" s="124"/>
      <c r="G548" s="124"/>
      <c r="H548" s="124"/>
      <c r="I548" s="124"/>
      <c r="J548" s="124"/>
      <c r="K548" s="124"/>
      <c r="L548" s="124"/>
      <c r="M548" s="124"/>
      <c r="N548" s="124"/>
      <c r="O548" s="124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</row>
    <row x14ac:dyDescent="0.25" r="549" customHeight="1" ht="15.75">
      <c r="A549" s="123"/>
      <c r="B549" s="123"/>
      <c r="C549" s="124"/>
      <c r="D549" s="124"/>
      <c r="E549" s="124"/>
      <c r="F549" s="124"/>
      <c r="G549" s="124"/>
      <c r="H549" s="124"/>
      <c r="I549" s="124"/>
      <c r="J549" s="124"/>
      <c r="K549" s="124"/>
      <c r="L549" s="124"/>
      <c r="M549" s="124"/>
      <c r="N549" s="124"/>
      <c r="O549" s="124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</row>
    <row x14ac:dyDescent="0.25" r="550" customHeight="1" ht="15.75">
      <c r="A550" s="123"/>
      <c r="B550" s="123"/>
      <c r="C550" s="124"/>
      <c r="D550" s="124"/>
      <c r="E550" s="124"/>
      <c r="F550" s="124"/>
      <c r="G550" s="124"/>
      <c r="H550" s="124"/>
      <c r="I550" s="124"/>
      <c r="J550" s="124"/>
      <c r="K550" s="124"/>
      <c r="L550" s="124"/>
      <c r="M550" s="124"/>
      <c r="N550" s="124"/>
      <c r="O550" s="124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</row>
    <row x14ac:dyDescent="0.25" r="551" customHeight="1" ht="15.75">
      <c r="A551" s="123"/>
      <c r="B551" s="123"/>
      <c r="C551" s="124"/>
      <c r="D551" s="124"/>
      <c r="E551" s="124"/>
      <c r="F551" s="124"/>
      <c r="G551" s="124"/>
      <c r="H551" s="124"/>
      <c r="I551" s="124"/>
      <c r="J551" s="124"/>
      <c r="K551" s="124"/>
      <c r="L551" s="124"/>
      <c r="M551" s="124"/>
      <c r="N551" s="124"/>
      <c r="O551" s="124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</row>
    <row x14ac:dyDescent="0.25" r="552" customHeight="1" ht="15.75">
      <c r="A552" s="123"/>
      <c r="B552" s="123"/>
      <c r="C552" s="124"/>
      <c r="D552" s="124"/>
      <c r="E552" s="124"/>
      <c r="F552" s="124"/>
      <c r="G552" s="124"/>
      <c r="H552" s="124"/>
      <c r="I552" s="124"/>
      <c r="J552" s="124"/>
      <c r="K552" s="124"/>
      <c r="L552" s="124"/>
      <c r="M552" s="124"/>
      <c r="N552" s="124"/>
      <c r="O552" s="124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</row>
    <row x14ac:dyDescent="0.25" r="553" customHeight="1" ht="15.75">
      <c r="A553" s="123"/>
      <c r="B553" s="123"/>
      <c r="C553" s="124"/>
      <c r="D553" s="124"/>
      <c r="E553" s="124"/>
      <c r="F553" s="124"/>
      <c r="G553" s="124"/>
      <c r="H553" s="124"/>
      <c r="I553" s="124"/>
      <c r="J553" s="124"/>
      <c r="K553" s="124"/>
      <c r="L553" s="124"/>
      <c r="M553" s="124"/>
      <c r="N553" s="124"/>
      <c r="O553" s="124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</row>
    <row x14ac:dyDescent="0.25" r="554" customHeight="1" ht="15.75">
      <c r="A554" s="123"/>
      <c r="B554" s="123"/>
      <c r="C554" s="124"/>
      <c r="D554" s="124"/>
      <c r="E554" s="124"/>
      <c r="F554" s="124"/>
      <c r="G554" s="124"/>
      <c r="H554" s="124"/>
      <c r="I554" s="124"/>
      <c r="J554" s="124"/>
      <c r="K554" s="124"/>
      <c r="L554" s="124"/>
      <c r="M554" s="124"/>
      <c r="N554" s="124"/>
      <c r="O554" s="124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</row>
    <row x14ac:dyDescent="0.25" r="555" customHeight="1" ht="15.75">
      <c r="A555" s="123"/>
      <c r="B555" s="123"/>
      <c r="C555" s="124"/>
      <c r="D555" s="124"/>
      <c r="E555" s="124"/>
      <c r="F555" s="124"/>
      <c r="G555" s="124"/>
      <c r="H555" s="124"/>
      <c r="I555" s="124"/>
      <c r="J555" s="124"/>
      <c r="K555" s="124"/>
      <c r="L555" s="124"/>
      <c r="M555" s="124"/>
      <c r="N555" s="124"/>
      <c r="O555" s="124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</row>
    <row x14ac:dyDescent="0.25" r="556" customHeight="1" ht="15.75">
      <c r="A556" s="123"/>
      <c r="B556" s="123"/>
      <c r="C556" s="124"/>
      <c r="D556" s="124"/>
      <c r="E556" s="124"/>
      <c r="F556" s="124"/>
      <c r="G556" s="124"/>
      <c r="H556" s="124"/>
      <c r="I556" s="124"/>
      <c r="J556" s="124"/>
      <c r="K556" s="124"/>
      <c r="L556" s="124"/>
      <c r="M556" s="124"/>
      <c r="N556" s="124"/>
      <c r="O556" s="124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</row>
    <row x14ac:dyDescent="0.25" r="557" customHeight="1" ht="15.75">
      <c r="A557" s="123"/>
      <c r="B557" s="123"/>
      <c r="C557" s="124"/>
      <c r="D557" s="124"/>
      <c r="E557" s="124"/>
      <c r="F557" s="124"/>
      <c r="G557" s="124"/>
      <c r="H557" s="124"/>
      <c r="I557" s="124"/>
      <c r="J557" s="124"/>
      <c r="K557" s="124"/>
      <c r="L557" s="124"/>
      <c r="M557" s="124"/>
      <c r="N557" s="124"/>
      <c r="O557" s="124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</row>
    <row x14ac:dyDescent="0.25" r="558" customHeight="1" ht="15.75">
      <c r="A558" s="123"/>
      <c r="B558" s="123"/>
      <c r="C558" s="124"/>
      <c r="D558" s="124"/>
      <c r="E558" s="124"/>
      <c r="F558" s="124"/>
      <c r="G558" s="124"/>
      <c r="H558" s="124"/>
      <c r="I558" s="124"/>
      <c r="J558" s="124"/>
      <c r="K558" s="124"/>
      <c r="L558" s="124"/>
      <c r="M558" s="124"/>
      <c r="N558" s="124"/>
      <c r="O558" s="124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</row>
    <row x14ac:dyDescent="0.25" r="559" customHeight="1" ht="15.75">
      <c r="A559" s="123"/>
      <c r="B559" s="123"/>
      <c r="C559" s="124"/>
      <c r="D559" s="124"/>
      <c r="E559" s="124"/>
      <c r="F559" s="124"/>
      <c r="G559" s="124"/>
      <c r="H559" s="124"/>
      <c r="I559" s="124"/>
      <c r="J559" s="124"/>
      <c r="K559" s="124"/>
      <c r="L559" s="124"/>
      <c r="M559" s="124"/>
      <c r="N559" s="124"/>
      <c r="O559" s="124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</row>
    <row x14ac:dyDescent="0.25" r="560" customHeight="1" ht="15.75">
      <c r="A560" s="123"/>
      <c r="B560" s="123"/>
      <c r="C560" s="124"/>
      <c r="D560" s="124"/>
      <c r="E560" s="124"/>
      <c r="F560" s="124"/>
      <c r="G560" s="124"/>
      <c r="H560" s="124"/>
      <c r="I560" s="124"/>
      <c r="J560" s="124"/>
      <c r="K560" s="124"/>
      <c r="L560" s="124"/>
      <c r="M560" s="124"/>
      <c r="N560" s="124"/>
      <c r="O560" s="124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</row>
    <row x14ac:dyDescent="0.25" r="561" customHeight="1" ht="15.75">
      <c r="A561" s="123"/>
      <c r="B561" s="123"/>
      <c r="C561" s="124"/>
      <c r="D561" s="124"/>
      <c r="E561" s="124"/>
      <c r="F561" s="124"/>
      <c r="G561" s="124"/>
      <c r="H561" s="124"/>
      <c r="I561" s="124"/>
      <c r="J561" s="124"/>
      <c r="K561" s="124"/>
      <c r="L561" s="124"/>
      <c r="M561" s="124"/>
      <c r="N561" s="124"/>
      <c r="O561" s="124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</row>
    <row x14ac:dyDescent="0.25" r="562" customHeight="1" ht="15.75">
      <c r="A562" s="123"/>
      <c r="B562" s="123"/>
      <c r="C562" s="124"/>
      <c r="D562" s="124"/>
      <c r="E562" s="124"/>
      <c r="F562" s="124"/>
      <c r="G562" s="124"/>
      <c r="H562" s="124"/>
      <c r="I562" s="124"/>
      <c r="J562" s="124"/>
      <c r="K562" s="124"/>
      <c r="L562" s="124"/>
      <c r="M562" s="124"/>
      <c r="N562" s="124"/>
      <c r="O562" s="124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</row>
    <row x14ac:dyDescent="0.25" r="563" customHeight="1" ht="15.75">
      <c r="A563" s="123"/>
      <c r="B563" s="123"/>
      <c r="C563" s="124"/>
      <c r="D563" s="124"/>
      <c r="E563" s="124"/>
      <c r="F563" s="124"/>
      <c r="G563" s="124"/>
      <c r="H563" s="124"/>
      <c r="I563" s="124"/>
      <c r="J563" s="124"/>
      <c r="K563" s="124"/>
      <c r="L563" s="124"/>
      <c r="M563" s="124"/>
      <c r="N563" s="124"/>
      <c r="O563" s="124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</row>
    <row x14ac:dyDescent="0.25" r="564" customHeight="1" ht="15.75">
      <c r="A564" s="123"/>
      <c r="B564" s="123"/>
      <c r="C564" s="124"/>
      <c r="D564" s="124"/>
      <c r="E564" s="124"/>
      <c r="F564" s="124"/>
      <c r="G564" s="124"/>
      <c r="H564" s="124"/>
      <c r="I564" s="124"/>
      <c r="J564" s="124"/>
      <c r="K564" s="124"/>
      <c r="L564" s="124"/>
      <c r="M564" s="124"/>
      <c r="N564" s="124"/>
      <c r="O564" s="124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</row>
    <row x14ac:dyDescent="0.25" r="565" customHeight="1" ht="15.75">
      <c r="A565" s="123"/>
      <c r="B565" s="123"/>
      <c r="C565" s="124"/>
      <c r="D565" s="124"/>
      <c r="E565" s="124"/>
      <c r="F565" s="124"/>
      <c r="G565" s="124"/>
      <c r="H565" s="124"/>
      <c r="I565" s="124"/>
      <c r="J565" s="124"/>
      <c r="K565" s="124"/>
      <c r="L565" s="124"/>
      <c r="M565" s="124"/>
      <c r="N565" s="124"/>
      <c r="O565" s="124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</row>
    <row x14ac:dyDescent="0.25" r="566" customHeight="1" ht="15.75">
      <c r="A566" s="123"/>
      <c r="B566" s="123"/>
      <c r="C566" s="124"/>
      <c r="D566" s="124"/>
      <c r="E566" s="124"/>
      <c r="F566" s="124"/>
      <c r="G566" s="124"/>
      <c r="H566" s="124"/>
      <c r="I566" s="124"/>
      <c r="J566" s="124"/>
      <c r="K566" s="124"/>
      <c r="L566" s="124"/>
      <c r="M566" s="124"/>
      <c r="N566" s="124"/>
      <c r="O566" s="124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</row>
    <row x14ac:dyDescent="0.25" r="567" customHeight="1" ht="15.75">
      <c r="A567" s="123"/>
      <c r="B567" s="123"/>
      <c r="C567" s="124"/>
      <c r="D567" s="124"/>
      <c r="E567" s="124"/>
      <c r="F567" s="124"/>
      <c r="G567" s="124"/>
      <c r="H567" s="124"/>
      <c r="I567" s="124"/>
      <c r="J567" s="124"/>
      <c r="K567" s="124"/>
      <c r="L567" s="124"/>
      <c r="M567" s="124"/>
      <c r="N567" s="124"/>
      <c r="O567" s="124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</row>
    <row x14ac:dyDescent="0.25" r="568" customHeight="1" ht="15.75">
      <c r="A568" s="123"/>
      <c r="B568" s="123"/>
      <c r="C568" s="124"/>
      <c r="D568" s="124"/>
      <c r="E568" s="124"/>
      <c r="F568" s="124"/>
      <c r="G568" s="124"/>
      <c r="H568" s="124"/>
      <c r="I568" s="124"/>
      <c r="J568" s="124"/>
      <c r="K568" s="124"/>
      <c r="L568" s="124"/>
      <c r="M568" s="124"/>
      <c r="N568" s="124"/>
      <c r="O568" s="124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</row>
    <row x14ac:dyDescent="0.25" r="569" customHeight="1" ht="15.75">
      <c r="A569" s="123"/>
      <c r="B569" s="123"/>
      <c r="C569" s="124"/>
      <c r="D569" s="124"/>
      <c r="E569" s="124"/>
      <c r="F569" s="124"/>
      <c r="G569" s="124"/>
      <c r="H569" s="124"/>
      <c r="I569" s="124"/>
      <c r="J569" s="124"/>
      <c r="K569" s="124"/>
      <c r="L569" s="124"/>
      <c r="M569" s="124"/>
      <c r="N569" s="124"/>
      <c r="O569" s="124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</row>
    <row x14ac:dyDescent="0.25" r="570" customHeight="1" ht="15.75">
      <c r="A570" s="123"/>
      <c r="B570" s="123"/>
      <c r="C570" s="124"/>
      <c r="D570" s="124"/>
      <c r="E570" s="124"/>
      <c r="F570" s="124"/>
      <c r="G570" s="124"/>
      <c r="H570" s="124"/>
      <c r="I570" s="124"/>
      <c r="J570" s="124"/>
      <c r="K570" s="124"/>
      <c r="L570" s="124"/>
      <c r="M570" s="124"/>
      <c r="N570" s="124"/>
      <c r="O570" s="124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</row>
    <row x14ac:dyDescent="0.25" r="571" customHeight="1" ht="15.75">
      <c r="A571" s="123"/>
      <c r="B571" s="123"/>
      <c r="C571" s="124"/>
      <c r="D571" s="124"/>
      <c r="E571" s="124"/>
      <c r="F571" s="124"/>
      <c r="G571" s="124"/>
      <c r="H571" s="124"/>
      <c r="I571" s="124"/>
      <c r="J571" s="124"/>
      <c r="K571" s="124"/>
      <c r="L571" s="124"/>
      <c r="M571" s="124"/>
      <c r="N571" s="124"/>
      <c r="O571" s="124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</row>
    <row x14ac:dyDescent="0.25" r="572" customHeight="1" ht="15.75">
      <c r="A572" s="123"/>
      <c r="B572" s="123"/>
      <c r="C572" s="124"/>
      <c r="D572" s="124"/>
      <c r="E572" s="124"/>
      <c r="F572" s="124"/>
      <c r="G572" s="124"/>
      <c r="H572" s="124"/>
      <c r="I572" s="124"/>
      <c r="J572" s="124"/>
      <c r="K572" s="124"/>
      <c r="L572" s="124"/>
      <c r="M572" s="124"/>
      <c r="N572" s="124"/>
      <c r="O572" s="124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</row>
    <row x14ac:dyDescent="0.25" r="573" customHeight="1" ht="15.75">
      <c r="A573" s="123"/>
      <c r="B573" s="123"/>
      <c r="C573" s="124"/>
      <c r="D573" s="124"/>
      <c r="E573" s="124"/>
      <c r="F573" s="124"/>
      <c r="G573" s="124"/>
      <c r="H573" s="124"/>
      <c r="I573" s="124"/>
      <c r="J573" s="124"/>
      <c r="K573" s="124"/>
      <c r="L573" s="124"/>
      <c r="M573" s="124"/>
      <c r="N573" s="124"/>
      <c r="O573" s="124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</row>
    <row x14ac:dyDescent="0.25" r="574" customHeight="1" ht="15.75">
      <c r="A574" s="123"/>
      <c r="B574" s="123"/>
      <c r="C574" s="124"/>
      <c r="D574" s="124"/>
      <c r="E574" s="124"/>
      <c r="F574" s="124"/>
      <c r="G574" s="124"/>
      <c r="H574" s="124"/>
      <c r="I574" s="124"/>
      <c r="J574" s="124"/>
      <c r="K574" s="124"/>
      <c r="L574" s="124"/>
      <c r="M574" s="124"/>
      <c r="N574" s="124"/>
      <c r="O574" s="124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</row>
    <row x14ac:dyDescent="0.25" r="575" customHeight="1" ht="15.75">
      <c r="A575" s="123"/>
      <c r="B575" s="123"/>
      <c r="C575" s="124"/>
      <c r="D575" s="124"/>
      <c r="E575" s="124"/>
      <c r="F575" s="124"/>
      <c r="G575" s="124"/>
      <c r="H575" s="124"/>
      <c r="I575" s="124"/>
      <c r="J575" s="124"/>
      <c r="K575" s="124"/>
      <c r="L575" s="124"/>
      <c r="M575" s="124"/>
      <c r="N575" s="124"/>
      <c r="O575" s="124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</row>
    <row x14ac:dyDescent="0.25" r="576" customHeight="1" ht="15.75">
      <c r="A576" s="123"/>
      <c r="B576" s="123"/>
      <c r="C576" s="124"/>
      <c r="D576" s="124"/>
      <c r="E576" s="124"/>
      <c r="F576" s="124"/>
      <c r="G576" s="124"/>
      <c r="H576" s="124"/>
      <c r="I576" s="124"/>
      <c r="J576" s="124"/>
      <c r="K576" s="124"/>
      <c r="L576" s="124"/>
      <c r="M576" s="124"/>
      <c r="N576" s="124"/>
      <c r="O576" s="124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</row>
    <row x14ac:dyDescent="0.25" r="577" customHeight="1" ht="15.75">
      <c r="A577" s="123"/>
      <c r="B577" s="123"/>
      <c r="C577" s="124"/>
      <c r="D577" s="124"/>
      <c r="E577" s="124"/>
      <c r="F577" s="124"/>
      <c r="G577" s="124"/>
      <c r="H577" s="124"/>
      <c r="I577" s="124"/>
      <c r="J577" s="124"/>
      <c r="K577" s="124"/>
      <c r="L577" s="124"/>
      <c r="M577" s="124"/>
      <c r="N577" s="124"/>
      <c r="O577" s="124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</row>
    <row x14ac:dyDescent="0.25" r="578" customHeight="1" ht="15.75">
      <c r="A578" s="123"/>
      <c r="B578" s="123"/>
      <c r="C578" s="124"/>
      <c r="D578" s="124"/>
      <c r="E578" s="124"/>
      <c r="F578" s="124"/>
      <c r="G578" s="124"/>
      <c r="H578" s="124"/>
      <c r="I578" s="124"/>
      <c r="J578" s="124"/>
      <c r="K578" s="124"/>
      <c r="L578" s="124"/>
      <c r="M578" s="124"/>
      <c r="N578" s="124"/>
      <c r="O578" s="124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</row>
    <row x14ac:dyDescent="0.25" r="579" customHeight="1" ht="15.75">
      <c r="A579" s="123"/>
      <c r="B579" s="123"/>
      <c r="C579" s="124"/>
      <c r="D579" s="124"/>
      <c r="E579" s="124"/>
      <c r="F579" s="124"/>
      <c r="G579" s="124"/>
      <c r="H579" s="124"/>
      <c r="I579" s="124"/>
      <c r="J579" s="124"/>
      <c r="K579" s="124"/>
      <c r="L579" s="124"/>
      <c r="M579" s="124"/>
      <c r="N579" s="124"/>
      <c r="O579" s="124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</row>
    <row x14ac:dyDescent="0.25" r="580" customHeight="1" ht="15.75">
      <c r="A580" s="123"/>
      <c r="B580" s="123"/>
      <c r="C580" s="124"/>
      <c r="D580" s="124"/>
      <c r="E580" s="124"/>
      <c r="F580" s="124"/>
      <c r="G580" s="124"/>
      <c r="H580" s="124"/>
      <c r="I580" s="124"/>
      <c r="J580" s="124"/>
      <c r="K580" s="124"/>
      <c r="L580" s="124"/>
      <c r="M580" s="124"/>
      <c r="N580" s="124"/>
      <c r="O580" s="124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</row>
    <row x14ac:dyDescent="0.25" r="581" customHeight="1" ht="15.75">
      <c r="A581" s="123"/>
      <c r="B581" s="123"/>
      <c r="C581" s="124"/>
      <c r="D581" s="124"/>
      <c r="E581" s="124"/>
      <c r="F581" s="124"/>
      <c r="G581" s="124"/>
      <c r="H581" s="124"/>
      <c r="I581" s="124"/>
      <c r="J581" s="124"/>
      <c r="K581" s="124"/>
      <c r="L581" s="124"/>
      <c r="M581" s="124"/>
      <c r="N581" s="124"/>
      <c r="O581" s="124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</row>
    <row x14ac:dyDescent="0.25" r="582" customHeight="1" ht="15.75">
      <c r="A582" s="123"/>
      <c r="B582" s="123"/>
      <c r="C582" s="124"/>
      <c r="D582" s="124"/>
      <c r="E582" s="124"/>
      <c r="F582" s="124"/>
      <c r="G582" s="124"/>
      <c r="H582" s="124"/>
      <c r="I582" s="124"/>
      <c r="J582" s="124"/>
      <c r="K582" s="124"/>
      <c r="L582" s="124"/>
      <c r="M582" s="124"/>
      <c r="N582" s="124"/>
      <c r="O582" s="124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</row>
    <row x14ac:dyDescent="0.25" r="583" customHeight="1" ht="15.75">
      <c r="A583" s="123"/>
      <c r="B583" s="123"/>
      <c r="C583" s="124"/>
      <c r="D583" s="124"/>
      <c r="E583" s="124"/>
      <c r="F583" s="124"/>
      <c r="G583" s="124"/>
      <c r="H583" s="124"/>
      <c r="I583" s="124"/>
      <c r="J583" s="124"/>
      <c r="K583" s="124"/>
      <c r="L583" s="124"/>
      <c r="M583" s="124"/>
      <c r="N583" s="124"/>
      <c r="O583" s="124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</row>
    <row x14ac:dyDescent="0.25" r="584" customHeight="1" ht="15.75">
      <c r="A584" s="123"/>
      <c r="B584" s="123"/>
      <c r="C584" s="124"/>
      <c r="D584" s="124"/>
      <c r="E584" s="124"/>
      <c r="F584" s="124"/>
      <c r="G584" s="124"/>
      <c r="H584" s="124"/>
      <c r="I584" s="124"/>
      <c r="J584" s="124"/>
      <c r="K584" s="124"/>
      <c r="L584" s="124"/>
      <c r="M584" s="124"/>
      <c r="N584" s="124"/>
      <c r="O584" s="124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</row>
    <row x14ac:dyDescent="0.25" r="585" customHeight="1" ht="15.75">
      <c r="A585" s="123"/>
      <c r="B585" s="123"/>
      <c r="C585" s="124"/>
      <c r="D585" s="124"/>
      <c r="E585" s="124"/>
      <c r="F585" s="124"/>
      <c r="G585" s="124"/>
      <c r="H585" s="124"/>
      <c r="I585" s="124"/>
      <c r="J585" s="124"/>
      <c r="K585" s="124"/>
      <c r="L585" s="124"/>
      <c r="M585" s="124"/>
      <c r="N585" s="124"/>
      <c r="O585" s="124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</row>
    <row x14ac:dyDescent="0.25" r="586" customHeight="1" ht="15.75">
      <c r="A586" s="123"/>
      <c r="B586" s="123"/>
      <c r="C586" s="124"/>
      <c r="D586" s="124"/>
      <c r="E586" s="124"/>
      <c r="F586" s="124"/>
      <c r="G586" s="124"/>
      <c r="H586" s="124"/>
      <c r="I586" s="124"/>
      <c r="J586" s="124"/>
      <c r="K586" s="124"/>
      <c r="L586" s="124"/>
      <c r="M586" s="124"/>
      <c r="N586" s="124"/>
      <c r="O586" s="124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</row>
    <row x14ac:dyDescent="0.25" r="587" customHeight="1" ht="15.75">
      <c r="A587" s="123"/>
      <c r="B587" s="123"/>
      <c r="C587" s="124"/>
      <c r="D587" s="124"/>
      <c r="E587" s="124"/>
      <c r="F587" s="124"/>
      <c r="G587" s="124"/>
      <c r="H587" s="124"/>
      <c r="I587" s="124"/>
      <c r="J587" s="124"/>
      <c r="K587" s="124"/>
      <c r="L587" s="124"/>
      <c r="M587" s="124"/>
      <c r="N587" s="124"/>
      <c r="O587" s="124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</row>
    <row x14ac:dyDescent="0.25" r="588" customHeight="1" ht="15.75">
      <c r="A588" s="123"/>
      <c r="B588" s="123"/>
      <c r="C588" s="124"/>
      <c r="D588" s="124"/>
      <c r="E588" s="124"/>
      <c r="F588" s="124"/>
      <c r="G588" s="124"/>
      <c r="H588" s="124"/>
      <c r="I588" s="124"/>
      <c r="J588" s="124"/>
      <c r="K588" s="124"/>
      <c r="L588" s="124"/>
      <c r="M588" s="124"/>
      <c r="N588" s="124"/>
      <c r="O588" s="124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</row>
    <row x14ac:dyDescent="0.25" r="589" customHeight="1" ht="15.75">
      <c r="A589" s="123"/>
      <c r="B589" s="123"/>
      <c r="C589" s="124"/>
      <c r="D589" s="124"/>
      <c r="E589" s="124"/>
      <c r="F589" s="124"/>
      <c r="G589" s="124"/>
      <c r="H589" s="124"/>
      <c r="I589" s="124"/>
      <c r="J589" s="124"/>
      <c r="K589" s="124"/>
      <c r="L589" s="124"/>
      <c r="M589" s="124"/>
      <c r="N589" s="124"/>
      <c r="O589" s="124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</row>
    <row x14ac:dyDescent="0.25" r="590" customHeight="1" ht="15.75">
      <c r="A590" s="123"/>
      <c r="B590" s="123"/>
      <c r="C590" s="124"/>
      <c r="D590" s="124"/>
      <c r="E590" s="124"/>
      <c r="F590" s="124"/>
      <c r="G590" s="124"/>
      <c r="H590" s="124"/>
      <c r="I590" s="124"/>
      <c r="J590" s="124"/>
      <c r="K590" s="124"/>
      <c r="L590" s="124"/>
      <c r="M590" s="124"/>
      <c r="N590" s="124"/>
      <c r="O590" s="124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</row>
    <row x14ac:dyDescent="0.25" r="591" customHeight="1" ht="15.75">
      <c r="A591" s="123"/>
      <c r="B591" s="123"/>
      <c r="C591" s="124"/>
      <c r="D591" s="124"/>
      <c r="E591" s="124"/>
      <c r="F591" s="124"/>
      <c r="G591" s="124"/>
      <c r="H591" s="124"/>
      <c r="I591" s="124"/>
      <c r="J591" s="124"/>
      <c r="K591" s="124"/>
      <c r="L591" s="124"/>
      <c r="M591" s="124"/>
      <c r="N591" s="124"/>
      <c r="O591" s="124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</row>
    <row x14ac:dyDescent="0.25" r="592" customHeight="1" ht="15.75">
      <c r="A592" s="123"/>
      <c r="B592" s="123"/>
      <c r="C592" s="124"/>
      <c r="D592" s="124"/>
      <c r="E592" s="124"/>
      <c r="F592" s="124"/>
      <c r="G592" s="124"/>
      <c r="H592" s="124"/>
      <c r="I592" s="124"/>
      <c r="J592" s="124"/>
      <c r="K592" s="124"/>
      <c r="L592" s="124"/>
      <c r="M592" s="124"/>
      <c r="N592" s="124"/>
      <c r="O592" s="124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</row>
    <row x14ac:dyDescent="0.25" r="593" customHeight="1" ht="15.75">
      <c r="A593" s="123"/>
      <c r="B593" s="123"/>
      <c r="C593" s="124"/>
      <c r="D593" s="124"/>
      <c r="E593" s="124"/>
      <c r="F593" s="124"/>
      <c r="G593" s="124"/>
      <c r="H593" s="124"/>
      <c r="I593" s="124"/>
      <c r="J593" s="124"/>
      <c r="K593" s="124"/>
      <c r="L593" s="124"/>
      <c r="M593" s="124"/>
      <c r="N593" s="124"/>
      <c r="O593" s="124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</row>
    <row x14ac:dyDescent="0.25" r="594" customHeight="1" ht="15.75">
      <c r="A594" s="123"/>
      <c r="B594" s="123"/>
      <c r="C594" s="124"/>
      <c r="D594" s="124"/>
      <c r="E594" s="124"/>
      <c r="F594" s="124"/>
      <c r="G594" s="124"/>
      <c r="H594" s="124"/>
      <c r="I594" s="124"/>
      <c r="J594" s="124"/>
      <c r="K594" s="124"/>
      <c r="L594" s="124"/>
      <c r="M594" s="124"/>
      <c r="N594" s="124"/>
      <c r="O594" s="124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</row>
    <row x14ac:dyDescent="0.25" r="595" customHeight="1" ht="15.75">
      <c r="A595" s="123"/>
      <c r="B595" s="123"/>
      <c r="C595" s="124"/>
      <c r="D595" s="124"/>
      <c r="E595" s="124"/>
      <c r="F595" s="124"/>
      <c r="G595" s="124"/>
      <c r="H595" s="124"/>
      <c r="I595" s="124"/>
      <c r="J595" s="124"/>
      <c r="K595" s="124"/>
      <c r="L595" s="124"/>
      <c r="M595" s="124"/>
      <c r="N595" s="124"/>
      <c r="O595" s="124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</row>
    <row x14ac:dyDescent="0.25" r="596" customHeight="1" ht="15.75">
      <c r="A596" s="123"/>
      <c r="B596" s="123"/>
      <c r="C596" s="124"/>
      <c r="D596" s="124"/>
      <c r="E596" s="124"/>
      <c r="F596" s="124"/>
      <c r="G596" s="124"/>
      <c r="H596" s="124"/>
      <c r="I596" s="124"/>
      <c r="J596" s="124"/>
      <c r="K596" s="124"/>
      <c r="L596" s="124"/>
      <c r="M596" s="124"/>
      <c r="N596" s="124"/>
      <c r="O596" s="124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</row>
    <row x14ac:dyDescent="0.25" r="597" customHeight="1" ht="15.75">
      <c r="A597" s="123"/>
      <c r="B597" s="123"/>
      <c r="C597" s="124"/>
      <c r="D597" s="124"/>
      <c r="E597" s="124"/>
      <c r="F597" s="124"/>
      <c r="G597" s="124"/>
      <c r="H597" s="124"/>
      <c r="I597" s="124"/>
      <c r="J597" s="124"/>
      <c r="K597" s="124"/>
      <c r="L597" s="124"/>
      <c r="M597" s="124"/>
      <c r="N597" s="124"/>
      <c r="O597" s="124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</row>
    <row x14ac:dyDescent="0.25" r="598" customHeight="1" ht="15.75">
      <c r="A598" s="123"/>
      <c r="B598" s="123"/>
      <c r="C598" s="124"/>
      <c r="D598" s="124"/>
      <c r="E598" s="124"/>
      <c r="F598" s="124"/>
      <c r="G598" s="124"/>
      <c r="H598" s="124"/>
      <c r="I598" s="124"/>
      <c r="J598" s="124"/>
      <c r="K598" s="124"/>
      <c r="L598" s="124"/>
      <c r="M598" s="124"/>
      <c r="N598" s="124"/>
      <c r="O598" s="124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</row>
    <row x14ac:dyDescent="0.25" r="599" customHeight="1" ht="15.75">
      <c r="A599" s="123"/>
      <c r="B599" s="123"/>
      <c r="C599" s="124"/>
      <c r="D599" s="124"/>
      <c r="E599" s="124"/>
      <c r="F599" s="124"/>
      <c r="G599" s="124"/>
      <c r="H599" s="124"/>
      <c r="I599" s="124"/>
      <c r="J599" s="124"/>
      <c r="K599" s="124"/>
      <c r="L599" s="124"/>
      <c r="M599" s="124"/>
      <c r="N599" s="124"/>
      <c r="O599" s="124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</row>
    <row x14ac:dyDescent="0.25" r="600" customHeight="1" ht="15.75">
      <c r="A600" s="123"/>
      <c r="B600" s="123"/>
      <c r="C600" s="124"/>
      <c r="D600" s="124"/>
      <c r="E600" s="124"/>
      <c r="F600" s="124"/>
      <c r="G600" s="124"/>
      <c r="H600" s="124"/>
      <c r="I600" s="124"/>
      <c r="J600" s="124"/>
      <c r="K600" s="124"/>
      <c r="L600" s="124"/>
      <c r="M600" s="124"/>
      <c r="N600" s="124"/>
      <c r="O600" s="124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</row>
    <row x14ac:dyDescent="0.25" r="601" customHeight="1" ht="15.75">
      <c r="A601" s="123"/>
      <c r="B601" s="123"/>
      <c r="C601" s="124"/>
      <c r="D601" s="124"/>
      <c r="E601" s="124"/>
      <c r="F601" s="124"/>
      <c r="G601" s="124"/>
      <c r="H601" s="124"/>
      <c r="I601" s="124"/>
      <c r="J601" s="124"/>
      <c r="K601" s="124"/>
      <c r="L601" s="124"/>
      <c r="M601" s="124"/>
      <c r="N601" s="124"/>
      <c r="O601" s="124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</row>
    <row x14ac:dyDescent="0.25" r="602" customHeight="1" ht="15.75">
      <c r="A602" s="123"/>
      <c r="B602" s="123"/>
      <c r="C602" s="124"/>
      <c r="D602" s="124"/>
      <c r="E602" s="124"/>
      <c r="F602" s="124"/>
      <c r="G602" s="124"/>
      <c r="H602" s="124"/>
      <c r="I602" s="124"/>
      <c r="J602" s="124"/>
      <c r="K602" s="124"/>
      <c r="L602" s="124"/>
      <c r="M602" s="124"/>
      <c r="N602" s="124"/>
      <c r="O602" s="124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</row>
    <row x14ac:dyDescent="0.25" r="603" customHeight="1" ht="15.75">
      <c r="A603" s="123"/>
      <c r="B603" s="123"/>
      <c r="C603" s="124"/>
      <c r="D603" s="124"/>
      <c r="E603" s="124"/>
      <c r="F603" s="124"/>
      <c r="G603" s="124"/>
      <c r="H603" s="124"/>
      <c r="I603" s="124"/>
      <c r="J603" s="124"/>
      <c r="K603" s="124"/>
      <c r="L603" s="124"/>
      <c r="M603" s="124"/>
      <c r="N603" s="124"/>
      <c r="O603" s="124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</row>
    <row x14ac:dyDescent="0.25" r="604" customHeight="1" ht="15.75">
      <c r="A604" s="123"/>
      <c r="B604" s="123"/>
      <c r="C604" s="124"/>
      <c r="D604" s="124"/>
      <c r="E604" s="124"/>
      <c r="F604" s="124"/>
      <c r="G604" s="124"/>
      <c r="H604" s="124"/>
      <c r="I604" s="124"/>
      <c r="J604" s="124"/>
      <c r="K604" s="124"/>
      <c r="L604" s="124"/>
      <c r="M604" s="124"/>
      <c r="N604" s="124"/>
      <c r="O604" s="124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</row>
    <row x14ac:dyDescent="0.25" r="605" customHeight="1" ht="15.75">
      <c r="A605" s="123"/>
      <c r="B605" s="123"/>
      <c r="C605" s="124"/>
      <c r="D605" s="124"/>
      <c r="E605" s="124"/>
      <c r="F605" s="124"/>
      <c r="G605" s="124"/>
      <c r="H605" s="124"/>
      <c r="I605" s="124"/>
      <c r="J605" s="124"/>
      <c r="K605" s="124"/>
      <c r="L605" s="124"/>
      <c r="M605" s="124"/>
      <c r="N605" s="124"/>
      <c r="O605" s="124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</row>
    <row x14ac:dyDescent="0.25" r="606" customHeight="1" ht="15.75">
      <c r="A606" s="123"/>
      <c r="B606" s="123"/>
      <c r="C606" s="124"/>
      <c r="D606" s="124"/>
      <c r="E606" s="124"/>
      <c r="F606" s="124"/>
      <c r="G606" s="124"/>
      <c r="H606" s="124"/>
      <c r="I606" s="124"/>
      <c r="J606" s="124"/>
      <c r="K606" s="124"/>
      <c r="L606" s="124"/>
      <c r="M606" s="124"/>
      <c r="N606" s="124"/>
      <c r="O606" s="124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</row>
    <row x14ac:dyDescent="0.25" r="607" customHeight="1" ht="15.75">
      <c r="A607" s="123"/>
      <c r="B607" s="123"/>
      <c r="C607" s="124"/>
      <c r="D607" s="124"/>
      <c r="E607" s="124"/>
      <c r="F607" s="124"/>
      <c r="G607" s="124"/>
      <c r="H607" s="124"/>
      <c r="I607" s="124"/>
      <c r="J607" s="124"/>
      <c r="K607" s="124"/>
      <c r="L607" s="124"/>
      <c r="M607" s="124"/>
      <c r="N607" s="124"/>
      <c r="O607" s="124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</row>
    <row x14ac:dyDescent="0.25" r="608" customHeight="1" ht="15.75">
      <c r="A608" s="123"/>
      <c r="B608" s="123"/>
      <c r="C608" s="124"/>
      <c r="D608" s="124"/>
      <c r="E608" s="124"/>
      <c r="F608" s="124"/>
      <c r="G608" s="124"/>
      <c r="H608" s="124"/>
      <c r="I608" s="124"/>
      <c r="J608" s="124"/>
      <c r="K608" s="124"/>
      <c r="L608" s="124"/>
      <c r="M608" s="124"/>
      <c r="N608" s="124"/>
      <c r="O608" s="124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</row>
    <row x14ac:dyDescent="0.25" r="609" customHeight="1" ht="15.75">
      <c r="A609" s="123"/>
      <c r="B609" s="123"/>
      <c r="C609" s="124"/>
      <c r="D609" s="124"/>
      <c r="E609" s="124"/>
      <c r="F609" s="124"/>
      <c r="G609" s="124"/>
      <c r="H609" s="124"/>
      <c r="I609" s="124"/>
      <c r="J609" s="124"/>
      <c r="K609" s="124"/>
      <c r="L609" s="124"/>
      <c r="M609" s="124"/>
      <c r="N609" s="124"/>
      <c r="O609" s="124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</row>
    <row x14ac:dyDescent="0.25" r="610" customHeight="1" ht="15.75">
      <c r="A610" s="123"/>
      <c r="B610" s="123"/>
      <c r="C610" s="124"/>
      <c r="D610" s="124"/>
      <c r="E610" s="124"/>
      <c r="F610" s="124"/>
      <c r="G610" s="124"/>
      <c r="H610" s="124"/>
      <c r="I610" s="124"/>
      <c r="J610" s="124"/>
      <c r="K610" s="124"/>
      <c r="L610" s="124"/>
      <c r="M610" s="124"/>
      <c r="N610" s="124"/>
      <c r="O610" s="124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</row>
    <row x14ac:dyDescent="0.25" r="611" customHeight="1" ht="15.75">
      <c r="A611" s="123"/>
      <c r="B611" s="123"/>
      <c r="C611" s="124"/>
      <c r="D611" s="124"/>
      <c r="E611" s="124"/>
      <c r="F611" s="124"/>
      <c r="G611" s="124"/>
      <c r="H611" s="124"/>
      <c r="I611" s="124"/>
      <c r="J611" s="124"/>
      <c r="K611" s="124"/>
      <c r="L611" s="124"/>
      <c r="M611" s="124"/>
      <c r="N611" s="124"/>
      <c r="O611" s="124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</row>
    <row x14ac:dyDescent="0.25" r="612" customHeight="1" ht="15.75">
      <c r="A612" s="123"/>
      <c r="B612" s="123"/>
      <c r="C612" s="124"/>
      <c r="D612" s="124"/>
      <c r="E612" s="124"/>
      <c r="F612" s="124"/>
      <c r="G612" s="124"/>
      <c r="H612" s="124"/>
      <c r="I612" s="124"/>
      <c r="J612" s="124"/>
      <c r="K612" s="124"/>
      <c r="L612" s="124"/>
      <c r="M612" s="124"/>
      <c r="N612" s="124"/>
      <c r="O612" s="124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</row>
    <row x14ac:dyDescent="0.25" r="613" customHeight="1" ht="15.75">
      <c r="A613" s="123"/>
      <c r="B613" s="123"/>
      <c r="C613" s="124"/>
      <c r="D613" s="124"/>
      <c r="E613" s="124"/>
      <c r="F613" s="124"/>
      <c r="G613" s="124"/>
      <c r="H613" s="124"/>
      <c r="I613" s="124"/>
      <c r="J613" s="124"/>
      <c r="K613" s="124"/>
      <c r="L613" s="124"/>
      <c r="M613" s="124"/>
      <c r="N613" s="124"/>
      <c r="O613" s="124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</row>
    <row x14ac:dyDescent="0.25" r="614" customHeight="1" ht="15.75">
      <c r="A614" s="123"/>
      <c r="B614" s="123"/>
      <c r="C614" s="124"/>
      <c r="D614" s="124"/>
      <c r="E614" s="124"/>
      <c r="F614" s="124"/>
      <c r="G614" s="124"/>
      <c r="H614" s="124"/>
      <c r="I614" s="124"/>
      <c r="J614" s="124"/>
      <c r="K614" s="124"/>
      <c r="L614" s="124"/>
      <c r="M614" s="124"/>
      <c r="N614" s="124"/>
      <c r="O614" s="124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</row>
    <row x14ac:dyDescent="0.25" r="615" customHeight="1" ht="15.75">
      <c r="A615" s="123"/>
      <c r="B615" s="123"/>
      <c r="C615" s="124"/>
      <c r="D615" s="124"/>
      <c r="E615" s="124"/>
      <c r="F615" s="124"/>
      <c r="G615" s="124"/>
      <c r="H615" s="124"/>
      <c r="I615" s="124"/>
      <c r="J615" s="124"/>
      <c r="K615" s="124"/>
      <c r="L615" s="124"/>
      <c r="M615" s="124"/>
      <c r="N615" s="124"/>
      <c r="O615" s="124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</row>
    <row x14ac:dyDescent="0.25" r="616" customHeight="1" ht="15.75">
      <c r="A616" s="123"/>
      <c r="B616" s="123"/>
      <c r="C616" s="124"/>
      <c r="D616" s="124"/>
      <c r="E616" s="124"/>
      <c r="F616" s="124"/>
      <c r="G616" s="124"/>
      <c r="H616" s="124"/>
      <c r="I616" s="124"/>
      <c r="J616" s="124"/>
      <c r="K616" s="124"/>
      <c r="L616" s="124"/>
      <c r="M616" s="124"/>
      <c r="N616" s="124"/>
      <c r="O616" s="124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</row>
    <row x14ac:dyDescent="0.25" r="617" customHeight="1" ht="15.75">
      <c r="A617" s="123"/>
      <c r="B617" s="123"/>
      <c r="C617" s="124"/>
      <c r="D617" s="124"/>
      <c r="E617" s="124"/>
      <c r="F617" s="124"/>
      <c r="G617" s="124"/>
      <c r="H617" s="124"/>
      <c r="I617" s="124"/>
      <c r="J617" s="124"/>
      <c r="K617" s="124"/>
      <c r="L617" s="124"/>
      <c r="M617" s="124"/>
      <c r="N617" s="124"/>
      <c r="O617" s="124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</row>
    <row x14ac:dyDescent="0.25" r="618" customHeight="1" ht="15.75">
      <c r="A618" s="123"/>
      <c r="B618" s="123"/>
      <c r="C618" s="124"/>
      <c r="D618" s="124"/>
      <c r="E618" s="124"/>
      <c r="F618" s="124"/>
      <c r="G618" s="124"/>
      <c r="H618" s="124"/>
      <c r="I618" s="124"/>
      <c r="J618" s="124"/>
      <c r="K618" s="124"/>
      <c r="L618" s="124"/>
      <c r="M618" s="124"/>
      <c r="N618" s="124"/>
      <c r="O618" s="124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</row>
    <row x14ac:dyDescent="0.25" r="619" customHeight="1" ht="15.75">
      <c r="A619" s="123"/>
      <c r="B619" s="123"/>
      <c r="C619" s="124"/>
      <c r="D619" s="124"/>
      <c r="E619" s="124"/>
      <c r="F619" s="124"/>
      <c r="G619" s="124"/>
      <c r="H619" s="124"/>
      <c r="I619" s="124"/>
      <c r="J619" s="124"/>
      <c r="K619" s="124"/>
      <c r="L619" s="124"/>
      <c r="M619" s="124"/>
      <c r="N619" s="124"/>
      <c r="O619" s="124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</row>
    <row x14ac:dyDescent="0.25" r="620" customHeight="1" ht="15.75">
      <c r="A620" s="123"/>
      <c r="B620" s="123"/>
      <c r="C620" s="124"/>
      <c r="D620" s="124"/>
      <c r="E620" s="124"/>
      <c r="F620" s="124"/>
      <c r="G620" s="124"/>
      <c r="H620" s="124"/>
      <c r="I620" s="124"/>
      <c r="J620" s="124"/>
      <c r="K620" s="124"/>
      <c r="L620" s="124"/>
      <c r="M620" s="124"/>
      <c r="N620" s="124"/>
      <c r="O620" s="124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</row>
    <row x14ac:dyDescent="0.25" r="621" customHeight="1" ht="15.75">
      <c r="A621" s="123"/>
      <c r="B621" s="123"/>
      <c r="C621" s="124"/>
      <c r="D621" s="124"/>
      <c r="E621" s="124"/>
      <c r="F621" s="124"/>
      <c r="G621" s="124"/>
      <c r="H621" s="124"/>
      <c r="I621" s="124"/>
      <c r="J621" s="124"/>
      <c r="K621" s="124"/>
      <c r="L621" s="124"/>
      <c r="M621" s="124"/>
      <c r="N621" s="124"/>
      <c r="O621" s="124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</row>
    <row x14ac:dyDescent="0.25" r="622" customHeight="1" ht="15.75">
      <c r="A622" s="123"/>
      <c r="B622" s="123"/>
      <c r="C622" s="124"/>
      <c r="D622" s="124"/>
      <c r="E622" s="124"/>
      <c r="F622" s="124"/>
      <c r="G622" s="124"/>
      <c r="H622" s="124"/>
      <c r="I622" s="124"/>
      <c r="J622" s="124"/>
      <c r="K622" s="124"/>
      <c r="L622" s="124"/>
      <c r="M622" s="124"/>
      <c r="N622" s="124"/>
      <c r="O622" s="124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</row>
    <row x14ac:dyDescent="0.25" r="623" customHeight="1" ht="15.75">
      <c r="A623" s="123"/>
      <c r="B623" s="123"/>
      <c r="C623" s="124"/>
      <c r="D623" s="124"/>
      <c r="E623" s="124"/>
      <c r="F623" s="124"/>
      <c r="G623" s="124"/>
      <c r="H623" s="124"/>
      <c r="I623" s="124"/>
      <c r="J623" s="124"/>
      <c r="K623" s="124"/>
      <c r="L623" s="124"/>
      <c r="M623" s="124"/>
      <c r="N623" s="124"/>
      <c r="O623" s="124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</row>
    <row x14ac:dyDescent="0.25" r="624" customHeight="1" ht="15.75">
      <c r="A624" s="123"/>
      <c r="B624" s="123"/>
      <c r="C624" s="124"/>
      <c r="D624" s="124"/>
      <c r="E624" s="124"/>
      <c r="F624" s="124"/>
      <c r="G624" s="124"/>
      <c r="H624" s="124"/>
      <c r="I624" s="124"/>
      <c r="J624" s="124"/>
      <c r="K624" s="124"/>
      <c r="L624" s="124"/>
      <c r="M624" s="124"/>
      <c r="N624" s="124"/>
      <c r="O624" s="124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</row>
    <row x14ac:dyDescent="0.25" r="625" customHeight="1" ht="15.75">
      <c r="A625" s="123"/>
      <c r="B625" s="123"/>
      <c r="C625" s="124"/>
      <c r="D625" s="124"/>
      <c r="E625" s="124"/>
      <c r="F625" s="124"/>
      <c r="G625" s="124"/>
      <c r="H625" s="124"/>
      <c r="I625" s="124"/>
      <c r="J625" s="124"/>
      <c r="K625" s="124"/>
      <c r="L625" s="124"/>
      <c r="M625" s="124"/>
      <c r="N625" s="124"/>
      <c r="O625" s="124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</row>
    <row x14ac:dyDescent="0.25" r="626" customHeight="1" ht="15.75">
      <c r="A626" s="123"/>
      <c r="B626" s="123"/>
      <c r="C626" s="124"/>
      <c r="D626" s="124"/>
      <c r="E626" s="124"/>
      <c r="F626" s="124"/>
      <c r="G626" s="124"/>
      <c r="H626" s="124"/>
      <c r="I626" s="124"/>
      <c r="J626" s="124"/>
      <c r="K626" s="124"/>
      <c r="L626" s="124"/>
      <c r="M626" s="124"/>
      <c r="N626" s="124"/>
      <c r="O626" s="124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</row>
    <row x14ac:dyDescent="0.25" r="627" customHeight="1" ht="15.75">
      <c r="A627" s="123"/>
      <c r="B627" s="123"/>
      <c r="C627" s="124"/>
      <c r="D627" s="124"/>
      <c r="E627" s="124"/>
      <c r="F627" s="124"/>
      <c r="G627" s="124"/>
      <c r="H627" s="124"/>
      <c r="I627" s="124"/>
      <c r="J627" s="124"/>
      <c r="K627" s="124"/>
      <c r="L627" s="124"/>
      <c r="M627" s="124"/>
      <c r="N627" s="124"/>
      <c r="O627" s="124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</row>
    <row x14ac:dyDescent="0.25" r="628" customHeight="1" ht="15.75">
      <c r="A628" s="123"/>
      <c r="B628" s="123"/>
      <c r="C628" s="124"/>
      <c r="D628" s="124"/>
      <c r="E628" s="124"/>
      <c r="F628" s="124"/>
      <c r="G628" s="124"/>
      <c r="H628" s="124"/>
      <c r="I628" s="124"/>
      <c r="J628" s="124"/>
      <c r="K628" s="124"/>
      <c r="L628" s="124"/>
      <c r="M628" s="124"/>
      <c r="N628" s="124"/>
      <c r="O628" s="124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</row>
    <row x14ac:dyDescent="0.25" r="629" customHeight="1" ht="15.75">
      <c r="A629" s="123"/>
      <c r="B629" s="123"/>
      <c r="C629" s="124"/>
      <c r="D629" s="124"/>
      <c r="E629" s="124"/>
      <c r="F629" s="124"/>
      <c r="G629" s="124"/>
      <c r="H629" s="124"/>
      <c r="I629" s="124"/>
      <c r="J629" s="124"/>
      <c r="K629" s="124"/>
      <c r="L629" s="124"/>
      <c r="M629" s="124"/>
      <c r="N629" s="124"/>
      <c r="O629" s="124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</row>
    <row x14ac:dyDescent="0.25" r="630" customHeight="1" ht="15.75">
      <c r="A630" s="123"/>
      <c r="B630" s="123"/>
      <c r="C630" s="124"/>
      <c r="D630" s="124"/>
      <c r="E630" s="124"/>
      <c r="F630" s="124"/>
      <c r="G630" s="124"/>
      <c r="H630" s="124"/>
      <c r="I630" s="124"/>
      <c r="J630" s="124"/>
      <c r="K630" s="124"/>
      <c r="L630" s="124"/>
      <c r="M630" s="124"/>
      <c r="N630" s="124"/>
      <c r="O630" s="124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</row>
    <row x14ac:dyDescent="0.25" r="631" customHeight="1" ht="15.75">
      <c r="A631" s="123"/>
      <c r="B631" s="123"/>
      <c r="C631" s="124"/>
      <c r="D631" s="124"/>
      <c r="E631" s="124"/>
      <c r="F631" s="124"/>
      <c r="G631" s="124"/>
      <c r="H631" s="124"/>
      <c r="I631" s="124"/>
      <c r="J631" s="124"/>
      <c r="K631" s="124"/>
      <c r="L631" s="124"/>
      <c r="M631" s="124"/>
      <c r="N631" s="124"/>
      <c r="O631" s="124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</row>
    <row x14ac:dyDescent="0.25" r="632" customHeight="1" ht="15.75">
      <c r="A632" s="123"/>
      <c r="B632" s="123"/>
      <c r="C632" s="124"/>
      <c r="D632" s="124"/>
      <c r="E632" s="124"/>
      <c r="F632" s="124"/>
      <c r="G632" s="124"/>
      <c r="H632" s="124"/>
      <c r="I632" s="124"/>
      <c r="J632" s="124"/>
      <c r="K632" s="124"/>
      <c r="L632" s="124"/>
      <c r="M632" s="124"/>
      <c r="N632" s="124"/>
      <c r="O632" s="124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</row>
    <row x14ac:dyDescent="0.25" r="633" customHeight="1" ht="15.75">
      <c r="A633" s="123"/>
      <c r="B633" s="123"/>
      <c r="C633" s="124"/>
      <c r="D633" s="124"/>
      <c r="E633" s="124"/>
      <c r="F633" s="124"/>
      <c r="G633" s="124"/>
      <c r="H633" s="124"/>
      <c r="I633" s="124"/>
      <c r="J633" s="124"/>
      <c r="K633" s="124"/>
      <c r="L633" s="124"/>
      <c r="M633" s="124"/>
      <c r="N633" s="124"/>
      <c r="O633" s="124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</row>
    <row x14ac:dyDescent="0.25" r="634" customHeight="1" ht="15.75">
      <c r="A634" s="123"/>
      <c r="B634" s="123"/>
      <c r="C634" s="124"/>
      <c r="D634" s="124"/>
      <c r="E634" s="124"/>
      <c r="F634" s="124"/>
      <c r="G634" s="124"/>
      <c r="H634" s="124"/>
      <c r="I634" s="124"/>
      <c r="J634" s="124"/>
      <c r="K634" s="124"/>
      <c r="L634" s="124"/>
      <c r="M634" s="124"/>
      <c r="N634" s="124"/>
      <c r="O634" s="124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</row>
    <row x14ac:dyDescent="0.25" r="635" customHeight="1" ht="15.75">
      <c r="A635" s="123"/>
      <c r="B635" s="123"/>
      <c r="C635" s="124"/>
      <c r="D635" s="124"/>
      <c r="E635" s="124"/>
      <c r="F635" s="124"/>
      <c r="G635" s="124"/>
      <c r="H635" s="124"/>
      <c r="I635" s="124"/>
      <c r="J635" s="124"/>
      <c r="K635" s="124"/>
      <c r="L635" s="124"/>
      <c r="M635" s="124"/>
      <c r="N635" s="124"/>
      <c r="O635" s="124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</row>
    <row x14ac:dyDescent="0.25" r="636" customHeight="1" ht="15.75">
      <c r="A636" s="123"/>
      <c r="B636" s="123"/>
      <c r="C636" s="124"/>
      <c r="D636" s="124"/>
      <c r="E636" s="124"/>
      <c r="F636" s="124"/>
      <c r="G636" s="124"/>
      <c r="H636" s="124"/>
      <c r="I636" s="124"/>
      <c r="J636" s="124"/>
      <c r="K636" s="124"/>
      <c r="L636" s="124"/>
      <c r="M636" s="124"/>
      <c r="N636" s="124"/>
      <c r="O636" s="124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</row>
    <row x14ac:dyDescent="0.25" r="637" customHeight="1" ht="15.75">
      <c r="A637" s="123"/>
      <c r="B637" s="123"/>
      <c r="C637" s="124"/>
      <c r="D637" s="124"/>
      <c r="E637" s="124"/>
      <c r="F637" s="124"/>
      <c r="G637" s="124"/>
      <c r="H637" s="124"/>
      <c r="I637" s="124"/>
      <c r="J637" s="124"/>
      <c r="K637" s="124"/>
      <c r="L637" s="124"/>
      <c r="M637" s="124"/>
      <c r="N637" s="124"/>
      <c r="O637" s="124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</row>
    <row x14ac:dyDescent="0.25" r="638" customHeight="1" ht="15.75">
      <c r="A638" s="123"/>
      <c r="B638" s="123"/>
      <c r="C638" s="124"/>
      <c r="D638" s="124"/>
      <c r="E638" s="124"/>
      <c r="F638" s="124"/>
      <c r="G638" s="124"/>
      <c r="H638" s="124"/>
      <c r="I638" s="124"/>
      <c r="J638" s="124"/>
      <c r="K638" s="124"/>
      <c r="L638" s="124"/>
      <c r="M638" s="124"/>
      <c r="N638" s="124"/>
      <c r="O638" s="124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</row>
    <row x14ac:dyDescent="0.25" r="639" customHeight="1" ht="15.75">
      <c r="A639" s="123"/>
      <c r="B639" s="123"/>
      <c r="C639" s="124"/>
      <c r="D639" s="124"/>
      <c r="E639" s="124"/>
      <c r="F639" s="124"/>
      <c r="G639" s="124"/>
      <c r="H639" s="124"/>
      <c r="I639" s="124"/>
      <c r="J639" s="124"/>
      <c r="K639" s="124"/>
      <c r="L639" s="124"/>
      <c r="M639" s="124"/>
      <c r="N639" s="124"/>
      <c r="O639" s="124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</row>
    <row x14ac:dyDescent="0.25" r="640" customHeight="1" ht="15.75">
      <c r="A640" s="123"/>
      <c r="B640" s="123"/>
      <c r="C640" s="124"/>
      <c r="D640" s="124"/>
      <c r="E640" s="124"/>
      <c r="F640" s="124"/>
      <c r="G640" s="124"/>
      <c r="H640" s="124"/>
      <c r="I640" s="124"/>
      <c r="J640" s="124"/>
      <c r="K640" s="124"/>
      <c r="L640" s="124"/>
      <c r="M640" s="124"/>
      <c r="N640" s="124"/>
      <c r="O640" s="124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</row>
    <row x14ac:dyDescent="0.25" r="641" customHeight="1" ht="15.75">
      <c r="A641" s="123"/>
      <c r="B641" s="123"/>
      <c r="C641" s="124"/>
      <c r="D641" s="124"/>
      <c r="E641" s="124"/>
      <c r="F641" s="124"/>
      <c r="G641" s="124"/>
      <c r="H641" s="124"/>
      <c r="I641" s="124"/>
      <c r="J641" s="124"/>
      <c r="K641" s="124"/>
      <c r="L641" s="124"/>
      <c r="M641" s="124"/>
      <c r="N641" s="124"/>
      <c r="O641" s="124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</row>
    <row x14ac:dyDescent="0.25" r="642" customHeight="1" ht="15.75">
      <c r="A642" s="123"/>
      <c r="B642" s="123"/>
      <c r="C642" s="124"/>
      <c r="D642" s="124"/>
      <c r="E642" s="124"/>
      <c r="F642" s="124"/>
      <c r="G642" s="124"/>
      <c r="H642" s="124"/>
      <c r="I642" s="124"/>
      <c r="J642" s="124"/>
      <c r="K642" s="124"/>
      <c r="L642" s="124"/>
      <c r="M642" s="124"/>
      <c r="N642" s="124"/>
      <c r="O642" s="124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</row>
    <row x14ac:dyDescent="0.25" r="643" customHeight="1" ht="15.75">
      <c r="A643" s="123"/>
      <c r="B643" s="123"/>
      <c r="C643" s="124"/>
      <c r="D643" s="124"/>
      <c r="E643" s="124"/>
      <c r="F643" s="124"/>
      <c r="G643" s="124"/>
      <c r="H643" s="124"/>
      <c r="I643" s="124"/>
      <c r="J643" s="124"/>
      <c r="K643" s="124"/>
      <c r="L643" s="124"/>
      <c r="M643" s="124"/>
      <c r="N643" s="124"/>
      <c r="O643" s="124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</row>
    <row x14ac:dyDescent="0.25" r="644" customHeight="1" ht="15.75">
      <c r="A644" s="123"/>
      <c r="B644" s="123"/>
      <c r="C644" s="124"/>
      <c r="D644" s="124"/>
      <c r="E644" s="124"/>
      <c r="F644" s="124"/>
      <c r="G644" s="124"/>
      <c r="H644" s="124"/>
      <c r="I644" s="124"/>
      <c r="J644" s="124"/>
      <c r="K644" s="124"/>
      <c r="L644" s="124"/>
      <c r="M644" s="124"/>
      <c r="N644" s="124"/>
      <c r="O644" s="124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</row>
    <row x14ac:dyDescent="0.25" r="645" customHeight="1" ht="15.75">
      <c r="A645" s="123"/>
      <c r="B645" s="123"/>
      <c r="C645" s="124"/>
      <c r="D645" s="124"/>
      <c r="E645" s="124"/>
      <c r="F645" s="124"/>
      <c r="G645" s="124"/>
      <c r="H645" s="124"/>
      <c r="I645" s="124"/>
      <c r="J645" s="124"/>
      <c r="K645" s="124"/>
      <c r="L645" s="124"/>
      <c r="M645" s="124"/>
      <c r="N645" s="124"/>
      <c r="O645" s="124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</row>
    <row x14ac:dyDescent="0.25" r="646" customHeight="1" ht="15.75">
      <c r="A646" s="123"/>
      <c r="B646" s="123"/>
      <c r="C646" s="124"/>
      <c r="D646" s="124"/>
      <c r="E646" s="124"/>
      <c r="F646" s="124"/>
      <c r="G646" s="124"/>
      <c r="H646" s="124"/>
      <c r="I646" s="124"/>
      <c r="J646" s="124"/>
      <c r="K646" s="124"/>
      <c r="L646" s="124"/>
      <c r="M646" s="124"/>
      <c r="N646" s="124"/>
      <c r="O646" s="124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</row>
    <row x14ac:dyDescent="0.25" r="647" customHeight="1" ht="15.75">
      <c r="A647" s="123"/>
      <c r="B647" s="123"/>
      <c r="C647" s="124"/>
      <c r="D647" s="124"/>
      <c r="E647" s="124"/>
      <c r="F647" s="124"/>
      <c r="G647" s="124"/>
      <c r="H647" s="124"/>
      <c r="I647" s="124"/>
      <c r="J647" s="124"/>
      <c r="K647" s="124"/>
      <c r="L647" s="124"/>
      <c r="M647" s="124"/>
      <c r="N647" s="124"/>
      <c r="O647" s="124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</row>
    <row x14ac:dyDescent="0.25" r="648" customHeight="1" ht="15.75">
      <c r="A648" s="123"/>
      <c r="B648" s="123"/>
      <c r="C648" s="124"/>
      <c r="D648" s="124"/>
      <c r="E648" s="124"/>
      <c r="F648" s="124"/>
      <c r="G648" s="124"/>
      <c r="H648" s="124"/>
      <c r="I648" s="124"/>
      <c r="J648" s="124"/>
      <c r="K648" s="124"/>
      <c r="L648" s="124"/>
      <c r="M648" s="124"/>
      <c r="N648" s="124"/>
      <c r="O648" s="124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</row>
    <row x14ac:dyDescent="0.25" r="649" customHeight="1" ht="15.75">
      <c r="A649" s="123"/>
      <c r="B649" s="123"/>
      <c r="C649" s="124"/>
      <c r="D649" s="124"/>
      <c r="E649" s="124"/>
      <c r="F649" s="124"/>
      <c r="G649" s="124"/>
      <c r="H649" s="124"/>
      <c r="I649" s="124"/>
      <c r="J649" s="124"/>
      <c r="K649" s="124"/>
      <c r="L649" s="124"/>
      <c r="M649" s="124"/>
      <c r="N649" s="124"/>
      <c r="O649" s="124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</row>
    <row x14ac:dyDescent="0.25" r="650" customHeight="1" ht="15.75">
      <c r="A650" s="123"/>
      <c r="B650" s="123"/>
      <c r="C650" s="124"/>
      <c r="D650" s="124"/>
      <c r="E650" s="124"/>
      <c r="F650" s="124"/>
      <c r="G650" s="124"/>
      <c r="H650" s="124"/>
      <c r="I650" s="124"/>
      <c r="J650" s="124"/>
      <c r="K650" s="124"/>
      <c r="L650" s="124"/>
      <c r="M650" s="124"/>
      <c r="N650" s="124"/>
      <c r="O650" s="124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</row>
    <row x14ac:dyDescent="0.25" r="651" customHeight="1" ht="15.75">
      <c r="A651" s="123"/>
      <c r="B651" s="123"/>
      <c r="C651" s="124"/>
      <c r="D651" s="124"/>
      <c r="E651" s="124"/>
      <c r="F651" s="124"/>
      <c r="G651" s="124"/>
      <c r="H651" s="124"/>
      <c r="I651" s="124"/>
      <c r="J651" s="124"/>
      <c r="K651" s="124"/>
      <c r="L651" s="124"/>
      <c r="M651" s="124"/>
      <c r="N651" s="124"/>
      <c r="O651" s="124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</row>
    <row x14ac:dyDescent="0.25" r="652" customHeight="1" ht="15.75">
      <c r="A652" s="123"/>
      <c r="B652" s="123"/>
      <c r="C652" s="124"/>
      <c r="D652" s="124"/>
      <c r="E652" s="124"/>
      <c r="F652" s="124"/>
      <c r="G652" s="124"/>
      <c r="H652" s="124"/>
      <c r="I652" s="124"/>
      <c r="J652" s="124"/>
      <c r="K652" s="124"/>
      <c r="L652" s="124"/>
      <c r="M652" s="124"/>
      <c r="N652" s="124"/>
      <c r="O652" s="124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</row>
    <row x14ac:dyDescent="0.25" r="653" customHeight="1" ht="15.75">
      <c r="A653" s="123"/>
      <c r="B653" s="123"/>
      <c r="C653" s="124"/>
      <c r="D653" s="124"/>
      <c r="E653" s="124"/>
      <c r="F653" s="124"/>
      <c r="G653" s="124"/>
      <c r="H653" s="124"/>
      <c r="I653" s="124"/>
      <c r="J653" s="124"/>
      <c r="K653" s="124"/>
      <c r="L653" s="124"/>
      <c r="M653" s="124"/>
      <c r="N653" s="124"/>
      <c r="O653" s="124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</row>
    <row x14ac:dyDescent="0.25" r="654" customHeight="1" ht="15.75">
      <c r="A654" s="123"/>
      <c r="B654" s="123"/>
      <c r="C654" s="124"/>
      <c r="D654" s="124"/>
      <c r="E654" s="124"/>
      <c r="F654" s="124"/>
      <c r="G654" s="124"/>
      <c r="H654" s="124"/>
      <c r="I654" s="124"/>
      <c r="J654" s="124"/>
      <c r="K654" s="124"/>
      <c r="L654" s="124"/>
      <c r="M654" s="124"/>
      <c r="N654" s="124"/>
      <c r="O654" s="124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</row>
    <row x14ac:dyDescent="0.25" r="655" customHeight="1" ht="15.75">
      <c r="A655" s="123"/>
      <c r="B655" s="123"/>
      <c r="C655" s="124"/>
      <c r="D655" s="124"/>
      <c r="E655" s="124"/>
      <c r="F655" s="124"/>
      <c r="G655" s="124"/>
      <c r="H655" s="124"/>
      <c r="I655" s="124"/>
      <c r="J655" s="124"/>
      <c r="K655" s="124"/>
      <c r="L655" s="124"/>
      <c r="M655" s="124"/>
      <c r="N655" s="124"/>
      <c r="O655" s="124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</row>
    <row x14ac:dyDescent="0.25" r="656" customHeight="1" ht="15.75">
      <c r="A656" s="123"/>
      <c r="B656" s="123"/>
      <c r="C656" s="124"/>
      <c r="D656" s="124"/>
      <c r="E656" s="124"/>
      <c r="F656" s="124"/>
      <c r="G656" s="124"/>
      <c r="H656" s="124"/>
      <c r="I656" s="124"/>
      <c r="J656" s="124"/>
      <c r="K656" s="124"/>
      <c r="L656" s="124"/>
      <c r="M656" s="124"/>
      <c r="N656" s="124"/>
      <c r="O656" s="124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</row>
    <row x14ac:dyDescent="0.25" r="657" customHeight="1" ht="15.75">
      <c r="A657" s="123"/>
      <c r="B657" s="123"/>
      <c r="C657" s="124"/>
      <c r="D657" s="124"/>
      <c r="E657" s="124"/>
      <c r="F657" s="124"/>
      <c r="G657" s="124"/>
      <c r="H657" s="124"/>
      <c r="I657" s="124"/>
      <c r="J657" s="124"/>
      <c r="K657" s="124"/>
      <c r="L657" s="124"/>
      <c r="M657" s="124"/>
      <c r="N657" s="124"/>
      <c r="O657" s="124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</row>
    <row x14ac:dyDescent="0.25" r="658" customHeight="1" ht="15.75">
      <c r="A658" s="123"/>
      <c r="B658" s="123"/>
      <c r="C658" s="124"/>
      <c r="D658" s="124"/>
      <c r="E658" s="124"/>
      <c r="F658" s="124"/>
      <c r="G658" s="124"/>
      <c r="H658" s="124"/>
      <c r="I658" s="124"/>
      <c r="J658" s="124"/>
      <c r="K658" s="124"/>
      <c r="L658" s="124"/>
      <c r="M658" s="124"/>
      <c r="N658" s="124"/>
      <c r="O658" s="124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</row>
    <row x14ac:dyDescent="0.25" r="659" customHeight="1" ht="15.75">
      <c r="A659" s="123"/>
      <c r="B659" s="123"/>
      <c r="C659" s="124"/>
      <c r="D659" s="124"/>
      <c r="E659" s="124"/>
      <c r="F659" s="124"/>
      <c r="G659" s="124"/>
      <c r="H659" s="124"/>
      <c r="I659" s="124"/>
      <c r="J659" s="124"/>
      <c r="K659" s="124"/>
      <c r="L659" s="124"/>
      <c r="M659" s="124"/>
      <c r="N659" s="124"/>
      <c r="O659" s="124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</row>
    <row x14ac:dyDescent="0.25" r="660" customHeight="1" ht="15.75">
      <c r="A660" s="123"/>
      <c r="B660" s="123"/>
      <c r="C660" s="124"/>
      <c r="D660" s="124"/>
      <c r="E660" s="124"/>
      <c r="F660" s="124"/>
      <c r="G660" s="124"/>
      <c r="H660" s="124"/>
      <c r="I660" s="124"/>
      <c r="J660" s="124"/>
      <c r="K660" s="124"/>
      <c r="L660" s="124"/>
      <c r="M660" s="124"/>
      <c r="N660" s="124"/>
      <c r="O660" s="124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</row>
    <row x14ac:dyDescent="0.25" r="661" customHeight="1" ht="15.75">
      <c r="A661" s="123"/>
      <c r="B661" s="123"/>
      <c r="C661" s="124"/>
      <c r="D661" s="124"/>
      <c r="E661" s="124"/>
      <c r="F661" s="124"/>
      <c r="G661" s="124"/>
      <c r="H661" s="124"/>
      <c r="I661" s="124"/>
      <c r="J661" s="124"/>
      <c r="K661" s="124"/>
      <c r="L661" s="124"/>
      <c r="M661" s="124"/>
      <c r="N661" s="124"/>
      <c r="O661" s="124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</row>
    <row x14ac:dyDescent="0.25" r="662" customHeight="1" ht="15.75">
      <c r="A662" s="123"/>
      <c r="B662" s="123"/>
      <c r="C662" s="124"/>
      <c r="D662" s="124"/>
      <c r="E662" s="124"/>
      <c r="F662" s="124"/>
      <c r="G662" s="124"/>
      <c r="H662" s="124"/>
      <c r="I662" s="124"/>
      <c r="J662" s="124"/>
      <c r="K662" s="124"/>
      <c r="L662" s="124"/>
      <c r="M662" s="124"/>
      <c r="N662" s="124"/>
      <c r="O662" s="124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</row>
    <row x14ac:dyDescent="0.25" r="663" customHeight="1" ht="15.75">
      <c r="A663" s="123"/>
      <c r="B663" s="123"/>
      <c r="C663" s="124"/>
      <c r="D663" s="124"/>
      <c r="E663" s="124"/>
      <c r="F663" s="124"/>
      <c r="G663" s="124"/>
      <c r="H663" s="124"/>
      <c r="I663" s="124"/>
      <c r="J663" s="124"/>
      <c r="K663" s="124"/>
      <c r="L663" s="124"/>
      <c r="M663" s="124"/>
      <c r="N663" s="124"/>
      <c r="O663" s="124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</row>
    <row x14ac:dyDescent="0.25" r="664" customHeight="1" ht="15.75">
      <c r="A664" s="123"/>
      <c r="B664" s="123"/>
      <c r="C664" s="124"/>
      <c r="D664" s="124"/>
      <c r="E664" s="124"/>
      <c r="F664" s="124"/>
      <c r="G664" s="124"/>
      <c r="H664" s="124"/>
      <c r="I664" s="124"/>
      <c r="J664" s="124"/>
      <c r="K664" s="124"/>
      <c r="L664" s="124"/>
      <c r="M664" s="124"/>
      <c r="N664" s="124"/>
      <c r="O664" s="124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</row>
    <row x14ac:dyDescent="0.25" r="665" customHeight="1" ht="15.75">
      <c r="A665" s="123"/>
      <c r="B665" s="123"/>
      <c r="C665" s="124"/>
      <c r="D665" s="124"/>
      <c r="E665" s="124"/>
      <c r="F665" s="124"/>
      <c r="G665" s="124"/>
      <c r="H665" s="124"/>
      <c r="I665" s="124"/>
      <c r="J665" s="124"/>
      <c r="K665" s="124"/>
      <c r="L665" s="124"/>
      <c r="M665" s="124"/>
      <c r="N665" s="124"/>
      <c r="O665" s="124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</row>
    <row x14ac:dyDescent="0.25" r="666" customHeight="1" ht="15.75">
      <c r="A666" s="123"/>
      <c r="B666" s="123"/>
      <c r="C666" s="124"/>
      <c r="D666" s="124"/>
      <c r="E666" s="124"/>
      <c r="F666" s="124"/>
      <c r="G666" s="124"/>
      <c r="H666" s="124"/>
      <c r="I666" s="124"/>
      <c r="J666" s="124"/>
      <c r="K666" s="124"/>
      <c r="L666" s="124"/>
      <c r="M666" s="124"/>
      <c r="N666" s="124"/>
      <c r="O666" s="124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</row>
    <row x14ac:dyDescent="0.25" r="667" customHeight="1" ht="15.75">
      <c r="A667" s="123"/>
      <c r="B667" s="123"/>
      <c r="C667" s="124"/>
      <c r="D667" s="124"/>
      <c r="E667" s="124"/>
      <c r="F667" s="124"/>
      <c r="G667" s="124"/>
      <c r="H667" s="124"/>
      <c r="I667" s="124"/>
      <c r="J667" s="124"/>
      <c r="K667" s="124"/>
      <c r="L667" s="124"/>
      <c r="M667" s="124"/>
      <c r="N667" s="124"/>
      <c r="O667" s="124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</row>
    <row x14ac:dyDescent="0.25" r="668" customHeight="1" ht="15.75">
      <c r="A668" s="123"/>
      <c r="B668" s="123"/>
      <c r="C668" s="124"/>
      <c r="D668" s="124"/>
      <c r="E668" s="124"/>
      <c r="F668" s="124"/>
      <c r="G668" s="124"/>
      <c r="H668" s="124"/>
      <c r="I668" s="124"/>
      <c r="J668" s="124"/>
      <c r="K668" s="124"/>
      <c r="L668" s="124"/>
      <c r="M668" s="124"/>
      <c r="N668" s="124"/>
      <c r="O668" s="124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</row>
    <row x14ac:dyDescent="0.25" r="669" customHeight="1" ht="15.75">
      <c r="A669" s="123"/>
      <c r="B669" s="123"/>
      <c r="C669" s="124"/>
      <c r="D669" s="124"/>
      <c r="E669" s="124"/>
      <c r="F669" s="124"/>
      <c r="G669" s="124"/>
      <c r="H669" s="124"/>
      <c r="I669" s="124"/>
      <c r="J669" s="124"/>
      <c r="K669" s="124"/>
      <c r="L669" s="124"/>
      <c r="M669" s="124"/>
      <c r="N669" s="124"/>
      <c r="O669" s="124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</row>
    <row x14ac:dyDescent="0.25" r="670" customHeight="1" ht="15.75">
      <c r="A670" s="123"/>
      <c r="B670" s="123"/>
      <c r="C670" s="124"/>
      <c r="D670" s="124"/>
      <c r="E670" s="124"/>
      <c r="F670" s="124"/>
      <c r="G670" s="124"/>
      <c r="H670" s="124"/>
      <c r="I670" s="124"/>
      <c r="J670" s="124"/>
      <c r="K670" s="124"/>
      <c r="L670" s="124"/>
      <c r="M670" s="124"/>
      <c r="N670" s="124"/>
      <c r="O670" s="124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</row>
    <row x14ac:dyDescent="0.25" r="671" customHeight="1" ht="15.75">
      <c r="A671" s="123"/>
      <c r="B671" s="123"/>
      <c r="C671" s="124"/>
      <c r="D671" s="124"/>
      <c r="E671" s="124"/>
      <c r="F671" s="124"/>
      <c r="G671" s="124"/>
      <c r="H671" s="124"/>
      <c r="I671" s="124"/>
      <c r="J671" s="124"/>
      <c r="K671" s="124"/>
      <c r="L671" s="124"/>
      <c r="M671" s="124"/>
      <c r="N671" s="124"/>
      <c r="O671" s="124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</row>
    <row x14ac:dyDescent="0.25" r="672" customHeight="1" ht="15.75">
      <c r="A672" s="123"/>
      <c r="B672" s="123"/>
      <c r="C672" s="124"/>
      <c r="D672" s="124"/>
      <c r="E672" s="124"/>
      <c r="F672" s="124"/>
      <c r="G672" s="124"/>
      <c r="H672" s="124"/>
      <c r="I672" s="124"/>
      <c r="J672" s="124"/>
      <c r="K672" s="124"/>
      <c r="L672" s="124"/>
      <c r="M672" s="124"/>
      <c r="N672" s="124"/>
      <c r="O672" s="124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</row>
    <row x14ac:dyDescent="0.25" r="673" customHeight="1" ht="15.75">
      <c r="A673" s="123"/>
      <c r="B673" s="123"/>
      <c r="C673" s="124"/>
      <c r="D673" s="124"/>
      <c r="E673" s="124"/>
      <c r="F673" s="124"/>
      <c r="G673" s="124"/>
      <c r="H673" s="124"/>
      <c r="I673" s="124"/>
      <c r="J673" s="124"/>
      <c r="K673" s="124"/>
      <c r="L673" s="124"/>
      <c r="M673" s="124"/>
      <c r="N673" s="124"/>
      <c r="O673" s="124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</row>
    <row x14ac:dyDescent="0.25" r="674" customHeight="1" ht="15.75">
      <c r="A674" s="123"/>
      <c r="B674" s="123"/>
      <c r="C674" s="124"/>
      <c r="D674" s="124"/>
      <c r="E674" s="124"/>
      <c r="F674" s="124"/>
      <c r="G674" s="124"/>
      <c r="H674" s="124"/>
      <c r="I674" s="124"/>
      <c r="J674" s="124"/>
      <c r="K674" s="124"/>
      <c r="L674" s="124"/>
      <c r="M674" s="124"/>
      <c r="N674" s="124"/>
      <c r="O674" s="124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</row>
    <row x14ac:dyDescent="0.25" r="675" customHeight="1" ht="15.75">
      <c r="A675" s="123"/>
      <c r="B675" s="123"/>
      <c r="C675" s="124"/>
      <c r="D675" s="124"/>
      <c r="E675" s="124"/>
      <c r="F675" s="124"/>
      <c r="G675" s="124"/>
      <c r="H675" s="124"/>
      <c r="I675" s="124"/>
      <c r="J675" s="124"/>
      <c r="K675" s="124"/>
      <c r="L675" s="124"/>
      <c r="M675" s="124"/>
      <c r="N675" s="124"/>
      <c r="O675" s="124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</row>
    <row x14ac:dyDescent="0.25" r="676" customHeight="1" ht="15.75">
      <c r="A676" s="123"/>
      <c r="B676" s="123"/>
      <c r="C676" s="124"/>
      <c r="D676" s="124"/>
      <c r="E676" s="124"/>
      <c r="F676" s="124"/>
      <c r="G676" s="124"/>
      <c r="H676" s="124"/>
      <c r="I676" s="124"/>
      <c r="J676" s="124"/>
      <c r="K676" s="124"/>
      <c r="L676" s="124"/>
      <c r="M676" s="124"/>
      <c r="N676" s="124"/>
      <c r="O676" s="124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</row>
    <row x14ac:dyDescent="0.25" r="677" customHeight="1" ht="15.75">
      <c r="A677" s="123"/>
      <c r="B677" s="123"/>
      <c r="C677" s="124"/>
      <c r="D677" s="124"/>
      <c r="E677" s="124"/>
      <c r="F677" s="124"/>
      <c r="G677" s="124"/>
      <c r="H677" s="124"/>
      <c r="I677" s="124"/>
      <c r="J677" s="124"/>
      <c r="K677" s="124"/>
      <c r="L677" s="124"/>
      <c r="M677" s="124"/>
      <c r="N677" s="124"/>
      <c r="O677" s="124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</row>
    <row x14ac:dyDescent="0.25" r="678" customHeight="1" ht="15.75">
      <c r="A678" s="123"/>
      <c r="B678" s="123"/>
      <c r="C678" s="124"/>
      <c r="D678" s="124"/>
      <c r="E678" s="124"/>
      <c r="F678" s="124"/>
      <c r="G678" s="124"/>
      <c r="H678" s="124"/>
      <c r="I678" s="124"/>
      <c r="J678" s="124"/>
      <c r="K678" s="124"/>
      <c r="L678" s="124"/>
      <c r="M678" s="124"/>
      <c r="N678" s="124"/>
      <c r="O678" s="124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</row>
    <row x14ac:dyDescent="0.25" r="679" customHeight="1" ht="15.75">
      <c r="A679" s="123"/>
      <c r="B679" s="123"/>
      <c r="C679" s="124"/>
      <c r="D679" s="124"/>
      <c r="E679" s="124"/>
      <c r="F679" s="124"/>
      <c r="G679" s="124"/>
      <c r="H679" s="124"/>
      <c r="I679" s="124"/>
      <c r="J679" s="124"/>
      <c r="K679" s="124"/>
      <c r="L679" s="124"/>
      <c r="M679" s="124"/>
      <c r="N679" s="124"/>
      <c r="O679" s="124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</row>
    <row x14ac:dyDescent="0.25" r="680" customHeight="1" ht="15.75">
      <c r="A680" s="123"/>
      <c r="B680" s="123"/>
      <c r="C680" s="124"/>
      <c r="D680" s="124"/>
      <c r="E680" s="124"/>
      <c r="F680" s="124"/>
      <c r="G680" s="124"/>
      <c r="H680" s="124"/>
      <c r="I680" s="124"/>
      <c r="J680" s="124"/>
      <c r="K680" s="124"/>
      <c r="L680" s="124"/>
      <c r="M680" s="124"/>
      <c r="N680" s="124"/>
      <c r="O680" s="124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</row>
    <row x14ac:dyDescent="0.25" r="681" customHeight="1" ht="15.75">
      <c r="A681" s="123"/>
      <c r="B681" s="123"/>
      <c r="C681" s="124"/>
      <c r="D681" s="124"/>
      <c r="E681" s="124"/>
      <c r="F681" s="124"/>
      <c r="G681" s="124"/>
      <c r="H681" s="124"/>
      <c r="I681" s="124"/>
      <c r="J681" s="124"/>
      <c r="K681" s="124"/>
      <c r="L681" s="124"/>
      <c r="M681" s="124"/>
      <c r="N681" s="124"/>
      <c r="O681" s="124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</row>
    <row x14ac:dyDescent="0.25" r="682" customHeight="1" ht="15.75">
      <c r="A682" s="123"/>
      <c r="B682" s="123"/>
      <c r="C682" s="124"/>
      <c r="D682" s="124"/>
      <c r="E682" s="124"/>
      <c r="F682" s="124"/>
      <c r="G682" s="124"/>
      <c r="H682" s="124"/>
      <c r="I682" s="124"/>
      <c r="J682" s="124"/>
      <c r="K682" s="124"/>
      <c r="L682" s="124"/>
      <c r="M682" s="124"/>
      <c r="N682" s="124"/>
      <c r="O682" s="124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</row>
    <row x14ac:dyDescent="0.25" r="683" customHeight="1" ht="15.75">
      <c r="A683" s="123"/>
      <c r="B683" s="123"/>
      <c r="C683" s="124"/>
      <c r="D683" s="124"/>
      <c r="E683" s="124"/>
      <c r="F683" s="124"/>
      <c r="G683" s="124"/>
      <c r="H683" s="124"/>
      <c r="I683" s="124"/>
      <c r="J683" s="124"/>
      <c r="K683" s="124"/>
      <c r="L683" s="124"/>
      <c r="M683" s="124"/>
      <c r="N683" s="124"/>
      <c r="O683" s="124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</row>
    <row x14ac:dyDescent="0.25" r="684" customHeight="1" ht="15.75">
      <c r="A684" s="123"/>
      <c r="B684" s="123"/>
      <c r="C684" s="124"/>
      <c r="D684" s="124"/>
      <c r="E684" s="124"/>
      <c r="F684" s="124"/>
      <c r="G684" s="124"/>
      <c r="H684" s="124"/>
      <c r="I684" s="124"/>
      <c r="J684" s="124"/>
      <c r="K684" s="124"/>
      <c r="L684" s="124"/>
      <c r="M684" s="124"/>
      <c r="N684" s="124"/>
      <c r="O684" s="124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</row>
    <row x14ac:dyDescent="0.25" r="685" customHeight="1" ht="15.75">
      <c r="A685" s="123"/>
      <c r="B685" s="123"/>
      <c r="C685" s="124"/>
      <c r="D685" s="124"/>
      <c r="E685" s="124"/>
      <c r="F685" s="124"/>
      <c r="G685" s="124"/>
      <c r="H685" s="124"/>
      <c r="I685" s="124"/>
      <c r="J685" s="124"/>
      <c r="K685" s="124"/>
      <c r="L685" s="124"/>
      <c r="M685" s="124"/>
      <c r="N685" s="124"/>
      <c r="O685" s="124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</row>
    <row x14ac:dyDescent="0.25" r="686" customHeight="1" ht="15.75">
      <c r="A686" s="123"/>
      <c r="B686" s="123"/>
      <c r="C686" s="124"/>
      <c r="D686" s="124"/>
      <c r="E686" s="124"/>
      <c r="F686" s="124"/>
      <c r="G686" s="124"/>
      <c r="H686" s="124"/>
      <c r="I686" s="124"/>
      <c r="J686" s="124"/>
      <c r="K686" s="124"/>
      <c r="L686" s="124"/>
      <c r="M686" s="124"/>
      <c r="N686" s="124"/>
      <c r="O686" s="124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</row>
    <row x14ac:dyDescent="0.25" r="687" customHeight="1" ht="15.75">
      <c r="A687" s="123"/>
      <c r="B687" s="123"/>
      <c r="C687" s="124"/>
      <c r="D687" s="124"/>
      <c r="E687" s="124"/>
      <c r="F687" s="124"/>
      <c r="G687" s="124"/>
      <c r="H687" s="124"/>
      <c r="I687" s="124"/>
      <c r="J687" s="124"/>
      <c r="K687" s="124"/>
      <c r="L687" s="124"/>
      <c r="M687" s="124"/>
      <c r="N687" s="124"/>
      <c r="O687" s="124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</row>
    <row x14ac:dyDescent="0.25" r="688" customHeight="1" ht="15.75">
      <c r="A688" s="123"/>
      <c r="B688" s="123"/>
      <c r="C688" s="124"/>
      <c r="D688" s="124"/>
      <c r="E688" s="124"/>
      <c r="F688" s="124"/>
      <c r="G688" s="124"/>
      <c r="H688" s="124"/>
      <c r="I688" s="124"/>
      <c r="J688" s="124"/>
      <c r="K688" s="124"/>
      <c r="L688" s="124"/>
      <c r="M688" s="124"/>
      <c r="N688" s="124"/>
      <c r="O688" s="124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</row>
    <row x14ac:dyDescent="0.25" r="689" customHeight="1" ht="15.75">
      <c r="A689" s="123"/>
      <c r="B689" s="123"/>
      <c r="C689" s="124"/>
      <c r="D689" s="124"/>
      <c r="E689" s="124"/>
      <c r="F689" s="124"/>
      <c r="G689" s="124"/>
      <c r="H689" s="124"/>
      <c r="I689" s="124"/>
      <c r="J689" s="124"/>
      <c r="K689" s="124"/>
      <c r="L689" s="124"/>
      <c r="M689" s="124"/>
      <c r="N689" s="124"/>
      <c r="O689" s="124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</row>
    <row x14ac:dyDescent="0.25" r="690" customHeight="1" ht="15.75">
      <c r="A690" s="123"/>
      <c r="B690" s="123"/>
      <c r="C690" s="124"/>
      <c r="D690" s="124"/>
      <c r="E690" s="124"/>
      <c r="F690" s="124"/>
      <c r="G690" s="124"/>
      <c r="H690" s="124"/>
      <c r="I690" s="124"/>
      <c r="J690" s="124"/>
      <c r="K690" s="124"/>
      <c r="L690" s="124"/>
      <c r="M690" s="124"/>
      <c r="N690" s="124"/>
      <c r="O690" s="124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</row>
    <row x14ac:dyDescent="0.25" r="691" customHeight="1" ht="15.75">
      <c r="A691" s="123"/>
      <c r="B691" s="123"/>
      <c r="C691" s="124"/>
      <c r="D691" s="124"/>
      <c r="E691" s="124"/>
      <c r="F691" s="124"/>
      <c r="G691" s="124"/>
      <c r="H691" s="124"/>
      <c r="I691" s="124"/>
      <c r="J691" s="124"/>
      <c r="K691" s="124"/>
      <c r="L691" s="124"/>
      <c r="M691" s="124"/>
      <c r="N691" s="124"/>
      <c r="O691" s="124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</row>
    <row x14ac:dyDescent="0.25" r="692" customHeight="1" ht="15.75">
      <c r="A692" s="123"/>
      <c r="B692" s="123"/>
      <c r="C692" s="124"/>
      <c r="D692" s="124"/>
      <c r="E692" s="124"/>
      <c r="F692" s="124"/>
      <c r="G692" s="124"/>
      <c r="H692" s="124"/>
      <c r="I692" s="124"/>
      <c r="J692" s="124"/>
      <c r="K692" s="124"/>
      <c r="L692" s="124"/>
      <c r="M692" s="124"/>
      <c r="N692" s="124"/>
      <c r="O692" s="124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</row>
    <row x14ac:dyDescent="0.25" r="693" customHeight="1" ht="15.75">
      <c r="A693" s="123"/>
      <c r="B693" s="123"/>
      <c r="C693" s="124"/>
      <c r="D693" s="124"/>
      <c r="E693" s="124"/>
      <c r="F693" s="124"/>
      <c r="G693" s="124"/>
      <c r="H693" s="124"/>
      <c r="I693" s="124"/>
      <c r="J693" s="124"/>
      <c r="K693" s="124"/>
      <c r="L693" s="124"/>
      <c r="M693" s="124"/>
      <c r="N693" s="124"/>
      <c r="O693" s="124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</row>
    <row x14ac:dyDescent="0.25" r="694" customHeight="1" ht="15.75">
      <c r="A694" s="123"/>
      <c r="B694" s="123"/>
      <c r="C694" s="124"/>
      <c r="D694" s="124"/>
      <c r="E694" s="124"/>
      <c r="F694" s="124"/>
      <c r="G694" s="124"/>
      <c r="H694" s="124"/>
      <c r="I694" s="124"/>
      <c r="J694" s="124"/>
      <c r="K694" s="124"/>
      <c r="L694" s="124"/>
      <c r="M694" s="124"/>
      <c r="N694" s="124"/>
      <c r="O694" s="124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</row>
    <row x14ac:dyDescent="0.25" r="695" customHeight="1" ht="15.75">
      <c r="A695" s="123"/>
      <c r="B695" s="123"/>
      <c r="C695" s="124"/>
      <c r="D695" s="124"/>
      <c r="E695" s="124"/>
      <c r="F695" s="124"/>
      <c r="G695" s="124"/>
      <c r="H695" s="124"/>
      <c r="I695" s="124"/>
      <c r="J695" s="124"/>
      <c r="K695" s="124"/>
      <c r="L695" s="124"/>
      <c r="M695" s="124"/>
      <c r="N695" s="124"/>
      <c r="O695" s="124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</row>
    <row x14ac:dyDescent="0.25" r="696" customHeight="1" ht="15.75">
      <c r="A696" s="123"/>
      <c r="B696" s="123"/>
      <c r="C696" s="124"/>
      <c r="D696" s="124"/>
      <c r="E696" s="124"/>
      <c r="F696" s="124"/>
      <c r="G696" s="124"/>
      <c r="H696" s="124"/>
      <c r="I696" s="124"/>
      <c r="J696" s="124"/>
      <c r="K696" s="124"/>
      <c r="L696" s="124"/>
      <c r="M696" s="124"/>
      <c r="N696" s="124"/>
      <c r="O696" s="124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</row>
    <row x14ac:dyDescent="0.25" r="697" customHeight="1" ht="15.75">
      <c r="A697" s="123"/>
      <c r="B697" s="123"/>
      <c r="C697" s="124"/>
      <c r="D697" s="124"/>
      <c r="E697" s="124"/>
      <c r="F697" s="124"/>
      <c r="G697" s="124"/>
      <c r="H697" s="124"/>
      <c r="I697" s="124"/>
      <c r="J697" s="124"/>
      <c r="K697" s="124"/>
      <c r="L697" s="124"/>
      <c r="M697" s="124"/>
      <c r="N697" s="124"/>
      <c r="O697" s="124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</row>
    <row x14ac:dyDescent="0.25" r="698" customHeight="1" ht="15.75">
      <c r="A698" s="123"/>
      <c r="B698" s="123"/>
      <c r="C698" s="124"/>
      <c r="D698" s="124"/>
      <c r="E698" s="124"/>
      <c r="F698" s="124"/>
      <c r="G698" s="124"/>
      <c r="H698" s="124"/>
      <c r="I698" s="124"/>
      <c r="J698" s="124"/>
      <c r="K698" s="124"/>
      <c r="L698" s="124"/>
      <c r="M698" s="124"/>
      <c r="N698" s="124"/>
      <c r="O698" s="124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</row>
    <row x14ac:dyDescent="0.25" r="699" customHeight="1" ht="15.75">
      <c r="A699" s="123"/>
      <c r="B699" s="123"/>
      <c r="C699" s="124"/>
      <c r="D699" s="124"/>
      <c r="E699" s="124"/>
      <c r="F699" s="124"/>
      <c r="G699" s="124"/>
      <c r="H699" s="124"/>
      <c r="I699" s="124"/>
      <c r="J699" s="124"/>
      <c r="K699" s="124"/>
      <c r="L699" s="124"/>
      <c r="M699" s="124"/>
      <c r="N699" s="124"/>
      <c r="O699" s="124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</row>
    <row x14ac:dyDescent="0.25" r="700" customHeight="1" ht="15.75">
      <c r="A700" s="123"/>
      <c r="B700" s="123"/>
      <c r="C700" s="124"/>
      <c r="D700" s="124"/>
      <c r="E700" s="124"/>
      <c r="F700" s="124"/>
      <c r="G700" s="124"/>
      <c r="H700" s="124"/>
      <c r="I700" s="124"/>
      <c r="J700" s="124"/>
      <c r="K700" s="124"/>
      <c r="L700" s="124"/>
      <c r="M700" s="124"/>
      <c r="N700" s="124"/>
      <c r="O700" s="124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</row>
    <row x14ac:dyDescent="0.25" r="701" customHeight="1" ht="15.75">
      <c r="A701" s="123"/>
      <c r="B701" s="123"/>
      <c r="C701" s="124"/>
      <c r="D701" s="124"/>
      <c r="E701" s="124"/>
      <c r="F701" s="124"/>
      <c r="G701" s="124"/>
      <c r="H701" s="124"/>
      <c r="I701" s="124"/>
      <c r="J701" s="124"/>
      <c r="K701" s="124"/>
      <c r="L701" s="124"/>
      <c r="M701" s="124"/>
      <c r="N701" s="124"/>
      <c r="O701" s="124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</row>
    <row x14ac:dyDescent="0.25" r="702" customHeight="1" ht="15.75">
      <c r="A702" s="123"/>
      <c r="B702" s="123"/>
      <c r="C702" s="124"/>
      <c r="D702" s="124"/>
      <c r="E702" s="124"/>
      <c r="F702" s="124"/>
      <c r="G702" s="124"/>
      <c r="H702" s="124"/>
      <c r="I702" s="124"/>
      <c r="J702" s="124"/>
      <c r="K702" s="124"/>
      <c r="L702" s="124"/>
      <c r="M702" s="124"/>
      <c r="N702" s="124"/>
      <c r="O702" s="124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</row>
    <row x14ac:dyDescent="0.25" r="703" customHeight="1" ht="15.75">
      <c r="A703" s="123"/>
      <c r="B703" s="123"/>
      <c r="C703" s="124"/>
      <c r="D703" s="124"/>
      <c r="E703" s="124"/>
      <c r="F703" s="124"/>
      <c r="G703" s="124"/>
      <c r="H703" s="124"/>
      <c r="I703" s="124"/>
      <c r="J703" s="124"/>
      <c r="K703" s="124"/>
      <c r="L703" s="124"/>
      <c r="M703" s="124"/>
      <c r="N703" s="124"/>
      <c r="O703" s="124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</row>
    <row x14ac:dyDescent="0.25" r="704" customHeight="1" ht="15.75">
      <c r="A704" s="123"/>
      <c r="B704" s="123"/>
      <c r="C704" s="124"/>
      <c r="D704" s="124"/>
      <c r="E704" s="124"/>
      <c r="F704" s="124"/>
      <c r="G704" s="124"/>
      <c r="H704" s="124"/>
      <c r="I704" s="124"/>
      <c r="J704" s="124"/>
      <c r="K704" s="124"/>
      <c r="L704" s="124"/>
      <c r="M704" s="124"/>
      <c r="N704" s="124"/>
      <c r="O704" s="124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</row>
    <row x14ac:dyDescent="0.25" r="705" customHeight="1" ht="15.75">
      <c r="A705" s="123"/>
      <c r="B705" s="123"/>
      <c r="C705" s="124"/>
      <c r="D705" s="124"/>
      <c r="E705" s="124"/>
      <c r="F705" s="124"/>
      <c r="G705" s="124"/>
      <c r="H705" s="124"/>
      <c r="I705" s="124"/>
      <c r="J705" s="124"/>
      <c r="K705" s="124"/>
      <c r="L705" s="124"/>
      <c r="M705" s="124"/>
      <c r="N705" s="124"/>
      <c r="O705" s="124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</row>
    <row x14ac:dyDescent="0.25" r="706" customHeight="1" ht="15.75">
      <c r="A706" s="123"/>
      <c r="B706" s="123"/>
      <c r="C706" s="124"/>
      <c r="D706" s="124"/>
      <c r="E706" s="124"/>
      <c r="F706" s="124"/>
      <c r="G706" s="124"/>
      <c r="H706" s="124"/>
      <c r="I706" s="124"/>
      <c r="J706" s="124"/>
      <c r="K706" s="124"/>
      <c r="L706" s="124"/>
      <c r="M706" s="124"/>
      <c r="N706" s="124"/>
      <c r="O706" s="124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</row>
    <row x14ac:dyDescent="0.25" r="707" customHeight="1" ht="15.75">
      <c r="A707" s="123"/>
      <c r="B707" s="123"/>
      <c r="C707" s="124"/>
      <c r="D707" s="124"/>
      <c r="E707" s="124"/>
      <c r="F707" s="124"/>
      <c r="G707" s="124"/>
      <c r="H707" s="124"/>
      <c r="I707" s="124"/>
      <c r="J707" s="124"/>
      <c r="K707" s="124"/>
      <c r="L707" s="124"/>
      <c r="M707" s="124"/>
      <c r="N707" s="124"/>
      <c r="O707" s="124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</row>
    <row x14ac:dyDescent="0.25" r="708" customHeight="1" ht="15.75">
      <c r="A708" s="123"/>
      <c r="B708" s="123"/>
      <c r="C708" s="124"/>
      <c r="D708" s="124"/>
      <c r="E708" s="124"/>
      <c r="F708" s="124"/>
      <c r="G708" s="124"/>
      <c r="H708" s="124"/>
      <c r="I708" s="124"/>
      <c r="J708" s="124"/>
      <c r="K708" s="124"/>
      <c r="L708" s="124"/>
      <c r="M708" s="124"/>
      <c r="N708" s="124"/>
      <c r="O708" s="124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</row>
    <row x14ac:dyDescent="0.25" r="709" customHeight="1" ht="15.75">
      <c r="A709" s="123"/>
      <c r="B709" s="123"/>
      <c r="C709" s="124"/>
      <c r="D709" s="124"/>
      <c r="E709" s="124"/>
      <c r="F709" s="124"/>
      <c r="G709" s="124"/>
      <c r="H709" s="124"/>
      <c r="I709" s="124"/>
      <c r="J709" s="124"/>
      <c r="K709" s="124"/>
      <c r="L709" s="124"/>
      <c r="M709" s="124"/>
      <c r="N709" s="124"/>
      <c r="O709" s="124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</row>
    <row x14ac:dyDescent="0.25" r="710" customHeight="1" ht="15.75">
      <c r="A710" s="123"/>
      <c r="B710" s="123"/>
      <c r="C710" s="124"/>
      <c r="D710" s="124"/>
      <c r="E710" s="124"/>
      <c r="F710" s="124"/>
      <c r="G710" s="124"/>
      <c r="H710" s="124"/>
      <c r="I710" s="124"/>
      <c r="J710" s="124"/>
      <c r="K710" s="124"/>
      <c r="L710" s="124"/>
      <c r="M710" s="124"/>
      <c r="N710" s="124"/>
      <c r="O710" s="124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</row>
    <row x14ac:dyDescent="0.25" r="711" customHeight="1" ht="15.75">
      <c r="A711" s="123"/>
      <c r="B711" s="123"/>
      <c r="C711" s="124"/>
      <c r="D711" s="124"/>
      <c r="E711" s="124"/>
      <c r="F711" s="124"/>
      <c r="G711" s="124"/>
      <c r="H711" s="124"/>
      <c r="I711" s="124"/>
      <c r="J711" s="124"/>
      <c r="K711" s="124"/>
      <c r="L711" s="124"/>
      <c r="M711" s="124"/>
      <c r="N711" s="124"/>
      <c r="O711" s="124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</row>
    <row x14ac:dyDescent="0.25" r="712" customHeight="1" ht="15.75">
      <c r="A712" s="123"/>
      <c r="B712" s="123"/>
      <c r="C712" s="124"/>
      <c r="D712" s="124"/>
      <c r="E712" s="124"/>
      <c r="F712" s="124"/>
      <c r="G712" s="124"/>
      <c r="H712" s="124"/>
      <c r="I712" s="124"/>
      <c r="J712" s="124"/>
      <c r="K712" s="124"/>
      <c r="L712" s="124"/>
      <c r="M712" s="124"/>
      <c r="N712" s="124"/>
      <c r="O712" s="124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</row>
    <row x14ac:dyDescent="0.25" r="713" customHeight="1" ht="15.75">
      <c r="A713" s="123"/>
      <c r="B713" s="123"/>
      <c r="C713" s="124"/>
      <c r="D713" s="124"/>
      <c r="E713" s="124"/>
      <c r="F713" s="124"/>
      <c r="G713" s="124"/>
      <c r="H713" s="124"/>
      <c r="I713" s="124"/>
      <c r="J713" s="124"/>
      <c r="K713" s="124"/>
      <c r="L713" s="124"/>
      <c r="M713" s="124"/>
      <c r="N713" s="124"/>
      <c r="O713" s="124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</row>
    <row x14ac:dyDescent="0.25" r="714" customHeight="1" ht="15.75">
      <c r="A714" s="123"/>
      <c r="B714" s="123"/>
      <c r="C714" s="124"/>
      <c r="D714" s="124"/>
      <c r="E714" s="124"/>
      <c r="F714" s="124"/>
      <c r="G714" s="124"/>
      <c r="H714" s="124"/>
      <c r="I714" s="124"/>
      <c r="J714" s="124"/>
      <c r="K714" s="124"/>
      <c r="L714" s="124"/>
      <c r="M714" s="124"/>
      <c r="N714" s="124"/>
      <c r="O714" s="124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</row>
    <row x14ac:dyDescent="0.25" r="715" customHeight="1" ht="15.75">
      <c r="A715" s="123"/>
      <c r="B715" s="123"/>
      <c r="C715" s="124"/>
      <c r="D715" s="124"/>
      <c r="E715" s="124"/>
      <c r="F715" s="124"/>
      <c r="G715" s="124"/>
      <c r="H715" s="124"/>
      <c r="I715" s="124"/>
      <c r="J715" s="124"/>
      <c r="K715" s="124"/>
      <c r="L715" s="124"/>
      <c r="M715" s="124"/>
      <c r="N715" s="124"/>
      <c r="O715" s="124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</row>
    <row x14ac:dyDescent="0.25" r="716" customHeight="1" ht="15.75">
      <c r="A716" s="123"/>
      <c r="B716" s="123"/>
      <c r="C716" s="124"/>
      <c r="D716" s="124"/>
      <c r="E716" s="124"/>
      <c r="F716" s="124"/>
      <c r="G716" s="124"/>
      <c r="H716" s="124"/>
      <c r="I716" s="124"/>
      <c r="J716" s="124"/>
      <c r="K716" s="124"/>
      <c r="L716" s="124"/>
      <c r="M716" s="124"/>
      <c r="N716" s="124"/>
      <c r="O716" s="124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</row>
    <row x14ac:dyDescent="0.25" r="717" customHeight="1" ht="15.75">
      <c r="A717" s="123"/>
      <c r="B717" s="123"/>
      <c r="C717" s="124"/>
      <c r="D717" s="124"/>
      <c r="E717" s="124"/>
      <c r="F717" s="124"/>
      <c r="G717" s="124"/>
      <c r="H717" s="124"/>
      <c r="I717" s="124"/>
      <c r="J717" s="124"/>
      <c r="K717" s="124"/>
      <c r="L717" s="124"/>
      <c r="M717" s="124"/>
      <c r="N717" s="124"/>
      <c r="O717" s="124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</row>
    <row x14ac:dyDescent="0.25" r="718" customHeight="1" ht="15.75">
      <c r="A718" s="123"/>
      <c r="B718" s="123"/>
      <c r="C718" s="124"/>
      <c r="D718" s="124"/>
      <c r="E718" s="124"/>
      <c r="F718" s="124"/>
      <c r="G718" s="124"/>
      <c r="H718" s="124"/>
      <c r="I718" s="124"/>
      <c r="J718" s="124"/>
      <c r="K718" s="124"/>
      <c r="L718" s="124"/>
      <c r="M718" s="124"/>
      <c r="N718" s="124"/>
      <c r="O718" s="124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</row>
    <row x14ac:dyDescent="0.25" r="719" customHeight="1" ht="15.75">
      <c r="A719" s="123"/>
      <c r="B719" s="123"/>
      <c r="C719" s="124"/>
      <c r="D719" s="124"/>
      <c r="E719" s="124"/>
      <c r="F719" s="124"/>
      <c r="G719" s="124"/>
      <c r="H719" s="124"/>
      <c r="I719" s="124"/>
      <c r="J719" s="124"/>
      <c r="K719" s="124"/>
      <c r="L719" s="124"/>
      <c r="M719" s="124"/>
      <c r="N719" s="124"/>
      <c r="O719" s="124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</row>
    <row x14ac:dyDescent="0.25" r="720" customHeight="1" ht="15.75">
      <c r="A720" s="123"/>
      <c r="B720" s="123"/>
      <c r="C720" s="124"/>
      <c r="D720" s="124"/>
      <c r="E720" s="124"/>
      <c r="F720" s="124"/>
      <c r="G720" s="124"/>
      <c r="H720" s="124"/>
      <c r="I720" s="124"/>
      <c r="J720" s="124"/>
      <c r="K720" s="124"/>
      <c r="L720" s="124"/>
      <c r="M720" s="124"/>
      <c r="N720" s="124"/>
      <c r="O720" s="124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</row>
    <row x14ac:dyDescent="0.25" r="721" customHeight="1" ht="15.75">
      <c r="A721" s="123"/>
      <c r="B721" s="123"/>
      <c r="C721" s="124"/>
      <c r="D721" s="124"/>
      <c r="E721" s="124"/>
      <c r="F721" s="124"/>
      <c r="G721" s="124"/>
      <c r="H721" s="124"/>
      <c r="I721" s="124"/>
      <c r="J721" s="124"/>
      <c r="K721" s="124"/>
      <c r="L721" s="124"/>
      <c r="M721" s="124"/>
      <c r="N721" s="124"/>
      <c r="O721" s="124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</row>
    <row x14ac:dyDescent="0.25" r="722" customHeight="1" ht="15.75">
      <c r="A722" s="123"/>
      <c r="B722" s="123"/>
      <c r="C722" s="124"/>
      <c r="D722" s="124"/>
      <c r="E722" s="124"/>
      <c r="F722" s="124"/>
      <c r="G722" s="124"/>
      <c r="H722" s="124"/>
      <c r="I722" s="124"/>
      <c r="J722" s="124"/>
      <c r="K722" s="124"/>
      <c r="L722" s="124"/>
      <c r="M722" s="124"/>
      <c r="N722" s="124"/>
      <c r="O722" s="124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</row>
    <row x14ac:dyDescent="0.25" r="723" customHeight="1" ht="15.75">
      <c r="A723" s="123"/>
      <c r="B723" s="123"/>
      <c r="C723" s="124"/>
      <c r="D723" s="124"/>
      <c r="E723" s="124"/>
      <c r="F723" s="124"/>
      <c r="G723" s="124"/>
      <c r="H723" s="124"/>
      <c r="I723" s="124"/>
      <c r="J723" s="124"/>
      <c r="K723" s="124"/>
      <c r="L723" s="124"/>
      <c r="M723" s="124"/>
      <c r="N723" s="124"/>
      <c r="O723" s="124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</row>
    <row x14ac:dyDescent="0.25" r="724" customHeight="1" ht="15.75">
      <c r="A724" s="123"/>
      <c r="B724" s="123"/>
      <c r="C724" s="124"/>
      <c r="D724" s="124"/>
      <c r="E724" s="124"/>
      <c r="F724" s="124"/>
      <c r="G724" s="124"/>
      <c r="H724" s="124"/>
      <c r="I724" s="124"/>
      <c r="J724" s="124"/>
      <c r="K724" s="124"/>
      <c r="L724" s="124"/>
      <c r="M724" s="124"/>
      <c r="N724" s="124"/>
      <c r="O724" s="124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</row>
    <row x14ac:dyDescent="0.25" r="725" customHeight="1" ht="15.75">
      <c r="A725" s="123"/>
      <c r="B725" s="123"/>
      <c r="C725" s="124"/>
      <c r="D725" s="124"/>
      <c r="E725" s="124"/>
      <c r="F725" s="124"/>
      <c r="G725" s="124"/>
      <c r="H725" s="124"/>
      <c r="I725" s="124"/>
      <c r="J725" s="124"/>
      <c r="K725" s="124"/>
      <c r="L725" s="124"/>
      <c r="M725" s="124"/>
      <c r="N725" s="124"/>
      <c r="O725" s="124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</row>
    <row x14ac:dyDescent="0.25" r="726" customHeight="1" ht="15.75">
      <c r="A726" s="123"/>
      <c r="B726" s="123"/>
      <c r="C726" s="124"/>
      <c r="D726" s="124"/>
      <c r="E726" s="124"/>
      <c r="F726" s="124"/>
      <c r="G726" s="124"/>
      <c r="H726" s="124"/>
      <c r="I726" s="124"/>
      <c r="J726" s="124"/>
      <c r="K726" s="124"/>
      <c r="L726" s="124"/>
      <c r="M726" s="124"/>
      <c r="N726" s="124"/>
      <c r="O726" s="124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</row>
    <row x14ac:dyDescent="0.25" r="727" customHeight="1" ht="15.75">
      <c r="A727" s="123"/>
      <c r="B727" s="123"/>
      <c r="C727" s="124"/>
      <c r="D727" s="124"/>
      <c r="E727" s="124"/>
      <c r="F727" s="124"/>
      <c r="G727" s="124"/>
      <c r="H727" s="124"/>
      <c r="I727" s="124"/>
      <c r="J727" s="124"/>
      <c r="K727" s="124"/>
      <c r="L727" s="124"/>
      <c r="M727" s="124"/>
      <c r="N727" s="124"/>
      <c r="O727" s="124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</row>
    <row x14ac:dyDescent="0.25" r="728" customHeight="1" ht="15.75">
      <c r="A728" s="123"/>
      <c r="B728" s="123"/>
      <c r="C728" s="124"/>
      <c r="D728" s="124"/>
      <c r="E728" s="124"/>
      <c r="F728" s="124"/>
      <c r="G728" s="124"/>
      <c r="H728" s="124"/>
      <c r="I728" s="124"/>
      <c r="J728" s="124"/>
      <c r="K728" s="124"/>
      <c r="L728" s="124"/>
      <c r="M728" s="124"/>
      <c r="N728" s="124"/>
      <c r="O728" s="124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</row>
    <row x14ac:dyDescent="0.25" r="729" customHeight="1" ht="15.75">
      <c r="A729" s="123"/>
      <c r="B729" s="123"/>
      <c r="C729" s="124"/>
      <c r="D729" s="124"/>
      <c r="E729" s="124"/>
      <c r="F729" s="124"/>
      <c r="G729" s="124"/>
      <c r="H729" s="124"/>
      <c r="I729" s="124"/>
      <c r="J729" s="124"/>
      <c r="K729" s="124"/>
      <c r="L729" s="124"/>
      <c r="M729" s="124"/>
      <c r="N729" s="124"/>
      <c r="O729" s="124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</row>
    <row x14ac:dyDescent="0.25" r="730" customHeight="1" ht="15.75">
      <c r="A730" s="123"/>
      <c r="B730" s="123"/>
      <c r="C730" s="124"/>
      <c r="D730" s="124"/>
      <c r="E730" s="124"/>
      <c r="F730" s="124"/>
      <c r="G730" s="124"/>
      <c r="H730" s="124"/>
      <c r="I730" s="124"/>
      <c r="J730" s="124"/>
      <c r="K730" s="124"/>
      <c r="L730" s="124"/>
      <c r="M730" s="124"/>
      <c r="N730" s="124"/>
      <c r="O730" s="124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</row>
    <row x14ac:dyDescent="0.25" r="731" customHeight="1" ht="15.75">
      <c r="A731" s="123"/>
      <c r="B731" s="123"/>
      <c r="C731" s="124"/>
      <c r="D731" s="124"/>
      <c r="E731" s="124"/>
      <c r="F731" s="124"/>
      <c r="G731" s="124"/>
      <c r="H731" s="124"/>
      <c r="I731" s="124"/>
      <c r="J731" s="124"/>
      <c r="K731" s="124"/>
      <c r="L731" s="124"/>
      <c r="M731" s="124"/>
      <c r="N731" s="124"/>
      <c r="O731" s="124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</row>
    <row x14ac:dyDescent="0.25" r="732" customHeight="1" ht="15.75">
      <c r="A732" s="123"/>
      <c r="B732" s="123"/>
      <c r="C732" s="124"/>
      <c r="D732" s="124"/>
      <c r="E732" s="124"/>
      <c r="F732" s="124"/>
      <c r="G732" s="124"/>
      <c r="H732" s="124"/>
      <c r="I732" s="124"/>
      <c r="J732" s="124"/>
      <c r="K732" s="124"/>
      <c r="L732" s="124"/>
      <c r="M732" s="124"/>
      <c r="N732" s="124"/>
      <c r="O732" s="124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</row>
    <row x14ac:dyDescent="0.25" r="733" customHeight="1" ht="15.75">
      <c r="A733" s="123"/>
      <c r="B733" s="123"/>
      <c r="C733" s="124"/>
      <c r="D733" s="124"/>
      <c r="E733" s="124"/>
      <c r="F733" s="124"/>
      <c r="G733" s="124"/>
      <c r="H733" s="124"/>
      <c r="I733" s="124"/>
      <c r="J733" s="124"/>
      <c r="K733" s="124"/>
      <c r="L733" s="124"/>
      <c r="M733" s="124"/>
      <c r="N733" s="124"/>
      <c r="O733" s="124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</row>
    <row x14ac:dyDescent="0.25" r="734" customHeight="1" ht="15.75">
      <c r="A734" s="123"/>
      <c r="B734" s="123"/>
      <c r="C734" s="124"/>
      <c r="D734" s="124"/>
      <c r="E734" s="124"/>
      <c r="F734" s="124"/>
      <c r="G734" s="124"/>
      <c r="H734" s="124"/>
      <c r="I734" s="124"/>
      <c r="J734" s="124"/>
      <c r="K734" s="124"/>
      <c r="L734" s="124"/>
      <c r="M734" s="124"/>
      <c r="N734" s="124"/>
      <c r="O734" s="124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</row>
    <row x14ac:dyDescent="0.25" r="735" customHeight="1" ht="15.75">
      <c r="A735" s="123"/>
      <c r="B735" s="123"/>
      <c r="C735" s="124"/>
      <c r="D735" s="124"/>
      <c r="E735" s="124"/>
      <c r="F735" s="124"/>
      <c r="G735" s="124"/>
      <c r="H735" s="124"/>
      <c r="I735" s="124"/>
      <c r="J735" s="124"/>
      <c r="K735" s="124"/>
      <c r="L735" s="124"/>
      <c r="M735" s="124"/>
      <c r="N735" s="124"/>
      <c r="O735" s="124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</row>
    <row x14ac:dyDescent="0.25" r="736" customHeight="1" ht="15.75">
      <c r="A736" s="123"/>
      <c r="B736" s="123"/>
      <c r="C736" s="124"/>
      <c r="D736" s="124"/>
      <c r="E736" s="124"/>
      <c r="F736" s="124"/>
      <c r="G736" s="124"/>
      <c r="H736" s="124"/>
      <c r="I736" s="124"/>
      <c r="J736" s="124"/>
      <c r="K736" s="124"/>
      <c r="L736" s="124"/>
      <c r="M736" s="124"/>
      <c r="N736" s="124"/>
      <c r="O736" s="124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</row>
    <row x14ac:dyDescent="0.25" r="737" customHeight="1" ht="15.75">
      <c r="A737" s="123"/>
      <c r="B737" s="123"/>
      <c r="C737" s="124"/>
      <c r="D737" s="124"/>
      <c r="E737" s="124"/>
      <c r="F737" s="124"/>
      <c r="G737" s="124"/>
      <c r="H737" s="124"/>
      <c r="I737" s="124"/>
      <c r="J737" s="124"/>
      <c r="K737" s="124"/>
      <c r="L737" s="124"/>
      <c r="M737" s="124"/>
      <c r="N737" s="124"/>
      <c r="O737" s="124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</row>
    <row x14ac:dyDescent="0.25" r="738" customHeight="1" ht="15.75">
      <c r="A738" s="123"/>
      <c r="B738" s="123"/>
      <c r="C738" s="124"/>
      <c r="D738" s="124"/>
      <c r="E738" s="124"/>
      <c r="F738" s="124"/>
      <c r="G738" s="124"/>
      <c r="H738" s="124"/>
      <c r="I738" s="124"/>
      <c r="J738" s="124"/>
      <c r="K738" s="124"/>
      <c r="L738" s="124"/>
      <c r="M738" s="124"/>
      <c r="N738" s="124"/>
      <c r="O738" s="124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</row>
    <row x14ac:dyDescent="0.25" r="739" customHeight="1" ht="15.75">
      <c r="A739" s="123"/>
      <c r="B739" s="123"/>
      <c r="C739" s="124"/>
      <c r="D739" s="124"/>
      <c r="E739" s="124"/>
      <c r="F739" s="124"/>
      <c r="G739" s="124"/>
      <c r="H739" s="124"/>
      <c r="I739" s="124"/>
      <c r="J739" s="124"/>
      <c r="K739" s="124"/>
      <c r="L739" s="124"/>
      <c r="M739" s="124"/>
      <c r="N739" s="124"/>
      <c r="O739" s="124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</row>
    <row x14ac:dyDescent="0.25" r="740" customHeight="1" ht="15.75">
      <c r="A740" s="123"/>
      <c r="B740" s="123"/>
      <c r="C740" s="124"/>
      <c r="D740" s="124"/>
      <c r="E740" s="124"/>
      <c r="F740" s="124"/>
      <c r="G740" s="124"/>
      <c r="H740" s="124"/>
      <c r="I740" s="124"/>
      <c r="J740" s="124"/>
      <c r="K740" s="124"/>
      <c r="L740" s="124"/>
      <c r="M740" s="124"/>
      <c r="N740" s="124"/>
      <c r="O740" s="124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</row>
    <row x14ac:dyDescent="0.25" r="741" customHeight="1" ht="15.75">
      <c r="A741" s="123"/>
      <c r="B741" s="123"/>
      <c r="C741" s="124"/>
      <c r="D741" s="124"/>
      <c r="E741" s="124"/>
      <c r="F741" s="124"/>
      <c r="G741" s="124"/>
      <c r="H741" s="124"/>
      <c r="I741" s="124"/>
      <c r="J741" s="124"/>
      <c r="K741" s="124"/>
      <c r="L741" s="124"/>
      <c r="M741" s="124"/>
      <c r="N741" s="124"/>
      <c r="O741" s="124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</row>
    <row x14ac:dyDescent="0.25" r="742" customHeight="1" ht="15.75">
      <c r="A742" s="123"/>
      <c r="B742" s="123"/>
      <c r="C742" s="124"/>
      <c r="D742" s="124"/>
      <c r="E742" s="124"/>
      <c r="F742" s="124"/>
      <c r="G742" s="124"/>
      <c r="H742" s="124"/>
      <c r="I742" s="124"/>
      <c r="J742" s="124"/>
      <c r="K742" s="124"/>
      <c r="L742" s="124"/>
      <c r="M742" s="124"/>
      <c r="N742" s="124"/>
      <c r="O742" s="124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</row>
    <row x14ac:dyDescent="0.25" r="743" customHeight="1" ht="15.75">
      <c r="A743" s="123"/>
      <c r="B743" s="123"/>
      <c r="C743" s="124"/>
      <c r="D743" s="124"/>
      <c r="E743" s="124"/>
      <c r="F743" s="124"/>
      <c r="G743" s="124"/>
      <c r="H743" s="124"/>
      <c r="I743" s="124"/>
      <c r="J743" s="124"/>
      <c r="K743" s="124"/>
      <c r="L743" s="124"/>
      <c r="M743" s="124"/>
      <c r="N743" s="124"/>
      <c r="O743" s="124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</row>
    <row x14ac:dyDescent="0.25" r="744" customHeight="1" ht="15.75">
      <c r="A744" s="123"/>
      <c r="B744" s="123"/>
      <c r="C744" s="124"/>
      <c r="D744" s="124"/>
      <c r="E744" s="124"/>
      <c r="F744" s="124"/>
      <c r="G744" s="124"/>
      <c r="H744" s="124"/>
      <c r="I744" s="124"/>
      <c r="J744" s="124"/>
      <c r="K744" s="124"/>
      <c r="L744" s="124"/>
      <c r="M744" s="124"/>
      <c r="N744" s="124"/>
      <c r="O744" s="124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</row>
    <row x14ac:dyDescent="0.25" r="745" customHeight="1" ht="15.75">
      <c r="A745" s="123"/>
      <c r="B745" s="123"/>
      <c r="C745" s="124"/>
      <c r="D745" s="124"/>
      <c r="E745" s="124"/>
      <c r="F745" s="124"/>
      <c r="G745" s="124"/>
      <c r="H745" s="124"/>
      <c r="I745" s="124"/>
      <c r="J745" s="124"/>
      <c r="K745" s="124"/>
      <c r="L745" s="124"/>
      <c r="M745" s="124"/>
      <c r="N745" s="124"/>
      <c r="O745" s="124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</row>
    <row x14ac:dyDescent="0.25" r="746" customHeight="1" ht="15.75">
      <c r="A746" s="123"/>
      <c r="B746" s="123"/>
      <c r="C746" s="124"/>
      <c r="D746" s="124"/>
      <c r="E746" s="124"/>
      <c r="F746" s="124"/>
      <c r="G746" s="124"/>
      <c r="H746" s="124"/>
      <c r="I746" s="124"/>
      <c r="J746" s="124"/>
      <c r="K746" s="124"/>
      <c r="L746" s="124"/>
      <c r="M746" s="124"/>
      <c r="N746" s="124"/>
      <c r="O746" s="124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</row>
    <row x14ac:dyDescent="0.25" r="747" customHeight="1" ht="15.75">
      <c r="A747" s="123"/>
      <c r="B747" s="123"/>
      <c r="C747" s="124"/>
      <c r="D747" s="124"/>
      <c r="E747" s="124"/>
      <c r="F747" s="124"/>
      <c r="G747" s="124"/>
      <c r="H747" s="124"/>
      <c r="I747" s="124"/>
      <c r="J747" s="124"/>
      <c r="K747" s="124"/>
      <c r="L747" s="124"/>
      <c r="M747" s="124"/>
      <c r="N747" s="124"/>
      <c r="O747" s="124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</row>
    <row x14ac:dyDescent="0.25" r="748" customHeight="1" ht="15.75">
      <c r="A748" s="123"/>
      <c r="B748" s="123"/>
      <c r="C748" s="124"/>
      <c r="D748" s="124"/>
      <c r="E748" s="124"/>
      <c r="F748" s="124"/>
      <c r="G748" s="124"/>
      <c r="H748" s="124"/>
      <c r="I748" s="124"/>
      <c r="J748" s="124"/>
      <c r="K748" s="124"/>
      <c r="L748" s="124"/>
      <c r="M748" s="124"/>
      <c r="N748" s="124"/>
      <c r="O748" s="124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</row>
    <row x14ac:dyDescent="0.25" r="749" customHeight="1" ht="15.75">
      <c r="A749" s="123"/>
      <c r="B749" s="123"/>
      <c r="C749" s="124"/>
      <c r="D749" s="124"/>
      <c r="E749" s="124"/>
      <c r="F749" s="124"/>
      <c r="G749" s="124"/>
      <c r="H749" s="124"/>
      <c r="I749" s="124"/>
      <c r="J749" s="124"/>
      <c r="K749" s="124"/>
      <c r="L749" s="124"/>
      <c r="M749" s="124"/>
      <c r="N749" s="124"/>
      <c r="O749" s="124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</row>
    <row x14ac:dyDescent="0.25" r="750" customHeight="1" ht="15.75">
      <c r="A750" s="123"/>
      <c r="B750" s="123"/>
      <c r="C750" s="124"/>
      <c r="D750" s="124"/>
      <c r="E750" s="124"/>
      <c r="F750" s="124"/>
      <c r="G750" s="124"/>
      <c r="H750" s="124"/>
      <c r="I750" s="124"/>
      <c r="J750" s="124"/>
      <c r="K750" s="124"/>
      <c r="L750" s="124"/>
      <c r="M750" s="124"/>
      <c r="N750" s="124"/>
      <c r="O750" s="124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</row>
    <row x14ac:dyDescent="0.25" r="751" customHeight="1" ht="15.75">
      <c r="A751" s="123"/>
      <c r="B751" s="123"/>
      <c r="C751" s="124"/>
      <c r="D751" s="124"/>
      <c r="E751" s="124"/>
      <c r="F751" s="124"/>
      <c r="G751" s="124"/>
      <c r="H751" s="124"/>
      <c r="I751" s="124"/>
      <c r="J751" s="124"/>
      <c r="K751" s="124"/>
      <c r="L751" s="124"/>
      <c r="M751" s="124"/>
      <c r="N751" s="124"/>
      <c r="O751" s="124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</row>
    <row x14ac:dyDescent="0.25" r="752" customHeight="1" ht="15.75">
      <c r="A752" s="123"/>
      <c r="B752" s="123"/>
      <c r="C752" s="124"/>
      <c r="D752" s="124"/>
      <c r="E752" s="124"/>
      <c r="F752" s="124"/>
      <c r="G752" s="124"/>
      <c r="H752" s="124"/>
      <c r="I752" s="124"/>
      <c r="J752" s="124"/>
      <c r="K752" s="124"/>
      <c r="L752" s="124"/>
      <c r="M752" s="124"/>
      <c r="N752" s="124"/>
      <c r="O752" s="124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</row>
    <row x14ac:dyDescent="0.25" r="753" customHeight="1" ht="15.75">
      <c r="A753" s="123"/>
      <c r="B753" s="123"/>
      <c r="C753" s="124"/>
      <c r="D753" s="124"/>
      <c r="E753" s="124"/>
      <c r="F753" s="124"/>
      <c r="G753" s="124"/>
      <c r="H753" s="124"/>
      <c r="I753" s="124"/>
      <c r="J753" s="124"/>
      <c r="K753" s="124"/>
      <c r="L753" s="124"/>
      <c r="M753" s="124"/>
      <c r="N753" s="124"/>
      <c r="O753" s="124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</row>
    <row x14ac:dyDescent="0.25" r="754" customHeight="1" ht="15.75">
      <c r="A754" s="123"/>
      <c r="B754" s="123"/>
      <c r="C754" s="124"/>
      <c r="D754" s="124"/>
      <c r="E754" s="124"/>
      <c r="F754" s="124"/>
      <c r="G754" s="124"/>
      <c r="H754" s="124"/>
      <c r="I754" s="124"/>
      <c r="J754" s="124"/>
      <c r="K754" s="124"/>
      <c r="L754" s="124"/>
      <c r="M754" s="124"/>
      <c r="N754" s="124"/>
      <c r="O754" s="124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</row>
    <row x14ac:dyDescent="0.25" r="755" customHeight="1" ht="15.75">
      <c r="A755" s="123"/>
      <c r="B755" s="123"/>
      <c r="C755" s="124"/>
      <c r="D755" s="124"/>
      <c r="E755" s="124"/>
      <c r="F755" s="124"/>
      <c r="G755" s="124"/>
      <c r="H755" s="124"/>
      <c r="I755" s="124"/>
      <c r="J755" s="124"/>
      <c r="K755" s="124"/>
      <c r="L755" s="124"/>
      <c r="M755" s="124"/>
      <c r="N755" s="124"/>
      <c r="O755" s="124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</row>
    <row x14ac:dyDescent="0.25" r="756" customHeight="1" ht="15.75">
      <c r="A756" s="123"/>
      <c r="B756" s="123"/>
      <c r="C756" s="124"/>
      <c r="D756" s="124"/>
      <c r="E756" s="124"/>
      <c r="F756" s="124"/>
      <c r="G756" s="124"/>
      <c r="H756" s="124"/>
      <c r="I756" s="124"/>
      <c r="J756" s="124"/>
      <c r="K756" s="124"/>
      <c r="L756" s="124"/>
      <c r="M756" s="124"/>
      <c r="N756" s="124"/>
      <c r="O756" s="124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</row>
    <row x14ac:dyDescent="0.25" r="757" customHeight="1" ht="15.75">
      <c r="A757" s="123"/>
      <c r="B757" s="123"/>
      <c r="C757" s="124"/>
      <c r="D757" s="124"/>
      <c r="E757" s="124"/>
      <c r="F757" s="124"/>
      <c r="G757" s="124"/>
      <c r="H757" s="124"/>
      <c r="I757" s="124"/>
      <c r="J757" s="124"/>
      <c r="K757" s="124"/>
      <c r="L757" s="124"/>
      <c r="M757" s="124"/>
      <c r="N757" s="124"/>
      <c r="O757" s="124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</row>
    <row x14ac:dyDescent="0.25" r="758" customHeight="1" ht="15.75">
      <c r="A758" s="123"/>
      <c r="B758" s="123"/>
      <c r="C758" s="124"/>
      <c r="D758" s="124"/>
      <c r="E758" s="124"/>
      <c r="F758" s="124"/>
      <c r="G758" s="124"/>
      <c r="H758" s="124"/>
      <c r="I758" s="124"/>
      <c r="J758" s="124"/>
      <c r="K758" s="124"/>
      <c r="L758" s="124"/>
      <c r="M758" s="124"/>
      <c r="N758" s="124"/>
      <c r="O758" s="124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</row>
    <row x14ac:dyDescent="0.25" r="759" customHeight="1" ht="15.75">
      <c r="A759" s="123"/>
      <c r="B759" s="123"/>
      <c r="C759" s="124"/>
      <c r="D759" s="124"/>
      <c r="E759" s="124"/>
      <c r="F759" s="124"/>
      <c r="G759" s="124"/>
      <c r="H759" s="124"/>
      <c r="I759" s="124"/>
      <c r="J759" s="124"/>
      <c r="K759" s="124"/>
      <c r="L759" s="124"/>
      <c r="M759" s="124"/>
      <c r="N759" s="124"/>
      <c r="O759" s="124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</row>
    <row x14ac:dyDescent="0.25" r="760" customHeight="1" ht="15.75">
      <c r="A760" s="123"/>
      <c r="B760" s="123"/>
      <c r="C760" s="124"/>
      <c r="D760" s="124"/>
      <c r="E760" s="124"/>
      <c r="F760" s="124"/>
      <c r="G760" s="124"/>
      <c r="H760" s="124"/>
      <c r="I760" s="124"/>
      <c r="J760" s="124"/>
      <c r="K760" s="124"/>
      <c r="L760" s="124"/>
      <c r="M760" s="124"/>
      <c r="N760" s="124"/>
      <c r="O760" s="124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</row>
    <row x14ac:dyDescent="0.25" r="761" customHeight="1" ht="15.75">
      <c r="A761" s="123"/>
      <c r="B761" s="123"/>
      <c r="C761" s="124"/>
      <c r="D761" s="124"/>
      <c r="E761" s="124"/>
      <c r="F761" s="124"/>
      <c r="G761" s="124"/>
      <c r="H761" s="124"/>
      <c r="I761" s="124"/>
      <c r="J761" s="124"/>
      <c r="K761" s="124"/>
      <c r="L761" s="124"/>
      <c r="M761" s="124"/>
      <c r="N761" s="124"/>
      <c r="O761" s="124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</row>
    <row x14ac:dyDescent="0.25" r="762" customHeight="1" ht="15.75">
      <c r="A762" s="123"/>
      <c r="B762" s="123"/>
      <c r="C762" s="124"/>
      <c r="D762" s="124"/>
      <c r="E762" s="124"/>
      <c r="F762" s="124"/>
      <c r="G762" s="124"/>
      <c r="H762" s="124"/>
      <c r="I762" s="124"/>
      <c r="J762" s="124"/>
      <c r="K762" s="124"/>
      <c r="L762" s="124"/>
      <c r="M762" s="124"/>
      <c r="N762" s="124"/>
      <c r="O762" s="124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</row>
    <row x14ac:dyDescent="0.25" r="763" customHeight="1" ht="15.75">
      <c r="A763" s="123"/>
      <c r="B763" s="123"/>
      <c r="C763" s="124"/>
      <c r="D763" s="124"/>
      <c r="E763" s="124"/>
      <c r="F763" s="124"/>
      <c r="G763" s="124"/>
      <c r="H763" s="124"/>
      <c r="I763" s="124"/>
      <c r="J763" s="124"/>
      <c r="K763" s="124"/>
      <c r="L763" s="124"/>
      <c r="M763" s="124"/>
      <c r="N763" s="124"/>
      <c r="O763" s="124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</row>
    <row x14ac:dyDescent="0.25" r="764" customHeight="1" ht="15.75">
      <c r="A764" s="123"/>
      <c r="B764" s="123"/>
      <c r="C764" s="124"/>
      <c r="D764" s="124"/>
      <c r="E764" s="124"/>
      <c r="F764" s="124"/>
      <c r="G764" s="124"/>
      <c r="H764" s="124"/>
      <c r="I764" s="124"/>
      <c r="J764" s="124"/>
      <c r="K764" s="124"/>
      <c r="L764" s="124"/>
      <c r="M764" s="124"/>
      <c r="N764" s="124"/>
      <c r="O764" s="124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</row>
    <row x14ac:dyDescent="0.25" r="765" customHeight="1" ht="15.75">
      <c r="A765" s="123"/>
      <c r="B765" s="123"/>
      <c r="C765" s="124"/>
      <c r="D765" s="124"/>
      <c r="E765" s="124"/>
      <c r="F765" s="124"/>
      <c r="G765" s="124"/>
      <c r="H765" s="124"/>
      <c r="I765" s="124"/>
      <c r="J765" s="124"/>
      <c r="K765" s="124"/>
      <c r="L765" s="124"/>
      <c r="M765" s="124"/>
      <c r="N765" s="124"/>
      <c r="O765" s="124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</row>
    <row x14ac:dyDescent="0.25" r="766" customHeight="1" ht="15.75">
      <c r="A766" s="123"/>
      <c r="B766" s="123"/>
      <c r="C766" s="124"/>
      <c r="D766" s="124"/>
      <c r="E766" s="124"/>
      <c r="F766" s="124"/>
      <c r="G766" s="124"/>
      <c r="H766" s="124"/>
      <c r="I766" s="124"/>
      <c r="J766" s="124"/>
      <c r="K766" s="124"/>
      <c r="L766" s="124"/>
      <c r="M766" s="124"/>
      <c r="N766" s="124"/>
      <c r="O766" s="124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</row>
    <row x14ac:dyDescent="0.25" r="767" customHeight="1" ht="15.75">
      <c r="A767" s="123"/>
      <c r="B767" s="123"/>
      <c r="C767" s="124"/>
      <c r="D767" s="124"/>
      <c r="E767" s="124"/>
      <c r="F767" s="124"/>
      <c r="G767" s="124"/>
      <c r="H767" s="124"/>
      <c r="I767" s="124"/>
      <c r="J767" s="124"/>
      <c r="K767" s="124"/>
      <c r="L767" s="124"/>
      <c r="M767" s="124"/>
      <c r="N767" s="124"/>
      <c r="O767" s="124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</row>
    <row x14ac:dyDescent="0.25" r="768" customHeight="1" ht="15.75">
      <c r="A768" s="123"/>
      <c r="B768" s="123"/>
      <c r="C768" s="124"/>
      <c r="D768" s="124"/>
      <c r="E768" s="124"/>
      <c r="F768" s="124"/>
      <c r="G768" s="124"/>
      <c r="H768" s="124"/>
      <c r="I768" s="124"/>
      <c r="J768" s="124"/>
      <c r="K768" s="124"/>
      <c r="L768" s="124"/>
      <c r="M768" s="124"/>
      <c r="N768" s="124"/>
      <c r="O768" s="124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</row>
    <row x14ac:dyDescent="0.25" r="769" customHeight="1" ht="15.75">
      <c r="A769" s="123"/>
      <c r="B769" s="123"/>
      <c r="C769" s="124"/>
      <c r="D769" s="124"/>
      <c r="E769" s="124"/>
      <c r="F769" s="124"/>
      <c r="G769" s="124"/>
      <c r="H769" s="124"/>
      <c r="I769" s="124"/>
      <c r="J769" s="124"/>
      <c r="K769" s="124"/>
      <c r="L769" s="124"/>
      <c r="M769" s="124"/>
      <c r="N769" s="124"/>
      <c r="O769" s="124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</row>
    <row x14ac:dyDescent="0.25" r="770" customHeight="1" ht="15.75">
      <c r="A770" s="123"/>
      <c r="B770" s="123"/>
      <c r="C770" s="124"/>
      <c r="D770" s="124"/>
      <c r="E770" s="124"/>
      <c r="F770" s="124"/>
      <c r="G770" s="124"/>
      <c r="H770" s="124"/>
      <c r="I770" s="124"/>
      <c r="J770" s="124"/>
      <c r="K770" s="124"/>
      <c r="L770" s="124"/>
      <c r="M770" s="124"/>
      <c r="N770" s="124"/>
      <c r="O770" s="124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</row>
    <row x14ac:dyDescent="0.25" r="771" customHeight="1" ht="15.75">
      <c r="A771" s="123"/>
      <c r="B771" s="123"/>
      <c r="C771" s="124"/>
      <c r="D771" s="124"/>
      <c r="E771" s="124"/>
      <c r="F771" s="124"/>
      <c r="G771" s="124"/>
      <c r="H771" s="124"/>
      <c r="I771" s="124"/>
      <c r="J771" s="124"/>
      <c r="K771" s="124"/>
      <c r="L771" s="124"/>
      <c r="M771" s="124"/>
      <c r="N771" s="124"/>
      <c r="O771" s="124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</row>
    <row x14ac:dyDescent="0.25" r="772" customHeight="1" ht="15.75">
      <c r="A772" s="123"/>
      <c r="B772" s="123"/>
      <c r="C772" s="124"/>
      <c r="D772" s="124"/>
      <c r="E772" s="124"/>
      <c r="F772" s="124"/>
      <c r="G772" s="124"/>
      <c r="H772" s="124"/>
      <c r="I772" s="124"/>
      <c r="J772" s="124"/>
      <c r="K772" s="124"/>
      <c r="L772" s="124"/>
      <c r="M772" s="124"/>
      <c r="N772" s="124"/>
      <c r="O772" s="124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</row>
    <row x14ac:dyDescent="0.25" r="773" customHeight="1" ht="15.75">
      <c r="A773" s="123"/>
      <c r="B773" s="123"/>
      <c r="C773" s="124"/>
      <c r="D773" s="124"/>
      <c r="E773" s="124"/>
      <c r="F773" s="124"/>
      <c r="G773" s="124"/>
      <c r="H773" s="124"/>
      <c r="I773" s="124"/>
      <c r="J773" s="124"/>
      <c r="K773" s="124"/>
      <c r="L773" s="124"/>
      <c r="M773" s="124"/>
      <c r="N773" s="124"/>
      <c r="O773" s="124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</row>
    <row x14ac:dyDescent="0.25" r="774" customHeight="1" ht="15.75">
      <c r="A774" s="123"/>
      <c r="B774" s="123"/>
      <c r="C774" s="124"/>
      <c r="D774" s="124"/>
      <c r="E774" s="124"/>
      <c r="F774" s="124"/>
      <c r="G774" s="124"/>
      <c r="H774" s="124"/>
      <c r="I774" s="124"/>
      <c r="J774" s="124"/>
      <c r="K774" s="124"/>
      <c r="L774" s="124"/>
      <c r="M774" s="124"/>
      <c r="N774" s="124"/>
      <c r="O774" s="124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</row>
    <row x14ac:dyDescent="0.25" r="775" customHeight="1" ht="15.75">
      <c r="A775" s="123"/>
      <c r="B775" s="123"/>
      <c r="C775" s="124"/>
      <c r="D775" s="124"/>
      <c r="E775" s="124"/>
      <c r="F775" s="124"/>
      <c r="G775" s="124"/>
      <c r="H775" s="124"/>
      <c r="I775" s="124"/>
      <c r="J775" s="124"/>
      <c r="K775" s="124"/>
      <c r="L775" s="124"/>
      <c r="M775" s="124"/>
      <c r="N775" s="124"/>
      <c r="O775" s="124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</row>
    <row x14ac:dyDescent="0.25" r="776" customHeight="1" ht="15.75">
      <c r="A776" s="123"/>
      <c r="B776" s="123"/>
      <c r="C776" s="124"/>
      <c r="D776" s="124"/>
      <c r="E776" s="124"/>
      <c r="F776" s="124"/>
      <c r="G776" s="124"/>
      <c r="H776" s="124"/>
      <c r="I776" s="124"/>
      <c r="J776" s="124"/>
      <c r="K776" s="124"/>
      <c r="L776" s="124"/>
      <c r="M776" s="124"/>
      <c r="N776" s="124"/>
      <c r="O776" s="124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</row>
    <row x14ac:dyDescent="0.25" r="777" customHeight="1" ht="15.75">
      <c r="A777" s="123"/>
      <c r="B777" s="123"/>
      <c r="C777" s="124"/>
      <c r="D777" s="124"/>
      <c r="E777" s="124"/>
      <c r="F777" s="124"/>
      <c r="G777" s="124"/>
      <c r="H777" s="124"/>
      <c r="I777" s="124"/>
      <c r="J777" s="124"/>
      <c r="K777" s="124"/>
      <c r="L777" s="124"/>
      <c r="M777" s="124"/>
      <c r="N777" s="124"/>
      <c r="O777" s="124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</row>
    <row x14ac:dyDescent="0.25" r="778" customHeight="1" ht="15.75">
      <c r="A778" s="123"/>
      <c r="B778" s="123"/>
      <c r="C778" s="124"/>
      <c r="D778" s="124"/>
      <c r="E778" s="124"/>
      <c r="F778" s="124"/>
      <c r="G778" s="124"/>
      <c r="H778" s="124"/>
      <c r="I778" s="124"/>
      <c r="J778" s="124"/>
      <c r="K778" s="124"/>
      <c r="L778" s="124"/>
      <c r="M778" s="124"/>
      <c r="N778" s="124"/>
      <c r="O778" s="124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</row>
    <row x14ac:dyDescent="0.25" r="779" customHeight="1" ht="15.75">
      <c r="A779" s="123"/>
      <c r="B779" s="123"/>
      <c r="C779" s="124"/>
      <c r="D779" s="124"/>
      <c r="E779" s="124"/>
      <c r="F779" s="124"/>
      <c r="G779" s="124"/>
      <c r="H779" s="124"/>
      <c r="I779" s="124"/>
      <c r="J779" s="124"/>
      <c r="K779" s="124"/>
      <c r="L779" s="124"/>
      <c r="M779" s="124"/>
      <c r="N779" s="124"/>
      <c r="O779" s="124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</row>
    <row x14ac:dyDescent="0.25" r="780" customHeight="1" ht="15.75">
      <c r="A780" s="123"/>
      <c r="B780" s="123"/>
      <c r="C780" s="124"/>
      <c r="D780" s="124"/>
      <c r="E780" s="124"/>
      <c r="F780" s="124"/>
      <c r="G780" s="124"/>
      <c r="H780" s="124"/>
      <c r="I780" s="124"/>
      <c r="J780" s="124"/>
      <c r="K780" s="124"/>
      <c r="L780" s="124"/>
      <c r="M780" s="124"/>
      <c r="N780" s="124"/>
      <c r="O780" s="124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</row>
    <row x14ac:dyDescent="0.25" r="781" customHeight="1" ht="15.75">
      <c r="A781" s="123"/>
      <c r="B781" s="123"/>
      <c r="C781" s="124"/>
      <c r="D781" s="124"/>
      <c r="E781" s="124"/>
      <c r="F781" s="124"/>
      <c r="G781" s="124"/>
      <c r="H781" s="124"/>
      <c r="I781" s="124"/>
      <c r="J781" s="124"/>
      <c r="K781" s="124"/>
      <c r="L781" s="124"/>
      <c r="M781" s="124"/>
      <c r="N781" s="124"/>
      <c r="O781" s="124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</row>
    <row x14ac:dyDescent="0.25" r="782" customHeight="1" ht="15.75">
      <c r="A782" s="123"/>
      <c r="B782" s="123"/>
      <c r="C782" s="124"/>
      <c r="D782" s="124"/>
      <c r="E782" s="124"/>
      <c r="F782" s="124"/>
      <c r="G782" s="124"/>
      <c r="H782" s="124"/>
      <c r="I782" s="124"/>
      <c r="J782" s="124"/>
      <c r="K782" s="124"/>
      <c r="L782" s="124"/>
      <c r="M782" s="124"/>
      <c r="N782" s="124"/>
      <c r="O782" s="124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</row>
    <row x14ac:dyDescent="0.25" r="783" customHeight="1" ht="15.75">
      <c r="A783" s="123"/>
      <c r="B783" s="123"/>
      <c r="C783" s="124"/>
      <c r="D783" s="124"/>
      <c r="E783" s="124"/>
      <c r="F783" s="124"/>
      <c r="G783" s="124"/>
      <c r="H783" s="124"/>
      <c r="I783" s="124"/>
      <c r="J783" s="124"/>
      <c r="K783" s="124"/>
      <c r="L783" s="124"/>
      <c r="M783" s="124"/>
      <c r="N783" s="124"/>
      <c r="O783" s="124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</row>
    <row x14ac:dyDescent="0.25" r="784" customHeight="1" ht="15.75">
      <c r="A784" s="123"/>
      <c r="B784" s="123"/>
      <c r="C784" s="124"/>
      <c r="D784" s="124"/>
      <c r="E784" s="124"/>
      <c r="F784" s="124"/>
      <c r="G784" s="124"/>
      <c r="H784" s="124"/>
      <c r="I784" s="124"/>
      <c r="J784" s="124"/>
      <c r="K784" s="124"/>
      <c r="L784" s="124"/>
      <c r="M784" s="124"/>
      <c r="N784" s="124"/>
      <c r="O784" s="124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</row>
    <row x14ac:dyDescent="0.25" r="785" customHeight="1" ht="15.75">
      <c r="A785" s="123"/>
      <c r="B785" s="123"/>
      <c r="C785" s="124"/>
      <c r="D785" s="124"/>
      <c r="E785" s="124"/>
      <c r="F785" s="124"/>
      <c r="G785" s="124"/>
      <c r="H785" s="124"/>
      <c r="I785" s="124"/>
      <c r="J785" s="124"/>
      <c r="K785" s="124"/>
      <c r="L785" s="124"/>
      <c r="M785" s="124"/>
      <c r="N785" s="124"/>
      <c r="O785" s="124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</row>
    <row x14ac:dyDescent="0.25" r="786" customHeight="1" ht="15.75">
      <c r="A786" s="123"/>
      <c r="B786" s="123"/>
      <c r="C786" s="124"/>
      <c r="D786" s="124"/>
      <c r="E786" s="124"/>
      <c r="F786" s="124"/>
      <c r="G786" s="124"/>
      <c r="H786" s="124"/>
      <c r="I786" s="124"/>
      <c r="J786" s="124"/>
      <c r="K786" s="124"/>
      <c r="L786" s="124"/>
      <c r="M786" s="124"/>
      <c r="N786" s="124"/>
      <c r="O786" s="124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</row>
    <row x14ac:dyDescent="0.25" r="787" customHeight="1" ht="15.75">
      <c r="A787" s="123"/>
      <c r="B787" s="123"/>
      <c r="C787" s="124"/>
      <c r="D787" s="124"/>
      <c r="E787" s="124"/>
      <c r="F787" s="124"/>
      <c r="G787" s="124"/>
      <c r="H787" s="124"/>
      <c r="I787" s="124"/>
      <c r="J787" s="124"/>
      <c r="K787" s="124"/>
      <c r="L787" s="124"/>
      <c r="M787" s="124"/>
      <c r="N787" s="124"/>
      <c r="O787" s="124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</row>
    <row x14ac:dyDescent="0.25" r="788" customHeight="1" ht="15.75">
      <c r="A788" s="123"/>
      <c r="B788" s="123"/>
      <c r="C788" s="124"/>
      <c r="D788" s="124"/>
      <c r="E788" s="124"/>
      <c r="F788" s="124"/>
      <c r="G788" s="124"/>
      <c r="H788" s="124"/>
      <c r="I788" s="124"/>
      <c r="J788" s="124"/>
      <c r="K788" s="124"/>
      <c r="L788" s="124"/>
      <c r="M788" s="124"/>
      <c r="N788" s="124"/>
      <c r="O788" s="124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</row>
    <row x14ac:dyDescent="0.25" r="789" customHeight="1" ht="15.75">
      <c r="A789" s="123"/>
      <c r="B789" s="123"/>
      <c r="C789" s="124"/>
      <c r="D789" s="124"/>
      <c r="E789" s="124"/>
      <c r="F789" s="124"/>
      <c r="G789" s="124"/>
      <c r="H789" s="124"/>
      <c r="I789" s="124"/>
      <c r="J789" s="124"/>
      <c r="K789" s="124"/>
      <c r="L789" s="124"/>
      <c r="M789" s="124"/>
      <c r="N789" s="124"/>
      <c r="O789" s="124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</row>
    <row x14ac:dyDescent="0.25" r="790" customHeight="1" ht="15.75">
      <c r="A790" s="123"/>
      <c r="B790" s="123"/>
      <c r="C790" s="124"/>
      <c r="D790" s="124"/>
      <c r="E790" s="124"/>
      <c r="F790" s="124"/>
      <c r="G790" s="124"/>
      <c r="H790" s="124"/>
      <c r="I790" s="124"/>
      <c r="J790" s="124"/>
      <c r="K790" s="124"/>
      <c r="L790" s="124"/>
      <c r="M790" s="124"/>
      <c r="N790" s="124"/>
      <c r="O790" s="124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</row>
    <row x14ac:dyDescent="0.25" r="791" customHeight="1" ht="15.75">
      <c r="A791" s="123"/>
      <c r="B791" s="123"/>
      <c r="C791" s="124"/>
      <c r="D791" s="124"/>
      <c r="E791" s="124"/>
      <c r="F791" s="124"/>
      <c r="G791" s="124"/>
      <c r="H791" s="124"/>
      <c r="I791" s="124"/>
      <c r="J791" s="124"/>
      <c r="K791" s="124"/>
      <c r="L791" s="124"/>
      <c r="M791" s="124"/>
      <c r="N791" s="124"/>
      <c r="O791" s="124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</row>
    <row x14ac:dyDescent="0.25" r="792" customHeight="1" ht="15.75">
      <c r="A792" s="123"/>
      <c r="B792" s="123"/>
      <c r="C792" s="124"/>
      <c r="D792" s="124"/>
      <c r="E792" s="124"/>
      <c r="F792" s="124"/>
      <c r="G792" s="124"/>
      <c r="H792" s="124"/>
      <c r="I792" s="124"/>
      <c r="J792" s="124"/>
      <c r="K792" s="124"/>
      <c r="L792" s="124"/>
      <c r="M792" s="124"/>
      <c r="N792" s="124"/>
      <c r="O792" s="124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</row>
    <row x14ac:dyDescent="0.25" r="793" customHeight="1" ht="15.75">
      <c r="A793" s="123"/>
      <c r="B793" s="123"/>
      <c r="C793" s="124"/>
      <c r="D793" s="124"/>
      <c r="E793" s="124"/>
      <c r="F793" s="124"/>
      <c r="G793" s="124"/>
      <c r="H793" s="124"/>
      <c r="I793" s="124"/>
      <c r="J793" s="124"/>
      <c r="K793" s="124"/>
      <c r="L793" s="124"/>
      <c r="M793" s="124"/>
      <c r="N793" s="124"/>
      <c r="O793" s="124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</row>
    <row x14ac:dyDescent="0.25" r="794" customHeight="1" ht="15.75">
      <c r="A794" s="123"/>
      <c r="B794" s="123"/>
      <c r="C794" s="124"/>
      <c r="D794" s="124"/>
      <c r="E794" s="124"/>
      <c r="F794" s="124"/>
      <c r="G794" s="124"/>
      <c r="H794" s="124"/>
      <c r="I794" s="124"/>
      <c r="J794" s="124"/>
      <c r="K794" s="124"/>
      <c r="L794" s="124"/>
      <c r="M794" s="124"/>
      <c r="N794" s="124"/>
      <c r="O794" s="124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</row>
    <row x14ac:dyDescent="0.25" r="795" customHeight="1" ht="15.75">
      <c r="A795" s="123"/>
      <c r="B795" s="123"/>
      <c r="C795" s="124"/>
      <c r="D795" s="124"/>
      <c r="E795" s="124"/>
      <c r="F795" s="124"/>
      <c r="G795" s="124"/>
      <c r="H795" s="124"/>
      <c r="I795" s="124"/>
      <c r="J795" s="124"/>
      <c r="K795" s="124"/>
      <c r="L795" s="124"/>
      <c r="M795" s="124"/>
      <c r="N795" s="124"/>
      <c r="O795" s="124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</row>
    <row x14ac:dyDescent="0.25" r="796" customHeight="1" ht="15.75">
      <c r="A796" s="123"/>
      <c r="B796" s="123"/>
      <c r="C796" s="124"/>
      <c r="D796" s="124"/>
      <c r="E796" s="124"/>
      <c r="F796" s="124"/>
      <c r="G796" s="124"/>
      <c r="H796" s="124"/>
      <c r="I796" s="124"/>
      <c r="J796" s="124"/>
      <c r="K796" s="124"/>
      <c r="L796" s="124"/>
      <c r="M796" s="124"/>
      <c r="N796" s="124"/>
      <c r="O796" s="124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</row>
    <row x14ac:dyDescent="0.25" r="797" customHeight="1" ht="15.75">
      <c r="A797" s="123"/>
      <c r="B797" s="123"/>
      <c r="C797" s="124"/>
      <c r="D797" s="124"/>
      <c r="E797" s="124"/>
      <c r="F797" s="124"/>
      <c r="G797" s="124"/>
      <c r="H797" s="124"/>
      <c r="I797" s="124"/>
      <c r="J797" s="124"/>
      <c r="K797" s="124"/>
      <c r="L797" s="124"/>
      <c r="M797" s="124"/>
      <c r="N797" s="124"/>
      <c r="O797" s="124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</row>
    <row x14ac:dyDescent="0.25" r="798" customHeight="1" ht="15.75">
      <c r="A798" s="123"/>
      <c r="B798" s="123"/>
      <c r="C798" s="124"/>
      <c r="D798" s="124"/>
      <c r="E798" s="124"/>
      <c r="F798" s="124"/>
      <c r="G798" s="124"/>
      <c r="H798" s="124"/>
      <c r="I798" s="124"/>
      <c r="J798" s="124"/>
      <c r="K798" s="124"/>
      <c r="L798" s="124"/>
      <c r="M798" s="124"/>
      <c r="N798" s="124"/>
      <c r="O798" s="124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</row>
    <row x14ac:dyDescent="0.25" r="799" customHeight="1" ht="15.75">
      <c r="A799" s="123"/>
      <c r="B799" s="123"/>
      <c r="C799" s="124"/>
      <c r="D799" s="124"/>
      <c r="E799" s="124"/>
      <c r="F799" s="124"/>
      <c r="G799" s="124"/>
      <c r="H799" s="124"/>
      <c r="I799" s="124"/>
      <c r="J799" s="124"/>
      <c r="K799" s="124"/>
      <c r="L799" s="124"/>
      <c r="M799" s="124"/>
      <c r="N799" s="124"/>
      <c r="O799" s="124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</row>
    <row x14ac:dyDescent="0.25" r="800" customHeight="1" ht="15.75">
      <c r="A800" s="123"/>
      <c r="B800" s="123"/>
      <c r="C800" s="124"/>
      <c r="D800" s="124"/>
      <c r="E800" s="124"/>
      <c r="F800" s="124"/>
      <c r="G800" s="124"/>
      <c r="H800" s="124"/>
      <c r="I800" s="124"/>
      <c r="J800" s="124"/>
      <c r="K800" s="124"/>
      <c r="L800" s="124"/>
      <c r="M800" s="124"/>
      <c r="N800" s="124"/>
      <c r="O800" s="124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</row>
    <row x14ac:dyDescent="0.25" r="801" customHeight="1" ht="15.75">
      <c r="A801" s="123"/>
      <c r="B801" s="123"/>
      <c r="C801" s="124"/>
      <c r="D801" s="124"/>
      <c r="E801" s="124"/>
      <c r="F801" s="124"/>
      <c r="G801" s="124"/>
      <c r="H801" s="124"/>
      <c r="I801" s="124"/>
      <c r="J801" s="124"/>
      <c r="K801" s="124"/>
      <c r="L801" s="124"/>
      <c r="M801" s="124"/>
      <c r="N801" s="124"/>
      <c r="O801" s="124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</row>
    <row x14ac:dyDescent="0.25" r="802" customHeight="1" ht="15.75">
      <c r="A802" s="123"/>
      <c r="B802" s="123"/>
      <c r="C802" s="124"/>
      <c r="D802" s="124"/>
      <c r="E802" s="124"/>
      <c r="F802" s="124"/>
      <c r="G802" s="124"/>
      <c r="H802" s="124"/>
      <c r="I802" s="124"/>
      <c r="J802" s="124"/>
      <c r="K802" s="124"/>
      <c r="L802" s="124"/>
      <c r="M802" s="124"/>
      <c r="N802" s="124"/>
      <c r="O802" s="124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</row>
    <row x14ac:dyDescent="0.25" r="803" customHeight="1" ht="15.75">
      <c r="A803" s="123"/>
      <c r="B803" s="123"/>
      <c r="C803" s="124"/>
      <c r="D803" s="124"/>
      <c r="E803" s="124"/>
      <c r="F803" s="124"/>
      <c r="G803" s="124"/>
      <c r="H803" s="124"/>
      <c r="I803" s="124"/>
      <c r="J803" s="124"/>
      <c r="K803" s="124"/>
      <c r="L803" s="124"/>
      <c r="M803" s="124"/>
      <c r="N803" s="124"/>
      <c r="O803" s="124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</row>
    <row x14ac:dyDescent="0.25" r="804" customHeight="1" ht="15.75">
      <c r="A804" s="123"/>
      <c r="B804" s="123"/>
      <c r="C804" s="124"/>
      <c r="D804" s="124"/>
      <c r="E804" s="124"/>
      <c r="F804" s="124"/>
      <c r="G804" s="124"/>
      <c r="H804" s="124"/>
      <c r="I804" s="124"/>
      <c r="J804" s="124"/>
      <c r="K804" s="124"/>
      <c r="L804" s="124"/>
      <c r="M804" s="124"/>
      <c r="N804" s="124"/>
      <c r="O804" s="124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</row>
    <row x14ac:dyDescent="0.25" r="805" customHeight="1" ht="15.75">
      <c r="A805" s="123"/>
      <c r="B805" s="123"/>
      <c r="C805" s="124"/>
      <c r="D805" s="124"/>
      <c r="E805" s="124"/>
      <c r="F805" s="124"/>
      <c r="G805" s="124"/>
      <c r="H805" s="124"/>
      <c r="I805" s="124"/>
      <c r="J805" s="124"/>
      <c r="K805" s="124"/>
      <c r="L805" s="124"/>
      <c r="M805" s="124"/>
      <c r="N805" s="124"/>
      <c r="O805" s="124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</row>
    <row x14ac:dyDescent="0.25" r="806" customHeight="1" ht="15.75">
      <c r="A806" s="123"/>
      <c r="B806" s="123"/>
      <c r="C806" s="124"/>
      <c r="D806" s="124"/>
      <c r="E806" s="124"/>
      <c r="F806" s="124"/>
      <c r="G806" s="124"/>
      <c r="H806" s="124"/>
      <c r="I806" s="124"/>
      <c r="J806" s="124"/>
      <c r="K806" s="124"/>
      <c r="L806" s="124"/>
      <c r="M806" s="124"/>
      <c r="N806" s="124"/>
      <c r="O806" s="124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</row>
    <row x14ac:dyDescent="0.25" r="807" customHeight="1" ht="15.75">
      <c r="A807" s="123"/>
      <c r="B807" s="123"/>
      <c r="C807" s="124"/>
      <c r="D807" s="124"/>
      <c r="E807" s="124"/>
      <c r="F807" s="124"/>
      <c r="G807" s="124"/>
      <c r="H807" s="124"/>
      <c r="I807" s="124"/>
      <c r="J807" s="124"/>
      <c r="K807" s="124"/>
      <c r="L807" s="124"/>
      <c r="M807" s="124"/>
      <c r="N807" s="124"/>
      <c r="O807" s="124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</row>
    <row x14ac:dyDescent="0.25" r="808" customHeight="1" ht="15.75">
      <c r="A808" s="123"/>
      <c r="B808" s="123"/>
      <c r="C808" s="124"/>
      <c r="D808" s="124"/>
      <c r="E808" s="124"/>
      <c r="F808" s="124"/>
      <c r="G808" s="124"/>
      <c r="H808" s="124"/>
      <c r="I808" s="124"/>
      <c r="J808" s="124"/>
      <c r="K808" s="124"/>
      <c r="L808" s="124"/>
      <c r="M808" s="124"/>
      <c r="N808" s="124"/>
      <c r="O808" s="124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</row>
    <row x14ac:dyDescent="0.25" r="809" customHeight="1" ht="15.75">
      <c r="A809" s="123"/>
      <c r="B809" s="123"/>
      <c r="C809" s="124"/>
      <c r="D809" s="124"/>
      <c r="E809" s="124"/>
      <c r="F809" s="124"/>
      <c r="G809" s="124"/>
      <c r="H809" s="124"/>
      <c r="I809" s="124"/>
      <c r="J809" s="124"/>
      <c r="K809" s="124"/>
      <c r="L809" s="124"/>
      <c r="M809" s="124"/>
      <c r="N809" s="124"/>
      <c r="O809" s="124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</row>
    <row x14ac:dyDescent="0.25" r="810" customHeight="1" ht="15.75">
      <c r="A810" s="123"/>
      <c r="B810" s="123"/>
      <c r="C810" s="124"/>
      <c r="D810" s="124"/>
      <c r="E810" s="124"/>
      <c r="F810" s="124"/>
      <c r="G810" s="124"/>
      <c r="H810" s="124"/>
      <c r="I810" s="124"/>
      <c r="J810" s="124"/>
      <c r="K810" s="124"/>
      <c r="L810" s="124"/>
      <c r="M810" s="124"/>
      <c r="N810" s="124"/>
      <c r="O810" s="124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</row>
    <row x14ac:dyDescent="0.25" r="811" customHeight="1" ht="15.75">
      <c r="A811" s="123"/>
      <c r="B811" s="123"/>
      <c r="C811" s="124"/>
      <c r="D811" s="124"/>
      <c r="E811" s="124"/>
      <c r="F811" s="124"/>
      <c r="G811" s="124"/>
      <c r="H811" s="124"/>
      <c r="I811" s="124"/>
      <c r="J811" s="124"/>
      <c r="K811" s="124"/>
      <c r="L811" s="124"/>
      <c r="M811" s="124"/>
      <c r="N811" s="124"/>
      <c r="O811" s="124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</row>
    <row x14ac:dyDescent="0.25" r="812" customHeight="1" ht="15.75">
      <c r="A812" s="123"/>
      <c r="B812" s="123"/>
      <c r="C812" s="124"/>
      <c r="D812" s="124"/>
      <c r="E812" s="124"/>
      <c r="F812" s="124"/>
      <c r="G812" s="124"/>
      <c r="H812" s="124"/>
      <c r="I812" s="124"/>
      <c r="J812" s="124"/>
      <c r="K812" s="124"/>
      <c r="L812" s="124"/>
      <c r="M812" s="124"/>
      <c r="N812" s="124"/>
      <c r="O812" s="124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</row>
    <row x14ac:dyDescent="0.25" r="813" customHeight="1" ht="15.75">
      <c r="A813" s="123"/>
      <c r="B813" s="123"/>
      <c r="C813" s="124"/>
      <c r="D813" s="124"/>
      <c r="E813" s="124"/>
      <c r="F813" s="124"/>
      <c r="G813" s="124"/>
      <c r="H813" s="124"/>
      <c r="I813" s="124"/>
      <c r="J813" s="124"/>
      <c r="K813" s="124"/>
      <c r="L813" s="124"/>
      <c r="M813" s="124"/>
      <c r="N813" s="124"/>
      <c r="O813" s="124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</row>
    <row x14ac:dyDescent="0.25" r="814" customHeight="1" ht="15.75">
      <c r="A814" s="123"/>
      <c r="B814" s="123"/>
      <c r="C814" s="124"/>
      <c r="D814" s="124"/>
      <c r="E814" s="124"/>
      <c r="F814" s="124"/>
      <c r="G814" s="124"/>
      <c r="H814" s="124"/>
      <c r="I814" s="124"/>
      <c r="J814" s="124"/>
      <c r="K814" s="124"/>
      <c r="L814" s="124"/>
      <c r="M814" s="124"/>
      <c r="N814" s="124"/>
      <c r="O814" s="124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</row>
    <row x14ac:dyDescent="0.25" r="815" customHeight="1" ht="15.75">
      <c r="A815" s="123"/>
      <c r="B815" s="123"/>
      <c r="C815" s="124"/>
      <c r="D815" s="124"/>
      <c r="E815" s="124"/>
      <c r="F815" s="124"/>
      <c r="G815" s="124"/>
      <c r="H815" s="124"/>
      <c r="I815" s="124"/>
      <c r="J815" s="124"/>
      <c r="K815" s="124"/>
      <c r="L815" s="124"/>
      <c r="M815" s="124"/>
      <c r="N815" s="124"/>
      <c r="O815" s="124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</row>
    <row x14ac:dyDescent="0.25" r="816" customHeight="1" ht="15.75">
      <c r="A816" s="123"/>
      <c r="B816" s="123"/>
      <c r="C816" s="124"/>
      <c r="D816" s="124"/>
      <c r="E816" s="124"/>
      <c r="F816" s="124"/>
      <c r="G816" s="124"/>
      <c r="H816" s="124"/>
      <c r="I816" s="124"/>
      <c r="J816" s="124"/>
      <c r="K816" s="124"/>
      <c r="L816" s="124"/>
      <c r="M816" s="124"/>
      <c r="N816" s="124"/>
      <c r="O816" s="124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</row>
    <row x14ac:dyDescent="0.25" r="817" customHeight="1" ht="15.75">
      <c r="A817" s="123"/>
      <c r="B817" s="123"/>
      <c r="C817" s="124"/>
      <c r="D817" s="124"/>
      <c r="E817" s="124"/>
      <c r="F817" s="124"/>
      <c r="G817" s="124"/>
      <c r="H817" s="124"/>
      <c r="I817" s="124"/>
      <c r="J817" s="124"/>
      <c r="K817" s="124"/>
      <c r="L817" s="124"/>
      <c r="M817" s="124"/>
      <c r="N817" s="124"/>
      <c r="O817" s="124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</row>
    <row x14ac:dyDescent="0.25" r="818" customHeight="1" ht="15.75">
      <c r="A818" s="123"/>
      <c r="B818" s="123"/>
      <c r="C818" s="124"/>
      <c r="D818" s="124"/>
      <c r="E818" s="124"/>
      <c r="F818" s="124"/>
      <c r="G818" s="124"/>
      <c r="H818" s="124"/>
      <c r="I818" s="124"/>
      <c r="J818" s="124"/>
      <c r="K818" s="124"/>
      <c r="L818" s="124"/>
      <c r="M818" s="124"/>
      <c r="N818" s="124"/>
      <c r="O818" s="124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</row>
    <row x14ac:dyDescent="0.25" r="819" customHeight="1" ht="15.75">
      <c r="A819" s="123"/>
      <c r="B819" s="123"/>
      <c r="C819" s="124"/>
      <c r="D819" s="124"/>
      <c r="E819" s="124"/>
      <c r="F819" s="124"/>
      <c r="G819" s="124"/>
      <c r="H819" s="124"/>
      <c r="I819" s="124"/>
      <c r="J819" s="124"/>
      <c r="K819" s="124"/>
      <c r="L819" s="124"/>
      <c r="M819" s="124"/>
      <c r="N819" s="124"/>
      <c r="O819" s="124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</row>
    <row x14ac:dyDescent="0.25" r="820" customHeight="1" ht="15.75">
      <c r="A820" s="123"/>
      <c r="B820" s="123"/>
      <c r="C820" s="124"/>
      <c r="D820" s="124"/>
      <c r="E820" s="124"/>
      <c r="F820" s="124"/>
      <c r="G820" s="124"/>
      <c r="H820" s="124"/>
      <c r="I820" s="124"/>
      <c r="J820" s="124"/>
      <c r="K820" s="124"/>
      <c r="L820" s="124"/>
      <c r="M820" s="124"/>
      <c r="N820" s="124"/>
      <c r="O820" s="124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</row>
    <row x14ac:dyDescent="0.25" r="821" customHeight="1" ht="15.75">
      <c r="A821" s="123"/>
      <c r="B821" s="123"/>
      <c r="C821" s="124"/>
      <c r="D821" s="124"/>
      <c r="E821" s="124"/>
      <c r="F821" s="124"/>
      <c r="G821" s="124"/>
      <c r="H821" s="124"/>
      <c r="I821" s="124"/>
      <c r="J821" s="124"/>
      <c r="K821" s="124"/>
      <c r="L821" s="124"/>
      <c r="M821" s="124"/>
      <c r="N821" s="124"/>
      <c r="O821" s="124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</row>
    <row x14ac:dyDescent="0.25" r="822" customHeight="1" ht="15.75">
      <c r="A822" s="123"/>
      <c r="B822" s="123"/>
      <c r="C822" s="124"/>
      <c r="D822" s="124"/>
      <c r="E822" s="124"/>
      <c r="F822" s="124"/>
      <c r="G822" s="124"/>
      <c r="H822" s="124"/>
      <c r="I822" s="124"/>
      <c r="J822" s="124"/>
      <c r="K822" s="124"/>
      <c r="L822" s="124"/>
      <c r="M822" s="124"/>
      <c r="N822" s="124"/>
      <c r="O822" s="124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</row>
    <row x14ac:dyDescent="0.25" r="823" customHeight="1" ht="15.75">
      <c r="A823" s="123"/>
      <c r="B823" s="123"/>
      <c r="C823" s="124"/>
      <c r="D823" s="124"/>
      <c r="E823" s="124"/>
      <c r="F823" s="124"/>
      <c r="G823" s="124"/>
      <c r="H823" s="124"/>
      <c r="I823" s="124"/>
      <c r="J823" s="124"/>
      <c r="K823" s="124"/>
      <c r="L823" s="124"/>
      <c r="M823" s="124"/>
      <c r="N823" s="124"/>
      <c r="O823" s="124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</row>
    <row x14ac:dyDescent="0.25" r="824" customHeight="1" ht="15.75">
      <c r="A824" s="123"/>
      <c r="B824" s="123"/>
      <c r="C824" s="124"/>
      <c r="D824" s="124"/>
      <c r="E824" s="124"/>
      <c r="F824" s="124"/>
      <c r="G824" s="124"/>
      <c r="H824" s="124"/>
      <c r="I824" s="124"/>
      <c r="J824" s="124"/>
      <c r="K824" s="124"/>
      <c r="L824" s="124"/>
      <c r="M824" s="124"/>
      <c r="N824" s="124"/>
      <c r="O824" s="124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</row>
    <row x14ac:dyDescent="0.25" r="825" customHeight="1" ht="15.75">
      <c r="A825" s="123"/>
      <c r="B825" s="123"/>
      <c r="C825" s="124"/>
      <c r="D825" s="124"/>
      <c r="E825" s="124"/>
      <c r="F825" s="124"/>
      <c r="G825" s="124"/>
      <c r="H825" s="124"/>
      <c r="I825" s="124"/>
      <c r="J825" s="124"/>
      <c r="K825" s="124"/>
      <c r="L825" s="124"/>
      <c r="M825" s="124"/>
      <c r="N825" s="124"/>
      <c r="O825" s="124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</row>
    <row x14ac:dyDescent="0.25" r="826" customHeight="1" ht="15.75">
      <c r="A826" s="123"/>
      <c r="B826" s="123"/>
      <c r="C826" s="124"/>
      <c r="D826" s="124"/>
      <c r="E826" s="124"/>
      <c r="F826" s="124"/>
      <c r="G826" s="124"/>
      <c r="H826" s="124"/>
      <c r="I826" s="124"/>
      <c r="J826" s="124"/>
      <c r="K826" s="124"/>
      <c r="L826" s="124"/>
      <c r="M826" s="124"/>
      <c r="N826" s="124"/>
      <c r="O826" s="124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</row>
    <row x14ac:dyDescent="0.25" r="827" customHeight="1" ht="15.75">
      <c r="A827" s="123"/>
      <c r="B827" s="123"/>
      <c r="C827" s="124"/>
      <c r="D827" s="124"/>
      <c r="E827" s="124"/>
      <c r="F827" s="124"/>
      <c r="G827" s="124"/>
      <c r="H827" s="124"/>
      <c r="I827" s="124"/>
      <c r="J827" s="124"/>
      <c r="K827" s="124"/>
      <c r="L827" s="124"/>
      <c r="M827" s="124"/>
      <c r="N827" s="124"/>
      <c r="O827" s="124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</row>
    <row x14ac:dyDescent="0.25" r="828" customHeight="1" ht="15.75">
      <c r="A828" s="123"/>
      <c r="B828" s="123"/>
      <c r="C828" s="124"/>
      <c r="D828" s="124"/>
      <c r="E828" s="124"/>
      <c r="F828" s="124"/>
      <c r="G828" s="124"/>
      <c r="H828" s="124"/>
      <c r="I828" s="124"/>
      <c r="J828" s="124"/>
      <c r="K828" s="124"/>
      <c r="L828" s="124"/>
      <c r="M828" s="124"/>
      <c r="N828" s="124"/>
      <c r="O828" s="124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</row>
    <row x14ac:dyDescent="0.25" r="829" customHeight="1" ht="15.75">
      <c r="A829" s="123"/>
      <c r="B829" s="123"/>
      <c r="C829" s="124"/>
      <c r="D829" s="124"/>
      <c r="E829" s="124"/>
      <c r="F829" s="124"/>
      <c r="G829" s="124"/>
      <c r="H829" s="124"/>
      <c r="I829" s="124"/>
      <c r="J829" s="124"/>
      <c r="K829" s="124"/>
      <c r="L829" s="124"/>
      <c r="M829" s="124"/>
      <c r="N829" s="124"/>
      <c r="O829" s="124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</row>
    <row x14ac:dyDescent="0.25" r="830" customHeight="1" ht="15.75">
      <c r="A830" s="123"/>
      <c r="B830" s="123"/>
      <c r="C830" s="124"/>
      <c r="D830" s="124"/>
      <c r="E830" s="124"/>
      <c r="F830" s="124"/>
      <c r="G830" s="124"/>
      <c r="H830" s="124"/>
      <c r="I830" s="124"/>
      <c r="J830" s="124"/>
      <c r="K830" s="124"/>
      <c r="L830" s="124"/>
      <c r="M830" s="124"/>
      <c r="N830" s="124"/>
      <c r="O830" s="124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</row>
    <row x14ac:dyDescent="0.25" r="831" customHeight="1" ht="15.75">
      <c r="A831" s="123"/>
      <c r="B831" s="123"/>
      <c r="C831" s="124"/>
      <c r="D831" s="124"/>
      <c r="E831" s="124"/>
      <c r="F831" s="124"/>
      <c r="G831" s="124"/>
      <c r="H831" s="124"/>
      <c r="I831" s="124"/>
      <c r="J831" s="124"/>
      <c r="K831" s="124"/>
      <c r="L831" s="124"/>
      <c r="M831" s="124"/>
      <c r="N831" s="124"/>
      <c r="O831" s="124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</row>
    <row x14ac:dyDescent="0.25" r="832" customHeight="1" ht="15.75">
      <c r="A832" s="123"/>
      <c r="B832" s="123"/>
      <c r="C832" s="124"/>
      <c r="D832" s="124"/>
      <c r="E832" s="124"/>
      <c r="F832" s="124"/>
      <c r="G832" s="124"/>
      <c r="H832" s="124"/>
      <c r="I832" s="124"/>
      <c r="J832" s="124"/>
      <c r="K832" s="124"/>
      <c r="L832" s="124"/>
      <c r="M832" s="124"/>
      <c r="N832" s="124"/>
      <c r="O832" s="124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</row>
    <row x14ac:dyDescent="0.25" r="833" customHeight="1" ht="15.75">
      <c r="A833" s="123"/>
      <c r="B833" s="123"/>
      <c r="C833" s="124"/>
      <c r="D833" s="124"/>
      <c r="E833" s="124"/>
      <c r="F833" s="124"/>
      <c r="G833" s="124"/>
      <c r="H833" s="124"/>
      <c r="I833" s="124"/>
      <c r="J833" s="124"/>
      <c r="K833" s="124"/>
      <c r="L833" s="124"/>
      <c r="M833" s="124"/>
      <c r="N833" s="124"/>
      <c r="O833" s="124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</row>
    <row x14ac:dyDescent="0.25" r="834" customHeight="1" ht="15.75">
      <c r="A834" s="123"/>
      <c r="B834" s="123"/>
      <c r="C834" s="124"/>
      <c r="D834" s="124"/>
      <c r="E834" s="124"/>
      <c r="F834" s="124"/>
      <c r="G834" s="124"/>
      <c r="H834" s="124"/>
      <c r="I834" s="124"/>
      <c r="J834" s="124"/>
      <c r="K834" s="124"/>
      <c r="L834" s="124"/>
      <c r="M834" s="124"/>
      <c r="N834" s="124"/>
      <c r="O834" s="124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</row>
    <row x14ac:dyDescent="0.25" r="835" customHeight="1" ht="15.75">
      <c r="A835" s="123"/>
      <c r="B835" s="123"/>
      <c r="C835" s="124"/>
      <c r="D835" s="124"/>
      <c r="E835" s="124"/>
      <c r="F835" s="124"/>
      <c r="G835" s="124"/>
      <c r="H835" s="124"/>
      <c r="I835" s="124"/>
      <c r="J835" s="124"/>
      <c r="K835" s="124"/>
      <c r="L835" s="124"/>
      <c r="M835" s="124"/>
      <c r="N835" s="124"/>
      <c r="O835" s="124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</row>
    <row x14ac:dyDescent="0.25" r="836" customHeight="1" ht="15.75">
      <c r="A836" s="123"/>
      <c r="B836" s="123"/>
      <c r="C836" s="124"/>
      <c r="D836" s="124"/>
      <c r="E836" s="124"/>
      <c r="F836" s="124"/>
      <c r="G836" s="124"/>
      <c r="H836" s="124"/>
      <c r="I836" s="124"/>
      <c r="J836" s="124"/>
      <c r="K836" s="124"/>
      <c r="L836" s="124"/>
      <c r="M836" s="124"/>
      <c r="N836" s="124"/>
      <c r="O836" s="124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</row>
    <row x14ac:dyDescent="0.25" r="837" customHeight="1" ht="15.75">
      <c r="A837" s="123"/>
      <c r="B837" s="123"/>
      <c r="C837" s="124"/>
      <c r="D837" s="124"/>
      <c r="E837" s="124"/>
      <c r="F837" s="124"/>
      <c r="G837" s="124"/>
      <c r="H837" s="124"/>
      <c r="I837" s="124"/>
      <c r="J837" s="124"/>
      <c r="K837" s="124"/>
      <c r="L837" s="124"/>
      <c r="M837" s="124"/>
      <c r="N837" s="124"/>
      <c r="O837" s="124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</row>
    <row x14ac:dyDescent="0.25" r="838" customHeight="1" ht="15.75">
      <c r="A838" s="123"/>
      <c r="B838" s="123"/>
      <c r="C838" s="124"/>
      <c r="D838" s="124"/>
      <c r="E838" s="124"/>
      <c r="F838" s="124"/>
      <c r="G838" s="124"/>
      <c r="H838" s="124"/>
      <c r="I838" s="124"/>
      <c r="J838" s="124"/>
      <c r="K838" s="124"/>
      <c r="L838" s="124"/>
      <c r="M838" s="124"/>
      <c r="N838" s="124"/>
      <c r="O838" s="124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</row>
    <row x14ac:dyDescent="0.25" r="839" customHeight="1" ht="15.75">
      <c r="A839" s="123"/>
      <c r="B839" s="123"/>
      <c r="C839" s="124"/>
      <c r="D839" s="124"/>
      <c r="E839" s="124"/>
      <c r="F839" s="124"/>
      <c r="G839" s="124"/>
      <c r="H839" s="124"/>
      <c r="I839" s="124"/>
      <c r="J839" s="124"/>
      <c r="K839" s="124"/>
      <c r="L839" s="124"/>
      <c r="M839" s="124"/>
      <c r="N839" s="124"/>
      <c r="O839" s="124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</row>
    <row x14ac:dyDescent="0.25" r="840" customHeight="1" ht="15.75">
      <c r="A840" s="123"/>
      <c r="B840" s="123"/>
      <c r="C840" s="124"/>
      <c r="D840" s="124"/>
      <c r="E840" s="124"/>
      <c r="F840" s="124"/>
      <c r="G840" s="124"/>
      <c r="H840" s="124"/>
      <c r="I840" s="124"/>
      <c r="J840" s="124"/>
      <c r="K840" s="124"/>
      <c r="L840" s="124"/>
      <c r="M840" s="124"/>
      <c r="N840" s="124"/>
      <c r="O840" s="124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</row>
    <row x14ac:dyDescent="0.25" r="841" customHeight="1" ht="15.75">
      <c r="A841" s="123"/>
      <c r="B841" s="123"/>
      <c r="C841" s="124"/>
      <c r="D841" s="124"/>
      <c r="E841" s="124"/>
      <c r="F841" s="124"/>
      <c r="G841" s="124"/>
      <c r="H841" s="124"/>
      <c r="I841" s="124"/>
      <c r="J841" s="124"/>
      <c r="K841" s="124"/>
      <c r="L841" s="124"/>
      <c r="M841" s="124"/>
      <c r="N841" s="124"/>
      <c r="O841" s="124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</row>
    <row x14ac:dyDescent="0.25" r="842" customHeight="1" ht="15.75">
      <c r="A842" s="123"/>
      <c r="B842" s="123"/>
      <c r="C842" s="124"/>
      <c r="D842" s="124"/>
      <c r="E842" s="124"/>
      <c r="F842" s="124"/>
      <c r="G842" s="124"/>
      <c r="H842" s="124"/>
      <c r="I842" s="124"/>
      <c r="J842" s="124"/>
      <c r="K842" s="124"/>
      <c r="L842" s="124"/>
      <c r="M842" s="124"/>
      <c r="N842" s="124"/>
      <c r="O842" s="124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</row>
    <row x14ac:dyDescent="0.25" r="843" customHeight="1" ht="15.75">
      <c r="A843" s="123"/>
      <c r="B843" s="123"/>
      <c r="C843" s="124"/>
      <c r="D843" s="124"/>
      <c r="E843" s="124"/>
      <c r="F843" s="124"/>
      <c r="G843" s="124"/>
      <c r="H843" s="124"/>
      <c r="I843" s="124"/>
      <c r="J843" s="124"/>
      <c r="K843" s="124"/>
      <c r="L843" s="124"/>
      <c r="M843" s="124"/>
      <c r="N843" s="124"/>
      <c r="O843" s="124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</row>
    <row x14ac:dyDescent="0.25" r="844" customHeight="1" ht="15.75">
      <c r="A844" s="123"/>
      <c r="B844" s="123"/>
      <c r="C844" s="124"/>
      <c r="D844" s="124"/>
      <c r="E844" s="124"/>
      <c r="F844" s="124"/>
      <c r="G844" s="124"/>
      <c r="H844" s="124"/>
      <c r="I844" s="124"/>
      <c r="J844" s="124"/>
      <c r="K844" s="124"/>
      <c r="L844" s="124"/>
      <c r="M844" s="124"/>
      <c r="N844" s="124"/>
      <c r="O844" s="124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</row>
    <row x14ac:dyDescent="0.25" r="845" customHeight="1" ht="15.75">
      <c r="A845" s="123"/>
      <c r="B845" s="123"/>
      <c r="C845" s="124"/>
      <c r="D845" s="124"/>
      <c r="E845" s="124"/>
      <c r="F845" s="124"/>
      <c r="G845" s="124"/>
      <c r="H845" s="124"/>
      <c r="I845" s="124"/>
      <c r="J845" s="124"/>
      <c r="K845" s="124"/>
      <c r="L845" s="124"/>
      <c r="M845" s="124"/>
      <c r="N845" s="124"/>
      <c r="O845" s="124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</row>
    <row x14ac:dyDescent="0.25" r="846" customHeight="1" ht="15.75">
      <c r="A846" s="123"/>
      <c r="B846" s="123"/>
      <c r="C846" s="124"/>
      <c r="D846" s="124"/>
      <c r="E846" s="124"/>
      <c r="F846" s="124"/>
      <c r="G846" s="124"/>
      <c r="H846" s="124"/>
      <c r="I846" s="124"/>
      <c r="J846" s="124"/>
      <c r="K846" s="124"/>
      <c r="L846" s="124"/>
      <c r="M846" s="124"/>
      <c r="N846" s="124"/>
      <c r="O846" s="124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</row>
    <row x14ac:dyDescent="0.25" r="847" customHeight="1" ht="15.75">
      <c r="A847" s="123"/>
      <c r="B847" s="123"/>
      <c r="C847" s="124"/>
      <c r="D847" s="124"/>
      <c r="E847" s="124"/>
      <c r="F847" s="124"/>
      <c r="G847" s="124"/>
      <c r="H847" s="124"/>
      <c r="I847" s="124"/>
      <c r="J847" s="124"/>
      <c r="K847" s="124"/>
      <c r="L847" s="124"/>
      <c r="M847" s="124"/>
      <c r="N847" s="124"/>
      <c r="O847" s="124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</row>
    <row x14ac:dyDescent="0.25" r="848" customHeight="1" ht="15.75">
      <c r="A848" s="123"/>
      <c r="B848" s="123"/>
      <c r="C848" s="124"/>
      <c r="D848" s="124"/>
      <c r="E848" s="124"/>
      <c r="F848" s="124"/>
      <c r="G848" s="124"/>
      <c r="H848" s="124"/>
      <c r="I848" s="124"/>
      <c r="J848" s="124"/>
      <c r="K848" s="124"/>
      <c r="L848" s="124"/>
      <c r="M848" s="124"/>
      <c r="N848" s="124"/>
      <c r="O848" s="124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</row>
    <row x14ac:dyDescent="0.25" r="849" customHeight="1" ht="15.75">
      <c r="A849" s="123"/>
      <c r="B849" s="123"/>
      <c r="C849" s="124"/>
      <c r="D849" s="124"/>
      <c r="E849" s="124"/>
      <c r="F849" s="124"/>
      <c r="G849" s="124"/>
      <c r="H849" s="124"/>
      <c r="I849" s="124"/>
      <c r="J849" s="124"/>
      <c r="K849" s="124"/>
      <c r="L849" s="124"/>
      <c r="M849" s="124"/>
      <c r="N849" s="124"/>
      <c r="O849" s="124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</row>
    <row x14ac:dyDescent="0.25" r="850" customHeight="1" ht="15.75">
      <c r="A850" s="123"/>
      <c r="B850" s="123"/>
      <c r="C850" s="124"/>
      <c r="D850" s="124"/>
      <c r="E850" s="124"/>
      <c r="F850" s="124"/>
      <c r="G850" s="124"/>
      <c r="H850" s="124"/>
      <c r="I850" s="124"/>
      <c r="J850" s="124"/>
      <c r="K850" s="124"/>
      <c r="L850" s="124"/>
      <c r="M850" s="124"/>
      <c r="N850" s="124"/>
      <c r="O850" s="124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</row>
    <row x14ac:dyDescent="0.25" r="851" customHeight="1" ht="15.75">
      <c r="A851" s="123"/>
      <c r="B851" s="123"/>
      <c r="C851" s="124"/>
      <c r="D851" s="124"/>
      <c r="E851" s="124"/>
      <c r="F851" s="124"/>
      <c r="G851" s="124"/>
      <c r="H851" s="124"/>
      <c r="I851" s="124"/>
      <c r="J851" s="124"/>
      <c r="K851" s="124"/>
      <c r="L851" s="124"/>
      <c r="M851" s="124"/>
      <c r="N851" s="124"/>
      <c r="O851" s="124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</row>
    <row x14ac:dyDescent="0.25" r="852" customHeight="1" ht="15.75">
      <c r="A852" s="123"/>
      <c r="B852" s="123"/>
      <c r="C852" s="124"/>
      <c r="D852" s="124"/>
      <c r="E852" s="124"/>
      <c r="F852" s="124"/>
      <c r="G852" s="124"/>
      <c r="H852" s="124"/>
      <c r="I852" s="124"/>
      <c r="J852" s="124"/>
      <c r="K852" s="124"/>
      <c r="L852" s="124"/>
      <c r="M852" s="124"/>
      <c r="N852" s="124"/>
      <c r="O852" s="124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</row>
    <row x14ac:dyDescent="0.25" r="853" customHeight="1" ht="15.75">
      <c r="A853" s="123"/>
      <c r="B853" s="123"/>
      <c r="C853" s="124"/>
      <c r="D853" s="124"/>
      <c r="E853" s="124"/>
      <c r="F853" s="124"/>
      <c r="G853" s="124"/>
      <c r="H853" s="124"/>
      <c r="I853" s="124"/>
      <c r="J853" s="124"/>
      <c r="K853" s="124"/>
      <c r="L853" s="124"/>
      <c r="M853" s="124"/>
      <c r="N853" s="124"/>
      <c r="O853" s="124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</row>
    <row x14ac:dyDescent="0.25" r="854" customHeight="1" ht="15.75">
      <c r="A854" s="123"/>
      <c r="B854" s="123"/>
      <c r="C854" s="124"/>
      <c r="D854" s="124"/>
      <c r="E854" s="124"/>
      <c r="F854" s="124"/>
      <c r="G854" s="124"/>
      <c r="H854" s="124"/>
      <c r="I854" s="124"/>
      <c r="J854" s="124"/>
      <c r="K854" s="124"/>
      <c r="L854" s="124"/>
      <c r="M854" s="124"/>
      <c r="N854" s="124"/>
      <c r="O854" s="124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</row>
    <row x14ac:dyDescent="0.25" r="855" customHeight="1" ht="15.75">
      <c r="A855" s="123"/>
      <c r="B855" s="123"/>
      <c r="C855" s="124"/>
      <c r="D855" s="124"/>
      <c r="E855" s="124"/>
      <c r="F855" s="124"/>
      <c r="G855" s="124"/>
      <c r="H855" s="124"/>
      <c r="I855" s="124"/>
      <c r="J855" s="124"/>
      <c r="K855" s="124"/>
      <c r="L855" s="124"/>
      <c r="M855" s="124"/>
      <c r="N855" s="124"/>
      <c r="O855" s="124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</row>
    <row x14ac:dyDescent="0.25" r="856" customHeight="1" ht="15.75">
      <c r="A856" s="123"/>
      <c r="B856" s="123"/>
      <c r="C856" s="124"/>
      <c r="D856" s="124"/>
      <c r="E856" s="124"/>
      <c r="F856" s="124"/>
      <c r="G856" s="124"/>
      <c r="H856" s="124"/>
      <c r="I856" s="124"/>
      <c r="J856" s="124"/>
      <c r="K856" s="124"/>
      <c r="L856" s="124"/>
      <c r="M856" s="124"/>
      <c r="N856" s="124"/>
      <c r="O856" s="124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</row>
    <row x14ac:dyDescent="0.25" r="857" customHeight="1" ht="15.75">
      <c r="A857" s="123"/>
      <c r="B857" s="123"/>
      <c r="C857" s="124"/>
      <c r="D857" s="124"/>
      <c r="E857" s="124"/>
      <c r="F857" s="124"/>
      <c r="G857" s="124"/>
      <c r="H857" s="124"/>
      <c r="I857" s="124"/>
      <c r="J857" s="124"/>
      <c r="K857" s="124"/>
      <c r="L857" s="124"/>
      <c r="M857" s="124"/>
      <c r="N857" s="124"/>
      <c r="O857" s="124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</row>
    <row x14ac:dyDescent="0.25" r="858" customHeight="1" ht="15.75">
      <c r="A858" s="123"/>
      <c r="B858" s="123"/>
      <c r="C858" s="124"/>
      <c r="D858" s="124"/>
      <c r="E858" s="124"/>
      <c r="F858" s="124"/>
      <c r="G858" s="124"/>
      <c r="H858" s="124"/>
      <c r="I858" s="124"/>
      <c r="J858" s="124"/>
      <c r="K858" s="124"/>
      <c r="L858" s="124"/>
      <c r="M858" s="124"/>
      <c r="N858" s="124"/>
      <c r="O858" s="124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</row>
    <row x14ac:dyDescent="0.25" r="859" customHeight="1" ht="15.75">
      <c r="A859" s="123"/>
      <c r="B859" s="123"/>
      <c r="C859" s="124"/>
      <c r="D859" s="124"/>
      <c r="E859" s="124"/>
      <c r="F859" s="124"/>
      <c r="G859" s="124"/>
      <c r="H859" s="124"/>
      <c r="I859" s="124"/>
      <c r="J859" s="124"/>
      <c r="K859" s="124"/>
      <c r="L859" s="124"/>
      <c r="M859" s="124"/>
      <c r="N859" s="124"/>
      <c r="O859" s="124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</row>
    <row x14ac:dyDescent="0.25" r="860" customHeight="1" ht="15.75">
      <c r="A860" s="123"/>
      <c r="B860" s="123"/>
      <c r="C860" s="124"/>
      <c r="D860" s="124"/>
      <c r="E860" s="124"/>
      <c r="F860" s="124"/>
      <c r="G860" s="124"/>
      <c r="H860" s="124"/>
      <c r="I860" s="124"/>
      <c r="J860" s="124"/>
      <c r="K860" s="124"/>
      <c r="L860" s="124"/>
      <c r="M860" s="124"/>
      <c r="N860" s="124"/>
      <c r="O860" s="124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</row>
    <row x14ac:dyDescent="0.25" r="861" customHeight="1" ht="15.75">
      <c r="A861" s="123"/>
      <c r="B861" s="123"/>
      <c r="C861" s="124"/>
      <c r="D861" s="124"/>
      <c r="E861" s="124"/>
      <c r="F861" s="124"/>
      <c r="G861" s="124"/>
      <c r="H861" s="124"/>
      <c r="I861" s="124"/>
      <c r="J861" s="124"/>
      <c r="K861" s="124"/>
      <c r="L861" s="124"/>
      <c r="M861" s="124"/>
      <c r="N861" s="124"/>
      <c r="O861" s="124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</row>
    <row x14ac:dyDescent="0.25" r="862" customHeight="1" ht="15.75">
      <c r="A862" s="123"/>
      <c r="B862" s="123"/>
      <c r="C862" s="124"/>
      <c r="D862" s="124"/>
      <c r="E862" s="124"/>
      <c r="F862" s="124"/>
      <c r="G862" s="124"/>
      <c r="H862" s="124"/>
      <c r="I862" s="124"/>
      <c r="J862" s="124"/>
      <c r="K862" s="124"/>
      <c r="L862" s="124"/>
      <c r="M862" s="124"/>
      <c r="N862" s="124"/>
      <c r="O862" s="124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</row>
    <row x14ac:dyDescent="0.25" r="863" customHeight="1" ht="15.75">
      <c r="A863" s="123"/>
      <c r="B863" s="123"/>
      <c r="C863" s="124"/>
      <c r="D863" s="124"/>
      <c r="E863" s="124"/>
      <c r="F863" s="124"/>
      <c r="G863" s="124"/>
      <c r="H863" s="124"/>
      <c r="I863" s="124"/>
      <c r="J863" s="124"/>
      <c r="K863" s="124"/>
      <c r="L863" s="124"/>
      <c r="M863" s="124"/>
      <c r="N863" s="124"/>
      <c r="O863" s="124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</row>
    <row x14ac:dyDescent="0.25" r="864" customHeight="1" ht="15.75">
      <c r="A864" s="123"/>
      <c r="B864" s="123"/>
      <c r="C864" s="124"/>
      <c r="D864" s="124"/>
      <c r="E864" s="124"/>
      <c r="F864" s="124"/>
      <c r="G864" s="124"/>
      <c r="H864" s="124"/>
      <c r="I864" s="124"/>
      <c r="J864" s="124"/>
      <c r="K864" s="124"/>
      <c r="L864" s="124"/>
      <c r="M864" s="124"/>
      <c r="N864" s="124"/>
      <c r="O864" s="124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</row>
    <row x14ac:dyDescent="0.25" r="865" customHeight="1" ht="15.75">
      <c r="A865" s="123"/>
      <c r="B865" s="123"/>
      <c r="C865" s="124"/>
      <c r="D865" s="124"/>
      <c r="E865" s="124"/>
      <c r="F865" s="124"/>
      <c r="G865" s="124"/>
      <c r="H865" s="124"/>
      <c r="I865" s="124"/>
      <c r="J865" s="124"/>
      <c r="K865" s="124"/>
      <c r="L865" s="124"/>
      <c r="M865" s="124"/>
      <c r="N865" s="124"/>
      <c r="O865" s="124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</row>
    <row x14ac:dyDescent="0.25" r="866" customHeight="1" ht="15.75">
      <c r="A866" s="123"/>
      <c r="B866" s="123"/>
      <c r="C866" s="124"/>
      <c r="D866" s="124"/>
      <c r="E866" s="124"/>
      <c r="F866" s="124"/>
      <c r="G866" s="124"/>
      <c r="H866" s="124"/>
      <c r="I866" s="124"/>
      <c r="J866" s="124"/>
      <c r="K866" s="124"/>
      <c r="L866" s="124"/>
      <c r="M866" s="124"/>
      <c r="N866" s="124"/>
      <c r="O866" s="124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</row>
    <row x14ac:dyDescent="0.25" r="867" customHeight="1" ht="15.75">
      <c r="A867" s="123"/>
      <c r="B867" s="123"/>
      <c r="C867" s="124"/>
      <c r="D867" s="124"/>
      <c r="E867" s="124"/>
      <c r="F867" s="124"/>
      <c r="G867" s="124"/>
      <c r="H867" s="124"/>
      <c r="I867" s="124"/>
      <c r="J867" s="124"/>
      <c r="K867" s="124"/>
      <c r="L867" s="124"/>
      <c r="M867" s="124"/>
      <c r="N867" s="124"/>
      <c r="O867" s="124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</row>
    <row x14ac:dyDescent="0.25" r="868" customHeight="1" ht="15.75">
      <c r="A868" s="123"/>
      <c r="B868" s="123"/>
      <c r="C868" s="124"/>
      <c r="D868" s="124"/>
      <c r="E868" s="124"/>
      <c r="F868" s="124"/>
      <c r="G868" s="124"/>
      <c r="H868" s="124"/>
      <c r="I868" s="124"/>
      <c r="J868" s="124"/>
      <c r="K868" s="124"/>
      <c r="L868" s="124"/>
      <c r="M868" s="124"/>
      <c r="N868" s="124"/>
      <c r="O868" s="124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</row>
    <row x14ac:dyDescent="0.25" r="869" customHeight="1" ht="15.75">
      <c r="A869" s="123"/>
      <c r="B869" s="123"/>
      <c r="C869" s="124"/>
      <c r="D869" s="124"/>
      <c r="E869" s="124"/>
      <c r="F869" s="124"/>
      <c r="G869" s="124"/>
      <c r="H869" s="124"/>
      <c r="I869" s="124"/>
      <c r="J869" s="124"/>
      <c r="K869" s="124"/>
      <c r="L869" s="124"/>
      <c r="M869" s="124"/>
      <c r="N869" s="124"/>
      <c r="O869" s="124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</row>
    <row x14ac:dyDescent="0.25" r="870" customHeight="1" ht="15.75">
      <c r="A870" s="123"/>
      <c r="B870" s="123"/>
      <c r="C870" s="124"/>
      <c r="D870" s="124"/>
      <c r="E870" s="124"/>
      <c r="F870" s="124"/>
      <c r="G870" s="124"/>
      <c r="H870" s="124"/>
      <c r="I870" s="124"/>
      <c r="J870" s="124"/>
      <c r="K870" s="124"/>
      <c r="L870" s="124"/>
      <c r="M870" s="124"/>
      <c r="N870" s="124"/>
      <c r="O870" s="124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</row>
    <row x14ac:dyDescent="0.25" r="871" customHeight="1" ht="15.75">
      <c r="A871" s="123"/>
      <c r="B871" s="123"/>
      <c r="C871" s="124"/>
      <c r="D871" s="124"/>
      <c r="E871" s="124"/>
      <c r="F871" s="124"/>
      <c r="G871" s="124"/>
      <c r="H871" s="124"/>
      <c r="I871" s="124"/>
      <c r="J871" s="124"/>
      <c r="K871" s="124"/>
      <c r="L871" s="124"/>
      <c r="M871" s="124"/>
      <c r="N871" s="124"/>
      <c r="O871" s="124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</row>
    <row x14ac:dyDescent="0.25" r="872" customHeight="1" ht="15.75">
      <c r="A872" s="123"/>
      <c r="B872" s="123"/>
      <c r="C872" s="124"/>
      <c r="D872" s="124"/>
      <c r="E872" s="124"/>
      <c r="F872" s="124"/>
      <c r="G872" s="124"/>
      <c r="H872" s="124"/>
      <c r="I872" s="124"/>
      <c r="J872" s="124"/>
      <c r="K872" s="124"/>
      <c r="L872" s="124"/>
      <c r="M872" s="124"/>
      <c r="N872" s="124"/>
      <c r="O872" s="124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</row>
    <row x14ac:dyDescent="0.25" r="873" customHeight="1" ht="15.75">
      <c r="A873" s="123"/>
      <c r="B873" s="123"/>
      <c r="C873" s="124"/>
      <c r="D873" s="124"/>
      <c r="E873" s="124"/>
      <c r="F873" s="124"/>
      <c r="G873" s="124"/>
      <c r="H873" s="124"/>
      <c r="I873" s="124"/>
      <c r="J873" s="124"/>
      <c r="K873" s="124"/>
      <c r="L873" s="124"/>
      <c r="M873" s="124"/>
      <c r="N873" s="124"/>
      <c r="O873" s="124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</row>
    <row x14ac:dyDescent="0.25" r="874" customHeight="1" ht="15.75">
      <c r="A874" s="123"/>
      <c r="B874" s="123"/>
      <c r="C874" s="124"/>
      <c r="D874" s="124"/>
      <c r="E874" s="124"/>
      <c r="F874" s="124"/>
      <c r="G874" s="124"/>
      <c r="H874" s="124"/>
      <c r="I874" s="124"/>
      <c r="J874" s="124"/>
      <c r="K874" s="124"/>
      <c r="L874" s="124"/>
      <c r="M874" s="124"/>
      <c r="N874" s="124"/>
      <c r="O874" s="124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</row>
    <row x14ac:dyDescent="0.25" r="875" customHeight="1" ht="15.75">
      <c r="A875" s="123"/>
      <c r="B875" s="123"/>
      <c r="C875" s="124"/>
      <c r="D875" s="124"/>
      <c r="E875" s="124"/>
      <c r="F875" s="124"/>
      <c r="G875" s="124"/>
      <c r="H875" s="124"/>
      <c r="I875" s="124"/>
      <c r="J875" s="124"/>
      <c r="K875" s="124"/>
      <c r="L875" s="124"/>
      <c r="M875" s="124"/>
      <c r="N875" s="124"/>
      <c r="O875" s="124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</row>
    <row x14ac:dyDescent="0.25" r="876" customHeight="1" ht="15.75">
      <c r="A876" s="123"/>
      <c r="B876" s="123"/>
      <c r="C876" s="124"/>
      <c r="D876" s="124"/>
      <c r="E876" s="124"/>
      <c r="F876" s="124"/>
      <c r="G876" s="124"/>
      <c r="H876" s="124"/>
      <c r="I876" s="124"/>
      <c r="J876" s="124"/>
      <c r="K876" s="124"/>
      <c r="L876" s="124"/>
      <c r="M876" s="124"/>
      <c r="N876" s="124"/>
      <c r="O876" s="124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</row>
    <row x14ac:dyDescent="0.25" r="877" customHeight="1" ht="15.75">
      <c r="A877" s="123"/>
      <c r="B877" s="123"/>
      <c r="C877" s="124"/>
      <c r="D877" s="124"/>
      <c r="E877" s="124"/>
      <c r="F877" s="124"/>
      <c r="G877" s="124"/>
      <c r="H877" s="124"/>
      <c r="I877" s="124"/>
      <c r="J877" s="124"/>
      <c r="K877" s="124"/>
      <c r="L877" s="124"/>
      <c r="M877" s="124"/>
      <c r="N877" s="124"/>
      <c r="O877" s="124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</row>
    <row x14ac:dyDescent="0.25" r="878" customHeight="1" ht="15.75">
      <c r="A878" s="123"/>
      <c r="B878" s="123"/>
      <c r="C878" s="124"/>
      <c r="D878" s="124"/>
      <c r="E878" s="124"/>
      <c r="F878" s="124"/>
      <c r="G878" s="124"/>
      <c r="H878" s="124"/>
      <c r="I878" s="124"/>
      <c r="J878" s="124"/>
      <c r="K878" s="124"/>
      <c r="L878" s="124"/>
      <c r="M878" s="124"/>
      <c r="N878" s="124"/>
      <c r="O878" s="124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</row>
    <row x14ac:dyDescent="0.25" r="879" customHeight="1" ht="15.75">
      <c r="A879" s="123"/>
      <c r="B879" s="123"/>
      <c r="C879" s="124"/>
      <c r="D879" s="124"/>
      <c r="E879" s="124"/>
      <c r="F879" s="124"/>
      <c r="G879" s="124"/>
      <c r="H879" s="124"/>
      <c r="I879" s="124"/>
      <c r="J879" s="124"/>
      <c r="K879" s="124"/>
      <c r="L879" s="124"/>
      <c r="M879" s="124"/>
      <c r="N879" s="124"/>
      <c r="O879" s="124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</row>
    <row x14ac:dyDescent="0.25" r="880" customHeight="1" ht="15.75">
      <c r="A880" s="123"/>
      <c r="B880" s="123"/>
      <c r="C880" s="124"/>
      <c r="D880" s="124"/>
      <c r="E880" s="124"/>
      <c r="F880" s="124"/>
      <c r="G880" s="124"/>
      <c r="H880" s="124"/>
      <c r="I880" s="124"/>
      <c r="J880" s="124"/>
      <c r="K880" s="124"/>
      <c r="L880" s="124"/>
      <c r="M880" s="124"/>
      <c r="N880" s="124"/>
      <c r="O880" s="124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</row>
    <row x14ac:dyDescent="0.25" r="881" customHeight="1" ht="15.75">
      <c r="A881" s="123"/>
      <c r="B881" s="123"/>
      <c r="C881" s="124"/>
      <c r="D881" s="124"/>
      <c r="E881" s="124"/>
      <c r="F881" s="124"/>
      <c r="G881" s="124"/>
      <c r="H881" s="124"/>
      <c r="I881" s="124"/>
      <c r="J881" s="124"/>
      <c r="K881" s="124"/>
      <c r="L881" s="124"/>
      <c r="M881" s="124"/>
      <c r="N881" s="124"/>
      <c r="O881" s="124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</row>
    <row x14ac:dyDescent="0.25" r="882" customHeight="1" ht="15.75">
      <c r="A882" s="123"/>
      <c r="B882" s="123"/>
      <c r="C882" s="124"/>
      <c r="D882" s="124"/>
      <c r="E882" s="124"/>
      <c r="F882" s="124"/>
      <c r="G882" s="124"/>
      <c r="H882" s="124"/>
      <c r="I882" s="124"/>
      <c r="J882" s="124"/>
      <c r="K882" s="124"/>
      <c r="L882" s="124"/>
      <c r="M882" s="124"/>
      <c r="N882" s="124"/>
      <c r="O882" s="124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</row>
    <row x14ac:dyDescent="0.25" r="883" customHeight="1" ht="15.75">
      <c r="A883" s="123"/>
      <c r="B883" s="123"/>
      <c r="C883" s="124"/>
      <c r="D883" s="124"/>
      <c r="E883" s="124"/>
      <c r="F883" s="124"/>
      <c r="G883" s="124"/>
      <c r="H883" s="124"/>
      <c r="I883" s="124"/>
      <c r="J883" s="124"/>
      <c r="K883" s="124"/>
      <c r="L883" s="124"/>
      <c r="M883" s="124"/>
      <c r="N883" s="124"/>
      <c r="O883" s="124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</row>
    <row x14ac:dyDescent="0.25" r="884" customHeight="1" ht="15.75">
      <c r="A884" s="123"/>
      <c r="B884" s="123"/>
      <c r="C884" s="124"/>
      <c r="D884" s="124"/>
      <c r="E884" s="124"/>
      <c r="F884" s="124"/>
      <c r="G884" s="124"/>
      <c r="H884" s="124"/>
      <c r="I884" s="124"/>
      <c r="J884" s="124"/>
      <c r="K884" s="124"/>
      <c r="L884" s="124"/>
      <c r="M884" s="124"/>
      <c r="N884" s="124"/>
      <c r="O884" s="124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</row>
    <row x14ac:dyDescent="0.25" r="885" customHeight="1" ht="15.75">
      <c r="A885" s="123"/>
      <c r="B885" s="123"/>
      <c r="C885" s="124"/>
      <c r="D885" s="124"/>
      <c r="E885" s="124"/>
      <c r="F885" s="124"/>
      <c r="G885" s="124"/>
      <c r="H885" s="124"/>
      <c r="I885" s="124"/>
      <c r="J885" s="124"/>
      <c r="K885" s="124"/>
      <c r="L885" s="124"/>
      <c r="M885" s="124"/>
      <c r="N885" s="124"/>
      <c r="O885" s="124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</row>
    <row x14ac:dyDescent="0.25" r="886" customHeight="1" ht="15.75">
      <c r="A886" s="123"/>
      <c r="B886" s="123"/>
      <c r="C886" s="124"/>
      <c r="D886" s="124"/>
      <c r="E886" s="124"/>
      <c r="F886" s="124"/>
      <c r="G886" s="124"/>
      <c r="H886" s="124"/>
      <c r="I886" s="124"/>
      <c r="J886" s="124"/>
      <c r="K886" s="124"/>
      <c r="L886" s="124"/>
      <c r="M886" s="124"/>
      <c r="N886" s="124"/>
      <c r="O886" s="124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</row>
    <row x14ac:dyDescent="0.25" r="887" customHeight="1" ht="15.75">
      <c r="A887" s="123"/>
      <c r="B887" s="123"/>
      <c r="C887" s="124"/>
      <c r="D887" s="124"/>
      <c r="E887" s="124"/>
      <c r="F887" s="124"/>
      <c r="G887" s="124"/>
      <c r="H887" s="124"/>
      <c r="I887" s="124"/>
      <c r="J887" s="124"/>
      <c r="K887" s="124"/>
      <c r="L887" s="124"/>
      <c r="M887" s="124"/>
      <c r="N887" s="124"/>
      <c r="O887" s="124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</row>
    <row x14ac:dyDescent="0.25" r="888" customHeight="1" ht="15.75">
      <c r="A888" s="123"/>
      <c r="B888" s="123"/>
      <c r="C888" s="124"/>
      <c r="D888" s="124"/>
      <c r="E888" s="124"/>
      <c r="F888" s="124"/>
      <c r="G888" s="124"/>
      <c r="H888" s="124"/>
      <c r="I888" s="124"/>
      <c r="J888" s="124"/>
      <c r="K888" s="124"/>
      <c r="L888" s="124"/>
      <c r="M888" s="124"/>
      <c r="N888" s="124"/>
      <c r="O888" s="124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</row>
    <row x14ac:dyDescent="0.25" r="889" customHeight="1" ht="15.75">
      <c r="A889" s="123"/>
      <c r="B889" s="123"/>
      <c r="C889" s="124"/>
      <c r="D889" s="124"/>
      <c r="E889" s="124"/>
      <c r="F889" s="124"/>
      <c r="G889" s="124"/>
      <c r="H889" s="124"/>
      <c r="I889" s="124"/>
      <c r="J889" s="124"/>
      <c r="K889" s="124"/>
      <c r="L889" s="124"/>
      <c r="M889" s="124"/>
      <c r="N889" s="124"/>
      <c r="O889" s="124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</row>
    <row x14ac:dyDescent="0.25" r="890" customHeight="1" ht="15.75">
      <c r="A890" s="123"/>
      <c r="B890" s="123"/>
      <c r="C890" s="124"/>
      <c r="D890" s="124"/>
      <c r="E890" s="124"/>
      <c r="F890" s="124"/>
      <c r="G890" s="124"/>
      <c r="H890" s="124"/>
      <c r="I890" s="124"/>
      <c r="J890" s="124"/>
      <c r="K890" s="124"/>
      <c r="L890" s="124"/>
      <c r="M890" s="124"/>
      <c r="N890" s="124"/>
      <c r="O890" s="124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</row>
    <row x14ac:dyDescent="0.25" r="891" customHeight="1" ht="15.75">
      <c r="A891" s="123"/>
      <c r="B891" s="123"/>
      <c r="C891" s="124"/>
      <c r="D891" s="124"/>
      <c r="E891" s="124"/>
      <c r="F891" s="124"/>
      <c r="G891" s="124"/>
      <c r="H891" s="124"/>
      <c r="I891" s="124"/>
      <c r="J891" s="124"/>
      <c r="K891" s="124"/>
      <c r="L891" s="124"/>
      <c r="M891" s="124"/>
      <c r="N891" s="124"/>
      <c r="O891" s="124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</row>
    <row x14ac:dyDescent="0.25" r="892" customHeight="1" ht="15.75">
      <c r="A892" s="123"/>
      <c r="B892" s="123"/>
      <c r="C892" s="124"/>
      <c r="D892" s="124"/>
      <c r="E892" s="124"/>
      <c r="F892" s="124"/>
      <c r="G892" s="124"/>
      <c r="H892" s="124"/>
      <c r="I892" s="124"/>
      <c r="J892" s="124"/>
      <c r="K892" s="124"/>
      <c r="L892" s="124"/>
      <c r="M892" s="124"/>
      <c r="N892" s="124"/>
      <c r="O892" s="124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</row>
    <row x14ac:dyDescent="0.25" r="893" customHeight="1" ht="15.75">
      <c r="A893" s="123"/>
      <c r="B893" s="123"/>
      <c r="C893" s="124"/>
      <c r="D893" s="124"/>
      <c r="E893" s="124"/>
      <c r="F893" s="124"/>
      <c r="G893" s="124"/>
      <c r="H893" s="124"/>
      <c r="I893" s="124"/>
      <c r="J893" s="124"/>
      <c r="K893" s="124"/>
      <c r="L893" s="124"/>
      <c r="M893" s="124"/>
      <c r="N893" s="124"/>
      <c r="O893" s="124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</row>
    <row x14ac:dyDescent="0.25" r="894" customHeight="1" ht="15.75">
      <c r="A894" s="123"/>
      <c r="B894" s="123"/>
      <c r="C894" s="124"/>
      <c r="D894" s="124"/>
      <c r="E894" s="124"/>
      <c r="F894" s="124"/>
      <c r="G894" s="124"/>
      <c r="H894" s="124"/>
      <c r="I894" s="124"/>
      <c r="J894" s="124"/>
      <c r="K894" s="124"/>
      <c r="L894" s="124"/>
      <c r="M894" s="124"/>
      <c r="N894" s="124"/>
      <c r="O894" s="124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</row>
    <row x14ac:dyDescent="0.25" r="895" customHeight="1" ht="15.75">
      <c r="A895" s="123"/>
      <c r="B895" s="123"/>
      <c r="C895" s="124"/>
      <c r="D895" s="124"/>
      <c r="E895" s="124"/>
      <c r="F895" s="124"/>
      <c r="G895" s="124"/>
      <c r="H895" s="124"/>
      <c r="I895" s="124"/>
      <c r="J895" s="124"/>
      <c r="K895" s="124"/>
      <c r="L895" s="124"/>
      <c r="M895" s="124"/>
      <c r="N895" s="124"/>
      <c r="O895" s="124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</row>
    <row x14ac:dyDescent="0.25" r="896" customHeight="1" ht="15.75">
      <c r="A896" s="123"/>
      <c r="B896" s="123"/>
      <c r="C896" s="124"/>
      <c r="D896" s="124"/>
      <c r="E896" s="124"/>
      <c r="F896" s="124"/>
      <c r="G896" s="124"/>
      <c r="H896" s="124"/>
      <c r="I896" s="124"/>
      <c r="J896" s="124"/>
      <c r="K896" s="124"/>
      <c r="L896" s="124"/>
      <c r="M896" s="124"/>
      <c r="N896" s="124"/>
      <c r="O896" s="124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</row>
    <row x14ac:dyDescent="0.25" r="897" customHeight="1" ht="15.75">
      <c r="A897" s="123"/>
      <c r="B897" s="123"/>
      <c r="C897" s="124"/>
      <c r="D897" s="124"/>
      <c r="E897" s="124"/>
      <c r="F897" s="124"/>
      <c r="G897" s="124"/>
      <c r="H897" s="124"/>
      <c r="I897" s="124"/>
      <c r="J897" s="124"/>
      <c r="K897" s="124"/>
      <c r="L897" s="124"/>
      <c r="M897" s="124"/>
      <c r="N897" s="124"/>
      <c r="O897" s="124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</row>
    <row x14ac:dyDescent="0.25" r="898" customHeight="1" ht="15.75">
      <c r="A898" s="123"/>
      <c r="B898" s="123"/>
      <c r="C898" s="124"/>
      <c r="D898" s="124"/>
      <c r="E898" s="124"/>
      <c r="F898" s="124"/>
      <c r="G898" s="124"/>
      <c r="H898" s="124"/>
      <c r="I898" s="124"/>
      <c r="J898" s="124"/>
      <c r="K898" s="124"/>
      <c r="L898" s="124"/>
      <c r="M898" s="124"/>
      <c r="N898" s="124"/>
      <c r="O898" s="124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</row>
    <row x14ac:dyDescent="0.25" r="899" customHeight="1" ht="15.75">
      <c r="A899" s="123"/>
      <c r="B899" s="123"/>
      <c r="C899" s="124"/>
      <c r="D899" s="124"/>
      <c r="E899" s="124"/>
      <c r="F899" s="124"/>
      <c r="G899" s="124"/>
      <c r="H899" s="124"/>
      <c r="I899" s="124"/>
      <c r="J899" s="124"/>
      <c r="K899" s="124"/>
      <c r="L899" s="124"/>
      <c r="M899" s="124"/>
      <c r="N899" s="124"/>
      <c r="O899" s="124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</row>
    <row x14ac:dyDescent="0.25" r="900" customHeight="1" ht="15.75">
      <c r="A900" s="123"/>
      <c r="B900" s="123"/>
      <c r="C900" s="124"/>
      <c r="D900" s="124"/>
      <c r="E900" s="124"/>
      <c r="F900" s="124"/>
      <c r="G900" s="124"/>
      <c r="H900" s="124"/>
      <c r="I900" s="124"/>
      <c r="J900" s="124"/>
      <c r="K900" s="124"/>
      <c r="L900" s="124"/>
      <c r="M900" s="124"/>
      <c r="N900" s="124"/>
      <c r="O900" s="124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</row>
    <row x14ac:dyDescent="0.25" r="901" customHeight="1" ht="15.75">
      <c r="A901" s="123"/>
      <c r="B901" s="123"/>
      <c r="C901" s="124"/>
      <c r="D901" s="124"/>
      <c r="E901" s="124"/>
      <c r="F901" s="124"/>
      <c r="G901" s="124"/>
      <c r="H901" s="124"/>
      <c r="I901" s="124"/>
      <c r="J901" s="124"/>
      <c r="K901" s="124"/>
      <c r="L901" s="124"/>
      <c r="M901" s="124"/>
      <c r="N901" s="124"/>
      <c r="O901" s="124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</row>
    <row x14ac:dyDescent="0.25" r="902" customHeight="1" ht="15.75">
      <c r="A902" s="123"/>
      <c r="B902" s="123"/>
      <c r="C902" s="124"/>
      <c r="D902" s="124"/>
      <c r="E902" s="124"/>
      <c r="F902" s="124"/>
      <c r="G902" s="124"/>
      <c r="H902" s="124"/>
      <c r="I902" s="124"/>
      <c r="J902" s="124"/>
      <c r="K902" s="124"/>
      <c r="L902" s="124"/>
      <c r="M902" s="124"/>
      <c r="N902" s="124"/>
      <c r="O902" s="124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</row>
    <row x14ac:dyDescent="0.25" r="903" customHeight="1" ht="15.75">
      <c r="A903" s="123"/>
      <c r="B903" s="123"/>
      <c r="C903" s="124"/>
      <c r="D903" s="124"/>
      <c r="E903" s="124"/>
      <c r="F903" s="124"/>
      <c r="G903" s="124"/>
      <c r="H903" s="124"/>
      <c r="I903" s="124"/>
      <c r="J903" s="124"/>
      <c r="K903" s="124"/>
      <c r="L903" s="124"/>
      <c r="M903" s="124"/>
      <c r="N903" s="124"/>
      <c r="O903" s="124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</row>
    <row x14ac:dyDescent="0.25" r="904" customHeight="1" ht="15.75">
      <c r="A904" s="123"/>
      <c r="B904" s="123"/>
      <c r="C904" s="124"/>
      <c r="D904" s="124"/>
      <c r="E904" s="124"/>
      <c r="F904" s="124"/>
      <c r="G904" s="124"/>
      <c r="H904" s="124"/>
      <c r="I904" s="124"/>
      <c r="J904" s="124"/>
      <c r="K904" s="124"/>
      <c r="L904" s="124"/>
      <c r="M904" s="124"/>
      <c r="N904" s="124"/>
      <c r="O904" s="124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</row>
    <row x14ac:dyDescent="0.25" r="905" customHeight="1" ht="15.75">
      <c r="A905" s="123"/>
      <c r="B905" s="123"/>
      <c r="C905" s="124"/>
      <c r="D905" s="124"/>
      <c r="E905" s="124"/>
      <c r="F905" s="124"/>
      <c r="G905" s="124"/>
      <c r="H905" s="124"/>
      <c r="I905" s="124"/>
      <c r="J905" s="124"/>
      <c r="K905" s="124"/>
      <c r="L905" s="124"/>
      <c r="M905" s="124"/>
      <c r="N905" s="124"/>
      <c r="O905" s="124"/>
      <c r="P905" s="113"/>
      <c r="Q905" s="113"/>
      <c r="R905" s="113"/>
      <c r="S905" s="113"/>
      <c r="T905" s="113"/>
      <c r="U905" s="113"/>
      <c r="V905" s="113"/>
      <c r="W905" s="113"/>
      <c r="X905" s="113"/>
      <c r="Y905" s="113"/>
      <c r="Z905" s="113"/>
    </row>
    <row x14ac:dyDescent="0.25" r="906" customHeight="1" ht="15.75">
      <c r="A906" s="123"/>
      <c r="B906" s="123"/>
      <c r="C906" s="124"/>
      <c r="D906" s="124"/>
      <c r="E906" s="124"/>
      <c r="F906" s="124"/>
      <c r="G906" s="124"/>
      <c r="H906" s="124"/>
      <c r="I906" s="124"/>
      <c r="J906" s="124"/>
      <c r="K906" s="124"/>
      <c r="L906" s="124"/>
      <c r="M906" s="124"/>
      <c r="N906" s="124"/>
      <c r="O906" s="124"/>
      <c r="P906" s="113"/>
      <c r="Q906" s="113"/>
      <c r="R906" s="113"/>
      <c r="S906" s="113"/>
      <c r="T906" s="113"/>
      <c r="U906" s="113"/>
      <c r="V906" s="113"/>
      <c r="W906" s="113"/>
      <c r="X906" s="113"/>
      <c r="Y906" s="113"/>
      <c r="Z906" s="113"/>
    </row>
    <row x14ac:dyDescent="0.25" r="907" customHeight="1" ht="15.75">
      <c r="A907" s="123"/>
      <c r="B907" s="123"/>
      <c r="C907" s="124"/>
      <c r="D907" s="124"/>
      <c r="E907" s="124"/>
      <c r="F907" s="124"/>
      <c r="G907" s="124"/>
      <c r="H907" s="124"/>
      <c r="I907" s="124"/>
      <c r="J907" s="124"/>
      <c r="K907" s="124"/>
      <c r="L907" s="124"/>
      <c r="M907" s="124"/>
      <c r="N907" s="124"/>
      <c r="O907" s="124"/>
      <c r="P907" s="113"/>
      <c r="Q907" s="113"/>
      <c r="R907" s="113"/>
      <c r="S907" s="113"/>
      <c r="T907" s="113"/>
      <c r="U907" s="113"/>
      <c r="V907" s="113"/>
      <c r="W907" s="113"/>
      <c r="X907" s="113"/>
      <c r="Y907" s="113"/>
      <c r="Z907" s="113"/>
    </row>
    <row x14ac:dyDescent="0.25" r="908" customHeight="1" ht="15.75">
      <c r="A908" s="123"/>
      <c r="B908" s="123"/>
      <c r="C908" s="124"/>
      <c r="D908" s="124"/>
      <c r="E908" s="124"/>
      <c r="F908" s="124"/>
      <c r="G908" s="124"/>
      <c r="H908" s="124"/>
      <c r="I908" s="124"/>
      <c r="J908" s="124"/>
      <c r="K908" s="124"/>
      <c r="L908" s="124"/>
      <c r="M908" s="124"/>
      <c r="N908" s="124"/>
      <c r="O908" s="124"/>
      <c r="P908" s="113"/>
      <c r="Q908" s="113"/>
      <c r="R908" s="113"/>
      <c r="S908" s="113"/>
      <c r="T908" s="113"/>
      <c r="U908" s="113"/>
      <c r="V908" s="113"/>
      <c r="W908" s="113"/>
      <c r="X908" s="113"/>
      <c r="Y908" s="113"/>
      <c r="Z908" s="113"/>
    </row>
    <row x14ac:dyDescent="0.25" r="909" customHeight="1" ht="15.75">
      <c r="A909" s="123"/>
      <c r="B909" s="123"/>
      <c r="C909" s="124"/>
      <c r="D909" s="124"/>
      <c r="E909" s="124"/>
      <c r="F909" s="124"/>
      <c r="G909" s="124"/>
      <c r="H909" s="124"/>
      <c r="I909" s="124"/>
      <c r="J909" s="124"/>
      <c r="K909" s="124"/>
      <c r="L909" s="124"/>
      <c r="M909" s="124"/>
      <c r="N909" s="124"/>
      <c r="O909" s="124"/>
      <c r="P909" s="113"/>
      <c r="Q909" s="113"/>
      <c r="R909" s="113"/>
      <c r="S909" s="113"/>
      <c r="T909" s="113"/>
      <c r="U909" s="113"/>
      <c r="V909" s="113"/>
      <c r="W909" s="113"/>
      <c r="X909" s="113"/>
      <c r="Y909" s="113"/>
      <c r="Z909" s="113"/>
    </row>
    <row x14ac:dyDescent="0.25" r="910" customHeight="1" ht="15.75">
      <c r="A910" s="123"/>
      <c r="B910" s="123"/>
      <c r="C910" s="124"/>
      <c r="D910" s="124"/>
      <c r="E910" s="124"/>
      <c r="F910" s="124"/>
      <c r="G910" s="124"/>
      <c r="H910" s="124"/>
      <c r="I910" s="124"/>
      <c r="J910" s="124"/>
      <c r="K910" s="124"/>
      <c r="L910" s="124"/>
      <c r="M910" s="124"/>
      <c r="N910" s="124"/>
      <c r="O910" s="124"/>
      <c r="P910" s="113"/>
      <c r="Q910" s="113"/>
      <c r="R910" s="113"/>
      <c r="S910" s="113"/>
      <c r="T910" s="113"/>
      <c r="U910" s="113"/>
      <c r="V910" s="113"/>
      <c r="W910" s="113"/>
      <c r="X910" s="113"/>
      <c r="Y910" s="113"/>
      <c r="Z910" s="113"/>
    </row>
    <row x14ac:dyDescent="0.25" r="911" customHeight="1" ht="15.75">
      <c r="A911" s="123"/>
      <c r="B911" s="123"/>
      <c r="C911" s="124"/>
      <c r="D911" s="124"/>
      <c r="E911" s="124"/>
      <c r="F911" s="124"/>
      <c r="G911" s="124"/>
      <c r="H911" s="124"/>
      <c r="I911" s="124"/>
      <c r="J911" s="124"/>
      <c r="K911" s="124"/>
      <c r="L911" s="124"/>
      <c r="M911" s="124"/>
      <c r="N911" s="124"/>
      <c r="O911" s="124"/>
      <c r="P911" s="113"/>
      <c r="Q911" s="113"/>
      <c r="R911" s="113"/>
      <c r="S911" s="113"/>
      <c r="T911" s="113"/>
      <c r="U911" s="113"/>
      <c r="V911" s="113"/>
      <c r="W911" s="113"/>
      <c r="X911" s="113"/>
      <c r="Y911" s="113"/>
      <c r="Z911" s="113"/>
    </row>
    <row x14ac:dyDescent="0.25" r="912" customHeight="1" ht="15.75">
      <c r="A912" s="123"/>
      <c r="B912" s="123"/>
      <c r="C912" s="124"/>
      <c r="D912" s="124"/>
      <c r="E912" s="124"/>
      <c r="F912" s="124"/>
      <c r="G912" s="124"/>
      <c r="H912" s="124"/>
      <c r="I912" s="124"/>
      <c r="J912" s="124"/>
      <c r="K912" s="124"/>
      <c r="L912" s="124"/>
      <c r="M912" s="124"/>
      <c r="N912" s="124"/>
      <c r="O912" s="124"/>
      <c r="P912" s="113"/>
      <c r="Q912" s="113"/>
      <c r="R912" s="113"/>
      <c r="S912" s="113"/>
      <c r="T912" s="113"/>
      <c r="U912" s="113"/>
      <c r="V912" s="113"/>
      <c r="W912" s="113"/>
      <c r="X912" s="113"/>
      <c r="Y912" s="113"/>
      <c r="Z912" s="113"/>
    </row>
    <row x14ac:dyDescent="0.25" r="913" customHeight="1" ht="15.75">
      <c r="A913" s="123"/>
      <c r="B913" s="123"/>
      <c r="C913" s="124"/>
      <c r="D913" s="124"/>
      <c r="E913" s="124"/>
      <c r="F913" s="124"/>
      <c r="G913" s="124"/>
      <c r="H913" s="124"/>
      <c r="I913" s="124"/>
      <c r="J913" s="124"/>
      <c r="K913" s="124"/>
      <c r="L913" s="124"/>
      <c r="M913" s="124"/>
      <c r="N913" s="124"/>
      <c r="O913" s="124"/>
      <c r="P913" s="113"/>
      <c r="Q913" s="113"/>
      <c r="R913" s="113"/>
      <c r="S913" s="113"/>
      <c r="T913" s="113"/>
      <c r="U913" s="113"/>
      <c r="V913" s="113"/>
      <c r="W913" s="113"/>
      <c r="X913" s="113"/>
      <c r="Y913" s="113"/>
      <c r="Z913" s="113"/>
    </row>
    <row x14ac:dyDescent="0.25" r="914" customHeight="1" ht="15.75">
      <c r="A914" s="123"/>
      <c r="B914" s="123"/>
      <c r="C914" s="124"/>
      <c r="D914" s="124"/>
      <c r="E914" s="124"/>
      <c r="F914" s="124"/>
      <c r="G914" s="124"/>
      <c r="H914" s="124"/>
      <c r="I914" s="124"/>
      <c r="J914" s="124"/>
      <c r="K914" s="124"/>
      <c r="L914" s="124"/>
      <c r="M914" s="124"/>
      <c r="N914" s="124"/>
      <c r="O914" s="124"/>
      <c r="P914" s="113"/>
      <c r="Q914" s="113"/>
      <c r="R914" s="113"/>
      <c r="S914" s="113"/>
      <c r="T914" s="113"/>
      <c r="U914" s="113"/>
      <c r="V914" s="113"/>
      <c r="W914" s="113"/>
      <c r="X914" s="113"/>
      <c r="Y914" s="113"/>
      <c r="Z914" s="113"/>
    </row>
    <row x14ac:dyDescent="0.25" r="915" customHeight="1" ht="15.75">
      <c r="A915" s="123"/>
      <c r="B915" s="123"/>
      <c r="C915" s="124"/>
      <c r="D915" s="124"/>
      <c r="E915" s="124"/>
      <c r="F915" s="124"/>
      <c r="G915" s="124"/>
      <c r="H915" s="124"/>
      <c r="I915" s="124"/>
      <c r="J915" s="124"/>
      <c r="K915" s="124"/>
      <c r="L915" s="124"/>
      <c r="M915" s="124"/>
      <c r="N915" s="124"/>
      <c r="O915" s="124"/>
      <c r="P915" s="113"/>
      <c r="Q915" s="113"/>
      <c r="R915" s="113"/>
      <c r="S915" s="113"/>
      <c r="T915" s="113"/>
      <c r="U915" s="113"/>
      <c r="V915" s="113"/>
      <c r="W915" s="113"/>
      <c r="X915" s="113"/>
      <c r="Y915" s="113"/>
      <c r="Z915" s="113"/>
    </row>
    <row x14ac:dyDescent="0.25" r="916" customHeight="1" ht="15.75">
      <c r="A916" s="123"/>
      <c r="B916" s="123"/>
      <c r="C916" s="124"/>
      <c r="D916" s="124"/>
      <c r="E916" s="124"/>
      <c r="F916" s="124"/>
      <c r="G916" s="124"/>
      <c r="H916" s="124"/>
      <c r="I916" s="124"/>
      <c r="J916" s="124"/>
      <c r="K916" s="124"/>
      <c r="L916" s="124"/>
      <c r="M916" s="124"/>
      <c r="N916" s="124"/>
      <c r="O916" s="124"/>
      <c r="P916" s="113"/>
      <c r="Q916" s="113"/>
      <c r="R916" s="113"/>
      <c r="S916" s="113"/>
      <c r="T916" s="113"/>
      <c r="U916" s="113"/>
      <c r="V916" s="113"/>
      <c r="W916" s="113"/>
      <c r="X916" s="113"/>
      <c r="Y916" s="113"/>
      <c r="Z916" s="113"/>
    </row>
    <row x14ac:dyDescent="0.25" r="917" customHeight="1" ht="15.75">
      <c r="A917" s="123"/>
      <c r="B917" s="123"/>
      <c r="C917" s="124"/>
      <c r="D917" s="124"/>
      <c r="E917" s="124"/>
      <c r="F917" s="124"/>
      <c r="G917" s="124"/>
      <c r="H917" s="124"/>
      <c r="I917" s="124"/>
      <c r="J917" s="124"/>
      <c r="K917" s="124"/>
      <c r="L917" s="124"/>
      <c r="M917" s="124"/>
      <c r="N917" s="124"/>
      <c r="O917" s="124"/>
      <c r="P917" s="113"/>
      <c r="Q917" s="113"/>
      <c r="R917" s="113"/>
      <c r="S917" s="113"/>
      <c r="T917" s="113"/>
      <c r="U917" s="113"/>
      <c r="V917" s="113"/>
      <c r="W917" s="113"/>
      <c r="X917" s="113"/>
      <c r="Y917" s="113"/>
      <c r="Z917" s="113"/>
    </row>
    <row x14ac:dyDescent="0.25" r="918" customHeight="1" ht="15.75">
      <c r="A918" s="123"/>
      <c r="B918" s="123"/>
      <c r="C918" s="124"/>
      <c r="D918" s="124"/>
      <c r="E918" s="124"/>
      <c r="F918" s="124"/>
      <c r="G918" s="124"/>
      <c r="H918" s="124"/>
      <c r="I918" s="124"/>
      <c r="J918" s="124"/>
      <c r="K918" s="124"/>
      <c r="L918" s="124"/>
      <c r="M918" s="124"/>
      <c r="N918" s="124"/>
      <c r="O918" s="124"/>
      <c r="P918" s="113"/>
      <c r="Q918" s="113"/>
      <c r="R918" s="113"/>
      <c r="S918" s="113"/>
      <c r="T918" s="113"/>
      <c r="U918" s="113"/>
      <c r="V918" s="113"/>
      <c r="W918" s="113"/>
      <c r="X918" s="113"/>
      <c r="Y918" s="113"/>
      <c r="Z918" s="113"/>
    </row>
    <row x14ac:dyDescent="0.25" r="919" customHeight="1" ht="15.75">
      <c r="A919" s="123"/>
      <c r="B919" s="123"/>
      <c r="C919" s="124"/>
      <c r="D919" s="124"/>
      <c r="E919" s="124"/>
      <c r="F919" s="124"/>
      <c r="G919" s="124"/>
      <c r="H919" s="124"/>
      <c r="I919" s="124"/>
      <c r="J919" s="124"/>
      <c r="K919" s="124"/>
      <c r="L919" s="124"/>
      <c r="M919" s="124"/>
      <c r="N919" s="124"/>
      <c r="O919" s="124"/>
      <c r="P919" s="113"/>
      <c r="Q919" s="113"/>
      <c r="R919" s="113"/>
      <c r="S919" s="113"/>
      <c r="T919" s="113"/>
      <c r="U919" s="113"/>
      <c r="V919" s="113"/>
      <c r="W919" s="113"/>
      <c r="X919" s="113"/>
      <c r="Y919" s="113"/>
      <c r="Z919" s="113"/>
    </row>
    <row x14ac:dyDescent="0.25" r="920" customHeight="1" ht="15.75">
      <c r="A920" s="123"/>
      <c r="B920" s="123"/>
      <c r="C920" s="124"/>
      <c r="D920" s="124"/>
      <c r="E920" s="124"/>
      <c r="F920" s="124"/>
      <c r="G920" s="124"/>
      <c r="H920" s="124"/>
      <c r="I920" s="124"/>
      <c r="J920" s="124"/>
      <c r="K920" s="124"/>
      <c r="L920" s="124"/>
      <c r="M920" s="124"/>
      <c r="N920" s="124"/>
      <c r="O920" s="124"/>
      <c r="P920" s="113"/>
      <c r="Q920" s="113"/>
      <c r="R920" s="113"/>
      <c r="S920" s="113"/>
      <c r="T920" s="113"/>
      <c r="U920" s="113"/>
      <c r="V920" s="113"/>
      <c r="W920" s="113"/>
      <c r="X920" s="113"/>
      <c r="Y920" s="113"/>
      <c r="Z920" s="113"/>
    </row>
    <row x14ac:dyDescent="0.25" r="921" customHeight="1" ht="15.75">
      <c r="A921" s="123"/>
      <c r="B921" s="123"/>
      <c r="C921" s="124"/>
      <c r="D921" s="124"/>
      <c r="E921" s="124"/>
      <c r="F921" s="124"/>
      <c r="G921" s="124"/>
      <c r="H921" s="124"/>
      <c r="I921" s="124"/>
      <c r="J921" s="124"/>
      <c r="K921" s="124"/>
      <c r="L921" s="124"/>
      <c r="M921" s="124"/>
      <c r="N921" s="124"/>
      <c r="O921" s="124"/>
      <c r="P921" s="113"/>
      <c r="Q921" s="113"/>
      <c r="R921" s="113"/>
      <c r="S921" s="113"/>
      <c r="T921" s="113"/>
      <c r="U921" s="113"/>
      <c r="V921" s="113"/>
      <c r="W921" s="113"/>
      <c r="X921" s="113"/>
      <c r="Y921" s="113"/>
      <c r="Z921" s="113"/>
    </row>
    <row x14ac:dyDescent="0.25" r="922" customHeight="1" ht="15.75">
      <c r="A922" s="123"/>
      <c r="B922" s="123"/>
      <c r="C922" s="124"/>
      <c r="D922" s="124"/>
      <c r="E922" s="124"/>
      <c r="F922" s="124"/>
      <c r="G922" s="124"/>
      <c r="H922" s="124"/>
      <c r="I922" s="124"/>
      <c r="J922" s="124"/>
      <c r="K922" s="124"/>
      <c r="L922" s="124"/>
      <c r="M922" s="124"/>
      <c r="N922" s="124"/>
      <c r="O922" s="124"/>
      <c r="P922" s="113"/>
      <c r="Q922" s="113"/>
      <c r="R922" s="113"/>
      <c r="S922" s="113"/>
      <c r="T922" s="113"/>
      <c r="U922" s="113"/>
      <c r="V922" s="113"/>
      <c r="W922" s="113"/>
      <c r="X922" s="113"/>
      <c r="Y922" s="113"/>
      <c r="Z922" s="113"/>
    </row>
    <row x14ac:dyDescent="0.25" r="923" customHeight="1" ht="15.75">
      <c r="A923" s="123"/>
      <c r="B923" s="123"/>
      <c r="C923" s="124"/>
      <c r="D923" s="124"/>
      <c r="E923" s="124"/>
      <c r="F923" s="124"/>
      <c r="G923" s="124"/>
      <c r="H923" s="124"/>
      <c r="I923" s="124"/>
      <c r="J923" s="124"/>
      <c r="K923" s="124"/>
      <c r="L923" s="124"/>
      <c r="M923" s="124"/>
      <c r="N923" s="124"/>
      <c r="O923" s="124"/>
      <c r="P923" s="113"/>
      <c r="Q923" s="113"/>
      <c r="R923" s="113"/>
      <c r="S923" s="113"/>
      <c r="T923" s="113"/>
      <c r="U923" s="113"/>
      <c r="V923" s="113"/>
      <c r="W923" s="113"/>
      <c r="X923" s="113"/>
      <c r="Y923" s="113"/>
      <c r="Z923" s="113"/>
    </row>
    <row x14ac:dyDescent="0.25" r="924" customHeight="1" ht="15.75">
      <c r="A924" s="123"/>
      <c r="B924" s="123"/>
      <c r="C924" s="124"/>
      <c r="D924" s="124"/>
      <c r="E924" s="124"/>
      <c r="F924" s="124"/>
      <c r="G924" s="124"/>
      <c r="H924" s="124"/>
      <c r="I924" s="124"/>
      <c r="J924" s="124"/>
      <c r="K924" s="124"/>
      <c r="L924" s="124"/>
      <c r="M924" s="124"/>
      <c r="N924" s="124"/>
      <c r="O924" s="124"/>
      <c r="P924" s="113"/>
      <c r="Q924" s="113"/>
      <c r="R924" s="113"/>
      <c r="S924" s="113"/>
      <c r="T924" s="113"/>
      <c r="U924" s="113"/>
      <c r="V924" s="113"/>
      <c r="W924" s="113"/>
      <c r="X924" s="113"/>
      <c r="Y924" s="113"/>
      <c r="Z924" s="113"/>
    </row>
    <row x14ac:dyDescent="0.25" r="925" customHeight="1" ht="15.75">
      <c r="A925" s="123"/>
      <c r="B925" s="123"/>
      <c r="C925" s="124"/>
      <c r="D925" s="124"/>
      <c r="E925" s="124"/>
      <c r="F925" s="124"/>
      <c r="G925" s="124"/>
      <c r="H925" s="124"/>
      <c r="I925" s="124"/>
      <c r="J925" s="124"/>
      <c r="K925" s="124"/>
      <c r="L925" s="124"/>
      <c r="M925" s="124"/>
      <c r="N925" s="124"/>
      <c r="O925" s="124"/>
      <c r="P925" s="113"/>
      <c r="Q925" s="113"/>
      <c r="R925" s="113"/>
      <c r="S925" s="113"/>
      <c r="T925" s="113"/>
      <c r="U925" s="113"/>
      <c r="V925" s="113"/>
      <c r="W925" s="113"/>
      <c r="X925" s="113"/>
      <c r="Y925" s="113"/>
      <c r="Z925" s="113"/>
    </row>
    <row x14ac:dyDescent="0.25" r="926" customHeight="1" ht="15.75">
      <c r="A926" s="123"/>
      <c r="B926" s="123"/>
      <c r="C926" s="124"/>
      <c r="D926" s="124"/>
      <c r="E926" s="124"/>
      <c r="F926" s="124"/>
      <c r="G926" s="124"/>
      <c r="H926" s="124"/>
      <c r="I926" s="124"/>
      <c r="J926" s="124"/>
      <c r="K926" s="124"/>
      <c r="L926" s="124"/>
      <c r="M926" s="124"/>
      <c r="N926" s="124"/>
      <c r="O926" s="124"/>
      <c r="P926" s="113"/>
      <c r="Q926" s="113"/>
      <c r="R926" s="113"/>
      <c r="S926" s="113"/>
      <c r="T926" s="113"/>
      <c r="U926" s="113"/>
      <c r="V926" s="113"/>
      <c r="W926" s="113"/>
      <c r="X926" s="113"/>
      <c r="Y926" s="113"/>
      <c r="Z926" s="113"/>
    </row>
    <row x14ac:dyDescent="0.25" r="927" customHeight="1" ht="15.75">
      <c r="A927" s="123"/>
      <c r="B927" s="123"/>
      <c r="C927" s="124"/>
      <c r="D927" s="124"/>
      <c r="E927" s="124"/>
      <c r="F927" s="124"/>
      <c r="G927" s="124"/>
      <c r="H927" s="124"/>
      <c r="I927" s="124"/>
      <c r="J927" s="124"/>
      <c r="K927" s="124"/>
      <c r="L927" s="124"/>
      <c r="M927" s="124"/>
      <c r="N927" s="124"/>
      <c r="O927" s="124"/>
      <c r="P927" s="113"/>
      <c r="Q927" s="113"/>
      <c r="R927" s="113"/>
      <c r="S927" s="113"/>
      <c r="T927" s="113"/>
      <c r="U927" s="113"/>
      <c r="V927" s="113"/>
      <c r="W927" s="113"/>
      <c r="X927" s="113"/>
      <c r="Y927" s="113"/>
      <c r="Z927" s="113"/>
    </row>
    <row x14ac:dyDescent="0.25" r="928" customHeight="1" ht="15.75">
      <c r="A928" s="123"/>
      <c r="B928" s="123"/>
      <c r="C928" s="124"/>
      <c r="D928" s="124"/>
      <c r="E928" s="124"/>
      <c r="F928" s="124"/>
      <c r="G928" s="124"/>
      <c r="H928" s="124"/>
      <c r="I928" s="124"/>
      <c r="J928" s="124"/>
      <c r="K928" s="124"/>
      <c r="L928" s="124"/>
      <c r="M928" s="124"/>
      <c r="N928" s="124"/>
      <c r="O928" s="124"/>
      <c r="P928" s="113"/>
      <c r="Q928" s="113"/>
      <c r="R928" s="113"/>
      <c r="S928" s="113"/>
      <c r="T928" s="113"/>
      <c r="U928" s="113"/>
      <c r="V928" s="113"/>
      <c r="W928" s="113"/>
      <c r="X928" s="113"/>
      <c r="Y928" s="113"/>
      <c r="Z928" s="113"/>
    </row>
    <row x14ac:dyDescent="0.25" r="929" customHeight="1" ht="15.75">
      <c r="A929" s="123"/>
      <c r="B929" s="123"/>
      <c r="C929" s="124"/>
      <c r="D929" s="124"/>
      <c r="E929" s="124"/>
      <c r="F929" s="124"/>
      <c r="G929" s="124"/>
      <c r="H929" s="124"/>
      <c r="I929" s="124"/>
      <c r="J929" s="124"/>
      <c r="K929" s="124"/>
      <c r="L929" s="124"/>
      <c r="M929" s="124"/>
      <c r="N929" s="124"/>
      <c r="O929" s="124"/>
      <c r="P929" s="113"/>
      <c r="Q929" s="113"/>
      <c r="R929" s="113"/>
      <c r="S929" s="113"/>
      <c r="T929" s="113"/>
      <c r="U929" s="113"/>
      <c r="V929" s="113"/>
      <c r="W929" s="113"/>
      <c r="X929" s="113"/>
      <c r="Y929" s="113"/>
      <c r="Z929" s="113"/>
    </row>
    <row x14ac:dyDescent="0.25" r="930" customHeight="1" ht="15.75">
      <c r="A930" s="123"/>
      <c r="B930" s="123"/>
      <c r="C930" s="124"/>
      <c r="D930" s="124"/>
      <c r="E930" s="124"/>
      <c r="F930" s="124"/>
      <c r="G930" s="124"/>
      <c r="H930" s="124"/>
      <c r="I930" s="124"/>
      <c r="J930" s="124"/>
      <c r="K930" s="124"/>
      <c r="L930" s="124"/>
      <c r="M930" s="124"/>
      <c r="N930" s="124"/>
      <c r="O930" s="124"/>
      <c r="P930" s="113"/>
      <c r="Q930" s="113"/>
      <c r="R930" s="113"/>
      <c r="S930" s="113"/>
      <c r="T930" s="113"/>
      <c r="U930" s="113"/>
      <c r="V930" s="113"/>
      <c r="W930" s="113"/>
      <c r="X930" s="113"/>
      <c r="Y930" s="113"/>
      <c r="Z930" s="113"/>
    </row>
    <row x14ac:dyDescent="0.25" r="931" customHeight="1" ht="15.75">
      <c r="A931" s="123"/>
      <c r="B931" s="123"/>
      <c r="C931" s="124"/>
      <c r="D931" s="124"/>
      <c r="E931" s="124"/>
      <c r="F931" s="124"/>
      <c r="G931" s="124"/>
      <c r="H931" s="124"/>
      <c r="I931" s="124"/>
      <c r="J931" s="124"/>
      <c r="K931" s="124"/>
      <c r="L931" s="124"/>
      <c r="M931" s="124"/>
      <c r="N931" s="124"/>
      <c r="O931" s="124"/>
      <c r="P931" s="113"/>
      <c r="Q931" s="113"/>
      <c r="R931" s="113"/>
      <c r="S931" s="113"/>
      <c r="T931" s="113"/>
      <c r="U931" s="113"/>
      <c r="V931" s="113"/>
      <c r="W931" s="113"/>
      <c r="X931" s="113"/>
      <c r="Y931" s="113"/>
      <c r="Z931" s="113"/>
    </row>
    <row x14ac:dyDescent="0.25" r="932" customHeight="1" ht="15.75">
      <c r="A932" s="123"/>
      <c r="B932" s="123"/>
      <c r="C932" s="124"/>
      <c r="D932" s="124"/>
      <c r="E932" s="124"/>
      <c r="F932" s="124"/>
      <c r="G932" s="124"/>
      <c r="H932" s="124"/>
      <c r="I932" s="124"/>
      <c r="J932" s="124"/>
      <c r="K932" s="124"/>
      <c r="L932" s="124"/>
      <c r="M932" s="124"/>
      <c r="N932" s="124"/>
      <c r="O932" s="124"/>
      <c r="P932" s="113"/>
      <c r="Q932" s="113"/>
      <c r="R932" s="113"/>
      <c r="S932" s="113"/>
      <c r="T932" s="113"/>
      <c r="U932" s="113"/>
      <c r="V932" s="113"/>
      <c r="W932" s="113"/>
      <c r="X932" s="113"/>
      <c r="Y932" s="113"/>
      <c r="Z932" s="113"/>
    </row>
    <row x14ac:dyDescent="0.25" r="933" customHeight="1" ht="15.75">
      <c r="A933" s="123"/>
      <c r="B933" s="123"/>
      <c r="C933" s="124"/>
      <c r="D933" s="124"/>
      <c r="E933" s="124"/>
      <c r="F933" s="124"/>
      <c r="G933" s="124"/>
      <c r="H933" s="124"/>
      <c r="I933" s="124"/>
      <c r="J933" s="124"/>
      <c r="K933" s="124"/>
      <c r="L933" s="124"/>
      <c r="M933" s="124"/>
      <c r="N933" s="124"/>
      <c r="O933" s="124"/>
      <c r="P933" s="113"/>
      <c r="Q933" s="113"/>
      <c r="R933" s="113"/>
      <c r="S933" s="113"/>
      <c r="T933" s="113"/>
      <c r="U933" s="113"/>
      <c r="V933" s="113"/>
      <c r="W933" s="113"/>
      <c r="X933" s="113"/>
      <c r="Y933" s="113"/>
      <c r="Z933" s="113"/>
    </row>
    <row x14ac:dyDescent="0.25" r="934" customHeight="1" ht="15.75">
      <c r="A934" s="123"/>
      <c r="B934" s="123"/>
      <c r="C934" s="124"/>
      <c r="D934" s="124"/>
      <c r="E934" s="124"/>
      <c r="F934" s="124"/>
      <c r="G934" s="124"/>
      <c r="H934" s="124"/>
      <c r="I934" s="124"/>
      <c r="J934" s="124"/>
      <c r="K934" s="124"/>
      <c r="L934" s="124"/>
      <c r="M934" s="124"/>
      <c r="N934" s="124"/>
      <c r="O934" s="124"/>
      <c r="P934" s="113"/>
      <c r="Q934" s="113"/>
      <c r="R934" s="113"/>
      <c r="S934" s="113"/>
      <c r="T934" s="113"/>
      <c r="U934" s="113"/>
      <c r="V934" s="113"/>
      <c r="W934" s="113"/>
      <c r="X934" s="113"/>
      <c r="Y934" s="113"/>
      <c r="Z934" s="113"/>
    </row>
    <row x14ac:dyDescent="0.25" r="935" customHeight="1" ht="15.75">
      <c r="A935" s="123"/>
      <c r="B935" s="123"/>
      <c r="C935" s="124"/>
      <c r="D935" s="124"/>
      <c r="E935" s="124"/>
      <c r="F935" s="124"/>
      <c r="G935" s="124"/>
      <c r="H935" s="124"/>
      <c r="I935" s="124"/>
      <c r="J935" s="124"/>
      <c r="K935" s="124"/>
      <c r="L935" s="124"/>
      <c r="M935" s="124"/>
      <c r="N935" s="124"/>
      <c r="O935" s="124"/>
      <c r="P935" s="113"/>
      <c r="Q935" s="113"/>
      <c r="R935" s="113"/>
      <c r="S935" s="113"/>
      <c r="T935" s="113"/>
      <c r="U935" s="113"/>
      <c r="V935" s="113"/>
      <c r="W935" s="113"/>
      <c r="X935" s="113"/>
      <c r="Y935" s="113"/>
      <c r="Z935" s="113"/>
    </row>
    <row x14ac:dyDescent="0.25" r="936" customHeight="1" ht="15.75">
      <c r="A936" s="123"/>
      <c r="B936" s="123"/>
      <c r="C936" s="124"/>
      <c r="D936" s="124"/>
      <c r="E936" s="124"/>
      <c r="F936" s="124"/>
      <c r="G936" s="124"/>
      <c r="H936" s="124"/>
      <c r="I936" s="124"/>
      <c r="J936" s="124"/>
      <c r="K936" s="124"/>
      <c r="L936" s="124"/>
      <c r="M936" s="124"/>
      <c r="N936" s="124"/>
      <c r="O936" s="124"/>
      <c r="P936" s="113"/>
      <c r="Q936" s="113"/>
      <c r="R936" s="113"/>
      <c r="S936" s="113"/>
      <c r="T936" s="113"/>
      <c r="U936" s="113"/>
      <c r="V936" s="113"/>
      <c r="W936" s="113"/>
      <c r="X936" s="113"/>
      <c r="Y936" s="113"/>
      <c r="Z936" s="113"/>
    </row>
    <row x14ac:dyDescent="0.25" r="937" customHeight="1" ht="15.75">
      <c r="A937" s="123"/>
      <c r="B937" s="123"/>
      <c r="C937" s="124"/>
      <c r="D937" s="124"/>
      <c r="E937" s="124"/>
      <c r="F937" s="124"/>
      <c r="G937" s="124"/>
      <c r="H937" s="124"/>
      <c r="I937" s="124"/>
      <c r="J937" s="124"/>
      <c r="K937" s="124"/>
      <c r="L937" s="124"/>
      <c r="M937" s="124"/>
      <c r="N937" s="124"/>
      <c r="O937" s="124"/>
      <c r="P937" s="113"/>
      <c r="Q937" s="113"/>
      <c r="R937" s="113"/>
      <c r="S937" s="113"/>
      <c r="T937" s="113"/>
      <c r="U937" s="113"/>
      <c r="V937" s="113"/>
      <c r="W937" s="113"/>
      <c r="X937" s="113"/>
      <c r="Y937" s="113"/>
      <c r="Z937" s="113"/>
    </row>
    <row x14ac:dyDescent="0.25" r="938" customHeight="1" ht="15.75">
      <c r="A938" s="123"/>
      <c r="B938" s="123"/>
      <c r="C938" s="124"/>
      <c r="D938" s="124"/>
      <c r="E938" s="124"/>
      <c r="F938" s="124"/>
      <c r="G938" s="124"/>
      <c r="H938" s="124"/>
      <c r="I938" s="124"/>
      <c r="J938" s="124"/>
      <c r="K938" s="124"/>
      <c r="L938" s="124"/>
      <c r="M938" s="124"/>
      <c r="N938" s="124"/>
      <c r="O938" s="124"/>
      <c r="P938" s="113"/>
      <c r="Q938" s="113"/>
      <c r="R938" s="113"/>
      <c r="S938" s="113"/>
      <c r="T938" s="113"/>
      <c r="U938" s="113"/>
      <c r="V938" s="113"/>
      <c r="W938" s="113"/>
      <c r="X938" s="113"/>
      <c r="Y938" s="113"/>
      <c r="Z938" s="113"/>
    </row>
    <row x14ac:dyDescent="0.25" r="939" customHeight="1" ht="15.75">
      <c r="A939" s="123"/>
      <c r="B939" s="123"/>
      <c r="C939" s="124"/>
      <c r="D939" s="124"/>
      <c r="E939" s="124"/>
      <c r="F939" s="124"/>
      <c r="G939" s="124"/>
      <c r="H939" s="124"/>
      <c r="I939" s="124"/>
      <c r="J939" s="124"/>
      <c r="K939" s="124"/>
      <c r="L939" s="124"/>
      <c r="M939" s="124"/>
      <c r="N939" s="124"/>
      <c r="O939" s="124"/>
      <c r="P939" s="113"/>
      <c r="Q939" s="113"/>
      <c r="R939" s="113"/>
      <c r="S939" s="113"/>
      <c r="T939" s="113"/>
      <c r="U939" s="113"/>
      <c r="V939" s="113"/>
      <c r="W939" s="113"/>
      <c r="X939" s="113"/>
      <c r="Y939" s="113"/>
      <c r="Z939" s="113"/>
    </row>
    <row x14ac:dyDescent="0.25" r="940" customHeight="1" ht="15.75">
      <c r="A940" s="123"/>
      <c r="B940" s="123"/>
      <c r="C940" s="124"/>
      <c r="D940" s="124"/>
      <c r="E940" s="124"/>
      <c r="F940" s="124"/>
      <c r="G940" s="124"/>
      <c r="H940" s="124"/>
      <c r="I940" s="124"/>
      <c r="J940" s="124"/>
      <c r="K940" s="124"/>
      <c r="L940" s="124"/>
      <c r="M940" s="124"/>
      <c r="N940" s="124"/>
      <c r="O940" s="124"/>
      <c r="P940" s="113"/>
      <c r="Q940" s="113"/>
      <c r="R940" s="113"/>
      <c r="S940" s="113"/>
      <c r="T940" s="113"/>
      <c r="U940" s="113"/>
      <c r="V940" s="113"/>
      <c r="W940" s="113"/>
      <c r="X940" s="113"/>
      <c r="Y940" s="113"/>
      <c r="Z940" s="113"/>
    </row>
    <row x14ac:dyDescent="0.25" r="941" customHeight="1" ht="15.75">
      <c r="A941" s="123"/>
      <c r="B941" s="123"/>
      <c r="C941" s="124"/>
      <c r="D941" s="124"/>
      <c r="E941" s="124"/>
      <c r="F941" s="124"/>
      <c r="G941" s="124"/>
      <c r="H941" s="124"/>
      <c r="I941" s="124"/>
      <c r="J941" s="124"/>
      <c r="K941" s="124"/>
      <c r="L941" s="124"/>
      <c r="M941" s="124"/>
      <c r="N941" s="124"/>
      <c r="O941" s="124"/>
      <c r="P941" s="113"/>
      <c r="Q941" s="113"/>
      <c r="R941" s="113"/>
      <c r="S941" s="113"/>
      <c r="T941" s="113"/>
      <c r="U941" s="113"/>
      <c r="V941" s="113"/>
      <c r="W941" s="113"/>
      <c r="X941" s="113"/>
      <c r="Y941" s="113"/>
      <c r="Z941" s="113"/>
    </row>
    <row x14ac:dyDescent="0.25" r="942" customHeight="1" ht="15.75">
      <c r="A942" s="123"/>
      <c r="B942" s="123"/>
      <c r="C942" s="124"/>
      <c r="D942" s="124"/>
      <c r="E942" s="124"/>
      <c r="F942" s="124"/>
      <c r="G942" s="124"/>
      <c r="H942" s="124"/>
      <c r="I942" s="124"/>
      <c r="J942" s="124"/>
      <c r="K942" s="124"/>
      <c r="L942" s="124"/>
      <c r="M942" s="124"/>
      <c r="N942" s="124"/>
      <c r="O942" s="124"/>
      <c r="P942" s="113"/>
      <c r="Q942" s="113"/>
      <c r="R942" s="113"/>
      <c r="S942" s="113"/>
      <c r="T942" s="113"/>
      <c r="U942" s="113"/>
      <c r="V942" s="113"/>
      <c r="W942" s="113"/>
      <c r="X942" s="113"/>
      <c r="Y942" s="113"/>
      <c r="Z942" s="113"/>
    </row>
    <row x14ac:dyDescent="0.25" r="943" customHeight="1" ht="15.75">
      <c r="A943" s="123"/>
      <c r="B943" s="123"/>
      <c r="C943" s="124"/>
      <c r="D943" s="124"/>
      <c r="E943" s="124"/>
      <c r="F943" s="124"/>
      <c r="G943" s="124"/>
      <c r="H943" s="124"/>
      <c r="I943" s="124"/>
      <c r="J943" s="124"/>
      <c r="K943" s="124"/>
      <c r="L943" s="124"/>
      <c r="M943" s="124"/>
      <c r="N943" s="124"/>
      <c r="O943" s="124"/>
      <c r="P943" s="113"/>
      <c r="Q943" s="113"/>
      <c r="R943" s="113"/>
      <c r="S943" s="113"/>
      <c r="T943" s="113"/>
      <c r="U943" s="113"/>
      <c r="V943" s="113"/>
      <c r="W943" s="113"/>
      <c r="X943" s="113"/>
      <c r="Y943" s="113"/>
      <c r="Z943" s="113"/>
    </row>
    <row x14ac:dyDescent="0.25" r="944" customHeight="1" ht="15.75">
      <c r="A944" s="123"/>
      <c r="B944" s="123"/>
      <c r="C944" s="124"/>
      <c r="D944" s="124"/>
      <c r="E944" s="124"/>
      <c r="F944" s="124"/>
      <c r="G944" s="124"/>
      <c r="H944" s="124"/>
      <c r="I944" s="124"/>
      <c r="J944" s="124"/>
      <c r="K944" s="124"/>
      <c r="L944" s="124"/>
      <c r="M944" s="124"/>
      <c r="N944" s="124"/>
      <c r="O944" s="124"/>
      <c r="P944" s="113"/>
      <c r="Q944" s="113"/>
      <c r="R944" s="113"/>
      <c r="S944" s="113"/>
      <c r="T944" s="113"/>
      <c r="U944" s="113"/>
      <c r="V944" s="113"/>
      <c r="W944" s="113"/>
      <c r="X944" s="113"/>
      <c r="Y944" s="113"/>
      <c r="Z944" s="113"/>
    </row>
    <row x14ac:dyDescent="0.25" r="945" customHeight="1" ht="15.75">
      <c r="A945" s="123"/>
      <c r="B945" s="123"/>
      <c r="C945" s="124"/>
      <c r="D945" s="124"/>
      <c r="E945" s="124"/>
      <c r="F945" s="124"/>
      <c r="G945" s="124"/>
      <c r="H945" s="124"/>
      <c r="I945" s="124"/>
      <c r="J945" s="124"/>
      <c r="K945" s="124"/>
      <c r="L945" s="124"/>
      <c r="M945" s="124"/>
      <c r="N945" s="124"/>
      <c r="O945" s="124"/>
      <c r="P945" s="113"/>
      <c r="Q945" s="113"/>
      <c r="R945" s="113"/>
      <c r="S945" s="113"/>
      <c r="T945" s="113"/>
      <c r="U945" s="113"/>
      <c r="V945" s="113"/>
      <c r="W945" s="113"/>
      <c r="X945" s="113"/>
      <c r="Y945" s="113"/>
      <c r="Z945" s="113"/>
    </row>
    <row x14ac:dyDescent="0.25" r="946" customHeight="1" ht="15.75">
      <c r="A946" s="123"/>
      <c r="B946" s="123"/>
      <c r="C946" s="124"/>
      <c r="D946" s="124"/>
      <c r="E946" s="124"/>
      <c r="F946" s="124"/>
      <c r="G946" s="124"/>
      <c r="H946" s="124"/>
      <c r="I946" s="124"/>
      <c r="J946" s="124"/>
      <c r="K946" s="124"/>
      <c r="L946" s="124"/>
      <c r="M946" s="124"/>
      <c r="N946" s="124"/>
      <c r="O946" s="124"/>
      <c r="P946" s="113"/>
      <c r="Q946" s="113"/>
      <c r="R946" s="113"/>
      <c r="S946" s="113"/>
      <c r="T946" s="113"/>
      <c r="U946" s="113"/>
      <c r="V946" s="113"/>
      <c r="W946" s="113"/>
      <c r="X946" s="113"/>
      <c r="Y946" s="113"/>
      <c r="Z946" s="113"/>
    </row>
    <row x14ac:dyDescent="0.25" r="947" customHeight="1" ht="15.75">
      <c r="A947" s="123"/>
      <c r="B947" s="123"/>
      <c r="C947" s="124"/>
      <c r="D947" s="124"/>
      <c r="E947" s="124"/>
      <c r="F947" s="124"/>
      <c r="G947" s="124"/>
      <c r="H947" s="124"/>
      <c r="I947" s="124"/>
      <c r="J947" s="124"/>
      <c r="K947" s="124"/>
      <c r="L947" s="124"/>
      <c r="M947" s="124"/>
      <c r="N947" s="124"/>
      <c r="O947" s="124"/>
      <c r="P947" s="113"/>
      <c r="Q947" s="113"/>
      <c r="R947" s="113"/>
      <c r="S947" s="113"/>
      <c r="T947" s="113"/>
      <c r="U947" s="113"/>
      <c r="V947" s="113"/>
      <c r="W947" s="113"/>
      <c r="X947" s="113"/>
      <c r="Y947" s="113"/>
      <c r="Z947" s="113"/>
    </row>
    <row x14ac:dyDescent="0.25" r="948" customHeight="1" ht="15.75">
      <c r="A948" s="123"/>
      <c r="B948" s="123"/>
      <c r="C948" s="124"/>
      <c r="D948" s="124"/>
      <c r="E948" s="124"/>
      <c r="F948" s="124"/>
      <c r="G948" s="124"/>
      <c r="H948" s="124"/>
      <c r="I948" s="124"/>
      <c r="J948" s="124"/>
      <c r="K948" s="124"/>
      <c r="L948" s="124"/>
      <c r="M948" s="124"/>
      <c r="N948" s="124"/>
      <c r="O948" s="124"/>
      <c r="P948" s="113"/>
      <c r="Q948" s="113"/>
      <c r="R948" s="113"/>
      <c r="S948" s="113"/>
      <c r="T948" s="113"/>
      <c r="U948" s="113"/>
      <c r="V948" s="113"/>
      <c r="W948" s="113"/>
      <c r="X948" s="113"/>
      <c r="Y948" s="113"/>
      <c r="Z948" s="113"/>
    </row>
    <row x14ac:dyDescent="0.25" r="949" customHeight="1" ht="15.75">
      <c r="A949" s="123"/>
      <c r="B949" s="123"/>
      <c r="C949" s="124"/>
      <c r="D949" s="124"/>
      <c r="E949" s="124"/>
      <c r="F949" s="124"/>
      <c r="G949" s="124"/>
      <c r="H949" s="124"/>
      <c r="I949" s="124"/>
      <c r="J949" s="124"/>
      <c r="K949" s="124"/>
      <c r="L949" s="124"/>
      <c r="M949" s="124"/>
      <c r="N949" s="124"/>
      <c r="O949" s="124"/>
      <c r="P949" s="113"/>
      <c r="Q949" s="113"/>
      <c r="R949" s="113"/>
      <c r="S949" s="113"/>
      <c r="T949" s="113"/>
      <c r="U949" s="113"/>
      <c r="V949" s="113"/>
      <c r="W949" s="113"/>
      <c r="X949" s="113"/>
      <c r="Y949" s="113"/>
      <c r="Z949" s="113"/>
    </row>
    <row x14ac:dyDescent="0.25" r="950" customHeight="1" ht="15.75">
      <c r="A950" s="123"/>
      <c r="B950" s="123"/>
      <c r="C950" s="124"/>
      <c r="D950" s="124"/>
      <c r="E950" s="124"/>
      <c r="F950" s="124"/>
      <c r="G950" s="124"/>
      <c r="H950" s="124"/>
      <c r="I950" s="124"/>
      <c r="J950" s="124"/>
      <c r="K950" s="124"/>
      <c r="L950" s="124"/>
      <c r="M950" s="124"/>
      <c r="N950" s="124"/>
      <c r="O950" s="124"/>
      <c r="P950" s="113"/>
      <c r="Q950" s="113"/>
      <c r="R950" s="113"/>
      <c r="S950" s="113"/>
      <c r="T950" s="113"/>
      <c r="U950" s="113"/>
      <c r="V950" s="113"/>
      <c r="W950" s="113"/>
      <c r="X950" s="113"/>
      <c r="Y950" s="113"/>
      <c r="Z950" s="113"/>
    </row>
    <row x14ac:dyDescent="0.25" r="951" customHeight="1" ht="15.75">
      <c r="A951" s="123"/>
      <c r="B951" s="123"/>
      <c r="C951" s="124"/>
      <c r="D951" s="124"/>
      <c r="E951" s="124"/>
      <c r="F951" s="124"/>
      <c r="G951" s="124"/>
      <c r="H951" s="124"/>
      <c r="I951" s="124"/>
      <c r="J951" s="124"/>
      <c r="K951" s="124"/>
      <c r="L951" s="124"/>
      <c r="M951" s="124"/>
      <c r="N951" s="124"/>
      <c r="O951" s="124"/>
      <c r="P951" s="113"/>
      <c r="Q951" s="113"/>
      <c r="R951" s="113"/>
      <c r="S951" s="113"/>
      <c r="T951" s="113"/>
      <c r="U951" s="113"/>
      <c r="V951" s="113"/>
      <c r="W951" s="113"/>
      <c r="X951" s="113"/>
      <c r="Y951" s="113"/>
      <c r="Z951" s="113"/>
    </row>
    <row x14ac:dyDescent="0.25" r="952" customHeight="1" ht="15.75">
      <c r="A952" s="123"/>
      <c r="B952" s="123"/>
      <c r="C952" s="124"/>
      <c r="D952" s="124"/>
      <c r="E952" s="124"/>
      <c r="F952" s="124"/>
      <c r="G952" s="124"/>
      <c r="H952" s="124"/>
      <c r="I952" s="124"/>
      <c r="J952" s="124"/>
      <c r="K952" s="124"/>
      <c r="L952" s="124"/>
      <c r="M952" s="124"/>
      <c r="N952" s="124"/>
      <c r="O952" s="124"/>
      <c r="P952" s="113"/>
      <c r="Q952" s="113"/>
      <c r="R952" s="113"/>
      <c r="S952" s="113"/>
      <c r="T952" s="113"/>
      <c r="U952" s="113"/>
      <c r="V952" s="113"/>
      <c r="W952" s="113"/>
      <c r="X952" s="113"/>
      <c r="Y952" s="113"/>
      <c r="Z952" s="113"/>
    </row>
    <row x14ac:dyDescent="0.25" r="953" customHeight="1" ht="15.75">
      <c r="A953" s="123"/>
      <c r="B953" s="123"/>
      <c r="C953" s="124"/>
      <c r="D953" s="124"/>
      <c r="E953" s="124"/>
      <c r="F953" s="124"/>
      <c r="G953" s="124"/>
      <c r="H953" s="124"/>
      <c r="I953" s="124"/>
      <c r="J953" s="124"/>
      <c r="K953" s="124"/>
      <c r="L953" s="124"/>
      <c r="M953" s="124"/>
      <c r="N953" s="124"/>
      <c r="O953" s="124"/>
      <c r="P953" s="113"/>
      <c r="Q953" s="113"/>
      <c r="R953" s="113"/>
      <c r="S953" s="113"/>
      <c r="T953" s="113"/>
      <c r="U953" s="113"/>
      <c r="V953" s="113"/>
      <c r="W953" s="113"/>
      <c r="X953" s="113"/>
      <c r="Y953" s="113"/>
      <c r="Z953" s="113"/>
    </row>
    <row x14ac:dyDescent="0.25" r="954" customHeight="1" ht="15.75">
      <c r="A954" s="123"/>
      <c r="B954" s="123"/>
      <c r="C954" s="124"/>
      <c r="D954" s="124"/>
      <c r="E954" s="124"/>
      <c r="F954" s="124"/>
      <c r="G954" s="124"/>
      <c r="H954" s="124"/>
      <c r="I954" s="124"/>
      <c r="J954" s="124"/>
      <c r="K954" s="124"/>
      <c r="L954" s="124"/>
      <c r="M954" s="124"/>
      <c r="N954" s="124"/>
      <c r="O954" s="124"/>
      <c r="P954" s="113"/>
      <c r="Q954" s="113"/>
      <c r="R954" s="113"/>
      <c r="S954" s="113"/>
      <c r="T954" s="113"/>
      <c r="U954" s="113"/>
      <c r="V954" s="113"/>
      <c r="W954" s="113"/>
      <c r="X954" s="113"/>
      <c r="Y954" s="113"/>
      <c r="Z954" s="113"/>
    </row>
    <row x14ac:dyDescent="0.25" r="955" customHeight="1" ht="15.75">
      <c r="A955" s="123"/>
      <c r="B955" s="123"/>
      <c r="C955" s="124"/>
      <c r="D955" s="124"/>
      <c r="E955" s="124"/>
      <c r="F955" s="124"/>
      <c r="G955" s="124"/>
      <c r="H955" s="124"/>
      <c r="I955" s="124"/>
      <c r="J955" s="124"/>
      <c r="K955" s="124"/>
      <c r="L955" s="124"/>
      <c r="M955" s="124"/>
      <c r="N955" s="124"/>
      <c r="O955" s="124"/>
      <c r="P955" s="113"/>
      <c r="Q955" s="113"/>
      <c r="R955" s="113"/>
      <c r="S955" s="113"/>
      <c r="T955" s="113"/>
      <c r="U955" s="113"/>
      <c r="V955" s="113"/>
      <c r="W955" s="113"/>
      <c r="X955" s="113"/>
      <c r="Y955" s="113"/>
      <c r="Z955" s="113"/>
    </row>
    <row x14ac:dyDescent="0.25" r="956" customHeight="1" ht="15.75">
      <c r="A956" s="123"/>
      <c r="B956" s="123"/>
      <c r="C956" s="124"/>
      <c r="D956" s="124"/>
      <c r="E956" s="124"/>
      <c r="F956" s="124"/>
      <c r="G956" s="124"/>
      <c r="H956" s="124"/>
      <c r="I956" s="124"/>
      <c r="J956" s="124"/>
      <c r="K956" s="124"/>
      <c r="L956" s="124"/>
      <c r="M956" s="124"/>
      <c r="N956" s="124"/>
      <c r="O956" s="124"/>
      <c r="P956" s="113"/>
      <c r="Q956" s="113"/>
      <c r="R956" s="113"/>
      <c r="S956" s="113"/>
      <c r="T956" s="113"/>
      <c r="U956" s="113"/>
      <c r="V956" s="113"/>
      <c r="W956" s="113"/>
      <c r="X956" s="113"/>
      <c r="Y956" s="113"/>
      <c r="Z956" s="113"/>
    </row>
    <row x14ac:dyDescent="0.25" r="957" customHeight="1" ht="15.75">
      <c r="A957" s="123"/>
      <c r="B957" s="123"/>
      <c r="C957" s="124"/>
      <c r="D957" s="124"/>
      <c r="E957" s="124"/>
      <c r="F957" s="124"/>
      <c r="G957" s="124"/>
      <c r="H957" s="124"/>
      <c r="I957" s="124"/>
      <c r="J957" s="124"/>
      <c r="K957" s="124"/>
      <c r="L957" s="124"/>
      <c r="M957" s="124"/>
      <c r="N957" s="124"/>
      <c r="O957" s="124"/>
      <c r="P957" s="113"/>
      <c r="Q957" s="113"/>
      <c r="R957" s="113"/>
      <c r="S957" s="113"/>
      <c r="T957" s="113"/>
      <c r="U957" s="113"/>
      <c r="V957" s="113"/>
      <c r="W957" s="113"/>
      <c r="X957" s="113"/>
      <c r="Y957" s="113"/>
      <c r="Z957" s="113"/>
    </row>
    <row x14ac:dyDescent="0.25" r="958" customHeight="1" ht="15.75">
      <c r="A958" s="123"/>
      <c r="B958" s="123"/>
      <c r="C958" s="124"/>
      <c r="D958" s="124"/>
      <c r="E958" s="124"/>
      <c r="F958" s="124"/>
      <c r="G958" s="124"/>
      <c r="H958" s="124"/>
      <c r="I958" s="124"/>
      <c r="J958" s="124"/>
      <c r="K958" s="124"/>
      <c r="L958" s="124"/>
      <c r="M958" s="124"/>
      <c r="N958" s="124"/>
      <c r="O958" s="124"/>
      <c r="P958" s="113"/>
      <c r="Q958" s="113"/>
      <c r="R958" s="113"/>
      <c r="S958" s="113"/>
      <c r="T958" s="113"/>
      <c r="U958" s="113"/>
      <c r="V958" s="113"/>
      <c r="W958" s="113"/>
      <c r="X958" s="113"/>
      <c r="Y958" s="113"/>
      <c r="Z958" s="113"/>
    </row>
    <row x14ac:dyDescent="0.25" r="959" customHeight="1" ht="15.75">
      <c r="A959" s="123"/>
      <c r="B959" s="123"/>
      <c r="C959" s="124"/>
      <c r="D959" s="124"/>
      <c r="E959" s="124"/>
      <c r="F959" s="124"/>
      <c r="G959" s="124"/>
      <c r="H959" s="124"/>
      <c r="I959" s="124"/>
      <c r="J959" s="124"/>
      <c r="K959" s="124"/>
      <c r="L959" s="124"/>
      <c r="M959" s="124"/>
      <c r="N959" s="124"/>
      <c r="O959" s="124"/>
      <c r="P959" s="113"/>
      <c r="Q959" s="113"/>
      <c r="R959" s="113"/>
      <c r="S959" s="113"/>
      <c r="T959" s="113"/>
      <c r="U959" s="113"/>
      <c r="V959" s="113"/>
      <c r="W959" s="113"/>
      <c r="X959" s="113"/>
      <c r="Y959" s="113"/>
      <c r="Z959" s="113"/>
    </row>
    <row x14ac:dyDescent="0.25" r="960" customHeight="1" ht="15.75">
      <c r="A960" s="123"/>
      <c r="B960" s="123"/>
      <c r="C960" s="124"/>
      <c r="D960" s="124"/>
      <c r="E960" s="124"/>
      <c r="F960" s="124"/>
      <c r="G960" s="124"/>
      <c r="H960" s="124"/>
      <c r="I960" s="124"/>
      <c r="J960" s="124"/>
      <c r="K960" s="124"/>
      <c r="L960" s="124"/>
      <c r="M960" s="124"/>
      <c r="N960" s="124"/>
      <c r="O960" s="124"/>
      <c r="P960" s="113"/>
      <c r="Q960" s="113"/>
      <c r="R960" s="113"/>
      <c r="S960" s="113"/>
      <c r="T960" s="113"/>
      <c r="U960" s="113"/>
      <c r="V960" s="113"/>
      <c r="W960" s="113"/>
      <c r="X960" s="113"/>
      <c r="Y960" s="113"/>
      <c r="Z960" s="113"/>
    </row>
    <row x14ac:dyDescent="0.25" r="961" customHeight="1" ht="15.75">
      <c r="A961" s="123"/>
      <c r="B961" s="123"/>
      <c r="C961" s="124"/>
      <c r="D961" s="124"/>
      <c r="E961" s="124"/>
      <c r="F961" s="124"/>
      <c r="G961" s="124"/>
      <c r="H961" s="124"/>
      <c r="I961" s="124"/>
      <c r="J961" s="124"/>
      <c r="K961" s="124"/>
      <c r="L961" s="124"/>
      <c r="M961" s="124"/>
      <c r="N961" s="124"/>
      <c r="O961" s="124"/>
      <c r="P961" s="113"/>
      <c r="Q961" s="113"/>
      <c r="R961" s="113"/>
      <c r="S961" s="113"/>
      <c r="T961" s="113"/>
      <c r="U961" s="113"/>
      <c r="V961" s="113"/>
      <c r="W961" s="113"/>
      <c r="X961" s="113"/>
      <c r="Y961" s="113"/>
      <c r="Z961" s="113"/>
    </row>
    <row x14ac:dyDescent="0.25" r="962" customHeight="1" ht="15.75">
      <c r="A962" s="123"/>
      <c r="B962" s="123"/>
      <c r="C962" s="124"/>
      <c r="D962" s="124"/>
      <c r="E962" s="124"/>
      <c r="F962" s="124"/>
      <c r="G962" s="124"/>
      <c r="H962" s="124"/>
      <c r="I962" s="124"/>
      <c r="J962" s="124"/>
      <c r="K962" s="124"/>
      <c r="L962" s="124"/>
      <c r="M962" s="124"/>
      <c r="N962" s="124"/>
      <c r="O962" s="124"/>
      <c r="P962" s="113"/>
      <c r="Q962" s="113"/>
      <c r="R962" s="113"/>
      <c r="S962" s="113"/>
      <c r="T962" s="113"/>
      <c r="U962" s="113"/>
      <c r="V962" s="113"/>
      <c r="W962" s="113"/>
      <c r="X962" s="113"/>
      <c r="Y962" s="113"/>
      <c r="Z962" s="113"/>
    </row>
    <row x14ac:dyDescent="0.25" r="963" customHeight="1" ht="15.75">
      <c r="A963" s="123"/>
      <c r="B963" s="123"/>
      <c r="C963" s="124"/>
      <c r="D963" s="124"/>
      <c r="E963" s="124"/>
      <c r="F963" s="124"/>
      <c r="G963" s="124"/>
      <c r="H963" s="124"/>
      <c r="I963" s="124"/>
      <c r="J963" s="124"/>
      <c r="K963" s="124"/>
      <c r="L963" s="124"/>
      <c r="M963" s="124"/>
      <c r="N963" s="124"/>
      <c r="O963" s="124"/>
      <c r="P963" s="113"/>
      <c r="Q963" s="113"/>
      <c r="R963" s="113"/>
      <c r="S963" s="113"/>
      <c r="T963" s="113"/>
      <c r="U963" s="113"/>
      <c r="V963" s="113"/>
      <c r="W963" s="113"/>
      <c r="X963" s="113"/>
      <c r="Y963" s="113"/>
      <c r="Z963" s="113"/>
    </row>
    <row x14ac:dyDescent="0.25" r="964" customHeight="1" ht="15.75">
      <c r="A964" s="123"/>
      <c r="B964" s="123"/>
      <c r="C964" s="124"/>
      <c r="D964" s="124"/>
      <c r="E964" s="124"/>
      <c r="F964" s="124"/>
      <c r="G964" s="124"/>
      <c r="H964" s="124"/>
      <c r="I964" s="124"/>
      <c r="J964" s="124"/>
      <c r="K964" s="124"/>
      <c r="L964" s="124"/>
      <c r="M964" s="124"/>
      <c r="N964" s="124"/>
      <c r="O964" s="124"/>
      <c r="P964" s="113"/>
      <c r="Q964" s="113"/>
      <c r="R964" s="113"/>
      <c r="S964" s="113"/>
      <c r="T964" s="113"/>
      <c r="U964" s="113"/>
      <c r="V964" s="113"/>
      <c r="W964" s="113"/>
      <c r="X964" s="113"/>
      <c r="Y964" s="113"/>
      <c r="Z964" s="113"/>
    </row>
    <row x14ac:dyDescent="0.25" r="965" customHeight="1" ht="15.75">
      <c r="A965" s="123"/>
      <c r="B965" s="123"/>
      <c r="C965" s="124"/>
      <c r="D965" s="124"/>
      <c r="E965" s="124"/>
      <c r="F965" s="124"/>
      <c r="G965" s="124"/>
      <c r="H965" s="124"/>
      <c r="I965" s="124"/>
      <c r="J965" s="124"/>
      <c r="K965" s="124"/>
      <c r="L965" s="124"/>
      <c r="M965" s="124"/>
      <c r="N965" s="124"/>
      <c r="O965" s="124"/>
      <c r="P965" s="113"/>
      <c r="Q965" s="113"/>
      <c r="R965" s="113"/>
      <c r="S965" s="113"/>
      <c r="T965" s="113"/>
      <c r="U965" s="113"/>
      <c r="V965" s="113"/>
      <c r="W965" s="113"/>
      <c r="X965" s="113"/>
      <c r="Y965" s="113"/>
      <c r="Z965" s="113"/>
    </row>
    <row x14ac:dyDescent="0.25" r="966" customHeight="1" ht="15.75">
      <c r="A966" s="123"/>
      <c r="B966" s="123"/>
      <c r="C966" s="124"/>
      <c r="D966" s="124"/>
      <c r="E966" s="124"/>
      <c r="F966" s="124"/>
      <c r="G966" s="124"/>
      <c r="H966" s="124"/>
      <c r="I966" s="124"/>
      <c r="J966" s="124"/>
      <c r="K966" s="124"/>
      <c r="L966" s="124"/>
      <c r="M966" s="124"/>
      <c r="N966" s="124"/>
      <c r="O966" s="124"/>
      <c r="P966" s="113"/>
      <c r="Q966" s="113"/>
      <c r="R966" s="113"/>
      <c r="S966" s="113"/>
      <c r="T966" s="113"/>
      <c r="U966" s="113"/>
      <c r="V966" s="113"/>
      <c r="W966" s="113"/>
      <c r="X966" s="113"/>
      <c r="Y966" s="113"/>
      <c r="Z966" s="113"/>
    </row>
    <row x14ac:dyDescent="0.25" r="967" customHeight="1" ht="15.75">
      <c r="A967" s="123"/>
      <c r="B967" s="123"/>
      <c r="C967" s="124"/>
      <c r="D967" s="124"/>
      <c r="E967" s="124"/>
      <c r="F967" s="124"/>
      <c r="G967" s="124"/>
      <c r="H967" s="124"/>
      <c r="I967" s="124"/>
      <c r="J967" s="124"/>
      <c r="K967" s="124"/>
      <c r="L967" s="124"/>
      <c r="M967" s="124"/>
      <c r="N967" s="124"/>
      <c r="O967" s="124"/>
      <c r="P967" s="113"/>
      <c r="Q967" s="113"/>
      <c r="R967" s="113"/>
      <c r="S967" s="113"/>
      <c r="T967" s="113"/>
      <c r="U967" s="113"/>
      <c r="V967" s="113"/>
      <c r="W967" s="113"/>
      <c r="X967" s="113"/>
      <c r="Y967" s="113"/>
      <c r="Z967" s="113"/>
    </row>
    <row x14ac:dyDescent="0.25" r="968" customHeight="1" ht="15.75">
      <c r="A968" s="123"/>
      <c r="B968" s="123"/>
      <c r="C968" s="124"/>
      <c r="D968" s="124"/>
      <c r="E968" s="124"/>
      <c r="F968" s="124"/>
      <c r="G968" s="124"/>
      <c r="H968" s="124"/>
      <c r="I968" s="124"/>
      <c r="J968" s="124"/>
      <c r="K968" s="124"/>
      <c r="L968" s="124"/>
      <c r="M968" s="124"/>
      <c r="N968" s="124"/>
      <c r="O968" s="124"/>
      <c r="P968" s="113"/>
      <c r="Q968" s="113"/>
      <c r="R968" s="113"/>
      <c r="S968" s="113"/>
      <c r="T968" s="113"/>
      <c r="U968" s="113"/>
      <c r="V968" s="113"/>
      <c r="W968" s="113"/>
      <c r="X968" s="113"/>
      <c r="Y968" s="113"/>
      <c r="Z968" s="113"/>
    </row>
    <row x14ac:dyDescent="0.25" r="969" customHeight="1" ht="15.75">
      <c r="A969" s="123"/>
      <c r="B969" s="123"/>
      <c r="C969" s="124"/>
      <c r="D969" s="124"/>
      <c r="E969" s="124"/>
      <c r="F969" s="124"/>
      <c r="G969" s="124"/>
      <c r="H969" s="124"/>
      <c r="I969" s="124"/>
      <c r="J969" s="124"/>
      <c r="K969" s="124"/>
      <c r="L969" s="124"/>
      <c r="M969" s="124"/>
      <c r="N969" s="124"/>
      <c r="O969" s="124"/>
      <c r="P969" s="113"/>
      <c r="Q969" s="113"/>
      <c r="R969" s="113"/>
      <c r="S969" s="113"/>
      <c r="T969" s="113"/>
      <c r="U969" s="113"/>
      <c r="V969" s="113"/>
      <c r="W969" s="113"/>
      <c r="X969" s="113"/>
      <c r="Y969" s="113"/>
      <c r="Z969" s="113"/>
    </row>
    <row x14ac:dyDescent="0.25" r="970" customHeight="1" ht="15.75">
      <c r="A970" s="123"/>
      <c r="B970" s="123"/>
      <c r="C970" s="124"/>
      <c r="D970" s="124"/>
      <c r="E970" s="124"/>
      <c r="F970" s="124"/>
      <c r="G970" s="124"/>
      <c r="H970" s="124"/>
      <c r="I970" s="124"/>
      <c r="J970" s="124"/>
      <c r="K970" s="124"/>
      <c r="L970" s="124"/>
      <c r="M970" s="124"/>
      <c r="N970" s="124"/>
      <c r="O970" s="124"/>
      <c r="P970" s="113"/>
      <c r="Q970" s="113"/>
      <c r="R970" s="113"/>
      <c r="S970" s="113"/>
      <c r="T970" s="113"/>
      <c r="U970" s="113"/>
      <c r="V970" s="113"/>
      <c r="W970" s="113"/>
      <c r="X970" s="113"/>
      <c r="Y970" s="113"/>
      <c r="Z970" s="113"/>
    </row>
    <row x14ac:dyDescent="0.25" r="971" customHeight="1" ht="15.75">
      <c r="A971" s="123"/>
      <c r="B971" s="123"/>
      <c r="C971" s="124"/>
      <c r="D971" s="124"/>
      <c r="E971" s="124"/>
      <c r="F971" s="124"/>
      <c r="G971" s="124"/>
      <c r="H971" s="124"/>
      <c r="I971" s="124"/>
      <c r="J971" s="124"/>
      <c r="K971" s="124"/>
      <c r="L971" s="124"/>
      <c r="M971" s="124"/>
      <c r="N971" s="124"/>
      <c r="O971" s="124"/>
      <c r="P971" s="113"/>
      <c r="Q971" s="113"/>
      <c r="R971" s="113"/>
      <c r="S971" s="113"/>
      <c r="T971" s="113"/>
      <c r="U971" s="113"/>
      <c r="V971" s="113"/>
      <c r="W971" s="113"/>
      <c r="X971" s="113"/>
      <c r="Y971" s="113"/>
      <c r="Z971" s="113"/>
    </row>
    <row x14ac:dyDescent="0.25" r="972" customHeight="1" ht="15.75">
      <c r="A972" s="123"/>
      <c r="B972" s="123"/>
      <c r="C972" s="124"/>
      <c r="D972" s="124"/>
      <c r="E972" s="124"/>
      <c r="F972" s="124"/>
      <c r="G972" s="124"/>
      <c r="H972" s="124"/>
      <c r="I972" s="124"/>
      <c r="J972" s="124"/>
      <c r="K972" s="124"/>
      <c r="L972" s="124"/>
      <c r="M972" s="124"/>
      <c r="N972" s="124"/>
      <c r="O972" s="124"/>
      <c r="P972" s="113"/>
      <c r="Q972" s="113"/>
      <c r="R972" s="113"/>
      <c r="S972" s="113"/>
      <c r="T972" s="113"/>
      <c r="U972" s="113"/>
      <c r="V972" s="113"/>
      <c r="W972" s="113"/>
      <c r="X972" s="113"/>
      <c r="Y972" s="113"/>
      <c r="Z972" s="113"/>
    </row>
    <row x14ac:dyDescent="0.25" r="973" customHeight="1" ht="15.75">
      <c r="A973" s="123"/>
      <c r="B973" s="123"/>
      <c r="C973" s="124"/>
      <c r="D973" s="124"/>
      <c r="E973" s="124"/>
      <c r="F973" s="124"/>
      <c r="G973" s="124"/>
      <c r="H973" s="124"/>
      <c r="I973" s="124"/>
      <c r="J973" s="124"/>
      <c r="K973" s="124"/>
      <c r="L973" s="124"/>
      <c r="M973" s="124"/>
      <c r="N973" s="124"/>
      <c r="O973" s="124"/>
      <c r="P973" s="113"/>
      <c r="Q973" s="113"/>
      <c r="R973" s="113"/>
      <c r="S973" s="113"/>
      <c r="T973" s="113"/>
      <c r="U973" s="113"/>
      <c r="V973" s="113"/>
      <c r="W973" s="113"/>
      <c r="X973" s="113"/>
      <c r="Y973" s="113"/>
      <c r="Z973" s="113"/>
    </row>
    <row x14ac:dyDescent="0.25" r="974" customHeight="1" ht="15.75">
      <c r="A974" s="123"/>
      <c r="B974" s="123"/>
      <c r="C974" s="124"/>
      <c r="D974" s="124"/>
      <c r="E974" s="124"/>
      <c r="F974" s="124"/>
      <c r="G974" s="124"/>
      <c r="H974" s="124"/>
      <c r="I974" s="124"/>
      <c r="J974" s="124"/>
      <c r="K974" s="124"/>
      <c r="L974" s="124"/>
      <c r="M974" s="124"/>
      <c r="N974" s="124"/>
      <c r="O974" s="124"/>
      <c r="P974" s="113"/>
      <c r="Q974" s="113"/>
      <c r="R974" s="113"/>
      <c r="S974" s="113"/>
      <c r="T974" s="113"/>
      <c r="U974" s="113"/>
      <c r="V974" s="113"/>
      <c r="W974" s="113"/>
      <c r="X974" s="113"/>
      <c r="Y974" s="113"/>
      <c r="Z974" s="113"/>
    </row>
    <row x14ac:dyDescent="0.25" r="975" customHeight="1" ht="15.75">
      <c r="A975" s="123"/>
      <c r="B975" s="123"/>
      <c r="C975" s="124"/>
      <c r="D975" s="124"/>
      <c r="E975" s="124"/>
      <c r="F975" s="124"/>
      <c r="G975" s="124"/>
      <c r="H975" s="124"/>
      <c r="I975" s="124"/>
      <c r="J975" s="124"/>
      <c r="K975" s="124"/>
      <c r="L975" s="124"/>
      <c r="M975" s="124"/>
      <c r="N975" s="124"/>
      <c r="O975" s="124"/>
      <c r="P975" s="113"/>
      <c r="Q975" s="113"/>
      <c r="R975" s="113"/>
      <c r="S975" s="113"/>
      <c r="T975" s="113"/>
      <c r="U975" s="113"/>
      <c r="V975" s="113"/>
      <c r="W975" s="113"/>
      <c r="X975" s="113"/>
      <c r="Y975" s="113"/>
      <c r="Z975" s="113"/>
    </row>
    <row x14ac:dyDescent="0.25" r="976" customHeight="1" ht="15.75">
      <c r="A976" s="123"/>
      <c r="B976" s="123"/>
      <c r="C976" s="124"/>
      <c r="D976" s="124"/>
      <c r="E976" s="124"/>
      <c r="F976" s="124"/>
      <c r="G976" s="124"/>
      <c r="H976" s="124"/>
      <c r="I976" s="124"/>
      <c r="J976" s="124"/>
      <c r="K976" s="124"/>
      <c r="L976" s="124"/>
      <c r="M976" s="124"/>
      <c r="N976" s="124"/>
      <c r="O976" s="124"/>
      <c r="P976" s="113"/>
      <c r="Q976" s="113"/>
      <c r="R976" s="113"/>
      <c r="S976" s="113"/>
      <c r="T976" s="113"/>
      <c r="U976" s="113"/>
      <c r="V976" s="113"/>
      <c r="W976" s="113"/>
      <c r="X976" s="113"/>
      <c r="Y976" s="113"/>
      <c r="Z976" s="113"/>
    </row>
    <row x14ac:dyDescent="0.25" r="977" customHeight="1" ht="15.75">
      <c r="A977" s="123"/>
      <c r="B977" s="123"/>
      <c r="C977" s="124"/>
      <c r="D977" s="124"/>
      <c r="E977" s="124"/>
      <c r="F977" s="124"/>
      <c r="G977" s="124"/>
      <c r="H977" s="124"/>
      <c r="I977" s="124"/>
      <c r="J977" s="124"/>
      <c r="K977" s="124"/>
      <c r="L977" s="124"/>
      <c r="M977" s="124"/>
      <c r="N977" s="124"/>
      <c r="O977" s="124"/>
      <c r="P977" s="113"/>
      <c r="Q977" s="113"/>
      <c r="R977" s="113"/>
      <c r="S977" s="113"/>
      <c r="T977" s="113"/>
      <c r="U977" s="113"/>
      <c r="V977" s="113"/>
      <c r="W977" s="113"/>
      <c r="X977" s="113"/>
      <c r="Y977" s="113"/>
      <c r="Z977" s="113"/>
    </row>
    <row x14ac:dyDescent="0.25" r="978" customHeight="1" ht="15.75">
      <c r="A978" s="123"/>
      <c r="B978" s="123"/>
      <c r="C978" s="124"/>
      <c r="D978" s="124"/>
      <c r="E978" s="124"/>
      <c r="F978" s="124"/>
      <c r="G978" s="124"/>
      <c r="H978" s="124"/>
      <c r="I978" s="124"/>
      <c r="J978" s="124"/>
      <c r="K978" s="124"/>
      <c r="L978" s="124"/>
      <c r="M978" s="124"/>
      <c r="N978" s="124"/>
      <c r="O978" s="124"/>
      <c r="P978" s="113"/>
      <c r="Q978" s="113"/>
      <c r="R978" s="113"/>
      <c r="S978" s="113"/>
      <c r="T978" s="113"/>
      <c r="U978" s="113"/>
      <c r="V978" s="113"/>
      <c r="W978" s="113"/>
      <c r="X978" s="113"/>
      <c r="Y978" s="113"/>
      <c r="Z978" s="113"/>
    </row>
    <row x14ac:dyDescent="0.25" r="979" customHeight="1" ht="15.75">
      <c r="A979" s="123"/>
      <c r="B979" s="123"/>
      <c r="C979" s="124"/>
      <c r="D979" s="124"/>
      <c r="E979" s="124"/>
      <c r="F979" s="124"/>
      <c r="G979" s="124"/>
      <c r="H979" s="124"/>
      <c r="I979" s="124"/>
      <c r="J979" s="124"/>
      <c r="K979" s="124"/>
      <c r="L979" s="124"/>
      <c r="M979" s="124"/>
      <c r="N979" s="124"/>
      <c r="O979" s="124"/>
      <c r="P979" s="113"/>
      <c r="Q979" s="113"/>
      <c r="R979" s="113"/>
      <c r="S979" s="113"/>
      <c r="T979" s="113"/>
      <c r="U979" s="113"/>
      <c r="V979" s="113"/>
      <c r="W979" s="113"/>
      <c r="X979" s="113"/>
      <c r="Y979" s="113"/>
      <c r="Z979" s="113"/>
    </row>
    <row x14ac:dyDescent="0.25" r="980" customHeight="1" ht="15.75">
      <c r="A980" s="123"/>
      <c r="B980" s="123"/>
      <c r="C980" s="124"/>
      <c r="D980" s="124"/>
      <c r="E980" s="124"/>
      <c r="F980" s="124"/>
      <c r="G980" s="124"/>
      <c r="H980" s="124"/>
      <c r="I980" s="124"/>
      <c r="J980" s="124"/>
      <c r="K980" s="124"/>
      <c r="L980" s="124"/>
      <c r="M980" s="124"/>
      <c r="N980" s="124"/>
      <c r="O980" s="124"/>
      <c r="P980" s="113"/>
      <c r="Q980" s="113"/>
      <c r="R980" s="113"/>
      <c r="S980" s="113"/>
      <c r="T980" s="113"/>
      <c r="U980" s="113"/>
      <c r="V980" s="113"/>
      <c r="W980" s="113"/>
      <c r="X980" s="113"/>
      <c r="Y980" s="113"/>
      <c r="Z980" s="113"/>
    </row>
    <row x14ac:dyDescent="0.25" r="981" customHeight="1" ht="15.75">
      <c r="A981" s="123"/>
      <c r="B981" s="123"/>
      <c r="C981" s="124"/>
      <c r="D981" s="124"/>
      <c r="E981" s="124"/>
      <c r="F981" s="124"/>
      <c r="G981" s="124"/>
      <c r="H981" s="124"/>
      <c r="I981" s="124"/>
      <c r="J981" s="124"/>
      <c r="K981" s="124"/>
      <c r="L981" s="124"/>
      <c r="M981" s="124"/>
      <c r="N981" s="124"/>
      <c r="O981" s="124"/>
      <c r="P981" s="113"/>
      <c r="Q981" s="113"/>
      <c r="R981" s="113"/>
      <c r="S981" s="113"/>
      <c r="T981" s="113"/>
      <c r="U981" s="113"/>
      <c r="V981" s="113"/>
      <c r="W981" s="113"/>
      <c r="X981" s="113"/>
      <c r="Y981" s="113"/>
      <c r="Z981" s="113"/>
    </row>
    <row x14ac:dyDescent="0.25" r="982" customHeight="1" ht="15.75">
      <c r="A982" s="123"/>
      <c r="B982" s="123"/>
      <c r="C982" s="124"/>
      <c r="D982" s="124"/>
      <c r="E982" s="124"/>
      <c r="F982" s="124"/>
      <c r="G982" s="124"/>
      <c r="H982" s="124"/>
      <c r="I982" s="124"/>
      <c r="J982" s="124"/>
      <c r="K982" s="124"/>
      <c r="L982" s="124"/>
      <c r="M982" s="124"/>
      <c r="N982" s="124"/>
      <c r="O982" s="124"/>
      <c r="P982" s="113"/>
      <c r="Q982" s="113"/>
      <c r="R982" s="113"/>
      <c r="S982" s="113"/>
      <c r="T982" s="113"/>
      <c r="U982" s="113"/>
      <c r="V982" s="113"/>
      <c r="W982" s="113"/>
      <c r="X982" s="113"/>
      <c r="Y982" s="113"/>
      <c r="Z982" s="113"/>
    </row>
    <row x14ac:dyDescent="0.25" r="983" customHeight="1" ht="15.75">
      <c r="A983" s="123"/>
      <c r="B983" s="123"/>
      <c r="C983" s="124"/>
      <c r="D983" s="124"/>
      <c r="E983" s="124"/>
      <c r="F983" s="124"/>
      <c r="G983" s="124"/>
      <c r="H983" s="124"/>
      <c r="I983" s="124"/>
      <c r="J983" s="124"/>
      <c r="K983" s="124"/>
      <c r="L983" s="124"/>
      <c r="M983" s="124"/>
      <c r="N983" s="124"/>
      <c r="O983" s="124"/>
      <c r="P983" s="113"/>
      <c r="Q983" s="113"/>
      <c r="R983" s="113"/>
      <c r="S983" s="113"/>
      <c r="T983" s="113"/>
      <c r="U983" s="113"/>
      <c r="V983" s="113"/>
      <c r="W983" s="113"/>
      <c r="X983" s="113"/>
      <c r="Y983" s="113"/>
      <c r="Z983" s="113"/>
    </row>
    <row x14ac:dyDescent="0.25" r="984" customHeight="1" ht="15.75">
      <c r="A984" s="123"/>
      <c r="B984" s="123"/>
      <c r="C984" s="124"/>
      <c r="D984" s="124"/>
      <c r="E984" s="124"/>
      <c r="F984" s="124"/>
      <c r="G984" s="124"/>
      <c r="H984" s="124"/>
      <c r="I984" s="124"/>
      <c r="J984" s="124"/>
      <c r="K984" s="124"/>
      <c r="L984" s="124"/>
      <c r="M984" s="124"/>
      <c r="N984" s="124"/>
      <c r="O984" s="124"/>
      <c r="P984" s="113"/>
      <c r="Q984" s="113"/>
      <c r="R984" s="113"/>
      <c r="S984" s="113"/>
      <c r="T984" s="113"/>
      <c r="U984" s="113"/>
      <c r="V984" s="113"/>
      <c r="W984" s="113"/>
      <c r="X984" s="113"/>
      <c r="Y984" s="113"/>
      <c r="Z984" s="113"/>
    </row>
    <row x14ac:dyDescent="0.25" r="985" customHeight="1" ht="15.75">
      <c r="A985" s="123"/>
      <c r="B985" s="123"/>
      <c r="C985" s="124"/>
      <c r="D985" s="124"/>
      <c r="E985" s="124"/>
      <c r="F985" s="124"/>
      <c r="G985" s="124"/>
      <c r="H985" s="124"/>
      <c r="I985" s="124"/>
      <c r="J985" s="124"/>
      <c r="K985" s="124"/>
      <c r="L985" s="124"/>
      <c r="M985" s="124"/>
      <c r="N985" s="124"/>
      <c r="O985" s="124"/>
      <c r="P985" s="113"/>
      <c r="Q985" s="113"/>
      <c r="R985" s="113"/>
      <c r="S985" s="113"/>
      <c r="T985" s="113"/>
      <c r="U985" s="113"/>
      <c r="V985" s="113"/>
      <c r="W985" s="113"/>
      <c r="X985" s="113"/>
      <c r="Y985" s="113"/>
      <c r="Z985" s="113"/>
    </row>
    <row x14ac:dyDescent="0.25" r="986" customHeight="1" ht="15.75">
      <c r="A986" s="123"/>
      <c r="B986" s="123"/>
      <c r="C986" s="124"/>
      <c r="D986" s="124"/>
      <c r="E986" s="124"/>
      <c r="F986" s="124"/>
      <c r="G986" s="124"/>
      <c r="H986" s="124"/>
      <c r="I986" s="124"/>
      <c r="J986" s="124"/>
      <c r="K986" s="124"/>
      <c r="L986" s="124"/>
      <c r="M986" s="124"/>
      <c r="N986" s="124"/>
      <c r="O986" s="124"/>
      <c r="P986" s="113"/>
      <c r="Q986" s="113"/>
      <c r="R986" s="113"/>
      <c r="S986" s="113"/>
      <c r="T986" s="113"/>
      <c r="U986" s="113"/>
      <c r="V986" s="113"/>
      <c r="W986" s="113"/>
      <c r="X986" s="113"/>
      <c r="Y986" s="113"/>
      <c r="Z986" s="113"/>
    </row>
    <row x14ac:dyDescent="0.25" r="987" customHeight="1" ht="15.75">
      <c r="A987" s="123"/>
      <c r="B987" s="123"/>
      <c r="C987" s="124"/>
      <c r="D987" s="124"/>
      <c r="E987" s="124"/>
      <c r="F987" s="124"/>
      <c r="G987" s="124"/>
      <c r="H987" s="124"/>
      <c r="I987" s="124"/>
      <c r="J987" s="124"/>
      <c r="K987" s="124"/>
      <c r="L987" s="124"/>
      <c r="M987" s="124"/>
      <c r="N987" s="124"/>
      <c r="O987" s="124"/>
      <c r="P987" s="113"/>
      <c r="Q987" s="113"/>
      <c r="R987" s="113"/>
      <c r="S987" s="113"/>
      <c r="T987" s="113"/>
      <c r="U987" s="113"/>
      <c r="V987" s="113"/>
      <c r="W987" s="113"/>
      <c r="X987" s="113"/>
      <c r="Y987" s="113"/>
      <c r="Z987" s="113"/>
    </row>
    <row x14ac:dyDescent="0.25" r="988" customHeight="1" ht="15.75">
      <c r="A988" s="123"/>
      <c r="B988" s="123"/>
      <c r="C988" s="124"/>
      <c r="D988" s="124"/>
      <c r="E988" s="124"/>
      <c r="F988" s="124"/>
      <c r="G988" s="124"/>
      <c r="H988" s="124"/>
      <c r="I988" s="124"/>
      <c r="J988" s="124"/>
      <c r="K988" s="124"/>
      <c r="L988" s="124"/>
      <c r="M988" s="124"/>
      <c r="N988" s="124"/>
      <c r="O988" s="124"/>
      <c r="P988" s="113"/>
      <c r="Q988" s="113"/>
      <c r="R988" s="113"/>
      <c r="S988" s="113"/>
      <c r="T988" s="113"/>
      <c r="U988" s="113"/>
      <c r="V988" s="113"/>
      <c r="W988" s="113"/>
      <c r="X988" s="113"/>
      <c r="Y988" s="113"/>
      <c r="Z988" s="113"/>
    </row>
    <row x14ac:dyDescent="0.25" r="989" customHeight="1" ht="15.75">
      <c r="A989" s="123"/>
      <c r="B989" s="123"/>
      <c r="C989" s="124"/>
      <c r="D989" s="124"/>
      <c r="E989" s="124"/>
      <c r="F989" s="124"/>
      <c r="G989" s="124"/>
      <c r="H989" s="124"/>
      <c r="I989" s="124"/>
      <c r="J989" s="124"/>
      <c r="K989" s="124"/>
      <c r="L989" s="124"/>
      <c r="M989" s="124"/>
      <c r="N989" s="124"/>
      <c r="O989" s="124"/>
      <c r="P989" s="113"/>
      <c r="Q989" s="113"/>
      <c r="R989" s="113"/>
      <c r="S989" s="113"/>
      <c r="T989" s="113"/>
      <c r="U989" s="113"/>
      <c r="V989" s="113"/>
      <c r="W989" s="113"/>
      <c r="X989" s="113"/>
      <c r="Y989" s="113"/>
      <c r="Z989" s="113"/>
    </row>
    <row x14ac:dyDescent="0.25" r="990" customHeight="1" ht="15.75">
      <c r="A990" s="123"/>
      <c r="B990" s="123"/>
      <c r="C990" s="124"/>
      <c r="D990" s="124"/>
      <c r="E990" s="124"/>
      <c r="F990" s="124"/>
      <c r="G990" s="124"/>
      <c r="H990" s="124"/>
      <c r="I990" s="124"/>
      <c r="J990" s="124"/>
      <c r="K990" s="124"/>
      <c r="L990" s="124"/>
      <c r="M990" s="124"/>
      <c r="N990" s="124"/>
      <c r="O990" s="124"/>
      <c r="P990" s="113"/>
      <c r="Q990" s="113"/>
      <c r="R990" s="113"/>
      <c r="S990" s="113"/>
      <c r="T990" s="113"/>
      <c r="U990" s="113"/>
      <c r="V990" s="113"/>
      <c r="W990" s="113"/>
      <c r="X990" s="113"/>
      <c r="Y990" s="113"/>
      <c r="Z990" s="113"/>
    </row>
    <row x14ac:dyDescent="0.25" r="991" customHeight="1" ht="15.75">
      <c r="A991" s="123"/>
      <c r="B991" s="123"/>
      <c r="C991" s="124"/>
      <c r="D991" s="124"/>
      <c r="E991" s="124"/>
      <c r="F991" s="124"/>
      <c r="G991" s="124"/>
      <c r="H991" s="124"/>
      <c r="I991" s="124"/>
      <c r="J991" s="124"/>
      <c r="K991" s="124"/>
      <c r="L991" s="124"/>
      <c r="M991" s="124"/>
      <c r="N991" s="124"/>
      <c r="O991" s="124"/>
      <c r="P991" s="113"/>
      <c r="Q991" s="113"/>
      <c r="R991" s="113"/>
      <c r="S991" s="113"/>
      <c r="T991" s="113"/>
      <c r="U991" s="113"/>
      <c r="V991" s="113"/>
      <c r="W991" s="113"/>
      <c r="X991" s="113"/>
      <c r="Y991" s="113"/>
      <c r="Z991" s="113"/>
    </row>
    <row x14ac:dyDescent="0.25" r="992" customHeight="1" ht="15.75">
      <c r="A992" s="123"/>
      <c r="B992" s="123"/>
      <c r="C992" s="124"/>
      <c r="D992" s="124"/>
      <c r="E992" s="124"/>
      <c r="F992" s="124"/>
      <c r="G992" s="124"/>
      <c r="H992" s="124"/>
      <c r="I992" s="124"/>
      <c r="J992" s="124"/>
      <c r="K992" s="124"/>
      <c r="L992" s="124"/>
      <c r="M992" s="124"/>
      <c r="N992" s="124"/>
      <c r="O992" s="124"/>
      <c r="P992" s="113"/>
      <c r="Q992" s="113"/>
      <c r="R992" s="113"/>
      <c r="S992" s="113"/>
      <c r="T992" s="113"/>
      <c r="U992" s="113"/>
      <c r="V992" s="113"/>
      <c r="W992" s="113"/>
      <c r="X992" s="113"/>
      <c r="Y992" s="113"/>
      <c r="Z992" s="113"/>
    </row>
    <row x14ac:dyDescent="0.25" r="993" customHeight="1" ht="15.75">
      <c r="A993" s="123"/>
      <c r="B993" s="123"/>
      <c r="C993" s="124"/>
      <c r="D993" s="124"/>
      <c r="E993" s="124"/>
      <c r="F993" s="124"/>
      <c r="G993" s="124"/>
      <c r="H993" s="124"/>
      <c r="I993" s="124"/>
      <c r="J993" s="124"/>
      <c r="K993" s="124"/>
      <c r="L993" s="124"/>
      <c r="M993" s="124"/>
      <c r="N993" s="124"/>
      <c r="O993" s="124"/>
      <c r="P993" s="113"/>
      <c r="Q993" s="113"/>
      <c r="R993" s="113"/>
      <c r="S993" s="113"/>
      <c r="T993" s="113"/>
      <c r="U993" s="113"/>
      <c r="V993" s="113"/>
      <c r="W993" s="113"/>
      <c r="X993" s="113"/>
      <c r="Y993" s="113"/>
      <c r="Z993" s="113"/>
    </row>
    <row x14ac:dyDescent="0.25" r="994" customHeight="1" ht="15.75">
      <c r="A994" s="123"/>
      <c r="B994" s="123"/>
      <c r="C994" s="124"/>
      <c r="D994" s="124"/>
      <c r="E994" s="124"/>
      <c r="F994" s="124"/>
      <c r="G994" s="124"/>
      <c r="H994" s="124"/>
      <c r="I994" s="124"/>
      <c r="J994" s="124"/>
      <c r="K994" s="124"/>
      <c r="L994" s="124"/>
      <c r="M994" s="124"/>
      <c r="N994" s="124"/>
      <c r="O994" s="124"/>
      <c r="P994" s="113"/>
      <c r="Q994" s="113"/>
      <c r="R994" s="113"/>
      <c r="S994" s="113"/>
      <c r="T994" s="113"/>
      <c r="U994" s="113"/>
      <c r="V994" s="113"/>
      <c r="W994" s="113"/>
      <c r="X994" s="113"/>
      <c r="Y994" s="113"/>
      <c r="Z994" s="113"/>
    </row>
    <row x14ac:dyDescent="0.25" r="995" customHeight="1" ht="15.75">
      <c r="A995" s="123"/>
      <c r="B995" s="123"/>
      <c r="C995" s="124"/>
      <c r="D995" s="124"/>
      <c r="E995" s="124"/>
      <c r="F995" s="124"/>
      <c r="G995" s="124"/>
      <c r="H995" s="124"/>
      <c r="I995" s="124"/>
      <c r="J995" s="124"/>
      <c r="K995" s="124"/>
      <c r="L995" s="124"/>
      <c r="M995" s="124"/>
      <c r="N995" s="124"/>
      <c r="O995" s="124"/>
      <c r="P995" s="113"/>
      <c r="Q995" s="113"/>
      <c r="R995" s="113"/>
      <c r="S995" s="113"/>
      <c r="T995" s="113"/>
      <c r="U995" s="113"/>
      <c r="V995" s="113"/>
      <c r="W995" s="113"/>
      <c r="X995" s="113"/>
      <c r="Y995" s="113"/>
      <c r="Z995" s="113"/>
    </row>
    <row x14ac:dyDescent="0.25" r="996" customHeight="1" ht="15.75">
      <c r="A996" s="123"/>
      <c r="B996" s="123"/>
      <c r="C996" s="124"/>
      <c r="D996" s="124"/>
      <c r="E996" s="124"/>
      <c r="F996" s="124"/>
      <c r="G996" s="124"/>
      <c r="H996" s="124"/>
      <c r="I996" s="124"/>
      <c r="J996" s="124"/>
      <c r="K996" s="124"/>
      <c r="L996" s="124"/>
      <c r="M996" s="124"/>
      <c r="N996" s="124"/>
      <c r="O996" s="124"/>
      <c r="P996" s="113"/>
      <c r="Q996" s="113"/>
      <c r="R996" s="113"/>
      <c r="S996" s="113"/>
      <c r="T996" s="113"/>
      <c r="U996" s="113"/>
      <c r="V996" s="113"/>
      <c r="W996" s="113"/>
      <c r="X996" s="113"/>
      <c r="Y996" s="113"/>
      <c r="Z996" s="113"/>
    </row>
    <row x14ac:dyDescent="0.25" r="997" customHeight="1" ht="15.75">
      <c r="A997" s="123"/>
      <c r="B997" s="123"/>
      <c r="C997" s="124"/>
      <c r="D997" s="124"/>
      <c r="E997" s="124"/>
      <c r="F997" s="124"/>
      <c r="G997" s="124"/>
      <c r="H997" s="124"/>
      <c r="I997" s="124"/>
      <c r="J997" s="124"/>
      <c r="K997" s="124"/>
      <c r="L997" s="124"/>
      <c r="M997" s="124"/>
      <c r="N997" s="124"/>
      <c r="O997" s="124"/>
      <c r="P997" s="113"/>
      <c r="Q997" s="113"/>
      <c r="R997" s="113"/>
      <c r="S997" s="113"/>
      <c r="T997" s="113"/>
      <c r="U997" s="113"/>
      <c r="V997" s="113"/>
      <c r="W997" s="113"/>
      <c r="X997" s="113"/>
      <c r="Y997" s="113"/>
      <c r="Z997" s="113"/>
    </row>
    <row x14ac:dyDescent="0.25" r="998" customHeight="1" ht="15.75">
      <c r="A998" s="123"/>
      <c r="B998" s="123"/>
      <c r="C998" s="124"/>
      <c r="D998" s="124"/>
      <c r="E998" s="124"/>
      <c r="F998" s="124"/>
      <c r="G998" s="124"/>
      <c r="H998" s="124"/>
      <c r="I998" s="124"/>
      <c r="J998" s="124"/>
      <c r="K998" s="124"/>
      <c r="L998" s="124"/>
      <c r="M998" s="124"/>
      <c r="N998" s="124"/>
      <c r="O998" s="124"/>
      <c r="P998" s="113"/>
      <c r="Q998" s="113"/>
      <c r="R998" s="113"/>
      <c r="S998" s="113"/>
      <c r="T998" s="113"/>
      <c r="U998" s="113"/>
      <c r="V998" s="113"/>
      <c r="W998" s="113"/>
      <c r="X998" s="113"/>
      <c r="Y998" s="113"/>
      <c r="Z998" s="113"/>
    </row>
    <row x14ac:dyDescent="0.25" r="999" customHeight="1" ht="15.75">
      <c r="A999" s="123"/>
      <c r="B999" s="123"/>
      <c r="C999" s="124"/>
      <c r="D999" s="124"/>
      <c r="E999" s="124"/>
      <c r="F999" s="124"/>
      <c r="G999" s="124"/>
      <c r="H999" s="124"/>
      <c r="I999" s="124"/>
      <c r="J999" s="124"/>
      <c r="K999" s="124"/>
      <c r="L999" s="124"/>
      <c r="M999" s="124"/>
      <c r="N999" s="124"/>
      <c r="O999" s="124"/>
      <c r="P999" s="113"/>
      <c r="Q999" s="113"/>
      <c r="R999" s="113"/>
      <c r="S999" s="113"/>
      <c r="T999" s="113"/>
      <c r="U999" s="113"/>
      <c r="V999" s="113"/>
      <c r="W999" s="113"/>
      <c r="X999" s="113"/>
      <c r="Y999" s="113"/>
      <c r="Z999" s="113"/>
    </row>
    <row x14ac:dyDescent="0.25" r="1000" customHeight="1" ht="15.75">
      <c r="A1000" s="123"/>
      <c r="B1000" s="123"/>
      <c r="C1000" s="124"/>
      <c r="D1000" s="124"/>
      <c r="E1000" s="124"/>
      <c r="F1000" s="124"/>
      <c r="G1000" s="124"/>
      <c r="H1000" s="124"/>
      <c r="I1000" s="124"/>
      <c r="J1000" s="124"/>
      <c r="K1000" s="124"/>
      <c r="L1000" s="124"/>
      <c r="M1000" s="124"/>
      <c r="N1000" s="124"/>
      <c r="O1000" s="124"/>
      <c r="P1000" s="113"/>
      <c r="Q1000" s="113"/>
      <c r="R1000" s="113"/>
      <c r="S1000" s="113"/>
      <c r="T1000" s="113"/>
      <c r="U1000" s="113"/>
      <c r="V1000" s="113"/>
      <c r="W1000" s="113"/>
      <c r="X1000" s="113"/>
      <c r="Y1000" s="113"/>
      <c r="Z1000" s="113"/>
    </row>
  </sheetData>
  <mergeCells count="9">
    <mergeCell ref="A1:O1"/>
    <mergeCell ref="A3:B3"/>
    <mergeCell ref="A4:B4"/>
    <mergeCell ref="A7:B7"/>
    <mergeCell ref="A10:B10"/>
    <mergeCell ref="A15:B15"/>
    <mergeCell ref="A16:A20"/>
    <mergeCell ref="A22:B22"/>
    <mergeCell ref="A28:B2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Z1000"/>
  <sheetViews>
    <sheetView workbookViewId="0"/>
  </sheetViews>
  <sheetFormatPr defaultRowHeight="15" x14ac:dyDescent="0.25"/>
  <cols>
    <col min="1" max="1" style="80" width="32.29071428571429" customWidth="1" bestFit="1"/>
    <col min="2" max="2" style="80" width="56.71928571428572" customWidth="1" bestFit="1"/>
    <col min="3" max="3" style="62" width="15.290714285714287" customWidth="1" bestFit="1"/>
    <col min="4" max="4" style="62" width="15.290714285714287" customWidth="1" bestFit="1"/>
    <col min="5" max="5" style="62" width="15.290714285714287" customWidth="1" bestFit="1"/>
    <col min="6" max="6" style="61" width="15.290714285714287" customWidth="1" bestFit="1"/>
    <col min="7" max="7" style="61" width="15.290714285714287" customWidth="1" bestFit="1"/>
    <col min="8" max="8" style="61" width="15.290714285714287" customWidth="1" bestFit="1"/>
    <col min="9" max="9" style="61" width="15.290714285714287" customWidth="1" bestFit="1"/>
    <col min="10" max="10" style="61" width="15.290714285714287" customWidth="1" bestFit="1"/>
    <col min="11" max="11" style="61" width="15.290714285714287" customWidth="1" bestFit="1"/>
    <col min="12" max="12" style="61" width="15.290714285714287" customWidth="1" bestFit="1"/>
    <col min="13" max="13" style="61" width="15.290714285714287" customWidth="1" bestFit="1"/>
    <col min="14" max="14" style="61" width="15.290714285714287" customWidth="1" bestFit="1"/>
    <col min="15" max="15" style="62" width="21.290714285714284" customWidth="1" bestFit="1"/>
    <col min="16" max="16" style="61" width="8.862142857142858" customWidth="1" bestFit="1"/>
    <col min="17" max="17" style="61" width="8.862142857142858" customWidth="1" bestFit="1"/>
    <col min="18" max="18" style="61" width="8.862142857142858" customWidth="1" bestFit="1"/>
    <col min="19" max="19" style="61" width="8.862142857142858" customWidth="1" bestFit="1"/>
    <col min="20" max="20" style="61" width="8.862142857142858" customWidth="1" bestFit="1"/>
    <col min="21" max="21" style="61" width="8.862142857142858" customWidth="1" bestFit="1"/>
    <col min="22" max="22" style="61" width="8.862142857142858" customWidth="1" bestFit="1"/>
    <col min="23" max="23" style="61" width="8.862142857142858" customWidth="1" bestFit="1"/>
    <col min="24" max="24" style="61" width="8.862142857142858" customWidth="1" bestFit="1"/>
    <col min="25" max="25" style="61" width="8.862142857142858" customWidth="1" bestFit="1"/>
    <col min="26" max="26" style="61" width="8.862142857142858" customWidth="1" bestFit="1"/>
  </cols>
  <sheetData>
    <row x14ac:dyDescent="0.25" r="1" customHeight="1" ht="61.5">
      <c r="A1" s="109"/>
      <c r="B1" s="110"/>
      <c r="C1" s="111"/>
      <c r="D1" s="111"/>
      <c r="E1" s="111"/>
      <c r="F1" s="112"/>
      <c r="G1" s="112"/>
      <c r="H1" s="112"/>
      <c r="I1" s="112"/>
      <c r="J1" s="112"/>
      <c r="K1" s="112"/>
      <c r="L1" s="112"/>
      <c r="M1" s="112"/>
      <c r="N1" s="112"/>
      <c r="O1" s="111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</row>
    <row x14ac:dyDescent="0.25" r="2" customHeight="1" ht="18.75">
      <c r="A2" s="114" t="s">
        <v>3191</v>
      </c>
      <c r="B2" s="114"/>
      <c r="C2" s="115"/>
      <c r="D2" s="115"/>
      <c r="E2" s="115"/>
      <c r="F2" s="116"/>
      <c r="G2" s="116"/>
      <c r="H2" s="116"/>
      <c r="I2" s="116"/>
      <c r="J2" s="116"/>
      <c r="K2" s="116"/>
      <c r="L2" s="116"/>
      <c r="M2" s="116"/>
      <c r="N2" s="116"/>
      <c r="O2" s="115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</row>
    <row x14ac:dyDescent="0.25" r="3" customHeight="1" ht="18.75">
      <c r="A3" s="114"/>
      <c r="B3" s="117"/>
      <c r="C3" s="115" t="s">
        <v>3127</v>
      </c>
      <c r="D3" s="115" t="s">
        <v>3128</v>
      </c>
      <c r="E3" s="115" t="s">
        <v>3129</v>
      </c>
      <c r="F3" s="116" t="s">
        <v>3130</v>
      </c>
      <c r="G3" s="116" t="s">
        <v>3131</v>
      </c>
      <c r="H3" s="116" t="s">
        <v>3132</v>
      </c>
      <c r="I3" s="116" t="s">
        <v>3133</v>
      </c>
      <c r="J3" s="116" t="s">
        <v>3134</v>
      </c>
      <c r="K3" s="116" t="s">
        <v>3135</v>
      </c>
      <c r="L3" s="116" t="s">
        <v>3136</v>
      </c>
      <c r="M3" s="116" t="s">
        <v>3137</v>
      </c>
      <c r="N3" s="116" t="s">
        <v>3138</v>
      </c>
      <c r="O3" s="115" t="s">
        <v>3139</v>
      </c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</row>
    <row x14ac:dyDescent="0.25" r="4" customHeight="1" ht="18.75">
      <c r="A4" s="118" t="s">
        <v>3192</v>
      </c>
      <c r="B4" s="119" t="s">
        <v>3193</v>
      </c>
      <c r="C4" s="120">
        <v>240</v>
      </c>
      <c r="D4" s="120">
        <v>212</v>
      </c>
      <c r="E4" s="120">
        <v>301</v>
      </c>
      <c r="F4" s="121"/>
      <c r="G4" s="121"/>
      <c r="H4" s="121"/>
      <c r="I4" s="121"/>
      <c r="J4" s="121"/>
      <c r="K4" s="121"/>
      <c r="L4" s="121"/>
      <c r="M4" s="121"/>
      <c r="N4" s="121"/>
      <c r="O4" s="120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</row>
    <row x14ac:dyDescent="0.25" r="5" customHeight="1" ht="18.75">
      <c r="A5" s="117"/>
      <c r="B5" s="119" t="s">
        <v>3173</v>
      </c>
      <c r="C5" s="120">
        <v>663</v>
      </c>
      <c r="D5" s="120">
        <v>1021</v>
      </c>
      <c r="E5" s="120">
        <v>99</v>
      </c>
      <c r="F5" s="121"/>
      <c r="G5" s="121"/>
      <c r="H5" s="121"/>
      <c r="I5" s="121"/>
      <c r="J5" s="121"/>
      <c r="K5" s="121"/>
      <c r="L5" s="121"/>
      <c r="M5" s="121"/>
      <c r="N5" s="121"/>
      <c r="O5" s="120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</row>
    <row x14ac:dyDescent="0.25" r="6" customHeight="1" ht="18.75">
      <c r="A6" s="117"/>
      <c r="B6" s="119" t="s">
        <v>3194</v>
      </c>
      <c r="C6" s="120">
        <v>1097</v>
      </c>
      <c r="D6" s="120">
        <v>815</v>
      </c>
      <c r="E6" s="120">
        <v>1065</v>
      </c>
      <c r="F6" s="121"/>
      <c r="G6" s="121"/>
      <c r="H6" s="121"/>
      <c r="I6" s="121"/>
      <c r="J6" s="121"/>
      <c r="K6" s="121"/>
      <c r="L6" s="121"/>
      <c r="M6" s="121"/>
      <c r="N6" s="121"/>
      <c r="O6" s="120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</row>
    <row x14ac:dyDescent="0.25" r="7" customHeight="1" ht="18.75">
      <c r="A7" s="117"/>
      <c r="B7" s="119" t="s">
        <v>3195</v>
      </c>
      <c r="C7" s="120">
        <v>419</v>
      </c>
      <c r="D7" s="120">
        <v>299</v>
      </c>
      <c r="E7" s="120">
        <v>382</v>
      </c>
      <c r="F7" s="121"/>
      <c r="G7" s="121"/>
      <c r="H7" s="121"/>
      <c r="I7" s="121"/>
      <c r="J7" s="121"/>
      <c r="K7" s="121"/>
      <c r="L7" s="121"/>
      <c r="M7" s="121"/>
      <c r="N7" s="121"/>
      <c r="O7" s="120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</row>
    <row x14ac:dyDescent="0.25" r="8" customHeight="1" ht="18.75">
      <c r="A8" s="117"/>
      <c r="B8" s="119" t="s">
        <v>3196</v>
      </c>
      <c r="C8" s="120">
        <v>206</v>
      </c>
      <c r="D8" s="120">
        <v>245</v>
      </c>
      <c r="E8" s="120">
        <v>218</v>
      </c>
      <c r="F8" s="121"/>
      <c r="G8" s="121"/>
      <c r="H8" s="121"/>
      <c r="I8" s="121"/>
      <c r="J8" s="121"/>
      <c r="K8" s="121"/>
      <c r="L8" s="121"/>
      <c r="M8" s="121"/>
      <c r="N8" s="121"/>
      <c r="O8" s="120">
        <f>SUM(C8:N8)</f>
      </c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</row>
    <row x14ac:dyDescent="0.25" r="9" customHeight="1" ht="18.75">
      <c r="A9" s="117"/>
      <c r="B9" s="119" t="s">
        <v>3197</v>
      </c>
      <c r="C9" s="120">
        <v>208</v>
      </c>
      <c r="D9" s="120">
        <v>137</v>
      </c>
      <c r="E9" s="120">
        <v>113</v>
      </c>
      <c r="F9" s="121"/>
      <c r="G9" s="121"/>
      <c r="H9" s="121"/>
      <c r="I9" s="121"/>
      <c r="J9" s="121"/>
      <c r="K9" s="121"/>
      <c r="L9" s="121"/>
      <c r="M9" s="121"/>
      <c r="N9" s="121"/>
      <c r="O9" s="120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</row>
    <row x14ac:dyDescent="0.25" r="10" customHeight="1" ht="18.75">
      <c r="A10" s="117"/>
      <c r="B10" s="119" t="s">
        <v>3198</v>
      </c>
      <c r="C10" s="120">
        <v>1647</v>
      </c>
      <c r="D10" s="120">
        <v>1348</v>
      </c>
      <c r="E10" s="120">
        <v>1698</v>
      </c>
      <c r="F10" s="121"/>
      <c r="G10" s="121"/>
      <c r="H10" s="121"/>
      <c r="I10" s="121"/>
      <c r="J10" s="121"/>
      <c r="K10" s="121"/>
      <c r="L10" s="121"/>
      <c r="M10" s="121"/>
      <c r="N10" s="121"/>
      <c r="O10" s="120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</row>
    <row x14ac:dyDescent="0.25" r="11" customHeight="1" ht="18.75">
      <c r="A11" s="117"/>
      <c r="B11" s="119" t="s">
        <v>3187</v>
      </c>
      <c r="C11" s="120">
        <v>281</v>
      </c>
      <c r="D11" s="120">
        <v>360</v>
      </c>
      <c r="E11" s="120">
        <v>489</v>
      </c>
      <c r="F11" s="121"/>
      <c r="G11" s="121"/>
      <c r="H11" s="121"/>
      <c r="I11" s="121"/>
      <c r="J11" s="121"/>
      <c r="K11" s="121"/>
      <c r="L11" s="121"/>
      <c r="M11" s="121"/>
      <c r="N11" s="121"/>
      <c r="O11" s="120">
        <f>SUM(C11:N11)</f>
      </c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</row>
    <row x14ac:dyDescent="0.25" r="12" customHeight="1" ht="18.75">
      <c r="A12" s="123"/>
      <c r="B12" s="123"/>
      <c r="C12" s="124"/>
      <c r="D12" s="124"/>
      <c r="E12" s="124"/>
      <c r="F12" s="113"/>
      <c r="G12" s="113"/>
      <c r="H12" s="113"/>
      <c r="I12" s="113"/>
      <c r="J12" s="113"/>
      <c r="K12" s="113"/>
      <c r="L12" s="113"/>
      <c r="M12" s="113"/>
      <c r="N12" s="113"/>
      <c r="O12" s="124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</row>
    <row x14ac:dyDescent="0.25" r="13" customHeight="1" ht="18.75">
      <c r="A13" s="114"/>
      <c r="B13" s="117"/>
      <c r="C13" s="115" t="s">
        <v>3127</v>
      </c>
      <c r="D13" s="115" t="s">
        <v>3128</v>
      </c>
      <c r="E13" s="115" t="s">
        <v>3129</v>
      </c>
      <c r="F13" s="116" t="s">
        <v>3130</v>
      </c>
      <c r="G13" s="116" t="s">
        <v>3131</v>
      </c>
      <c r="H13" s="116" t="s">
        <v>3132</v>
      </c>
      <c r="I13" s="116" t="s">
        <v>3133</v>
      </c>
      <c r="J13" s="116" t="s">
        <v>3134</v>
      </c>
      <c r="K13" s="116" t="s">
        <v>3135</v>
      </c>
      <c r="L13" s="116" t="s">
        <v>3136</v>
      </c>
      <c r="M13" s="116" t="s">
        <v>3137</v>
      </c>
      <c r="N13" s="116" t="s">
        <v>3138</v>
      </c>
      <c r="O13" s="115" t="s">
        <v>3139</v>
      </c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</row>
    <row x14ac:dyDescent="0.25" r="14" customHeight="1" ht="18.75">
      <c r="A14" s="118" t="s">
        <v>3199</v>
      </c>
      <c r="B14" s="119" t="s">
        <v>3200</v>
      </c>
      <c r="C14" s="120">
        <v>528</v>
      </c>
      <c r="D14" s="120">
        <v>511</v>
      </c>
      <c r="E14" s="120">
        <v>553</v>
      </c>
      <c r="F14" s="121"/>
      <c r="G14" s="121"/>
      <c r="H14" s="121"/>
      <c r="I14" s="121"/>
      <c r="J14" s="121"/>
      <c r="K14" s="121"/>
      <c r="L14" s="121"/>
      <c r="M14" s="121"/>
      <c r="N14" s="121"/>
      <c r="O14" s="120">
        <f>SUM(C14:N14)</f>
      </c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</row>
    <row x14ac:dyDescent="0.25" r="15" customHeight="1" ht="18.75">
      <c r="A15" s="117"/>
      <c r="B15" s="119" t="s">
        <v>3201</v>
      </c>
      <c r="C15" s="120">
        <v>123</v>
      </c>
      <c r="D15" s="120">
        <v>131</v>
      </c>
      <c r="E15" s="120">
        <v>119</v>
      </c>
      <c r="F15" s="121"/>
      <c r="G15" s="121"/>
      <c r="H15" s="121"/>
      <c r="I15" s="121"/>
      <c r="J15" s="121"/>
      <c r="K15" s="121"/>
      <c r="L15" s="121"/>
      <c r="M15" s="121"/>
      <c r="N15" s="121"/>
      <c r="O15" s="120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</row>
    <row x14ac:dyDescent="0.25" r="16" customHeight="1" ht="18.75">
      <c r="A16" s="117"/>
      <c r="B16" s="119" t="s">
        <v>3202</v>
      </c>
      <c r="C16" s="120">
        <v>170</v>
      </c>
      <c r="D16" s="120">
        <v>147</v>
      </c>
      <c r="E16" s="120">
        <v>251</v>
      </c>
      <c r="F16" s="121"/>
      <c r="G16" s="121"/>
      <c r="H16" s="121"/>
      <c r="I16" s="121"/>
      <c r="J16" s="121"/>
      <c r="K16" s="121"/>
      <c r="L16" s="121"/>
      <c r="M16" s="121"/>
      <c r="N16" s="121"/>
      <c r="O16" s="120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</row>
    <row x14ac:dyDescent="0.25" r="17" customHeight="1" ht="18.75">
      <c r="A17" s="117"/>
      <c r="B17" s="119" t="s">
        <v>3203</v>
      </c>
      <c r="C17" s="120">
        <v>95</v>
      </c>
      <c r="D17" s="120">
        <v>52</v>
      </c>
      <c r="E17" s="120">
        <v>42</v>
      </c>
      <c r="F17" s="121"/>
      <c r="G17" s="121"/>
      <c r="H17" s="121"/>
      <c r="I17" s="121"/>
      <c r="J17" s="121"/>
      <c r="K17" s="121"/>
      <c r="L17" s="121"/>
      <c r="M17" s="121"/>
      <c r="N17" s="121"/>
      <c r="O17" s="120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</row>
    <row x14ac:dyDescent="0.25" r="18" customHeight="1" ht="18.75">
      <c r="A18" s="117"/>
      <c r="B18" s="119" t="s">
        <v>3204</v>
      </c>
      <c r="C18" s="120">
        <v>195</v>
      </c>
      <c r="D18" s="120">
        <v>213</v>
      </c>
      <c r="E18" s="120">
        <v>258</v>
      </c>
      <c r="F18" s="121"/>
      <c r="G18" s="121"/>
      <c r="H18" s="121"/>
      <c r="I18" s="121"/>
      <c r="J18" s="121"/>
      <c r="K18" s="121"/>
      <c r="L18" s="121"/>
      <c r="M18" s="121"/>
      <c r="N18" s="121"/>
      <c r="O18" s="120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</row>
    <row x14ac:dyDescent="0.25" r="19" customHeight="1" ht="18.75">
      <c r="A19" s="117"/>
      <c r="B19" s="119" t="s">
        <v>3198</v>
      </c>
      <c r="C19" s="120">
        <v>0</v>
      </c>
      <c r="D19" s="120">
        <v>0</v>
      </c>
      <c r="E19" s="120"/>
      <c r="F19" s="121"/>
      <c r="G19" s="121"/>
      <c r="H19" s="121"/>
      <c r="I19" s="121"/>
      <c r="J19" s="121"/>
      <c r="K19" s="121"/>
      <c r="L19" s="121"/>
      <c r="M19" s="121"/>
      <c r="N19" s="121"/>
      <c r="O19" s="120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</row>
    <row x14ac:dyDescent="0.25" r="20" customHeight="1" ht="18.75">
      <c r="A20" s="117"/>
      <c r="B20" s="119" t="s">
        <v>3187</v>
      </c>
      <c r="C20" s="120">
        <v>259</v>
      </c>
      <c r="D20" s="120">
        <v>208</v>
      </c>
      <c r="E20" s="120">
        <v>213</v>
      </c>
      <c r="F20" s="121"/>
      <c r="G20" s="121"/>
      <c r="H20" s="121"/>
      <c r="I20" s="121"/>
      <c r="J20" s="121"/>
      <c r="K20" s="121"/>
      <c r="L20" s="121"/>
      <c r="M20" s="121"/>
      <c r="N20" s="121"/>
      <c r="O20" s="120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</row>
    <row x14ac:dyDescent="0.25" r="21" customHeight="1" ht="15.75">
      <c r="A21" s="117"/>
      <c r="B21" s="119" t="s">
        <v>3186</v>
      </c>
      <c r="C21" s="120">
        <v>107</v>
      </c>
      <c r="D21" s="120">
        <v>79</v>
      </c>
      <c r="E21" s="120">
        <v>103</v>
      </c>
      <c r="F21" s="121"/>
      <c r="G21" s="121"/>
      <c r="H21" s="121"/>
      <c r="I21" s="121"/>
      <c r="J21" s="121"/>
      <c r="K21" s="121"/>
      <c r="L21" s="121"/>
      <c r="M21" s="121"/>
      <c r="N21" s="121"/>
      <c r="O21" s="120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</row>
    <row x14ac:dyDescent="0.25" r="22" customHeight="1" ht="15.75">
      <c r="A22" s="123"/>
      <c r="B22" s="123"/>
      <c r="C22" s="124"/>
      <c r="D22" s="124"/>
      <c r="E22" s="124"/>
      <c r="F22" s="113"/>
      <c r="G22" s="113"/>
      <c r="H22" s="113"/>
      <c r="I22" s="113"/>
      <c r="J22" s="113"/>
      <c r="K22" s="113"/>
      <c r="L22" s="113"/>
      <c r="M22" s="113"/>
      <c r="N22" s="113"/>
      <c r="O22" s="124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</row>
    <row x14ac:dyDescent="0.25" r="23" customHeight="1" ht="15.75">
      <c r="A23" s="114"/>
      <c r="B23" s="117"/>
      <c r="C23" s="115" t="s">
        <v>3127</v>
      </c>
      <c r="D23" s="115" t="s">
        <v>3128</v>
      </c>
      <c r="E23" s="115" t="s">
        <v>3129</v>
      </c>
      <c r="F23" s="116" t="s">
        <v>3130</v>
      </c>
      <c r="G23" s="116" t="s">
        <v>3131</v>
      </c>
      <c r="H23" s="116" t="s">
        <v>3132</v>
      </c>
      <c r="I23" s="116" t="s">
        <v>3133</v>
      </c>
      <c r="J23" s="116" t="s">
        <v>3134</v>
      </c>
      <c r="K23" s="116" t="s">
        <v>3135</v>
      </c>
      <c r="L23" s="116" t="s">
        <v>3136</v>
      </c>
      <c r="M23" s="116" t="s">
        <v>3137</v>
      </c>
      <c r="N23" s="116" t="s">
        <v>3138</v>
      </c>
      <c r="O23" s="115" t="s">
        <v>3139</v>
      </c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</row>
    <row x14ac:dyDescent="0.25" r="24" customHeight="1" ht="15.75">
      <c r="A24" s="118" t="s">
        <v>3205</v>
      </c>
      <c r="B24" s="119" t="s">
        <v>3198</v>
      </c>
      <c r="C24" s="120">
        <v>580</v>
      </c>
      <c r="D24" s="120">
        <v>434</v>
      </c>
      <c r="E24" s="120">
        <v>440</v>
      </c>
      <c r="F24" s="121"/>
      <c r="G24" s="121"/>
      <c r="H24" s="121"/>
      <c r="I24" s="121"/>
      <c r="J24" s="121"/>
      <c r="K24" s="121"/>
      <c r="L24" s="121"/>
      <c r="M24" s="121"/>
      <c r="N24" s="121"/>
      <c r="O24" s="120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</row>
    <row x14ac:dyDescent="0.25" r="25" customHeight="1" ht="15.75">
      <c r="A25" s="117"/>
      <c r="B25" s="119" t="s">
        <v>3186</v>
      </c>
      <c r="C25" s="120">
        <v>290</v>
      </c>
      <c r="D25" s="120">
        <v>162</v>
      </c>
      <c r="E25" s="120">
        <v>246</v>
      </c>
      <c r="F25" s="121"/>
      <c r="G25" s="121"/>
      <c r="H25" s="121"/>
      <c r="I25" s="121"/>
      <c r="J25" s="121"/>
      <c r="K25" s="121"/>
      <c r="L25" s="121"/>
      <c r="M25" s="121"/>
      <c r="N25" s="121"/>
      <c r="O25" s="120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</row>
    <row x14ac:dyDescent="0.25" r="26" customHeight="1" ht="15.75">
      <c r="A26" s="123"/>
      <c r="B26" s="123"/>
      <c r="C26" s="124"/>
      <c r="D26" s="124"/>
      <c r="E26" s="124"/>
      <c r="F26" s="113"/>
      <c r="G26" s="113"/>
      <c r="H26" s="113"/>
      <c r="I26" s="113"/>
      <c r="J26" s="113"/>
      <c r="K26" s="113"/>
      <c r="L26" s="113"/>
      <c r="M26" s="113"/>
      <c r="N26" s="113"/>
      <c r="O26" s="124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</row>
    <row x14ac:dyDescent="0.25" r="27" customHeight="1" ht="15.75">
      <c r="A27" s="123"/>
      <c r="B27" s="123"/>
      <c r="C27" s="124"/>
      <c r="D27" s="124"/>
      <c r="E27" s="124"/>
      <c r="F27" s="113"/>
      <c r="G27" s="113"/>
      <c r="H27" s="113"/>
      <c r="I27" s="113"/>
      <c r="J27" s="113"/>
      <c r="K27" s="113"/>
      <c r="L27" s="113"/>
      <c r="M27" s="113"/>
      <c r="N27" s="113"/>
      <c r="O27" s="124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</row>
    <row x14ac:dyDescent="0.25" r="28" customHeight="1" ht="15.75">
      <c r="A28" s="123"/>
      <c r="B28" s="123"/>
      <c r="C28" s="124"/>
      <c r="D28" s="124"/>
      <c r="E28" s="124"/>
      <c r="F28" s="113"/>
      <c r="G28" s="113"/>
      <c r="H28" s="113"/>
      <c r="I28" s="113"/>
      <c r="J28" s="113"/>
      <c r="K28" s="113"/>
      <c r="L28" s="113"/>
      <c r="M28" s="113"/>
      <c r="N28" s="113"/>
      <c r="O28" s="124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</row>
    <row x14ac:dyDescent="0.25" r="29" customHeight="1" ht="15.75">
      <c r="A29" s="123"/>
      <c r="B29" s="123"/>
      <c r="C29" s="124"/>
      <c r="D29" s="124"/>
      <c r="E29" s="124"/>
      <c r="F29" s="113"/>
      <c r="G29" s="113"/>
      <c r="H29" s="113"/>
      <c r="I29" s="113"/>
      <c r="J29" s="113"/>
      <c r="K29" s="113"/>
      <c r="L29" s="113"/>
      <c r="M29" s="113"/>
      <c r="N29" s="113"/>
      <c r="O29" s="124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</row>
    <row x14ac:dyDescent="0.25" r="30" customHeight="1" ht="15.75">
      <c r="A30" s="123"/>
      <c r="B30" s="123"/>
      <c r="C30" s="124"/>
      <c r="D30" s="124"/>
      <c r="E30" s="124"/>
      <c r="F30" s="113"/>
      <c r="G30" s="113"/>
      <c r="H30" s="113"/>
      <c r="I30" s="113"/>
      <c r="J30" s="113"/>
      <c r="K30" s="113"/>
      <c r="L30" s="113"/>
      <c r="M30" s="113"/>
      <c r="N30" s="113"/>
      <c r="O30" s="124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</row>
    <row x14ac:dyDescent="0.25" r="31" customHeight="1" ht="15.75">
      <c r="A31" s="123"/>
      <c r="B31" s="123"/>
      <c r="C31" s="124"/>
      <c r="D31" s="124"/>
      <c r="E31" s="124"/>
      <c r="F31" s="113"/>
      <c r="G31" s="113"/>
      <c r="H31" s="113"/>
      <c r="I31" s="113"/>
      <c r="J31" s="113"/>
      <c r="K31" s="113"/>
      <c r="L31" s="113"/>
      <c r="M31" s="113"/>
      <c r="N31" s="113"/>
      <c r="O31" s="124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</row>
    <row x14ac:dyDescent="0.25" r="32" customHeight="1" ht="15.75">
      <c r="A32" s="123"/>
      <c r="B32" s="123"/>
      <c r="C32" s="124"/>
      <c r="D32" s="124"/>
      <c r="E32" s="124"/>
      <c r="F32" s="113"/>
      <c r="G32" s="113"/>
      <c r="H32" s="113"/>
      <c r="I32" s="113"/>
      <c r="J32" s="113"/>
      <c r="K32" s="113"/>
      <c r="L32" s="113"/>
      <c r="M32" s="113"/>
      <c r="N32" s="113"/>
      <c r="O32" s="124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</row>
    <row x14ac:dyDescent="0.25" r="33" customHeight="1" ht="15.75">
      <c r="A33" s="123"/>
      <c r="B33" s="123"/>
      <c r="C33" s="124"/>
      <c r="D33" s="124"/>
      <c r="E33" s="124"/>
      <c r="F33" s="113"/>
      <c r="G33" s="113"/>
      <c r="H33" s="113"/>
      <c r="I33" s="113"/>
      <c r="J33" s="113"/>
      <c r="K33" s="113"/>
      <c r="L33" s="113"/>
      <c r="M33" s="113"/>
      <c r="N33" s="113"/>
      <c r="O33" s="124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</row>
    <row x14ac:dyDescent="0.25" r="34" customHeight="1" ht="15.75">
      <c r="A34" s="123"/>
      <c r="B34" s="123"/>
      <c r="C34" s="124"/>
      <c r="D34" s="124"/>
      <c r="E34" s="124"/>
      <c r="F34" s="113"/>
      <c r="G34" s="113"/>
      <c r="H34" s="113"/>
      <c r="I34" s="113"/>
      <c r="J34" s="113"/>
      <c r="K34" s="113"/>
      <c r="L34" s="113"/>
      <c r="M34" s="113"/>
      <c r="N34" s="113"/>
      <c r="O34" s="124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</row>
    <row x14ac:dyDescent="0.25" r="35" customHeight="1" ht="15.75">
      <c r="A35" s="123"/>
      <c r="B35" s="123"/>
      <c r="C35" s="124"/>
      <c r="D35" s="124"/>
      <c r="E35" s="124"/>
      <c r="F35" s="113"/>
      <c r="G35" s="113"/>
      <c r="H35" s="113"/>
      <c r="I35" s="113"/>
      <c r="J35" s="113"/>
      <c r="K35" s="113"/>
      <c r="L35" s="113"/>
      <c r="M35" s="113"/>
      <c r="N35" s="113"/>
      <c r="O35" s="124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</row>
    <row x14ac:dyDescent="0.25" r="36" customHeight="1" ht="15.75">
      <c r="A36" s="123"/>
      <c r="B36" s="123"/>
      <c r="C36" s="124"/>
      <c r="D36" s="124"/>
      <c r="E36" s="124"/>
      <c r="F36" s="113"/>
      <c r="G36" s="113"/>
      <c r="H36" s="113"/>
      <c r="I36" s="113"/>
      <c r="J36" s="113"/>
      <c r="K36" s="113"/>
      <c r="L36" s="113"/>
      <c r="M36" s="113"/>
      <c r="N36" s="113"/>
      <c r="O36" s="124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</row>
    <row x14ac:dyDescent="0.25" r="37" customHeight="1" ht="15.75">
      <c r="A37" s="123"/>
      <c r="B37" s="123"/>
      <c r="C37" s="124"/>
      <c r="D37" s="124"/>
      <c r="E37" s="124"/>
      <c r="F37" s="113"/>
      <c r="G37" s="113"/>
      <c r="H37" s="113"/>
      <c r="I37" s="113"/>
      <c r="J37" s="113"/>
      <c r="K37" s="113"/>
      <c r="L37" s="113"/>
      <c r="M37" s="113"/>
      <c r="N37" s="113"/>
      <c r="O37" s="124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</row>
    <row x14ac:dyDescent="0.25" r="38" customHeight="1" ht="15.75">
      <c r="A38" s="123"/>
      <c r="B38" s="123"/>
      <c r="C38" s="124"/>
      <c r="D38" s="124"/>
      <c r="E38" s="124"/>
      <c r="F38" s="113"/>
      <c r="G38" s="113"/>
      <c r="H38" s="113"/>
      <c r="I38" s="113"/>
      <c r="J38" s="113"/>
      <c r="K38" s="113"/>
      <c r="L38" s="113"/>
      <c r="M38" s="113"/>
      <c r="N38" s="113"/>
      <c r="O38" s="124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</row>
    <row x14ac:dyDescent="0.25" r="39" customHeight="1" ht="15.75">
      <c r="A39" s="123"/>
      <c r="B39" s="123"/>
      <c r="C39" s="124"/>
      <c r="D39" s="124"/>
      <c r="E39" s="124"/>
      <c r="F39" s="113"/>
      <c r="G39" s="113"/>
      <c r="H39" s="113"/>
      <c r="I39" s="113"/>
      <c r="J39" s="113"/>
      <c r="K39" s="113"/>
      <c r="L39" s="113"/>
      <c r="M39" s="113"/>
      <c r="N39" s="113"/>
      <c r="O39" s="124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</row>
    <row x14ac:dyDescent="0.25" r="40" customHeight="1" ht="15.75">
      <c r="A40" s="123"/>
      <c r="B40" s="123"/>
      <c r="C40" s="124"/>
      <c r="D40" s="124"/>
      <c r="E40" s="124"/>
      <c r="F40" s="113"/>
      <c r="G40" s="113"/>
      <c r="H40" s="113"/>
      <c r="I40" s="113"/>
      <c r="J40" s="113"/>
      <c r="K40" s="113"/>
      <c r="L40" s="113"/>
      <c r="M40" s="113"/>
      <c r="N40" s="113"/>
      <c r="O40" s="124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</row>
    <row x14ac:dyDescent="0.25" r="41" customHeight="1" ht="15.75">
      <c r="A41" s="123"/>
      <c r="B41" s="123"/>
      <c r="C41" s="124"/>
      <c r="D41" s="124"/>
      <c r="E41" s="124"/>
      <c r="F41" s="113"/>
      <c r="G41" s="113"/>
      <c r="H41" s="113"/>
      <c r="I41" s="113"/>
      <c r="J41" s="113"/>
      <c r="K41" s="113"/>
      <c r="L41" s="113"/>
      <c r="M41" s="113"/>
      <c r="N41" s="113"/>
      <c r="O41" s="124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</row>
    <row x14ac:dyDescent="0.25" r="42" customHeight="1" ht="15.75">
      <c r="A42" s="123"/>
      <c r="B42" s="123"/>
      <c r="C42" s="124"/>
      <c r="D42" s="124"/>
      <c r="E42" s="124"/>
      <c r="F42" s="113"/>
      <c r="G42" s="113"/>
      <c r="H42" s="113"/>
      <c r="I42" s="113"/>
      <c r="J42" s="113"/>
      <c r="K42" s="113"/>
      <c r="L42" s="113"/>
      <c r="M42" s="113"/>
      <c r="N42" s="113"/>
      <c r="O42" s="124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</row>
    <row x14ac:dyDescent="0.25" r="43" customHeight="1" ht="15.75">
      <c r="A43" s="123"/>
      <c r="B43" s="123"/>
      <c r="C43" s="124"/>
      <c r="D43" s="124"/>
      <c r="E43" s="124"/>
      <c r="F43" s="113"/>
      <c r="G43" s="113"/>
      <c r="H43" s="113"/>
      <c r="I43" s="113"/>
      <c r="J43" s="113"/>
      <c r="K43" s="113"/>
      <c r="L43" s="113"/>
      <c r="M43" s="113"/>
      <c r="N43" s="113"/>
      <c r="O43" s="124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</row>
    <row x14ac:dyDescent="0.25" r="44" customHeight="1" ht="15.75">
      <c r="A44" s="123"/>
      <c r="B44" s="123"/>
      <c r="C44" s="124"/>
      <c r="D44" s="124"/>
      <c r="E44" s="124"/>
      <c r="F44" s="113"/>
      <c r="G44" s="113"/>
      <c r="H44" s="113"/>
      <c r="I44" s="113"/>
      <c r="J44" s="113"/>
      <c r="K44" s="113"/>
      <c r="L44" s="113"/>
      <c r="M44" s="113"/>
      <c r="N44" s="113"/>
      <c r="O44" s="124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</row>
    <row x14ac:dyDescent="0.25" r="45" customHeight="1" ht="15.75">
      <c r="A45" s="123"/>
      <c r="B45" s="123"/>
      <c r="C45" s="124"/>
      <c r="D45" s="124"/>
      <c r="E45" s="124"/>
      <c r="F45" s="113"/>
      <c r="G45" s="113"/>
      <c r="H45" s="113"/>
      <c r="I45" s="113"/>
      <c r="J45" s="113"/>
      <c r="K45" s="113"/>
      <c r="L45" s="113"/>
      <c r="M45" s="113"/>
      <c r="N45" s="113"/>
      <c r="O45" s="124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</row>
    <row x14ac:dyDescent="0.25" r="46" customHeight="1" ht="15.75">
      <c r="A46" s="123"/>
      <c r="B46" s="123"/>
      <c r="C46" s="124"/>
      <c r="D46" s="124"/>
      <c r="E46" s="124"/>
      <c r="F46" s="113"/>
      <c r="G46" s="113"/>
      <c r="H46" s="113"/>
      <c r="I46" s="113"/>
      <c r="J46" s="113"/>
      <c r="K46" s="113"/>
      <c r="L46" s="113"/>
      <c r="M46" s="113"/>
      <c r="N46" s="113"/>
      <c r="O46" s="124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</row>
    <row x14ac:dyDescent="0.25" r="47" customHeight="1" ht="15.75">
      <c r="A47" s="123"/>
      <c r="B47" s="123"/>
      <c r="C47" s="124"/>
      <c r="D47" s="124"/>
      <c r="E47" s="124"/>
      <c r="F47" s="113"/>
      <c r="G47" s="113"/>
      <c r="H47" s="113"/>
      <c r="I47" s="113"/>
      <c r="J47" s="113"/>
      <c r="K47" s="113"/>
      <c r="L47" s="113"/>
      <c r="M47" s="113"/>
      <c r="N47" s="113"/>
      <c r="O47" s="124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</row>
    <row x14ac:dyDescent="0.25" r="48" customHeight="1" ht="15.75">
      <c r="A48" s="123"/>
      <c r="B48" s="123"/>
      <c r="C48" s="124"/>
      <c r="D48" s="124"/>
      <c r="E48" s="124"/>
      <c r="F48" s="113"/>
      <c r="G48" s="113"/>
      <c r="H48" s="113"/>
      <c r="I48" s="113"/>
      <c r="J48" s="113"/>
      <c r="K48" s="113"/>
      <c r="L48" s="113"/>
      <c r="M48" s="113"/>
      <c r="N48" s="113"/>
      <c r="O48" s="124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</row>
    <row x14ac:dyDescent="0.25" r="49" customHeight="1" ht="15.75">
      <c r="A49" s="123"/>
      <c r="B49" s="123"/>
      <c r="C49" s="124"/>
      <c r="D49" s="124"/>
      <c r="E49" s="124"/>
      <c r="F49" s="113"/>
      <c r="G49" s="113"/>
      <c r="H49" s="113"/>
      <c r="I49" s="113"/>
      <c r="J49" s="113"/>
      <c r="K49" s="113"/>
      <c r="L49" s="113"/>
      <c r="M49" s="113"/>
      <c r="N49" s="113"/>
      <c r="O49" s="124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</row>
    <row x14ac:dyDescent="0.25" r="50" customHeight="1" ht="15.75">
      <c r="A50" s="123"/>
      <c r="B50" s="123"/>
      <c r="C50" s="124"/>
      <c r="D50" s="124"/>
      <c r="E50" s="124"/>
      <c r="F50" s="113"/>
      <c r="G50" s="113"/>
      <c r="H50" s="113"/>
      <c r="I50" s="113"/>
      <c r="J50" s="113"/>
      <c r="K50" s="113"/>
      <c r="L50" s="113"/>
      <c r="M50" s="113"/>
      <c r="N50" s="113"/>
      <c r="O50" s="124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</row>
    <row x14ac:dyDescent="0.25" r="51" customHeight="1" ht="15.75">
      <c r="A51" s="123"/>
      <c r="B51" s="123"/>
      <c r="C51" s="124"/>
      <c r="D51" s="124"/>
      <c r="E51" s="124"/>
      <c r="F51" s="113"/>
      <c r="G51" s="113"/>
      <c r="H51" s="113"/>
      <c r="I51" s="113"/>
      <c r="J51" s="113"/>
      <c r="K51" s="113"/>
      <c r="L51" s="113"/>
      <c r="M51" s="113"/>
      <c r="N51" s="113"/>
      <c r="O51" s="124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</row>
    <row x14ac:dyDescent="0.25" r="52" customHeight="1" ht="15.75">
      <c r="A52" s="123"/>
      <c r="B52" s="123"/>
      <c r="C52" s="124"/>
      <c r="D52" s="124"/>
      <c r="E52" s="124"/>
      <c r="F52" s="113"/>
      <c r="G52" s="113"/>
      <c r="H52" s="113"/>
      <c r="I52" s="113"/>
      <c r="J52" s="113"/>
      <c r="K52" s="113"/>
      <c r="L52" s="113"/>
      <c r="M52" s="113"/>
      <c r="N52" s="113"/>
      <c r="O52" s="124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</row>
    <row x14ac:dyDescent="0.25" r="53" customHeight="1" ht="15.75">
      <c r="A53" s="123"/>
      <c r="B53" s="123"/>
      <c r="C53" s="124"/>
      <c r="D53" s="124"/>
      <c r="E53" s="124"/>
      <c r="F53" s="113"/>
      <c r="G53" s="113"/>
      <c r="H53" s="113"/>
      <c r="I53" s="113"/>
      <c r="J53" s="113"/>
      <c r="K53" s="113"/>
      <c r="L53" s="113"/>
      <c r="M53" s="113"/>
      <c r="N53" s="113"/>
      <c r="O53" s="124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</row>
    <row x14ac:dyDescent="0.25" r="54" customHeight="1" ht="15.75">
      <c r="A54" s="123"/>
      <c r="B54" s="123"/>
      <c r="C54" s="124"/>
      <c r="D54" s="124"/>
      <c r="E54" s="124"/>
      <c r="F54" s="113"/>
      <c r="G54" s="113"/>
      <c r="H54" s="113"/>
      <c r="I54" s="113"/>
      <c r="J54" s="113"/>
      <c r="K54" s="113"/>
      <c r="L54" s="113"/>
      <c r="M54" s="113"/>
      <c r="N54" s="113"/>
      <c r="O54" s="124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</row>
    <row x14ac:dyDescent="0.25" r="55" customHeight="1" ht="15.75">
      <c r="A55" s="123"/>
      <c r="B55" s="123"/>
      <c r="C55" s="124"/>
      <c r="D55" s="124"/>
      <c r="E55" s="124"/>
      <c r="F55" s="113"/>
      <c r="G55" s="113"/>
      <c r="H55" s="113"/>
      <c r="I55" s="113"/>
      <c r="J55" s="113"/>
      <c r="K55" s="113"/>
      <c r="L55" s="113"/>
      <c r="M55" s="113"/>
      <c r="N55" s="113"/>
      <c r="O55" s="124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</row>
    <row x14ac:dyDescent="0.25" r="56" customHeight="1" ht="15.75">
      <c r="A56" s="123"/>
      <c r="B56" s="123"/>
      <c r="C56" s="124"/>
      <c r="D56" s="124"/>
      <c r="E56" s="124"/>
      <c r="F56" s="113"/>
      <c r="G56" s="113"/>
      <c r="H56" s="113"/>
      <c r="I56" s="113"/>
      <c r="J56" s="113"/>
      <c r="K56" s="113"/>
      <c r="L56" s="113"/>
      <c r="M56" s="113"/>
      <c r="N56" s="113"/>
      <c r="O56" s="124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</row>
    <row x14ac:dyDescent="0.25" r="57" customHeight="1" ht="15.75">
      <c r="A57" s="123"/>
      <c r="B57" s="123"/>
      <c r="C57" s="124"/>
      <c r="D57" s="124"/>
      <c r="E57" s="124"/>
      <c r="F57" s="113"/>
      <c r="G57" s="113"/>
      <c r="H57" s="113"/>
      <c r="I57" s="113"/>
      <c r="J57" s="113"/>
      <c r="K57" s="113"/>
      <c r="L57" s="113"/>
      <c r="M57" s="113"/>
      <c r="N57" s="113"/>
      <c r="O57" s="124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</row>
    <row x14ac:dyDescent="0.25" r="58" customHeight="1" ht="15.75">
      <c r="A58" s="123"/>
      <c r="B58" s="123"/>
      <c r="C58" s="124"/>
      <c r="D58" s="124"/>
      <c r="E58" s="124"/>
      <c r="F58" s="113"/>
      <c r="G58" s="113"/>
      <c r="H58" s="113"/>
      <c r="I58" s="113"/>
      <c r="J58" s="113"/>
      <c r="K58" s="113"/>
      <c r="L58" s="113"/>
      <c r="M58" s="113"/>
      <c r="N58" s="113"/>
      <c r="O58" s="124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</row>
    <row x14ac:dyDescent="0.25" r="59" customHeight="1" ht="15.75">
      <c r="A59" s="123"/>
      <c r="B59" s="123"/>
      <c r="C59" s="124"/>
      <c r="D59" s="124"/>
      <c r="E59" s="124"/>
      <c r="F59" s="113"/>
      <c r="G59" s="113"/>
      <c r="H59" s="113"/>
      <c r="I59" s="113"/>
      <c r="J59" s="113"/>
      <c r="K59" s="113"/>
      <c r="L59" s="113"/>
      <c r="M59" s="113"/>
      <c r="N59" s="113"/>
      <c r="O59" s="124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</row>
    <row x14ac:dyDescent="0.25" r="60" customHeight="1" ht="15.75">
      <c r="A60" s="123"/>
      <c r="B60" s="123"/>
      <c r="C60" s="124"/>
      <c r="D60" s="124"/>
      <c r="E60" s="124"/>
      <c r="F60" s="113"/>
      <c r="G60" s="113"/>
      <c r="H60" s="113"/>
      <c r="I60" s="113"/>
      <c r="J60" s="113"/>
      <c r="K60" s="113"/>
      <c r="L60" s="113"/>
      <c r="M60" s="113"/>
      <c r="N60" s="113"/>
      <c r="O60" s="124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</row>
    <row x14ac:dyDescent="0.25" r="61" customHeight="1" ht="15.75">
      <c r="A61" s="123"/>
      <c r="B61" s="123"/>
      <c r="C61" s="124"/>
      <c r="D61" s="124"/>
      <c r="E61" s="124"/>
      <c r="F61" s="113"/>
      <c r="G61" s="113"/>
      <c r="H61" s="113"/>
      <c r="I61" s="113"/>
      <c r="J61" s="113"/>
      <c r="K61" s="113"/>
      <c r="L61" s="113"/>
      <c r="M61" s="113"/>
      <c r="N61" s="113"/>
      <c r="O61" s="124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</row>
    <row x14ac:dyDescent="0.25" r="62" customHeight="1" ht="15.75">
      <c r="A62" s="123"/>
      <c r="B62" s="123"/>
      <c r="C62" s="124"/>
      <c r="D62" s="124"/>
      <c r="E62" s="124"/>
      <c r="F62" s="113"/>
      <c r="G62" s="113"/>
      <c r="H62" s="113"/>
      <c r="I62" s="113"/>
      <c r="J62" s="113"/>
      <c r="K62" s="113"/>
      <c r="L62" s="113"/>
      <c r="M62" s="113"/>
      <c r="N62" s="113"/>
      <c r="O62" s="124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</row>
    <row x14ac:dyDescent="0.25" r="63" customHeight="1" ht="15.75">
      <c r="A63" s="123"/>
      <c r="B63" s="123"/>
      <c r="C63" s="124"/>
      <c r="D63" s="124"/>
      <c r="E63" s="124"/>
      <c r="F63" s="113"/>
      <c r="G63" s="113"/>
      <c r="H63" s="113"/>
      <c r="I63" s="113"/>
      <c r="J63" s="113"/>
      <c r="K63" s="113"/>
      <c r="L63" s="113"/>
      <c r="M63" s="113"/>
      <c r="N63" s="113"/>
      <c r="O63" s="124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</row>
    <row x14ac:dyDescent="0.25" r="64" customHeight="1" ht="15.75">
      <c r="A64" s="123"/>
      <c r="B64" s="123"/>
      <c r="C64" s="124"/>
      <c r="D64" s="124"/>
      <c r="E64" s="124"/>
      <c r="F64" s="113"/>
      <c r="G64" s="113"/>
      <c r="H64" s="113"/>
      <c r="I64" s="113"/>
      <c r="J64" s="113"/>
      <c r="K64" s="113"/>
      <c r="L64" s="113"/>
      <c r="M64" s="113"/>
      <c r="N64" s="113"/>
      <c r="O64" s="124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</row>
    <row x14ac:dyDescent="0.25" r="65" customHeight="1" ht="15.75">
      <c r="A65" s="123"/>
      <c r="B65" s="123"/>
      <c r="C65" s="124"/>
      <c r="D65" s="124"/>
      <c r="E65" s="124"/>
      <c r="F65" s="113"/>
      <c r="G65" s="113"/>
      <c r="H65" s="113"/>
      <c r="I65" s="113"/>
      <c r="J65" s="113"/>
      <c r="K65" s="113"/>
      <c r="L65" s="113"/>
      <c r="M65" s="113"/>
      <c r="N65" s="113"/>
      <c r="O65" s="124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</row>
    <row x14ac:dyDescent="0.25" r="66" customHeight="1" ht="15.75">
      <c r="A66" s="123"/>
      <c r="B66" s="123"/>
      <c r="C66" s="124"/>
      <c r="D66" s="124"/>
      <c r="E66" s="124"/>
      <c r="F66" s="113"/>
      <c r="G66" s="113"/>
      <c r="H66" s="113"/>
      <c r="I66" s="113"/>
      <c r="J66" s="113"/>
      <c r="K66" s="113"/>
      <c r="L66" s="113"/>
      <c r="M66" s="113"/>
      <c r="N66" s="113"/>
      <c r="O66" s="124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</row>
    <row x14ac:dyDescent="0.25" r="67" customHeight="1" ht="15.75">
      <c r="A67" s="123"/>
      <c r="B67" s="123"/>
      <c r="C67" s="124"/>
      <c r="D67" s="124"/>
      <c r="E67" s="124"/>
      <c r="F67" s="113"/>
      <c r="G67" s="113"/>
      <c r="H67" s="113"/>
      <c r="I67" s="113"/>
      <c r="J67" s="113"/>
      <c r="K67" s="113"/>
      <c r="L67" s="113"/>
      <c r="M67" s="113"/>
      <c r="N67" s="113"/>
      <c r="O67" s="124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</row>
    <row x14ac:dyDescent="0.25" r="68" customHeight="1" ht="15.75">
      <c r="A68" s="123"/>
      <c r="B68" s="123"/>
      <c r="C68" s="124"/>
      <c r="D68" s="124"/>
      <c r="E68" s="124"/>
      <c r="F68" s="113"/>
      <c r="G68" s="113"/>
      <c r="H68" s="113"/>
      <c r="I68" s="113"/>
      <c r="J68" s="113"/>
      <c r="K68" s="113"/>
      <c r="L68" s="113"/>
      <c r="M68" s="113"/>
      <c r="N68" s="113"/>
      <c r="O68" s="124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</row>
    <row x14ac:dyDescent="0.25" r="69" customHeight="1" ht="15.75">
      <c r="A69" s="123"/>
      <c r="B69" s="123"/>
      <c r="C69" s="124"/>
      <c r="D69" s="124"/>
      <c r="E69" s="124"/>
      <c r="F69" s="113"/>
      <c r="G69" s="113"/>
      <c r="H69" s="113"/>
      <c r="I69" s="113"/>
      <c r="J69" s="113"/>
      <c r="K69" s="113"/>
      <c r="L69" s="113"/>
      <c r="M69" s="113"/>
      <c r="N69" s="113"/>
      <c r="O69" s="124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</row>
    <row x14ac:dyDescent="0.25" r="70" customHeight="1" ht="15.75">
      <c r="A70" s="123"/>
      <c r="B70" s="123"/>
      <c r="C70" s="124"/>
      <c r="D70" s="124"/>
      <c r="E70" s="124"/>
      <c r="F70" s="113"/>
      <c r="G70" s="113"/>
      <c r="H70" s="113"/>
      <c r="I70" s="113"/>
      <c r="J70" s="113"/>
      <c r="K70" s="113"/>
      <c r="L70" s="113"/>
      <c r="M70" s="113"/>
      <c r="N70" s="113"/>
      <c r="O70" s="124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</row>
    <row x14ac:dyDescent="0.25" r="71" customHeight="1" ht="15.75">
      <c r="A71" s="123"/>
      <c r="B71" s="123"/>
      <c r="C71" s="124"/>
      <c r="D71" s="124"/>
      <c r="E71" s="124"/>
      <c r="F71" s="113"/>
      <c r="G71" s="113"/>
      <c r="H71" s="113"/>
      <c r="I71" s="113"/>
      <c r="J71" s="113"/>
      <c r="K71" s="113"/>
      <c r="L71" s="113"/>
      <c r="M71" s="113"/>
      <c r="N71" s="113"/>
      <c r="O71" s="124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</row>
    <row x14ac:dyDescent="0.25" r="72" customHeight="1" ht="15.75">
      <c r="A72" s="123"/>
      <c r="B72" s="123"/>
      <c r="C72" s="124"/>
      <c r="D72" s="124"/>
      <c r="E72" s="124"/>
      <c r="F72" s="113"/>
      <c r="G72" s="113"/>
      <c r="H72" s="113"/>
      <c r="I72" s="113"/>
      <c r="J72" s="113"/>
      <c r="K72" s="113"/>
      <c r="L72" s="113"/>
      <c r="M72" s="113"/>
      <c r="N72" s="113"/>
      <c r="O72" s="124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</row>
    <row x14ac:dyDescent="0.25" r="73" customHeight="1" ht="15.75">
      <c r="A73" s="123"/>
      <c r="B73" s="123"/>
      <c r="C73" s="124"/>
      <c r="D73" s="124"/>
      <c r="E73" s="124"/>
      <c r="F73" s="113"/>
      <c r="G73" s="113"/>
      <c r="H73" s="113"/>
      <c r="I73" s="113"/>
      <c r="J73" s="113"/>
      <c r="K73" s="113"/>
      <c r="L73" s="113"/>
      <c r="M73" s="113"/>
      <c r="N73" s="113"/>
      <c r="O73" s="124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</row>
    <row x14ac:dyDescent="0.25" r="74" customHeight="1" ht="15.75">
      <c r="A74" s="123"/>
      <c r="B74" s="123"/>
      <c r="C74" s="124"/>
      <c r="D74" s="124"/>
      <c r="E74" s="124"/>
      <c r="F74" s="113"/>
      <c r="G74" s="113"/>
      <c r="H74" s="113"/>
      <c r="I74" s="113"/>
      <c r="J74" s="113"/>
      <c r="K74" s="113"/>
      <c r="L74" s="113"/>
      <c r="M74" s="113"/>
      <c r="N74" s="113"/>
      <c r="O74" s="124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</row>
    <row x14ac:dyDescent="0.25" r="75" customHeight="1" ht="15.75">
      <c r="A75" s="123"/>
      <c r="B75" s="123"/>
      <c r="C75" s="124"/>
      <c r="D75" s="124"/>
      <c r="E75" s="124"/>
      <c r="F75" s="113"/>
      <c r="G75" s="113"/>
      <c r="H75" s="113"/>
      <c r="I75" s="113"/>
      <c r="J75" s="113"/>
      <c r="K75" s="113"/>
      <c r="L75" s="113"/>
      <c r="M75" s="113"/>
      <c r="N75" s="113"/>
      <c r="O75" s="124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</row>
    <row x14ac:dyDescent="0.25" r="76" customHeight="1" ht="15.75">
      <c r="A76" s="123"/>
      <c r="B76" s="123"/>
      <c r="C76" s="124"/>
      <c r="D76" s="124"/>
      <c r="E76" s="124"/>
      <c r="F76" s="113"/>
      <c r="G76" s="113"/>
      <c r="H76" s="113"/>
      <c r="I76" s="113"/>
      <c r="J76" s="113"/>
      <c r="K76" s="113"/>
      <c r="L76" s="113"/>
      <c r="M76" s="113"/>
      <c r="N76" s="113"/>
      <c r="O76" s="124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</row>
    <row x14ac:dyDescent="0.25" r="77" customHeight="1" ht="15.75">
      <c r="A77" s="123"/>
      <c r="B77" s="123"/>
      <c r="C77" s="124"/>
      <c r="D77" s="124"/>
      <c r="E77" s="124"/>
      <c r="F77" s="113"/>
      <c r="G77" s="113"/>
      <c r="H77" s="113"/>
      <c r="I77" s="113"/>
      <c r="J77" s="113"/>
      <c r="K77" s="113"/>
      <c r="L77" s="113"/>
      <c r="M77" s="113"/>
      <c r="N77" s="113"/>
      <c r="O77" s="124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</row>
    <row x14ac:dyDescent="0.25" r="78" customHeight="1" ht="15.75">
      <c r="A78" s="123"/>
      <c r="B78" s="123"/>
      <c r="C78" s="124"/>
      <c r="D78" s="124"/>
      <c r="E78" s="124"/>
      <c r="F78" s="113"/>
      <c r="G78" s="113"/>
      <c r="H78" s="113"/>
      <c r="I78" s="113"/>
      <c r="J78" s="113"/>
      <c r="K78" s="113"/>
      <c r="L78" s="113"/>
      <c r="M78" s="113"/>
      <c r="N78" s="113"/>
      <c r="O78" s="124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</row>
    <row x14ac:dyDescent="0.25" r="79" customHeight="1" ht="15.75">
      <c r="A79" s="123"/>
      <c r="B79" s="123"/>
      <c r="C79" s="124"/>
      <c r="D79" s="124"/>
      <c r="E79" s="124"/>
      <c r="F79" s="113"/>
      <c r="G79" s="113"/>
      <c r="H79" s="113"/>
      <c r="I79" s="113"/>
      <c r="J79" s="113"/>
      <c r="K79" s="113"/>
      <c r="L79" s="113"/>
      <c r="M79" s="113"/>
      <c r="N79" s="113"/>
      <c r="O79" s="124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</row>
    <row x14ac:dyDescent="0.25" r="80" customHeight="1" ht="15.75">
      <c r="A80" s="123"/>
      <c r="B80" s="123"/>
      <c r="C80" s="124"/>
      <c r="D80" s="124"/>
      <c r="E80" s="124"/>
      <c r="F80" s="113"/>
      <c r="G80" s="113"/>
      <c r="H80" s="113"/>
      <c r="I80" s="113"/>
      <c r="J80" s="113"/>
      <c r="K80" s="113"/>
      <c r="L80" s="113"/>
      <c r="M80" s="113"/>
      <c r="N80" s="113"/>
      <c r="O80" s="124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</row>
    <row x14ac:dyDescent="0.25" r="81" customHeight="1" ht="15.75">
      <c r="A81" s="123"/>
      <c r="B81" s="123"/>
      <c r="C81" s="124"/>
      <c r="D81" s="124"/>
      <c r="E81" s="124"/>
      <c r="F81" s="113"/>
      <c r="G81" s="113"/>
      <c r="H81" s="113"/>
      <c r="I81" s="113"/>
      <c r="J81" s="113"/>
      <c r="K81" s="113"/>
      <c r="L81" s="113"/>
      <c r="M81" s="113"/>
      <c r="N81" s="113"/>
      <c r="O81" s="124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</row>
    <row x14ac:dyDescent="0.25" r="82" customHeight="1" ht="15.75">
      <c r="A82" s="123"/>
      <c r="B82" s="123"/>
      <c r="C82" s="124"/>
      <c r="D82" s="124"/>
      <c r="E82" s="124"/>
      <c r="F82" s="113"/>
      <c r="G82" s="113"/>
      <c r="H82" s="113"/>
      <c r="I82" s="113"/>
      <c r="J82" s="113"/>
      <c r="K82" s="113"/>
      <c r="L82" s="113"/>
      <c r="M82" s="113"/>
      <c r="N82" s="113"/>
      <c r="O82" s="124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</row>
    <row x14ac:dyDescent="0.25" r="83" customHeight="1" ht="15.75">
      <c r="A83" s="123"/>
      <c r="B83" s="123"/>
      <c r="C83" s="124"/>
      <c r="D83" s="124"/>
      <c r="E83" s="124"/>
      <c r="F83" s="113"/>
      <c r="G83" s="113"/>
      <c r="H83" s="113"/>
      <c r="I83" s="113"/>
      <c r="J83" s="113"/>
      <c r="K83" s="113"/>
      <c r="L83" s="113"/>
      <c r="M83" s="113"/>
      <c r="N83" s="113"/>
      <c r="O83" s="124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</row>
    <row x14ac:dyDescent="0.25" r="84" customHeight="1" ht="15.75">
      <c r="A84" s="123"/>
      <c r="B84" s="123"/>
      <c r="C84" s="124"/>
      <c r="D84" s="124"/>
      <c r="E84" s="124"/>
      <c r="F84" s="113"/>
      <c r="G84" s="113"/>
      <c r="H84" s="113"/>
      <c r="I84" s="113"/>
      <c r="J84" s="113"/>
      <c r="K84" s="113"/>
      <c r="L84" s="113"/>
      <c r="M84" s="113"/>
      <c r="N84" s="113"/>
      <c r="O84" s="124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</row>
    <row x14ac:dyDescent="0.25" r="85" customHeight="1" ht="15.75">
      <c r="A85" s="123"/>
      <c r="B85" s="123"/>
      <c r="C85" s="124"/>
      <c r="D85" s="124"/>
      <c r="E85" s="124"/>
      <c r="F85" s="113"/>
      <c r="G85" s="113"/>
      <c r="H85" s="113"/>
      <c r="I85" s="113"/>
      <c r="J85" s="113"/>
      <c r="K85" s="113"/>
      <c r="L85" s="113"/>
      <c r="M85" s="113"/>
      <c r="N85" s="113"/>
      <c r="O85" s="124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</row>
    <row x14ac:dyDescent="0.25" r="86" customHeight="1" ht="15.75">
      <c r="A86" s="123"/>
      <c r="B86" s="123"/>
      <c r="C86" s="124"/>
      <c r="D86" s="124"/>
      <c r="E86" s="124"/>
      <c r="F86" s="113"/>
      <c r="G86" s="113"/>
      <c r="H86" s="113"/>
      <c r="I86" s="113"/>
      <c r="J86" s="113"/>
      <c r="K86" s="113"/>
      <c r="L86" s="113"/>
      <c r="M86" s="113"/>
      <c r="N86" s="113"/>
      <c r="O86" s="124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</row>
    <row x14ac:dyDescent="0.25" r="87" customHeight="1" ht="15.75">
      <c r="A87" s="123"/>
      <c r="B87" s="123"/>
      <c r="C87" s="124"/>
      <c r="D87" s="124"/>
      <c r="E87" s="124"/>
      <c r="F87" s="113"/>
      <c r="G87" s="113"/>
      <c r="H87" s="113"/>
      <c r="I87" s="113"/>
      <c r="J87" s="113"/>
      <c r="K87" s="113"/>
      <c r="L87" s="113"/>
      <c r="M87" s="113"/>
      <c r="N87" s="113"/>
      <c r="O87" s="124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</row>
    <row x14ac:dyDescent="0.25" r="88" customHeight="1" ht="15.75">
      <c r="A88" s="123"/>
      <c r="B88" s="123"/>
      <c r="C88" s="124"/>
      <c r="D88" s="124"/>
      <c r="E88" s="124"/>
      <c r="F88" s="113"/>
      <c r="G88" s="113"/>
      <c r="H88" s="113"/>
      <c r="I88" s="113"/>
      <c r="J88" s="113"/>
      <c r="K88" s="113"/>
      <c r="L88" s="113"/>
      <c r="M88" s="113"/>
      <c r="N88" s="113"/>
      <c r="O88" s="124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</row>
    <row x14ac:dyDescent="0.25" r="89" customHeight="1" ht="15.75">
      <c r="A89" s="123"/>
      <c r="B89" s="123"/>
      <c r="C89" s="124"/>
      <c r="D89" s="124"/>
      <c r="E89" s="124"/>
      <c r="F89" s="113"/>
      <c r="G89" s="113"/>
      <c r="H89" s="113"/>
      <c r="I89" s="113"/>
      <c r="J89" s="113"/>
      <c r="K89" s="113"/>
      <c r="L89" s="113"/>
      <c r="M89" s="113"/>
      <c r="N89" s="113"/>
      <c r="O89" s="124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</row>
    <row x14ac:dyDescent="0.25" r="90" customHeight="1" ht="15.75">
      <c r="A90" s="123"/>
      <c r="B90" s="123"/>
      <c r="C90" s="124"/>
      <c r="D90" s="124"/>
      <c r="E90" s="124"/>
      <c r="F90" s="113"/>
      <c r="G90" s="113"/>
      <c r="H90" s="113"/>
      <c r="I90" s="113"/>
      <c r="J90" s="113"/>
      <c r="K90" s="113"/>
      <c r="L90" s="113"/>
      <c r="M90" s="113"/>
      <c r="N90" s="113"/>
      <c r="O90" s="124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</row>
    <row x14ac:dyDescent="0.25" r="91" customHeight="1" ht="15.75">
      <c r="A91" s="123"/>
      <c r="B91" s="123"/>
      <c r="C91" s="124"/>
      <c r="D91" s="124"/>
      <c r="E91" s="124"/>
      <c r="F91" s="113"/>
      <c r="G91" s="113"/>
      <c r="H91" s="113"/>
      <c r="I91" s="113"/>
      <c r="J91" s="113"/>
      <c r="K91" s="113"/>
      <c r="L91" s="113"/>
      <c r="M91" s="113"/>
      <c r="N91" s="113"/>
      <c r="O91" s="124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</row>
    <row x14ac:dyDescent="0.25" r="92" customHeight="1" ht="15.75">
      <c r="A92" s="123"/>
      <c r="B92" s="123"/>
      <c r="C92" s="124"/>
      <c r="D92" s="124"/>
      <c r="E92" s="124"/>
      <c r="F92" s="113"/>
      <c r="G92" s="113"/>
      <c r="H92" s="113"/>
      <c r="I92" s="113"/>
      <c r="J92" s="113"/>
      <c r="K92" s="113"/>
      <c r="L92" s="113"/>
      <c r="M92" s="113"/>
      <c r="N92" s="113"/>
      <c r="O92" s="124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</row>
    <row x14ac:dyDescent="0.25" r="93" customHeight="1" ht="15.75">
      <c r="A93" s="123"/>
      <c r="B93" s="123"/>
      <c r="C93" s="124"/>
      <c r="D93" s="124"/>
      <c r="E93" s="124"/>
      <c r="F93" s="113"/>
      <c r="G93" s="113"/>
      <c r="H93" s="113"/>
      <c r="I93" s="113"/>
      <c r="J93" s="113"/>
      <c r="K93" s="113"/>
      <c r="L93" s="113"/>
      <c r="M93" s="113"/>
      <c r="N93" s="113"/>
      <c r="O93" s="124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</row>
    <row x14ac:dyDescent="0.25" r="94" customHeight="1" ht="15.75">
      <c r="A94" s="123"/>
      <c r="B94" s="123"/>
      <c r="C94" s="124"/>
      <c r="D94" s="124"/>
      <c r="E94" s="124"/>
      <c r="F94" s="113"/>
      <c r="G94" s="113"/>
      <c r="H94" s="113"/>
      <c r="I94" s="113"/>
      <c r="J94" s="113"/>
      <c r="K94" s="113"/>
      <c r="L94" s="113"/>
      <c r="M94" s="113"/>
      <c r="N94" s="113"/>
      <c r="O94" s="124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</row>
    <row x14ac:dyDescent="0.25" r="95" customHeight="1" ht="15.75">
      <c r="A95" s="123"/>
      <c r="B95" s="123"/>
      <c r="C95" s="124"/>
      <c r="D95" s="124"/>
      <c r="E95" s="124"/>
      <c r="F95" s="113"/>
      <c r="G95" s="113"/>
      <c r="H95" s="113"/>
      <c r="I95" s="113"/>
      <c r="J95" s="113"/>
      <c r="K95" s="113"/>
      <c r="L95" s="113"/>
      <c r="M95" s="113"/>
      <c r="N95" s="113"/>
      <c r="O95" s="124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</row>
    <row x14ac:dyDescent="0.25" r="96" customHeight="1" ht="15.75">
      <c r="A96" s="123"/>
      <c r="B96" s="123"/>
      <c r="C96" s="124"/>
      <c r="D96" s="124"/>
      <c r="E96" s="124"/>
      <c r="F96" s="113"/>
      <c r="G96" s="113"/>
      <c r="H96" s="113"/>
      <c r="I96" s="113"/>
      <c r="J96" s="113"/>
      <c r="K96" s="113"/>
      <c r="L96" s="113"/>
      <c r="M96" s="113"/>
      <c r="N96" s="113"/>
      <c r="O96" s="124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</row>
    <row x14ac:dyDescent="0.25" r="97" customHeight="1" ht="15.75">
      <c r="A97" s="123"/>
      <c r="B97" s="123"/>
      <c r="C97" s="124"/>
      <c r="D97" s="124"/>
      <c r="E97" s="124"/>
      <c r="F97" s="113"/>
      <c r="G97" s="113"/>
      <c r="H97" s="113"/>
      <c r="I97" s="113"/>
      <c r="J97" s="113"/>
      <c r="K97" s="113"/>
      <c r="L97" s="113"/>
      <c r="M97" s="113"/>
      <c r="N97" s="113"/>
      <c r="O97" s="124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</row>
    <row x14ac:dyDescent="0.25" r="98" customHeight="1" ht="15.75">
      <c r="A98" s="123"/>
      <c r="B98" s="123"/>
      <c r="C98" s="124"/>
      <c r="D98" s="124"/>
      <c r="E98" s="124"/>
      <c r="F98" s="113"/>
      <c r="G98" s="113"/>
      <c r="H98" s="113"/>
      <c r="I98" s="113"/>
      <c r="J98" s="113"/>
      <c r="K98" s="113"/>
      <c r="L98" s="113"/>
      <c r="M98" s="113"/>
      <c r="N98" s="113"/>
      <c r="O98" s="124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</row>
    <row x14ac:dyDescent="0.25" r="99" customHeight="1" ht="15.75">
      <c r="A99" s="123"/>
      <c r="B99" s="123"/>
      <c r="C99" s="124"/>
      <c r="D99" s="124"/>
      <c r="E99" s="124"/>
      <c r="F99" s="113"/>
      <c r="G99" s="113"/>
      <c r="H99" s="113"/>
      <c r="I99" s="113"/>
      <c r="J99" s="113"/>
      <c r="K99" s="113"/>
      <c r="L99" s="113"/>
      <c r="M99" s="113"/>
      <c r="N99" s="113"/>
      <c r="O99" s="124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</row>
    <row x14ac:dyDescent="0.25" r="100" customHeight="1" ht="15.75">
      <c r="A100" s="123"/>
      <c r="B100" s="123"/>
      <c r="C100" s="124"/>
      <c r="D100" s="124"/>
      <c r="E100" s="124"/>
      <c r="F100" s="113"/>
      <c r="G100" s="113"/>
      <c r="H100" s="113"/>
      <c r="I100" s="113"/>
      <c r="J100" s="113"/>
      <c r="K100" s="113"/>
      <c r="L100" s="113"/>
      <c r="M100" s="113"/>
      <c r="N100" s="113"/>
      <c r="O100" s="124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</row>
    <row x14ac:dyDescent="0.25" r="101" customHeight="1" ht="15.75">
      <c r="A101" s="123"/>
      <c r="B101" s="123"/>
      <c r="C101" s="124"/>
      <c r="D101" s="124"/>
      <c r="E101" s="124"/>
      <c r="F101" s="113"/>
      <c r="G101" s="113"/>
      <c r="H101" s="113"/>
      <c r="I101" s="113"/>
      <c r="J101" s="113"/>
      <c r="K101" s="113"/>
      <c r="L101" s="113"/>
      <c r="M101" s="113"/>
      <c r="N101" s="113"/>
      <c r="O101" s="124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</row>
    <row x14ac:dyDescent="0.25" r="102" customHeight="1" ht="15.75">
      <c r="A102" s="123"/>
      <c r="B102" s="123"/>
      <c r="C102" s="124"/>
      <c r="D102" s="124"/>
      <c r="E102" s="124"/>
      <c r="F102" s="113"/>
      <c r="G102" s="113"/>
      <c r="H102" s="113"/>
      <c r="I102" s="113"/>
      <c r="J102" s="113"/>
      <c r="K102" s="113"/>
      <c r="L102" s="113"/>
      <c r="M102" s="113"/>
      <c r="N102" s="113"/>
      <c r="O102" s="124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</row>
    <row x14ac:dyDescent="0.25" r="103" customHeight="1" ht="15.75">
      <c r="A103" s="123"/>
      <c r="B103" s="123"/>
      <c r="C103" s="124"/>
      <c r="D103" s="124"/>
      <c r="E103" s="124"/>
      <c r="F103" s="113"/>
      <c r="G103" s="113"/>
      <c r="H103" s="113"/>
      <c r="I103" s="113"/>
      <c r="J103" s="113"/>
      <c r="K103" s="113"/>
      <c r="L103" s="113"/>
      <c r="M103" s="113"/>
      <c r="N103" s="113"/>
      <c r="O103" s="124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</row>
    <row x14ac:dyDescent="0.25" r="104" customHeight="1" ht="15.75">
      <c r="A104" s="123"/>
      <c r="B104" s="123"/>
      <c r="C104" s="124"/>
      <c r="D104" s="124"/>
      <c r="E104" s="124"/>
      <c r="F104" s="113"/>
      <c r="G104" s="113"/>
      <c r="H104" s="113"/>
      <c r="I104" s="113"/>
      <c r="J104" s="113"/>
      <c r="K104" s="113"/>
      <c r="L104" s="113"/>
      <c r="M104" s="113"/>
      <c r="N104" s="113"/>
      <c r="O104" s="124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</row>
    <row x14ac:dyDescent="0.25" r="105" customHeight="1" ht="15.75">
      <c r="A105" s="123"/>
      <c r="B105" s="123"/>
      <c r="C105" s="124"/>
      <c r="D105" s="124"/>
      <c r="E105" s="124"/>
      <c r="F105" s="113"/>
      <c r="G105" s="113"/>
      <c r="H105" s="113"/>
      <c r="I105" s="113"/>
      <c r="J105" s="113"/>
      <c r="K105" s="113"/>
      <c r="L105" s="113"/>
      <c r="M105" s="113"/>
      <c r="N105" s="113"/>
      <c r="O105" s="124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</row>
    <row x14ac:dyDescent="0.25" r="106" customHeight="1" ht="15.75">
      <c r="A106" s="123"/>
      <c r="B106" s="123"/>
      <c r="C106" s="124"/>
      <c r="D106" s="124"/>
      <c r="E106" s="124"/>
      <c r="F106" s="113"/>
      <c r="G106" s="113"/>
      <c r="H106" s="113"/>
      <c r="I106" s="113"/>
      <c r="J106" s="113"/>
      <c r="K106" s="113"/>
      <c r="L106" s="113"/>
      <c r="M106" s="113"/>
      <c r="N106" s="113"/>
      <c r="O106" s="124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</row>
    <row x14ac:dyDescent="0.25" r="107" customHeight="1" ht="15.75">
      <c r="A107" s="123"/>
      <c r="B107" s="123"/>
      <c r="C107" s="124"/>
      <c r="D107" s="124"/>
      <c r="E107" s="124"/>
      <c r="F107" s="113"/>
      <c r="G107" s="113"/>
      <c r="H107" s="113"/>
      <c r="I107" s="113"/>
      <c r="J107" s="113"/>
      <c r="K107" s="113"/>
      <c r="L107" s="113"/>
      <c r="M107" s="113"/>
      <c r="N107" s="113"/>
      <c r="O107" s="124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</row>
    <row x14ac:dyDescent="0.25" r="108" customHeight="1" ht="15.75">
      <c r="A108" s="123"/>
      <c r="B108" s="123"/>
      <c r="C108" s="124"/>
      <c r="D108" s="124"/>
      <c r="E108" s="124"/>
      <c r="F108" s="113"/>
      <c r="G108" s="113"/>
      <c r="H108" s="113"/>
      <c r="I108" s="113"/>
      <c r="J108" s="113"/>
      <c r="K108" s="113"/>
      <c r="L108" s="113"/>
      <c r="M108" s="113"/>
      <c r="N108" s="113"/>
      <c r="O108" s="124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</row>
    <row x14ac:dyDescent="0.25" r="109" customHeight="1" ht="15.75">
      <c r="A109" s="123"/>
      <c r="B109" s="123"/>
      <c r="C109" s="124"/>
      <c r="D109" s="124"/>
      <c r="E109" s="124"/>
      <c r="F109" s="113"/>
      <c r="G109" s="113"/>
      <c r="H109" s="113"/>
      <c r="I109" s="113"/>
      <c r="J109" s="113"/>
      <c r="K109" s="113"/>
      <c r="L109" s="113"/>
      <c r="M109" s="113"/>
      <c r="N109" s="113"/>
      <c r="O109" s="124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</row>
    <row x14ac:dyDescent="0.25" r="110" customHeight="1" ht="15.75">
      <c r="A110" s="123"/>
      <c r="B110" s="123"/>
      <c r="C110" s="124"/>
      <c r="D110" s="124"/>
      <c r="E110" s="124"/>
      <c r="F110" s="113"/>
      <c r="G110" s="113"/>
      <c r="H110" s="113"/>
      <c r="I110" s="113"/>
      <c r="J110" s="113"/>
      <c r="K110" s="113"/>
      <c r="L110" s="113"/>
      <c r="M110" s="113"/>
      <c r="N110" s="113"/>
      <c r="O110" s="124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</row>
    <row x14ac:dyDescent="0.25" r="111" customHeight="1" ht="15.75">
      <c r="A111" s="123"/>
      <c r="B111" s="123"/>
      <c r="C111" s="124"/>
      <c r="D111" s="124"/>
      <c r="E111" s="124"/>
      <c r="F111" s="113"/>
      <c r="G111" s="113"/>
      <c r="H111" s="113"/>
      <c r="I111" s="113"/>
      <c r="J111" s="113"/>
      <c r="K111" s="113"/>
      <c r="L111" s="113"/>
      <c r="M111" s="113"/>
      <c r="N111" s="113"/>
      <c r="O111" s="124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</row>
    <row x14ac:dyDescent="0.25" r="112" customHeight="1" ht="15.75">
      <c r="A112" s="123"/>
      <c r="B112" s="123"/>
      <c r="C112" s="124"/>
      <c r="D112" s="124"/>
      <c r="E112" s="124"/>
      <c r="F112" s="113"/>
      <c r="G112" s="113"/>
      <c r="H112" s="113"/>
      <c r="I112" s="113"/>
      <c r="J112" s="113"/>
      <c r="K112" s="113"/>
      <c r="L112" s="113"/>
      <c r="M112" s="113"/>
      <c r="N112" s="113"/>
      <c r="O112" s="124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</row>
    <row x14ac:dyDescent="0.25" r="113" customHeight="1" ht="15.75">
      <c r="A113" s="123"/>
      <c r="B113" s="123"/>
      <c r="C113" s="124"/>
      <c r="D113" s="124"/>
      <c r="E113" s="124"/>
      <c r="F113" s="113"/>
      <c r="G113" s="113"/>
      <c r="H113" s="113"/>
      <c r="I113" s="113"/>
      <c r="J113" s="113"/>
      <c r="K113" s="113"/>
      <c r="L113" s="113"/>
      <c r="M113" s="113"/>
      <c r="N113" s="113"/>
      <c r="O113" s="124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</row>
    <row x14ac:dyDescent="0.25" r="114" customHeight="1" ht="15.75">
      <c r="A114" s="123"/>
      <c r="B114" s="123"/>
      <c r="C114" s="124"/>
      <c r="D114" s="124"/>
      <c r="E114" s="124"/>
      <c r="F114" s="113"/>
      <c r="G114" s="113"/>
      <c r="H114" s="113"/>
      <c r="I114" s="113"/>
      <c r="J114" s="113"/>
      <c r="K114" s="113"/>
      <c r="L114" s="113"/>
      <c r="M114" s="113"/>
      <c r="N114" s="113"/>
      <c r="O114" s="124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</row>
    <row x14ac:dyDescent="0.25" r="115" customHeight="1" ht="15.75">
      <c r="A115" s="123"/>
      <c r="B115" s="123"/>
      <c r="C115" s="124"/>
      <c r="D115" s="124"/>
      <c r="E115" s="124"/>
      <c r="F115" s="113"/>
      <c r="G115" s="113"/>
      <c r="H115" s="113"/>
      <c r="I115" s="113"/>
      <c r="J115" s="113"/>
      <c r="K115" s="113"/>
      <c r="L115" s="113"/>
      <c r="M115" s="113"/>
      <c r="N115" s="113"/>
      <c r="O115" s="124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</row>
    <row x14ac:dyDescent="0.25" r="116" customHeight="1" ht="15.75">
      <c r="A116" s="123"/>
      <c r="B116" s="123"/>
      <c r="C116" s="124"/>
      <c r="D116" s="124"/>
      <c r="E116" s="124"/>
      <c r="F116" s="113"/>
      <c r="G116" s="113"/>
      <c r="H116" s="113"/>
      <c r="I116" s="113"/>
      <c r="J116" s="113"/>
      <c r="K116" s="113"/>
      <c r="L116" s="113"/>
      <c r="M116" s="113"/>
      <c r="N116" s="113"/>
      <c r="O116" s="124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</row>
    <row x14ac:dyDescent="0.25" r="117" customHeight="1" ht="15.75">
      <c r="A117" s="123"/>
      <c r="B117" s="123"/>
      <c r="C117" s="124"/>
      <c r="D117" s="124"/>
      <c r="E117" s="124"/>
      <c r="F117" s="113"/>
      <c r="G117" s="113"/>
      <c r="H117" s="113"/>
      <c r="I117" s="113"/>
      <c r="J117" s="113"/>
      <c r="K117" s="113"/>
      <c r="L117" s="113"/>
      <c r="M117" s="113"/>
      <c r="N117" s="113"/>
      <c r="O117" s="124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</row>
    <row x14ac:dyDescent="0.25" r="118" customHeight="1" ht="15.75">
      <c r="A118" s="123"/>
      <c r="B118" s="123"/>
      <c r="C118" s="124"/>
      <c r="D118" s="124"/>
      <c r="E118" s="124"/>
      <c r="F118" s="113"/>
      <c r="G118" s="113"/>
      <c r="H118" s="113"/>
      <c r="I118" s="113"/>
      <c r="J118" s="113"/>
      <c r="K118" s="113"/>
      <c r="L118" s="113"/>
      <c r="M118" s="113"/>
      <c r="N118" s="113"/>
      <c r="O118" s="124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</row>
    <row x14ac:dyDescent="0.25" r="119" customHeight="1" ht="15.75">
      <c r="A119" s="123"/>
      <c r="B119" s="123"/>
      <c r="C119" s="124"/>
      <c r="D119" s="124"/>
      <c r="E119" s="124"/>
      <c r="F119" s="113"/>
      <c r="G119" s="113"/>
      <c r="H119" s="113"/>
      <c r="I119" s="113"/>
      <c r="J119" s="113"/>
      <c r="K119" s="113"/>
      <c r="L119" s="113"/>
      <c r="M119" s="113"/>
      <c r="N119" s="113"/>
      <c r="O119" s="124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</row>
    <row x14ac:dyDescent="0.25" r="120" customHeight="1" ht="15.75">
      <c r="A120" s="123"/>
      <c r="B120" s="123"/>
      <c r="C120" s="124"/>
      <c r="D120" s="124"/>
      <c r="E120" s="124"/>
      <c r="F120" s="113"/>
      <c r="G120" s="113"/>
      <c r="H120" s="113"/>
      <c r="I120" s="113"/>
      <c r="J120" s="113"/>
      <c r="K120" s="113"/>
      <c r="L120" s="113"/>
      <c r="M120" s="113"/>
      <c r="N120" s="113"/>
      <c r="O120" s="124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</row>
    <row x14ac:dyDescent="0.25" r="121" customHeight="1" ht="15.75">
      <c r="A121" s="123"/>
      <c r="B121" s="123"/>
      <c r="C121" s="124"/>
      <c r="D121" s="124"/>
      <c r="E121" s="124"/>
      <c r="F121" s="113"/>
      <c r="G121" s="113"/>
      <c r="H121" s="113"/>
      <c r="I121" s="113"/>
      <c r="J121" s="113"/>
      <c r="K121" s="113"/>
      <c r="L121" s="113"/>
      <c r="M121" s="113"/>
      <c r="N121" s="113"/>
      <c r="O121" s="124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</row>
    <row x14ac:dyDescent="0.25" r="122" customHeight="1" ht="15.75">
      <c r="A122" s="123"/>
      <c r="B122" s="123"/>
      <c r="C122" s="124"/>
      <c r="D122" s="124"/>
      <c r="E122" s="124"/>
      <c r="F122" s="113"/>
      <c r="G122" s="113"/>
      <c r="H122" s="113"/>
      <c r="I122" s="113"/>
      <c r="J122" s="113"/>
      <c r="K122" s="113"/>
      <c r="L122" s="113"/>
      <c r="M122" s="113"/>
      <c r="N122" s="113"/>
      <c r="O122" s="124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</row>
    <row x14ac:dyDescent="0.25" r="123" customHeight="1" ht="15.75">
      <c r="A123" s="123"/>
      <c r="B123" s="123"/>
      <c r="C123" s="124"/>
      <c r="D123" s="124"/>
      <c r="E123" s="124"/>
      <c r="F123" s="113"/>
      <c r="G123" s="113"/>
      <c r="H123" s="113"/>
      <c r="I123" s="113"/>
      <c r="J123" s="113"/>
      <c r="K123" s="113"/>
      <c r="L123" s="113"/>
      <c r="M123" s="113"/>
      <c r="N123" s="113"/>
      <c r="O123" s="124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</row>
    <row x14ac:dyDescent="0.25" r="124" customHeight="1" ht="15.75">
      <c r="A124" s="123"/>
      <c r="B124" s="123"/>
      <c r="C124" s="124"/>
      <c r="D124" s="124"/>
      <c r="E124" s="124"/>
      <c r="F124" s="113"/>
      <c r="G124" s="113"/>
      <c r="H124" s="113"/>
      <c r="I124" s="113"/>
      <c r="J124" s="113"/>
      <c r="K124" s="113"/>
      <c r="L124" s="113"/>
      <c r="M124" s="113"/>
      <c r="N124" s="113"/>
      <c r="O124" s="124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</row>
    <row x14ac:dyDescent="0.25" r="125" customHeight="1" ht="15.75">
      <c r="A125" s="123"/>
      <c r="B125" s="123"/>
      <c r="C125" s="124"/>
      <c r="D125" s="124"/>
      <c r="E125" s="124"/>
      <c r="F125" s="113"/>
      <c r="G125" s="113"/>
      <c r="H125" s="113"/>
      <c r="I125" s="113"/>
      <c r="J125" s="113"/>
      <c r="K125" s="113"/>
      <c r="L125" s="113"/>
      <c r="M125" s="113"/>
      <c r="N125" s="113"/>
      <c r="O125" s="124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</row>
    <row x14ac:dyDescent="0.25" r="126" customHeight="1" ht="15.75">
      <c r="A126" s="123"/>
      <c r="B126" s="123"/>
      <c r="C126" s="124"/>
      <c r="D126" s="124"/>
      <c r="E126" s="124"/>
      <c r="F126" s="113"/>
      <c r="G126" s="113"/>
      <c r="H126" s="113"/>
      <c r="I126" s="113"/>
      <c r="J126" s="113"/>
      <c r="K126" s="113"/>
      <c r="L126" s="113"/>
      <c r="M126" s="113"/>
      <c r="N126" s="113"/>
      <c r="O126" s="124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</row>
    <row x14ac:dyDescent="0.25" r="127" customHeight="1" ht="15.75">
      <c r="A127" s="123"/>
      <c r="B127" s="123"/>
      <c r="C127" s="124"/>
      <c r="D127" s="124"/>
      <c r="E127" s="124"/>
      <c r="F127" s="113"/>
      <c r="G127" s="113"/>
      <c r="H127" s="113"/>
      <c r="I127" s="113"/>
      <c r="J127" s="113"/>
      <c r="K127" s="113"/>
      <c r="L127" s="113"/>
      <c r="M127" s="113"/>
      <c r="N127" s="113"/>
      <c r="O127" s="124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</row>
    <row x14ac:dyDescent="0.25" r="128" customHeight="1" ht="15.75">
      <c r="A128" s="123"/>
      <c r="B128" s="123"/>
      <c r="C128" s="124"/>
      <c r="D128" s="124"/>
      <c r="E128" s="124"/>
      <c r="F128" s="113"/>
      <c r="G128" s="113"/>
      <c r="H128" s="113"/>
      <c r="I128" s="113"/>
      <c r="J128" s="113"/>
      <c r="K128" s="113"/>
      <c r="L128" s="113"/>
      <c r="M128" s="113"/>
      <c r="N128" s="113"/>
      <c r="O128" s="124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</row>
    <row x14ac:dyDescent="0.25" r="129" customHeight="1" ht="15.75">
      <c r="A129" s="123"/>
      <c r="B129" s="123"/>
      <c r="C129" s="124"/>
      <c r="D129" s="124"/>
      <c r="E129" s="124"/>
      <c r="F129" s="113"/>
      <c r="G129" s="113"/>
      <c r="H129" s="113"/>
      <c r="I129" s="113"/>
      <c r="J129" s="113"/>
      <c r="K129" s="113"/>
      <c r="L129" s="113"/>
      <c r="M129" s="113"/>
      <c r="N129" s="113"/>
      <c r="O129" s="124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</row>
    <row x14ac:dyDescent="0.25" r="130" customHeight="1" ht="15.75">
      <c r="A130" s="123"/>
      <c r="B130" s="123"/>
      <c r="C130" s="124"/>
      <c r="D130" s="124"/>
      <c r="E130" s="124"/>
      <c r="F130" s="113"/>
      <c r="G130" s="113"/>
      <c r="H130" s="113"/>
      <c r="I130" s="113"/>
      <c r="J130" s="113"/>
      <c r="K130" s="113"/>
      <c r="L130" s="113"/>
      <c r="M130" s="113"/>
      <c r="N130" s="113"/>
      <c r="O130" s="124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</row>
    <row x14ac:dyDescent="0.25" r="131" customHeight="1" ht="15.75">
      <c r="A131" s="123"/>
      <c r="B131" s="123"/>
      <c r="C131" s="124"/>
      <c r="D131" s="124"/>
      <c r="E131" s="124"/>
      <c r="F131" s="113"/>
      <c r="G131" s="113"/>
      <c r="H131" s="113"/>
      <c r="I131" s="113"/>
      <c r="J131" s="113"/>
      <c r="K131" s="113"/>
      <c r="L131" s="113"/>
      <c r="M131" s="113"/>
      <c r="N131" s="113"/>
      <c r="O131" s="124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</row>
    <row x14ac:dyDescent="0.25" r="132" customHeight="1" ht="15.75">
      <c r="A132" s="123"/>
      <c r="B132" s="123"/>
      <c r="C132" s="124"/>
      <c r="D132" s="124"/>
      <c r="E132" s="124"/>
      <c r="F132" s="113"/>
      <c r="G132" s="113"/>
      <c r="H132" s="113"/>
      <c r="I132" s="113"/>
      <c r="J132" s="113"/>
      <c r="K132" s="113"/>
      <c r="L132" s="113"/>
      <c r="M132" s="113"/>
      <c r="N132" s="113"/>
      <c r="O132" s="124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</row>
    <row x14ac:dyDescent="0.25" r="133" customHeight="1" ht="15.75">
      <c r="A133" s="123"/>
      <c r="B133" s="123"/>
      <c r="C133" s="124"/>
      <c r="D133" s="124"/>
      <c r="E133" s="124"/>
      <c r="F133" s="113"/>
      <c r="G133" s="113"/>
      <c r="H133" s="113"/>
      <c r="I133" s="113"/>
      <c r="J133" s="113"/>
      <c r="K133" s="113"/>
      <c r="L133" s="113"/>
      <c r="M133" s="113"/>
      <c r="N133" s="113"/>
      <c r="O133" s="124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</row>
    <row x14ac:dyDescent="0.25" r="134" customHeight="1" ht="15.75">
      <c r="A134" s="123"/>
      <c r="B134" s="123"/>
      <c r="C134" s="124"/>
      <c r="D134" s="124"/>
      <c r="E134" s="124"/>
      <c r="F134" s="113"/>
      <c r="G134" s="113"/>
      <c r="H134" s="113"/>
      <c r="I134" s="113"/>
      <c r="J134" s="113"/>
      <c r="K134" s="113"/>
      <c r="L134" s="113"/>
      <c r="M134" s="113"/>
      <c r="N134" s="113"/>
      <c r="O134" s="124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</row>
    <row x14ac:dyDescent="0.25" r="135" customHeight="1" ht="15.75">
      <c r="A135" s="123"/>
      <c r="B135" s="123"/>
      <c r="C135" s="124"/>
      <c r="D135" s="124"/>
      <c r="E135" s="124"/>
      <c r="F135" s="113"/>
      <c r="G135" s="113"/>
      <c r="H135" s="113"/>
      <c r="I135" s="113"/>
      <c r="J135" s="113"/>
      <c r="K135" s="113"/>
      <c r="L135" s="113"/>
      <c r="M135" s="113"/>
      <c r="N135" s="113"/>
      <c r="O135" s="124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</row>
    <row x14ac:dyDescent="0.25" r="136" customHeight="1" ht="15.75">
      <c r="A136" s="123"/>
      <c r="B136" s="123"/>
      <c r="C136" s="124"/>
      <c r="D136" s="124"/>
      <c r="E136" s="124"/>
      <c r="F136" s="113"/>
      <c r="G136" s="113"/>
      <c r="H136" s="113"/>
      <c r="I136" s="113"/>
      <c r="J136" s="113"/>
      <c r="K136" s="113"/>
      <c r="L136" s="113"/>
      <c r="M136" s="113"/>
      <c r="N136" s="113"/>
      <c r="O136" s="124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</row>
    <row x14ac:dyDescent="0.25" r="137" customHeight="1" ht="15.75">
      <c r="A137" s="123"/>
      <c r="B137" s="123"/>
      <c r="C137" s="124"/>
      <c r="D137" s="124"/>
      <c r="E137" s="124"/>
      <c r="F137" s="113"/>
      <c r="G137" s="113"/>
      <c r="H137" s="113"/>
      <c r="I137" s="113"/>
      <c r="J137" s="113"/>
      <c r="K137" s="113"/>
      <c r="L137" s="113"/>
      <c r="M137" s="113"/>
      <c r="N137" s="113"/>
      <c r="O137" s="124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</row>
    <row x14ac:dyDescent="0.25" r="138" customHeight="1" ht="15.75">
      <c r="A138" s="123"/>
      <c r="B138" s="123"/>
      <c r="C138" s="124"/>
      <c r="D138" s="124"/>
      <c r="E138" s="124"/>
      <c r="F138" s="113"/>
      <c r="G138" s="113"/>
      <c r="H138" s="113"/>
      <c r="I138" s="113"/>
      <c r="J138" s="113"/>
      <c r="K138" s="113"/>
      <c r="L138" s="113"/>
      <c r="M138" s="113"/>
      <c r="N138" s="113"/>
      <c r="O138" s="124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</row>
    <row x14ac:dyDescent="0.25" r="139" customHeight="1" ht="15.75">
      <c r="A139" s="123"/>
      <c r="B139" s="123"/>
      <c r="C139" s="124"/>
      <c r="D139" s="124"/>
      <c r="E139" s="124"/>
      <c r="F139" s="113"/>
      <c r="G139" s="113"/>
      <c r="H139" s="113"/>
      <c r="I139" s="113"/>
      <c r="J139" s="113"/>
      <c r="K139" s="113"/>
      <c r="L139" s="113"/>
      <c r="M139" s="113"/>
      <c r="N139" s="113"/>
      <c r="O139" s="124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</row>
    <row x14ac:dyDescent="0.25" r="140" customHeight="1" ht="15.75">
      <c r="A140" s="123"/>
      <c r="B140" s="123"/>
      <c r="C140" s="124"/>
      <c r="D140" s="124"/>
      <c r="E140" s="124"/>
      <c r="F140" s="113"/>
      <c r="G140" s="113"/>
      <c r="H140" s="113"/>
      <c r="I140" s="113"/>
      <c r="J140" s="113"/>
      <c r="K140" s="113"/>
      <c r="L140" s="113"/>
      <c r="M140" s="113"/>
      <c r="N140" s="113"/>
      <c r="O140" s="124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</row>
    <row x14ac:dyDescent="0.25" r="141" customHeight="1" ht="15.75">
      <c r="A141" s="123"/>
      <c r="B141" s="123"/>
      <c r="C141" s="124"/>
      <c r="D141" s="124"/>
      <c r="E141" s="124"/>
      <c r="F141" s="113"/>
      <c r="G141" s="113"/>
      <c r="H141" s="113"/>
      <c r="I141" s="113"/>
      <c r="J141" s="113"/>
      <c r="K141" s="113"/>
      <c r="L141" s="113"/>
      <c r="M141" s="113"/>
      <c r="N141" s="113"/>
      <c r="O141" s="124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</row>
    <row x14ac:dyDescent="0.25" r="142" customHeight="1" ht="15.75">
      <c r="A142" s="123"/>
      <c r="B142" s="123"/>
      <c r="C142" s="124"/>
      <c r="D142" s="124"/>
      <c r="E142" s="124"/>
      <c r="F142" s="113"/>
      <c r="G142" s="113"/>
      <c r="H142" s="113"/>
      <c r="I142" s="113"/>
      <c r="J142" s="113"/>
      <c r="K142" s="113"/>
      <c r="L142" s="113"/>
      <c r="M142" s="113"/>
      <c r="N142" s="113"/>
      <c r="O142" s="124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</row>
    <row x14ac:dyDescent="0.25" r="143" customHeight="1" ht="15.75">
      <c r="A143" s="123"/>
      <c r="B143" s="123"/>
      <c r="C143" s="124"/>
      <c r="D143" s="124"/>
      <c r="E143" s="124"/>
      <c r="F143" s="113"/>
      <c r="G143" s="113"/>
      <c r="H143" s="113"/>
      <c r="I143" s="113"/>
      <c r="J143" s="113"/>
      <c r="K143" s="113"/>
      <c r="L143" s="113"/>
      <c r="M143" s="113"/>
      <c r="N143" s="113"/>
      <c r="O143" s="124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</row>
    <row x14ac:dyDescent="0.25" r="144" customHeight="1" ht="15.75">
      <c r="A144" s="123"/>
      <c r="B144" s="123"/>
      <c r="C144" s="124"/>
      <c r="D144" s="124"/>
      <c r="E144" s="124"/>
      <c r="F144" s="113"/>
      <c r="G144" s="113"/>
      <c r="H144" s="113"/>
      <c r="I144" s="113"/>
      <c r="J144" s="113"/>
      <c r="K144" s="113"/>
      <c r="L144" s="113"/>
      <c r="M144" s="113"/>
      <c r="N144" s="113"/>
      <c r="O144" s="124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</row>
    <row x14ac:dyDescent="0.25" r="145" customHeight="1" ht="15.75">
      <c r="A145" s="123"/>
      <c r="B145" s="123"/>
      <c r="C145" s="124"/>
      <c r="D145" s="124"/>
      <c r="E145" s="124"/>
      <c r="F145" s="113"/>
      <c r="G145" s="113"/>
      <c r="H145" s="113"/>
      <c r="I145" s="113"/>
      <c r="J145" s="113"/>
      <c r="K145" s="113"/>
      <c r="L145" s="113"/>
      <c r="M145" s="113"/>
      <c r="N145" s="113"/>
      <c r="O145" s="124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</row>
    <row x14ac:dyDescent="0.25" r="146" customHeight="1" ht="15.75">
      <c r="A146" s="123"/>
      <c r="B146" s="123"/>
      <c r="C146" s="124"/>
      <c r="D146" s="124"/>
      <c r="E146" s="124"/>
      <c r="F146" s="113"/>
      <c r="G146" s="113"/>
      <c r="H146" s="113"/>
      <c r="I146" s="113"/>
      <c r="J146" s="113"/>
      <c r="K146" s="113"/>
      <c r="L146" s="113"/>
      <c r="M146" s="113"/>
      <c r="N146" s="113"/>
      <c r="O146" s="124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</row>
    <row x14ac:dyDescent="0.25" r="147" customHeight="1" ht="15.75">
      <c r="A147" s="123"/>
      <c r="B147" s="123"/>
      <c r="C147" s="124"/>
      <c r="D147" s="124"/>
      <c r="E147" s="124"/>
      <c r="F147" s="113"/>
      <c r="G147" s="113"/>
      <c r="H147" s="113"/>
      <c r="I147" s="113"/>
      <c r="J147" s="113"/>
      <c r="K147" s="113"/>
      <c r="L147" s="113"/>
      <c r="M147" s="113"/>
      <c r="N147" s="113"/>
      <c r="O147" s="124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</row>
    <row x14ac:dyDescent="0.25" r="148" customHeight="1" ht="15.75">
      <c r="A148" s="123"/>
      <c r="B148" s="123"/>
      <c r="C148" s="124"/>
      <c r="D148" s="124"/>
      <c r="E148" s="124"/>
      <c r="F148" s="113"/>
      <c r="G148" s="113"/>
      <c r="H148" s="113"/>
      <c r="I148" s="113"/>
      <c r="J148" s="113"/>
      <c r="K148" s="113"/>
      <c r="L148" s="113"/>
      <c r="M148" s="113"/>
      <c r="N148" s="113"/>
      <c r="O148" s="124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</row>
    <row x14ac:dyDescent="0.25" r="149" customHeight="1" ht="15.75">
      <c r="A149" s="123"/>
      <c r="B149" s="123"/>
      <c r="C149" s="124"/>
      <c r="D149" s="124"/>
      <c r="E149" s="124"/>
      <c r="F149" s="113"/>
      <c r="G149" s="113"/>
      <c r="H149" s="113"/>
      <c r="I149" s="113"/>
      <c r="J149" s="113"/>
      <c r="K149" s="113"/>
      <c r="L149" s="113"/>
      <c r="M149" s="113"/>
      <c r="N149" s="113"/>
      <c r="O149" s="124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</row>
    <row x14ac:dyDescent="0.25" r="150" customHeight="1" ht="15.75">
      <c r="A150" s="123"/>
      <c r="B150" s="123"/>
      <c r="C150" s="124"/>
      <c r="D150" s="124"/>
      <c r="E150" s="124"/>
      <c r="F150" s="113"/>
      <c r="G150" s="113"/>
      <c r="H150" s="113"/>
      <c r="I150" s="113"/>
      <c r="J150" s="113"/>
      <c r="K150" s="113"/>
      <c r="L150" s="113"/>
      <c r="M150" s="113"/>
      <c r="N150" s="113"/>
      <c r="O150" s="124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</row>
    <row x14ac:dyDescent="0.25" r="151" customHeight="1" ht="15.75">
      <c r="A151" s="123"/>
      <c r="B151" s="123"/>
      <c r="C151" s="124"/>
      <c r="D151" s="124"/>
      <c r="E151" s="124"/>
      <c r="F151" s="113"/>
      <c r="G151" s="113"/>
      <c r="H151" s="113"/>
      <c r="I151" s="113"/>
      <c r="J151" s="113"/>
      <c r="K151" s="113"/>
      <c r="L151" s="113"/>
      <c r="M151" s="113"/>
      <c r="N151" s="113"/>
      <c r="O151" s="124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</row>
    <row x14ac:dyDescent="0.25" r="152" customHeight="1" ht="15.75">
      <c r="A152" s="123"/>
      <c r="B152" s="123"/>
      <c r="C152" s="124"/>
      <c r="D152" s="124"/>
      <c r="E152" s="124"/>
      <c r="F152" s="113"/>
      <c r="G152" s="113"/>
      <c r="H152" s="113"/>
      <c r="I152" s="113"/>
      <c r="J152" s="113"/>
      <c r="K152" s="113"/>
      <c r="L152" s="113"/>
      <c r="M152" s="113"/>
      <c r="N152" s="113"/>
      <c r="O152" s="124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</row>
    <row x14ac:dyDescent="0.25" r="153" customHeight="1" ht="15.75">
      <c r="A153" s="123"/>
      <c r="B153" s="123"/>
      <c r="C153" s="124"/>
      <c r="D153" s="124"/>
      <c r="E153" s="124"/>
      <c r="F153" s="113"/>
      <c r="G153" s="113"/>
      <c r="H153" s="113"/>
      <c r="I153" s="113"/>
      <c r="J153" s="113"/>
      <c r="K153" s="113"/>
      <c r="L153" s="113"/>
      <c r="M153" s="113"/>
      <c r="N153" s="113"/>
      <c r="O153" s="124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</row>
    <row x14ac:dyDescent="0.25" r="154" customHeight="1" ht="15.75">
      <c r="A154" s="123"/>
      <c r="B154" s="123"/>
      <c r="C154" s="124"/>
      <c r="D154" s="124"/>
      <c r="E154" s="124"/>
      <c r="F154" s="113"/>
      <c r="G154" s="113"/>
      <c r="H154" s="113"/>
      <c r="I154" s="113"/>
      <c r="J154" s="113"/>
      <c r="K154" s="113"/>
      <c r="L154" s="113"/>
      <c r="M154" s="113"/>
      <c r="N154" s="113"/>
      <c r="O154" s="124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</row>
    <row x14ac:dyDescent="0.25" r="155" customHeight="1" ht="15.75">
      <c r="A155" s="123"/>
      <c r="B155" s="123"/>
      <c r="C155" s="124"/>
      <c r="D155" s="124"/>
      <c r="E155" s="124"/>
      <c r="F155" s="113"/>
      <c r="G155" s="113"/>
      <c r="H155" s="113"/>
      <c r="I155" s="113"/>
      <c r="J155" s="113"/>
      <c r="K155" s="113"/>
      <c r="L155" s="113"/>
      <c r="M155" s="113"/>
      <c r="N155" s="113"/>
      <c r="O155" s="124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</row>
    <row x14ac:dyDescent="0.25" r="156" customHeight="1" ht="15.75">
      <c r="A156" s="123"/>
      <c r="B156" s="123"/>
      <c r="C156" s="124"/>
      <c r="D156" s="124"/>
      <c r="E156" s="124"/>
      <c r="F156" s="113"/>
      <c r="G156" s="113"/>
      <c r="H156" s="113"/>
      <c r="I156" s="113"/>
      <c r="J156" s="113"/>
      <c r="K156" s="113"/>
      <c r="L156" s="113"/>
      <c r="M156" s="113"/>
      <c r="N156" s="113"/>
      <c r="O156" s="124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</row>
    <row x14ac:dyDescent="0.25" r="157" customHeight="1" ht="15.75">
      <c r="A157" s="123"/>
      <c r="B157" s="123"/>
      <c r="C157" s="124"/>
      <c r="D157" s="124"/>
      <c r="E157" s="124"/>
      <c r="F157" s="113"/>
      <c r="G157" s="113"/>
      <c r="H157" s="113"/>
      <c r="I157" s="113"/>
      <c r="J157" s="113"/>
      <c r="K157" s="113"/>
      <c r="L157" s="113"/>
      <c r="M157" s="113"/>
      <c r="N157" s="113"/>
      <c r="O157" s="124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</row>
    <row x14ac:dyDescent="0.25" r="158" customHeight="1" ht="15.75">
      <c r="A158" s="123"/>
      <c r="B158" s="123"/>
      <c r="C158" s="124"/>
      <c r="D158" s="124"/>
      <c r="E158" s="124"/>
      <c r="F158" s="113"/>
      <c r="G158" s="113"/>
      <c r="H158" s="113"/>
      <c r="I158" s="113"/>
      <c r="J158" s="113"/>
      <c r="K158" s="113"/>
      <c r="L158" s="113"/>
      <c r="M158" s="113"/>
      <c r="N158" s="113"/>
      <c r="O158" s="124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</row>
    <row x14ac:dyDescent="0.25" r="159" customHeight="1" ht="15.75">
      <c r="A159" s="123"/>
      <c r="B159" s="123"/>
      <c r="C159" s="124"/>
      <c r="D159" s="124"/>
      <c r="E159" s="124"/>
      <c r="F159" s="113"/>
      <c r="G159" s="113"/>
      <c r="H159" s="113"/>
      <c r="I159" s="113"/>
      <c r="J159" s="113"/>
      <c r="K159" s="113"/>
      <c r="L159" s="113"/>
      <c r="M159" s="113"/>
      <c r="N159" s="113"/>
      <c r="O159" s="124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</row>
    <row x14ac:dyDescent="0.25" r="160" customHeight="1" ht="15.75">
      <c r="A160" s="123"/>
      <c r="B160" s="123"/>
      <c r="C160" s="124"/>
      <c r="D160" s="124"/>
      <c r="E160" s="124"/>
      <c r="F160" s="113"/>
      <c r="G160" s="113"/>
      <c r="H160" s="113"/>
      <c r="I160" s="113"/>
      <c r="J160" s="113"/>
      <c r="K160" s="113"/>
      <c r="L160" s="113"/>
      <c r="M160" s="113"/>
      <c r="N160" s="113"/>
      <c r="O160" s="124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</row>
    <row x14ac:dyDescent="0.25" r="161" customHeight="1" ht="15.75">
      <c r="A161" s="123"/>
      <c r="B161" s="123"/>
      <c r="C161" s="124"/>
      <c r="D161" s="124"/>
      <c r="E161" s="124"/>
      <c r="F161" s="113"/>
      <c r="G161" s="113"/>
      <c r="H161" s="113"/>
      <c r="I161" s="113"/>
      <c r="J161" s="113"/>
      <c r="K161" s="113"/>
      <c r="L161" s="113"/>
      <c r="M161" s="113"/>
      <c r="N161" s="113"/>
      <c r="O161" s="124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</row>
    <row x14ac:dyDescent="0.25" r="162" customHeight="1" ht="15.75">
      <c r="A162" s="123"/>
      <c r="B162" s="123"/>
      <c r="C162" s="124"/>
      <c r="D162" s="124"/>
      <c r="E162" s="124"/>
      <c r="F162" s="113"/>
      <c r="G162" s="113"/>
      <c r="H162" s="113"/>
      <c r="I162" s="113"/>
      <c r="J162" s="113"/>
      <c r="K162" s="113"/>
      <c r="L162" s="113"/>
      <c r="M162" s="113"/>
      <c r="N162" s="113"/>
      <c r="O162" s="124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</row>
    <row x14ac:dyDescent="0.25" r="163" customHeight="1" ht="15.75">
      <c r="A163" s="123"/>
      <c r="B163" s="123"/>
      <c r="C163" s="124"/>
      <c r="D163" s="124"/>
      <c r="E163" s="124"/>
      <c r="F163" s="113"/>
      <c r="G163" s="113"/>
      <c r="H163" s="113"/>
      <c r="I163" s="113"/>
      <c r="J163" s="113"/>
      <c r="K163" s="113"/>
      <c r="L163" s="113"/>
      <c r="M163" s="113"/>
      <c r="N163" s="113"/>
      <c r="O163" s="124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</row>
    <row x14ac:dyDescent="0.25" r="164" customHeight="1" ht="15.75">
      <c r="A164" s="123"/>
      <c r="B164" s="123"/>
      <c r="C164" s="124"/>
      <c r="D164" s="124"/>
      <c r="E164" s="124"/>
      <c r="F164" s="113"/>
      <c r="G164" s="113"/>
      <c r="H164" s="113"/>
      <c r="I164" s="113"/>
      <c r="J164" s="113"/>
      <c r="K164" s="113"/>
      <c r="L164" s="113"/>
      <c r="M164" s="113"/>
      <c r="N164" s="113"/>
      <c r="O164" s="124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</row>
    <row x14ac:dyDescent="0.25" r="165" customHeight="1" ht="15.75">
      <c r="A165" s="123"/>
      <c r="B165" s="123"/>
      <c r="C165" s="124"/>
      <c r="D165" s="124"/>
      <c r="E165" s="124"/>
      <c r="F165" s="113"/>
      <c r="G165" s="113"/>
      <c r="H165" s="113"/>
      <c r="I165" s="113"/>
      <c r="J165" s="113"/>
      <c r="K165" s="113"/>
      <c r="L165" s="113"/>
      <c r="M165" s="113"/>
      <c r="N165" s="113"/>
      <c r="O165" s="124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</row>
    <row x14ac:dyDescent="0.25" r="166" customHeight="1" ht="15.75">
      <c r="A166" s="123"/>
      <c r="B166" s="123"/>
      <c r="C166" s="124"/>
      <c r="D166" s="124"/>
      <c r="E166" s="124"/>
      <c r="F166" s="113"/>
      <c r="G166" s="113"/>
      <c r="H166" s="113"/>
      <c r="I166" s="113"/>
      <c r="J166" s="113"/>
      <c r="K166" s="113"/>
      <c r="L166" s="113"/>
      <c r="M166" s="113"/>
      <c r="N166" s="113"/>
      <c r="O166" s="124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</row>
    <row x14ac:dyDescent="0.25" r="167" customHeight="1" ht="15.75">
      <c r="A167" s="123"/>
      <c r="B167" s="123"/>
      <c r="C167" s="124"/>
      <c r="D167" s="124"/>
      <c r="E167" s="124"/>
      <c r="F167" s="113"/>
      <c r="G167" s="113"/>
      <c r="H167" s="113"/>
      <c r="I167" s="113"/>
      <c r="J167" s="113"/>
      <c r="K167" s="113"/>
      <c r="L167" s="113"/>
      <c r="M167" s="113"/>
      <c r="N167" s="113"/>
      <c r="O167" s="124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</row>
    <row x14ac:dyDescent="0.25" r="168" customHeight="1" ht="15.75">
      <c r="A168" s="123"/>
      <c r="B168" s="123"/>
      <c r="C168" s="124"/>
      <c r="D168" s="124"/>
      <c r="E168" s="124"/>
      <c r="F168" s="113"/>
      <c r="G168" s="113"/>
      <c r="H168" s="113"/>
      <c r="I168" s="113"/>
      <c r="J168" s="113"/>
      <c r="K168" s="113"/>
      <c r="L168" s="113"/>
      <c r="M168" s="113"/>
      <c r="N168" s="113"/>
      <c r="O168" s="124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</row>
    <row x14ac:dyDescent="0.25" r="169" customHeight="1" ht="15.75">
      <c r="A169" s="123"/>
      <c r="B169" s="123"/>
      <c r="C169" s="124"/>
      <c r="D169" s="124"/>
      <c r="E169" s="124"/>
      <c r="F169" s="113"/>
      <c r="G169" s="113"/>
      <c r="H169" s="113"/>
      <c r="I169" s="113"/>
      <c r="J169" s="113"/>
      <c r="K169" s="113"/>
      <c r="L169" s="113"/>
      <c r="M169" s="113"/>
      <c r="N169" s="113"/>
      <c r="O169" s="124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</row>
    <row x14ac:dyDescent="0.25" r="170" customHeight="1" ht="15.75">
      <c r="A170" s="123"/>
      <c r="B170" s="123"/>
      <c r="C170" s="124"/>
      <c r="D170" s="124"/>
      <c r="E170" s="124"/>
      <c r="F170" s="113"/>
      <c r="G170" s="113"/>
      <c r="H170" s="113"/>
      <c r="I170" s="113"/>
      <c r="J170" s="113"/>
      <c r="K170" s="113"/>
      <c r="L170" s="113"/>
      <c r="M170" s="113"/>
      <c r="N170" s="113"/>
      <c r="O170" s="124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</row>
    <row x14ac:dyDescent="0.25" r="171" customHeight="1" ht="15.75">
      <c r="A171" s="123"/>
      <c r="B171" s="123"/>
      <c r="C171" s="124"/>
      <c r="D171" s="124"/>
      <c r="E171" s="124"/>
      <c r="F171" s="113"/>
      <c r="G171" s="113"/>
      <c r="H171" s="113"/>
      <c r="I171" s="113"/>
      <c r="J171" s="113"/>
      <c r="K171" s="113"/>
      <c r="L171" s="113"/>
      <c r="M171" s="113"/>
      <c r="N171" s="113"/>
      <c r="O171" s="124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</row>
    <row x14ac:dyDescent="0.25" r="172" customHeight="1" ht="15.75">
      <c r="A172" s="123"/>
      <c r="B172" s="123"/>
      <c r="C172" s="124"/>
      <c r="D172" s="124"/>
      <c r="E172" s="124"/>
      <c r="F172" s="113"/>
      <c r="G172" s="113"/>
      <c r="H172" s="113"/>
      <c r="I172" s="113"/>
      <c r="J172" s="113"/>
      <c r="K172" s="113"/>
      <c r="L172" s="113"/>
      <c r="M172" s="113"/>
      <c r="N172" s="113"/>
      <c r="O172" s="124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</row>
    <row x14ac:dyDescent="0.25" r="173" customHeight="1" ht="15.75">
      <c r="A173" s="123"/>
      <c r="B173" s="123"/>
      <c r="C173" s="124"/>
      <c r="D173" s="124"/>
      <c r="E173" s="124"/>
      <c r="F173" s="113"/>
      <c r="G173" s="113"/>
      <c r="H173" s="113"/>
      <c r="I173" s="113"/>
      <c r="J173" s="113"/>
      <c r="K173" s="113"/>
      <c r="L173" s="113"/>
      <c r="M173" s="113"/>
      <c r="N173" s="113"/>
      <c r="O173" s="124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</row>
    <row x14ac:dyDescent="0.25" r="174" customHeight="1" ht="15.75">
      <c r="A174" s="123"/>
      <c r="B174" s="123"/>
      <c r="C174" s="124"/>
      <c r="D174" s="124"/>
      <c r="E174" s="124"/>
      <c r="F174" s="113"/>
      <c r="G174" s="113"/>
      <c r="H174" s="113"/>
      <c r="I174" s="113"/>
      <c r="J174" s="113"/>
      <c r="K174" s="113"/>
      <c r="L174" s="113"/>
      <c r="M174" s="113"/>
      <c r="N174" s="113"/>
      <c r="O174" s="124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</row>
    <row x14ac:dyDescent="0.25" r="175" customHeight="1" ht="15.75">
      <c r="A175" s="123"/>
      <c r="B175" s="123"/>
      <c r="C175" s="124"/>
      <c r="D175" s="124"/>
      <c r="E175" s="124"/>
      <c r="F175" s="113"/>
      <c r="G175" s="113"/>
      <c r="H175" s="113"/>
      <c r="I175" s="113"/>
      <c r="J175" s="113"/>
      <c r="K175" s="113"/>
      <c r="L175" s="113"/>
      <c r="M175" s="113"/>
      <c r="N175" s="113"/>
      <c r="O175" s="124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</row>
    <row x14ac:dyDescent="0.25" r="176" customHeight="1" ht="15.75">
      <c r="A176" s="123"/>
      <c r="B176" s="123"/>
      <c r="C176" s="124"/>
      <c r="D176" s="124"/>
      <c r="E176" s="124"/>
      <c r="F176" s="113"/>
      <c r="G176" s="113"/>
      <c r="H176" s="113"/>
      <c r="I176" s="113"/>
      <c r="J176" s="113"/>
      <c r="K176" s="113"/>
      <c r="L176" s="113"/>
      <c r="M176" s="113"/>
      <c r="N176" s="113"/>
      <c r="O176" s="124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</row>
    <row x14ac:dyDescent="0.25" r="177" customHeight="1" ht="15.75">
      <c r="A177" s="123"/>
      <c r="B177" s="123"/>
      <c r="C177" s="124"/>
      <c r="D177" s="124"/>
      <c r="E177" s="124"/>
      <c r="F177" s="113"/>
      <c r="G177" s="113"/>
      <c r="H177" s="113"/>
      <c r="I177" s="113"/>
      <c r="J177" s="113"/>
      <c r="K177" s="113"/>
      <c r="L177" s="113"/>
      <c r="M177" s="113"/>
      <c r="N177" s="113"/>
      <c r="O177" s="124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</row>
    <row x14ac:dyDescent="0.25" r="178" customHeight="1" ht="15.75">
      <c r="A178" s="123"/>
      <c r="B178" s="123"/>
      <c r="C178" s="124"/>
      <c r="D178" s="124"/>
      <c r="E178" s="124"/>
      <c r="F178" s="113"/>
      <c r="G178" s="113"/>
      <c r="H178" s="113"/>
      <c r="I178" s="113"/>
      <c r="J178" s="113"/>
      <c r="K178" s="113"/>
      <c r="L178" s="113"/>
      <c r="M178" s="113"/>
      <c r="N178" s="113"/>
      <c r="O178" s="124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</row>
    <row x14ac:dyDescent="0.25" r="179" customHeight="1" ht="15.75">
      <c r="A179" s="123"/>
      <c r="B179" s="123"/>
      <c r="C179" s="124"/>
      <c r="D179" s="124"/>
      <c r="E179" s="124"/>
      <c r="F179" s="113"/>
      <c r="G179" s="113"/>
      <c r="H179" s="113"/>
      <c r="I179" s="113"/>
      <c r="J179" s="113"/>
      <c r="K179" s="113"/>
      <c r="L179" s="113"/>
      <c r="M179" s="113"/>
      <c r="N179" s="113"/>
      <c r="O179" s="124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</row>
    <row x14ac:dyDescent="0.25" r="180" customHeight="1" ht="15.75">
      <c r="A180" s="123"/>
      <c r="B180" s="123"/>
      <c r="C180" s="124"/>
      <c r="D180" s="124"/>
      <c r="E180" s="124"/>
      <c r="F180" s="113"/>
      <c r="G180" s="113"/>
      <c r="H180" s="113"/>
      <c r="I180" s="113"/>
      <c r="J180" s="113"/>
      <c r="K180" s="113"/>
      <c r="L180" s="113"/>
      <c r="M180" s="113"/>
      <c r="N180" s="113"/>
      <c r="O180" s="124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</row>
    <row x14ac:dyDescent="0.25" r="181" customHeight="1" ht="15.75">
      <c r="A181" s="123"/>
      <c r="B181" s="123"/>
      <c r="C181" s="124"/>
      <c r="D181" s="124"/>
      <c r="E181" s="124"/>
      <c r="F181" s="113"/>
      <c r="G181" s="113"/>
      <c r="H181" s="113"/>
      <c r="I181" s="113"/>
      <c r="J181" s="113"/>
      <c r="K181" s="113"/>
      <c r="L181" s="113"/>
      <c r="M181" s="113"/>
      <c r="N181" s="113"/>
      <c r="O181" s="124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</row>
    <row x14ac:dyDescent="0.25" r="182" customHeight="1" ht="15.75">
      <c r="A182" s="123"/>
      <c r="B182" s="123"/>
      <c r="C182" s="124"/>
      <c r="D182" s="124"/>
      <c r="E182" s="124"/>
      <c r="F182" s="113"/>
      <c r="G182" s="113"/>
      <c r="H182" s="113"/>
      <c r="I182" s="113"/>
      <c r="J182" s="113"/>
      <c r="K182" s="113"/>
      <c r="L182" s="113"/>
      <c r="M182" s="113"/>
      <c r="N182" s="113"/>
      <c r="O182" s="124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</row>
    <row x14ac:dyDescent="0.25" r="183" customHeight="1" ht="15.75">
      <c r="A183" s="123"/>
      <c r="B183" s="123"/>
      <c r="C183" s="124"/>
      <c r="D183" s="124"/>
      <c r="E183" s="124"/>
      <c r="F183" s="113"/>
      <c r="G183" s="113"/>
      <c r="H183" s="113"/>
      <c r="I183" s="113"/>
      <c r="J183" s="113"/>
      <c r="K183" s="113"/>
      <c r="L183" s="113"/>
      <c r="M183" s="113"/>
      <c r="N183" s="113"/>
      <c r="O183" s="124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</row>
    <row x14ac:dyDescent="0.25" r="184" customHeight="1" ht="15.75">
      <c r="A184" s="123"/>
      <c r="B184" s="123"/>
      <c r="C184" s="124"/>
      <c r="D184" s="124"/>
      <c r="E184" s="124"/>
      <c r="F184" s="113"/>
      <c r="G184" s="113"/>
      <c r="H184" s="113"/>
      <c r="I184" s="113"/>
      <c r="J184" s="113"/>
      <c r="K184" s="113"/>
      <c r="L184" s="113"/>
      <c r="M184" s="113"/>
      <c r="N184" s="113"/>
      <c r="O184" s="124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</row>
    <row x14ac:dyDescent="0.25" r="185" customHeight="1" ht="15.75">
      <c r="A185" s="123"/>
      <c r="B185" s="123"/>
      <c r="C185" s="124"/>
      <c r="D185" s="124"/>
      <c r="E185" s="124"/>
      <c r="F185" s="113"/>
      <c r="G185" s="113"/>
      <c r="H185" s="113"/>
      <c r="I185" s="113"/>
      <c r="J185" s="113"/>
      <c r="K185" s="113"/>
      <c r="L185" s="113"/>
      <c r="M185" s="113"/>
      <c r="N185" s="113"/>
      <c r="O185" s="124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</row>
    <row x14ac:dyDescent="0.25" r="186" customHeight="1" ht="15.75">
      <c r="A186" s="123"/>
      <c r="B186" s="123"/>
      <c r="C186" s="124"/>
      <c r="D186" s="124"/>
      <c r="E186" s="124"/>
      <c r="F186" s="113"/>
      <c r="G186" s="113"/>
      <c r="H186" s="113"/>
      <c r="I186" s="113"/>
      <c r="J186" s="113"/>
      <c r="K186" s="113"/>
      <c r="L186" s="113"/>
      <c r="M186" s="113"/>
      <c r="N186" s="113"/>
      <c r="O186" s="124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</row>
    <row x14ac:dyDescent="0.25" r="187" customHeight="1" ht="15.75">
      <c r="A187" s="123"/>
      <c r="B187" s="123"/>
      <c r="C187" s="124"/>
      <c r="D187" s="124"/>
      <c r="E187" s="124"/>
      <c r="F187" s="113"/>
      <c r="G187" s="113"/>
      <c r="H187" s="113"/>
      <c r="I187" s="113"/>
      <c r="J187" s="113"/>
      <c r="K187" s="113"/>
      <c r="L187" s="113"/>
      <c r="M187" s="113"/>
      <c r="N187" s="113"/>
      <c r="O187" s="124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</row>
    <row x14ac:dyDescent="0.25" r="188" customHeight="1" ht="15.75">
      <c r="A188" s="123"/>
      <c r="B188" s="123"/>
      <c r="C188" s="124"/>
      <c r="D188" s="124"/>
      <c r="E188" s="124"/>
      <c r="F188" s="113"/>
      <c r="G188" s="113"/>
      <c r="H188" s="113"/>
      <c r="I188" s="113"/>
      <c r="J188" s="113"/>
      <c r="K188" s="113"/>
      <c r="L188" s="113"/>
      <c r="M188" s="113"/>
      <c r="N188" s="113"/>
      <c r="O188" s="124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</row>
    <row x14ac:dyDescent="0.25" r="189" customHeight="1" ht="15.75">
      <c r="A189" s="123"/>
      <c r="B189" s="123"/>
      <c r="C189" s="124"/>
      <c r="D189" s="124"/>
      <c r="E189" s="124"/>
      <c r="F189" s="113"/>
      <c r="G189" s="113"/>
      <c r="H189" s="113"/>
      <c r="I189" s="113"/>
      <c r="J189" s="113"/>
      <c r="K189" s="113"/>
      <c r="L189" s="113"/>
      <c r="M189" s="113"/>
      <c r="N189" s="113"/>
      <c r="O189" s="124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</row>
    <row x14ac:dyDescent="0.25" r="190" customHeight="1" ht="15.75">
      <c r="A190" s="123"/>
      <c r="B190" s="123"/>
      <c r="C190" s="124"/>
      <c r="D190" s="124"/>
      <c r="E190" s="124"/>
      <c r="F190" s="113"/>
      <c r="G190" s="113"/>
      <c r="H190" s="113"/>
      <c r="I190" s="113"/>
      <c r="J190" s="113"/>
      <c r="K190" s="113"/>
      <c r="L190" s="113"/>
      <c r="M190" s="113"/>
      <c r="N190" s="113"/>
      <c r="O190" s="124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</row>
    <row x14ac:dyDescent="0.25" r="191" customHeight="1" ht="15.75">
      <c r="A191" s="123"/>
      <c r="B191" s="123"/>
      <c r="C191" s="124"/>
      <c r="D191" s="124"/>
      <c r="E191" s="124"/>
      <c r="F191" s="113"/>
      <c r="G191" s="113"/>
      <c r="H191" s="113"/>
      <c r="I191" s="113"/>
      <c r="J191" s="113"/>
      <c r="K191" s="113"/>
      <c r="L191" s="113"/>
      <c r="M191" s="113"/>
      <c r="N191" s="113"/>
      <c r="O191" s="124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</row>
    <row x14ac:dyDescent="0.25" r="192" customHeight="1" ht="15.75">
      <c r="A192" s="123"/>
      <c r="B192" s="123"/>
      <c r="C192" s="124"/>
      <c r="D192" s="124"/>
      <c r="E192" s="124"/>
      <c r="F192" s="113"/>
      <c r="G192" s="113"/>
      <c r="H192" s="113"/>
      <c r="I192" s="113"/>
      <c r="J192" s="113"/>
      <c r="K192" s="113"/>
      <c r="L192" s="113"/>
      <c r="M192" s="113"/>
      <c r="N192" s="113"/>
      <c r="O192" s="124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</row>
    <row x14ac:dyDescent="0.25" r="193" customHeight="1" ht="15.75">
      <c r="A193" s="123"/>
      <c r="B193" s="123"/>
      <c r="C193" s="124"/>
      <c r="D193" s="124"/>
      <c r="E193" s="124"/>
      <c r="F193" s="113"/>
      <c r="G193" s="113"/>
      <c r="H193" s="113"/>
      <c r="I193" s="113"/>
      <c r="J193" s="113"/>
      <c r="K193" s="113"/>
      <c r="L193" s="113"/>
      <c r="M193" s="113"/>
      <c r="N193" s="113"/>
      <c r="O193" s="124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</row>
    <row x14ac:dyDescent="0.25" r="194" customHeight="1" ht="15.75">
      <c r="A194" s="123"/>
      <c r="B194" s="123"/>
      <c r="C194" s="124"/>
      <c r="D194" s="124"/>
      <c r="E194" s="124"/>
      <c r="F194" s="113"/>
      <c r="G194" s="113"/>
      <c r="H194" s="113"/>
      <c r="I194" s="113"/>
      <c r="J194" s="113"/>
      <c r="K194" s="113"/>
      <c r="L194" s="113"/>
      <c r="M194" s="113"/>
      <c r="N194" s="113"/>
      <c r="O194" s="124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</row>
    <row x14ac:dyDescent="0.25" r="195" customHeight="1" ht="15.75">
      <c r="A195" s="123"/>
      <c r="B195" s="123"/>
      <c r="C195" s="124"/>
      <c r="D195" s="124"/>
      <c r="E195" s="124"/>
      <c r="F195" s="113"/>
      <c r="G195" s="113"/>
      <c r="H195" s="113"/>
      <c r="I195" s="113"/>
      <c r="J195" s="113"/>
      <c r="K195" s="113"/>
      <c r="L195" s="113"/>
      <c r="M195" s="113"/>
      <c r="N195" s="113"/>
      <c r="O195" s="124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</row>
    <row x14ac:dyDescent="0.25" r="196" customHeight="1" ht="15.75">
      <c r="A196" s="123"/>
      <c r="B196" s="123"/>
      <c r="C196" s="124"/>
      <c r="D196" s="124"/>
      <c r="E196" s="124"/>
      <c r="F196" s="113"/>
      <c r="G196" s="113"/>
      <c r="H196" s="113"/>
      <c r="I196" s="113"/>
      <c r="J196" s="113"/>
      <c r="K196" s="113"/>
      <c r="L196" s="113"/>
      <c r="M196" s="113"/>
      <c r="N196" s="113"/>
      <c r="O196" s="124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</row>
    <row x14ac:dyDescent="0.25" r="197" customHeight="1" ht="15.75">
      <c r="A197" s="123"/>
      <c r="B197" s="123"/>
      <c r="C197" s="124"/>
      <c r="D197" s="124"/>
      <c r="E197" s="124"/>
      <c r="F197" s="113"/>
      <c r="G197" s="113"/>
      <c r="H197" s="113"/>
      <c r="I197" s="113"/>
      <c r="J197" s="113"/>
      <c r="K197" s="113"/>
      <c r="L197" s="113"/>
      <c r="M197" s="113"/>
      <c r="N197" s="113"/>
      <c r="O197" s="124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</row>
    <row x14ac:dyDescent="0.25" r="198" customHeight="1" ht="15.75">
      <c r="A198" s="123"/>
      <c r="B198" s="123"/>
      <c r="C198" s="124"/>
      <c r="D198" s="124"/>
      <c r="E198" s="124"/>
      <c r="F198" s="113"/>
      <c r="G198" s="113"/>
      <c r="H198" s="113"/>
      <c r="I198" s="113"/>
      <c r="J198" s="113"/>
      <c r="K198" s="113"/>
      <c r="L198" s="113"/>
      <c r="M198" s="113"/>
      <c r="N198" s="113"/>
      <c r="O198" s="124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</row>
    <row x14ac:dyDescent="0.25" r="199" customHeight="1" ht="15.75">
      <c r="A199" s="123"/>
      <c r="B199" s="123"/>
      <c r="C199" s="124"/>
      <c r="D199" s="124"/>
      <c r="E199" s="124"/>
      <c r="F199" s="113"/>
      <c r="G199" s="113"/>
      <c r="H199" s="113"/>
      <c r="I199" s="113"/>
      <c r="J199" s="113"/>
      <c r="K199" s="113"/>
      <c r="L199" s="113"/>
      <c r="M199" s="113"/>
      <c r="N199" s="113"/>
      <c r="O199" s="124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</row>
    <row x14ac:dyDescent="0.25" r="200" customHeight="1" ht="15.75">
      <c r="A200" s="123"/>
      <c r="B200" s="123"/>
      <c r="C200" s="124"/>
      <c r="D200" s="124"/>
      <c r="E200" s="124"/>
      <c r="F200" s="113"/>
      <c r="G200" s="113"/>
      <c r="H200" s="113"/>
      <c r="I200" s="113"/>
      <c r="J200" s="113"/>
      <c r="K200" s="113"/>
      <c r="L200" s="113"/>
      <c r="M200" s="113"/>
      <c r="N200" s="113"/>
      <c r="O200" s="124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</row>
    <row x14ac:dyDescent="0.25" r="201" customHeight="1" ht="15.75">
      <c r="A201" s="123"/>
      <c r="B201" s="123"/>
      <c r="C201" s="124"/>
      <c r="D201" s="124"/>
      <c r="E201" s="124"/>
      <c r="F201" s="113"/>
      <c r="G201" s="113"/>
      <c r="H201" s="113"/>
      <c r="I201" s="113"/>
      <c r="J201" s="113"/>
      <c r="K201" s="113"/>
      <c r="L201" s="113"/>
      <c r="M201" s="113"/>
      <c r="N201" s="113"/>
      <c r="O201" s="124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</row>
    <row x14ac:dyDescent="0.25" r="202" customHeight="1" ht="15.75">
      <c r="A202" s="123"/>
      <c r="B202" s="123"/>
      <c r="C202" s="124"/>
      <c r="D202" s="124"/>
      <c r="E202" s="124"/>
      <c r="F202" s="113"/>
      <c r="G202" s="113"/>
      <c r="H202" s="113"/>
      <c r="I202" s="113"/>
      <c r="J202" s="113"/>
      <c r="K202" s="113"/>
      <c r="L202" s="113"/>
      <c r="M202" s="113"/>
      <c r="N202" s="113"/>
      <c r="O202" s="124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</row>
    <row x14ac:dyDescent="0.25" r="203" customHeight="1" ht="15.75">
      <c r="A203" s="123"/>
      <c r="B203" s="123"/>
      <c r="C203" s="124"/>
      <c r="D203" s="124"/>
      <c r="E203" s="124"/>
      <c r="F203" s="113"/>
      <c r="G203" s="113"/>
      <c r="H203" s="113"/>
      <c r="I203" s="113"/>
      <c r="J203" s="113"/>
      <c r="K203" s="113"/>
      <c r="L203" s="113"/>
      <c r="M203" s="113"/>
      <c r="N203" s="113"/>
      <c r="O203" s="124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</row>
    <row x14ac:dyDescent="0.25" r="204" customHeight="1" ht="15.75">
      <c r="A204" s="123"/>
      <c r="B204" s="123"/>
      <c r="C204" s="124"/>
      <c r="D204" s="124"/>
      <c r="E204" s="124"/>
      <c r="F204" s="113"/>
      <c r="G204" s="113"/>
      <c r="H204" s="113"/>
      <c r="I204" s="113"/>
      <c r="J204" s="113"/>
      <c r="K204" s="113"/>
      <c r="L204" s="113"/>
      <c r="M204" s="113"/>
      <c r="N204" s="113"/>
      <c r="O204" s="124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</row>
    <row x14ac:dyDescent="0.25" r="205" customHeight="1" ht="15.75">
      <c r="A205" s="123"/>
      <c r="B205" s="123"/>
      <c r="C205" s="124"/>
      <c r="D205" s="124"/>
      <c r="E205" s="124"/>
      <c r="F205" s="113"/>
      <c r="G205" s="113"/>
      <c r="H205" s="113"/>
      <c r="I205" s="113"/>
      <c r="J205" s="113"/>
      <c r="K205" s="113"/>
      <c r="L205" s="113"/>
      <c r="M205" s="113"/>
      <c r="N205" s="113"/>
      <c r="O205" s="124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</row>
    <row x14ac:dyDescent="0.25" r="206" customHeight="1" ht="15.75">
      <c r="A206" s="123"/>
      <c r="B206" s="123"/>
      <c r="C206" s="124"/>
      <c r="D206" s="124"/>
      <c r="E206" s="124"/>
      <c r="F206" s="113"/>
      <c r="G206" s="113"/>
      <c r="H206" s="113"/>
      <c r="I206" s="113"/>
      <c r="J206" s="113"/>
      <c r="K206" s="113"/>
      <c r="L206" s="113"/>
      <c r="M206" s="113"/>
      <c r="N206" s="113"/>
      <c r="O206" s="124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</row>
    <row x14ac:dyDescent="0.25" r="207" customHeight="1" ht="15.75">
      <c r="A207" s="123"/>
      <c r="B207" s="123"/>
      <c r="C207" s="124"/>
      <c r="D207" s="124"/>
      <c r="E207" s="124"/>
      <c r="F207" s="113"/>
      <c r="G207" s="113"/>
      <c r="H207" s="113"/>
      <c r="I207" s="113"/>
      <c r="J207" s="113"/>
      <c r="K207" s="113"/>
      <c r="L207" s="113"/>
      <c r="M207" s="113"/>
      <c r="N207" s="113"/>
      <c r="O207" s="124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</row>
    <row x14ac:dyDescent="0.25" r="208" customHeight="1" ht="15.75">
      <c r="A208" s="123"/>
      <c r="B208" s="123"/>
      <c r="C208" s="124"/>
      <c r="D208" s="124"/>
      <c r="E208" s="124"/>
      <c r="F208" s="113"/>
      <c r="G208" s="113"/>
      <c r="H208" s="113"/>
      <c r="I208" s="113"/>
      <c r="J208" s="113"/>
      <c r="K208" s="113"/>
      <c r="L208" s="113"/>
      <c r="M208" s="113"/>
      <c r="N208" s="113"/>
      <c r="O208" s="124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</row>
    <row x14ac:dyDescent="0.25" r="209" customHeight="1" ht="15.75">
      <c r="A209" s="123"/>
      <c r="B209" s="123"/>
      <c r="C209" s="124"/>
      <c r="D209" s="124"/>
      <c r="E209" s="124"/>
      <c r="F209" s="113"/>
      <c r="G209" s="113"/>
      <c r="H209" s="113"/>
      <c r="I209" s="113"/>
      <c r="J209" s="113"/>
      <c r="K209" s="113"/>
      <c r="L209" s="113"/>
      <c r="M209" s="113"/>
      <c r="N209" s="113"/>
      <c r="O209" s="124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</row>
    <row x14ac:dyDescent="0.25" r="210" customHeight="1" ht="15.75">
      <c r="A210" s="123"/>
      <c r="B210" s="123"/>
      <c r="C210" s="124"/>
      <c r="D210" s="124"/>
      <c r="E210" s="124"/>
      <c r="F210" s="113"/>
      <c r="G210" s="113"/>
      <c r="H210" s="113"/>
      <c r="I210" s="113"/>
      <c r="J210" s="113"/>
      <c r="K210" s="113"/>
      <c r="L210" s="113"/>
      <c r="M210" s="113"/>
      <c r="N210" s="113"/>
      <c r="O210" s="124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</row>
    <row x14ac:dyDescent="0.25" r="211" customHeight="1" ht="15.75">
      <c r="A211" s="123"/>
      <c r="B211" s="123"/>
      <c r="C211" s="124"/>
      <c r="D211" s="124"/>
      <c r="E211" s="124"/>
      <c r="F211" s="113"/>
      <c r="G211" s="113"/>
      <c r="H211" s="113"/>
      <c r="I211" s="113"/>
      <c r="J211" s="113"/>
      <c r="K211" s="113"/>
      <c r="L211" s="113"/>
      <c r="M211" s="113"/>
      <c r="N211" s="113"/>
      <c r="O211" s="124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</row>
    <row x14ac:dyDescent="0.25" r="212" customHeight="1" ht="15.75">
      <c r="A212" s="123"/>
      <c r="B212" s="123"/>
      <c r="C212" s="124"/>
      <c r="D212" s="124"/>
      <c r="E212" s="124"/>
      <c r="F212" s="113"/>
      <c r="G212" s="113"/>
      <c r="H212" s="113"/>
      <c r="I212" s="113"/>
      <c r="J212" s="113"/>
      <c r="K212" s="113"/>
      <c r="L212" s="113"/>
      <c r="M212" s="113"/>
      <c r="N212" s="113"/>
      <c r="O212" s="124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</row>
    <row x14ac:dyDescent="0.25" r="213" customHeight="1" ht="15.75">
      <c r="A213" s="123"/>
      <c r="B213" s="123"/>
      <c r="C213" s="124"/>
      <c r="D213" s="124"/>
      <c r="E213" s="124"/>
      <c r="F213" s="113"/>
      <c r="G213" s="113"/>
      <c r="H213" s="113"/>
      <c r="I213" s="113"/>
      <c r="J213" s="113"/>
      <c r="K213" s="113"/>
      <c r="L213" s="113"/>
      <c r="M213" s="113"/>
      <c r="N213" s="113"/>
      <c r="O213" s="124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</row>
    <row x14ac:dyDescent="0.25" r="214" customHeight="1" ht="15.75">
      <c r="A214" s="123"/>
      <c r="B214" s="123"/>
      <c r="C214" s="124"/>
      <c r="D214" s="124"/>
      <c r="E214" s="124"/>
      <c r="F214" s="113"/>
      <c r="G214" s="113"/>
      <c r="H214" s="113"/>
      <c r="I214" s="113"/>
      <c r="J214" s="113"/>
      <c r="K214" s="113"/>
      <c r="L214" s="113"/>
      <c r="M214" s="113"/>
      <c r="N214" s="113"/>
      <c r="O214" s="124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</row>
    <row x14ac:dyDescent="0.25" r="215" customHeight="1" ht="15.75">
      <c r="A215" s="123"/>
      <c r="B215" s="123"/>
      <c r="C215" s="124"/>
      <c r="D215" s="124"/>
      <c r="E215" s="124"/>
      <c r="F215" s="113"/>
      <c r="G215" s="113"/>
      <c r="H215" s="113"/>
      <c r="I215" s="113"/>
      <c r="J215" s="113"/>
      <c r="K215" s="113"/>
      <c r="L215" s="113"/>
      <c r="M215" s="113"/>
      <c r="N215" s="113"/>
      <c r="O215" s="124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</row>
    <row x14ac:dyDescent="0.25" r="216" customHeight="1" ht="15.75">
      <c r="A216" s="123"/>
      <c r="B216" s="123"/>
      <c r="C216" s="124"/>
      <c r="D216" s="124"/>
      <c r="E216" s="124"/>
      <c r="F216" s="113"/>
      <c r="G216" s="113"/>
      <c r="H216" s="113"/>
      <c r="I216" s="113"/>
      <c r="J216" s="113"/>
      <c r="K216" s="113"/>
      <c r="L216" s="113"/>
      <c r="M216" s="113"/>
      <c r="N216" s="113"/>
      <c r="O216" s="124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</row>
    <row x14ac:dyDescent="0.25" r="217" customHeight="1" ht="15.75">
      <c r="A217" s="123"/>
      <c r="B217" s="123"/>
      <c r="C217" s="124"/>
      <c r="D217" s="124"/>
      <c r="E217" s="124"/>
      <c r="F217" s="113"/>
      <c r="G217" s="113"/>
      <c r="H217" s="113"/>
      <c r="I217" s="113"/>
      <c r="J217" s="113"/>
      <c r="K217" s="113"/>
      <c r="L217" s="113"/>
      <c r="M217" s="113"/>
      <c r="N217" s="113"/>
      <c r="O217" s="124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</row>
    <row x14ac:dyDescent="0.25" r="218" customHeight="1" ht="15.75">
      <c r="A218" s="123"/>
      <c r="B218" s="123"/>
      <c r="C218" s="124"/>
      <c r="D218" s="124"/>
      <c r="E218" s="124"/>
      <c r="F218" s="113"/>
      <c r="G218" s="113"/>
      <c r="H218" s="113"/>
      <c r="I218" s="113"/>
      <c r="J218" s="113"/>
      <c r="K218" s="113"/>
      <c r="L218" s="113"/>
      <c r="M218" s="113"/>
      <c r="N218" s="113"/>
      <c r="O218" s="124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</row>
    <row x14ac:dyDescent="0.25" r="219" customHeight="1" ht="15.75">
      <c r="A219" s="123"/>
      <c r="B219" s="123"/>
      <c r="C219" s="124"/>
      <c r="D219" s="124"/>
      <c r="E219" s="124"/>
      <c r="F219" s="113"/>
      <c r="G219" s="113"/>
      <c r="H219" s="113"/>
      <c r="I219" s="113"/>
      <c r="J219" s="113"/>
      <c r="K219" s="113"/>
      <c r="L219" s="113"/>
      <c r="M219" s="113"/>
      <c r="N219" s="113"/>
      <c r="O219" s="124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</row>
    <row x14ac:dyDescent="0.25" r="220" customHeight="1" ht="15.75">
      <c r="A220" s="123"/>
      <c r="B220" s="123"/>
      <c r="C220" s="124"/>
      <c r="D220" s="124"/>
      <c r="E220" s="124"/>
      <c r="F220" s="113"/>
      <c r="G220" s="113"/>
      <c r="H220" s="113"/>
      <c r="I220" s="113"/>
      <c r="J220" s="113"/>
      <c r="K220" s="113"/>
      <c r="L220" s="113"/>
      <c r="M220" s="113"/>
      <c r="N220" s="113"/>
      <c r="O220" s="124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</row>
    <row x14ac:dyDescent="0.25" r="221" customHeight="1" ht="15.75">
      <c r="A221" s="123"/>
      <c r="B221" s="123"/>
      <c r="C221" s="124"/>
      <c r="D221" s="124"/>
      <c r="E221" s="124"/>
      <c r="F221" s="113"/>
      <c r="G221" s="113"/>
      <c r="H221" s="113"/>
      <c r="I221" s="113"/>
      <c r="J221" s="113"/>
      <c r="K221" s="113"/>
      <c r="L221" s="113"/>
      <c r="M221" s="113"/>
      <c r="N221" s="113"/>
      <c r="O221" s="124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</row>
    <row x14ac:dyDescent="0.25" r="222" customHeight="1" ht="15.75">
      <c r="A222" s="123"/>
      <c r="B222" s="123"/>
      <c r="C222" s="124"/>
      <c r="D222" s="124"/>
      <c r="E222" s="124"/>
      <c r="F222" s="113"/>
      <c r="G222" s="113"/>
      <c r="H222" s="113"/>
      <c r="I222" s="113"/>
      <c r="J222" s="113"/>
      <c r="K222" s="113"/>
      <c r="L222" s="113"/>
      <c r="M222" s="113"/>
      <c r="N222" s="113"/>
      <c r="O222" s="124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</row>
    <row x14ac:dyDescent="0.25" r="223" customHeight="1" ht="15.75">
      <c r="A223" s="123"/>
      <c r="B223" s="123"/>
      <c r="C223" s="124"/>
      <c r="D223" s="124"/>
      <c r="E223" s="124"/>
      <c r="F223" s="113"/>
      <c r="G223" s="113"/>
      <c r="H223" s="113"/>
      <c r="I223" s="113"/>
      <c r="J223" s="113"/>
      <c r="K223" s="113"/>
      <c r="L223" s="113"/>
      <c r="M223" s="113"/>
      <c r="N223" s="113"/>
      <c r="O223" s="124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</row>
    <row x14ac:dyDescent="0.25" r="224" customHeight="1" ht="15.75">
      <c r="A224" s="123"/>
      <c r="B224" s="123"/>
      <c r="C224" s="124"/>
      <c r="D224" s="124"/>
      <c r="E224" s="124"/>
      <c r="F224" s="113"/>
      <c r="G224" s="113"/>
      <c r="H224" s="113"/>
      <c r="I224" s="113"/>
      <c r="J224" s="113"/>
      <c r="K224" s="113"/>
      <c r="L224" s="113"/>
      <c r="M224" s="113"/>
      <c r="N224" s="113"/>
      <c r="O224" s="124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</row>
    <row x14ac:dyDescent="0.25" r="225" customHeight="1" ht="15.75">
      <c r="A225" s="123"/>
      <c r="B225" s="123"/>
      <c r="C225" s="124"/>
      <c r="D225" s="124"/>
      <c r="E225" s="124"/>
      <c r="F225" s="113"/>
      <c r="G225" s="113"/>
      <c r="H225" s="113"/>
      <c r="I225" s="113"/>
      <c r="J225" s="113"/>
      <c r="K225" s="113"/>
      <c r="L225" s="113"/>
      <c r="M225" s="113"/>
      <c r="N225" s="113"/>
      <c r="O225" s="124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</row>
    <row x14ac:dyDescent="0.25" r="226" customHeight="1" ht="15.75">
      <c r="A226" s="123"/>
      <c r="B226" s="123"/>
      <c r="C226" s="124"/>
      <c r="D226" s="124"/>
      <c r="E226" s="124"/>
      <c r="F226" s="113"/>
      <c r="G226" s="113"/>
      <c r="H226" s="113"/>
      <c r="I226" s="113"/>
      <c r="J226" s="113"/>
      <c r="K226" s="113"/>
      <c r="L226" s="113"/>
      <c r="M226" s="113"/>
      <c r="N226" s="113"/>
      <c r="O226" s="124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</row>
    <row x14ac:dyDescent="0.25" r="227" customHeight="1" ht="15.75">
      <c r="A227" s="123"/>
      <c r="B227" s="123"/>
      <c r="C227" s="124"/>
      <c r="D227" s="124"/>
      <c r="E227" s="124"/>
      <c r="F227" s="113"/>
      <c r="G227" s="113"/>
      <c r="H227" s="113"/>
      <c r="I227" s="113"/>
      <c r="J227" s="113"/>
      <c r="K227" s="113"/>
      <c r="L227" s="113"/>
      <c r="M227" s="113"/>
      <c r="N227" s="113"/>
      <c r="O227" s="124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</row>
    <row x14ac:dyDescent="0.25" r="228" customHeight="1" ht="15.75">
      <c r="A228" s="123"/>
      <c r="B228" s="123"/>
      <c r="C228" s="124"/>
      <c r="D228" s="124"/>
      <c r="E228" s="124"/>
      <c r="F228" s="113"/>
      <c r="G228" s="113"/>
      <c r="H228" s="113"/>
      <c r="I228" s="113"/>
      <c r="J228" s="113"/>
      <c r="K228" s="113"/>
      <c r="L228" s="113"/>
      <c r="M228" s="113"/>
      <c r="N228" s="113"/>
      <c r="O228" s="124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</row>
    <row x14ac:dyDescent="0.25" r="229" customHeight="1" ht="15.75">
      <c r="A229" s="123"/>
      <c r="B229" s="123"/>
      <c r="C229" s="124"/>
      <c r="D229" s="124"/>
      <c r="E229" s="124"/>
      <c r="F229" s="113"/>
      <c r="G229" s="113"/>
      <c r="H229" s="113"/>
      <c r="I229" s="113"/>
      <c r="J229" s="113"/>
      <c r="K229" s="113"/>
      <c r="L229" s="113"/>
      <c r="M229" s="113"/>
      <c r="N229" s="113"/>
      <c r="O229" s="124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</row>
    <row x14ac:dyDescent="0.25" r="230" customHeight="1" ht="15.75">
      <c r="A230" s="123"/>
      <c r="B230" s="123"/>
      <c r="C230" s="124"/>
      <c r="D230" s="124"/>
      <c r="E230" s="124"/>
      <c r="F230" s="113"/>
      <c r="G230" s="113"/>
      <c r="H230" s="113"/>
      <c r="I230" s="113"/>
      <c r="J230" s="113"/>
      <c r="K230" s="113"/>
      <c r="L230" s="113"/>
      <c r="M230" s="113"/>
      <c r="N230" s="113"/>
      <c r="O230" s="124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</row>
    <row x14ac:dyDescent="0.25" r="231" customHeight="1" ht="15.75">
      <c r="A231" s="123"/>
      <c r="B231" s="123"/>
      <c r="C231" s="124"/>
      <c r="D231" s="124"/>
      <c r="E231" s="124"/>
      <c r="F231" s="113"/>
      <c r="G231" s="113"/>
      <c r="H231" s="113"/>
      <c r="I231" s="113"/>
      <c r="J231" s="113"/>
      <c r="K231" s="113"/>
      <c r="L231" s="113"/>
      <c r="M231" s="113"/>
      <c r="N231" s="113"/>
      <c r="O231" s="124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</row>
    <row x14ac:dyDescent="0.25" r="232" customHeight="1" ht="15.75">
      <c r="A232" s="123"/>
      <c r="B232" s="123"/>
      <c r="C232" s="124"/>
      <c r="D232" s="124"/>
      <c r="E232" s="124"/>
      <c r="F232" s="113"/>
      <c r="G232" s="113"/>
      <c r="H232" s="113"/>
      <c r="I232" s="113"/>
      <c r="J232" s="113"/>
      <c r="K232" s="113"/>
      <c r="L232" s="113"/>
      <c r="M232" s="113"/>
      <c r="N232" s="113"/>
      <c r="O232" s="124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</row>
    <row x14ac:dyDescent="0.25" r="233" customHeight="1" ht="15.75">
      <c r="A233" s="123"/>
      <c r="B233" s="123"/>
      <c r="C233" s="124"/>
      <c r="D233" s="124"/>
      <c r="E233" s="124"/>
      <c r="F233" s="113"/>
      <c r="G233" s="113"/>
      <c r="H233" s="113"/>
      <c r="I233" s="113"/>
      <c r="J233" s="113"/>
      <c r="K233" s="113"/>
      <c r="L233" s="113"/>
      <c r="M233" s="113"/>
      <c r="N233" s="113"/>
      <c r="O233" s="124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</row>
    <row x14ac:dyDescent="0.25" r="234" customHeight="1" ht="15.75">
      <c r="A234" s="123"/>
      <c r="B234" s="123"/>
      <c r="C234" s="124"/>
      <c r="D234" s="124"/>
      <c r="E234" s="124"/>
      <c r="F234" s="113"/>
      <c r="G234" s="113"/>
      <c r="H234" s="113"/>
      <c r="I234" s="113"/>
      <c r="J234" s="113"/>
      <c r="K234" s="113"/>
      <c r="L234" s="113"/>
      <c r="M234" s="113"/>
      <c r="N234" s="113"/>
      <c r="O234" s="124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</row>
    <row x14ac:dyDescent="0.25" r="235" customHeight="1" ht="15.75">
      <c r="A235" s="123"/>
      <c r="B235" s="123"/>
      <c r="C235" s="124"/>
      <c r="D235" s="124"/>
      <c r="E235" s="124"/>
      <c r="F235" s="113"/>
      <c r="G235" s="113"/>
      <c r="H235" s="113"/>
      <c r="I235" s="113"/>
      <c r="J235" s="113"/>
      <c r="K235" s="113"/>
      <c r="L235" s="113"/>
      <c r="M235" s="113"/>
      <c r="N235" s="113"/>
      <c r="O235" s="124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</row>
    <row x14ac:dyDescent="0.25" r="236" customHeight="1" ht="15.75">
      <c r="A236" s="123"/>
      <c r="B236" s="123"/>
      <c r="C236" s="124"/>
      <c r="D236" s="124"/>
      <c r="E236" s="124"/>
      <c r="F236" s="113"/>
      <c r="G236" s="113"/>
      <c r="H236" s="113"/>
      <c r="I236" s="113"/>
      <c r="J236" s="113"/>
      <c r="K236" s="113"/>
      <c r="L236" s="113"/>
      <c r="M236" s="113"/>
      <c r="N236" s="113"/>
      <c r="O236" s="124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</row>
    <row x14ac:dyDescent="0.25" r="237" customHeight="1" ht="15.75">
      <c r="A237" s="123"/>
      <c r="B237" s="123"/>
      <c r="C237" s="124"/>
      <c r="D237" s="124"/>
      <c r="E237" s="124"/>
      <c r="F237" s="113"/>
      <c r="G237" s="113"/>
      <c r="H237" s="113"/>
      <c r="I237" s="113"/>
      <c r="J237" s="113"/>
      <c r="K237" s="113"/>
      <c r="L237" s="113"/>
      <c r="M237" s="113"/>
      <c r="N237" s="113"/>
      <c r="O237" s="124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</row>
    <row x14ac:dyDescent="0.25" r="238" customHeight="1" ht="15.75">
      <c r="A238" s="123"/>
      <c r="B238" s="123"/>
      <c r="C238" s="124"/>
      <c r="D238" s="124"/>
      <c r="E238" s="124"/>
      <c r="F238" s="113"/>
      <c r="G238" s="113"/>
      <c r="H238" s="113"/>
      <c r="I238" s="113"/>
      <c r="J238" s="113"/>
      <c r="K238" s="113"/>
      <c r="L238" s="113"/>
      <c r="M238" s="113"/>
      <c r="N238" s="113"/>
      <c r="O238" s="124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</row>
    <row x14ac:dyDescent="0.25" r="239" customHeight="1" ht="15.75">
      <c r="A239" s="123"/>
      <c r="B239" s="123"/>
      <c r="C239" s="124"/>
      <c r="D239" s="124"/>
      <c r="E239" s="124"/>
      <c r="F239" s="113"/>
      <c r="G239" s="113"/>
      <c r="H239" s="113"/>
      <c r="I239" s="113"/>
      <c r="J239" s="113"/>
      <c r="K239" s="113"/>
      <c r="L239" s="113"/>
      <c r="M239" s="113"/>
      <c r="N239" s="113"/>
      <c r="O239" s="124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</row>
    <row x14ac:dyDescent="0.25" r="240" customHeight="1" ht="15.75">
      <c r="A240" s="123"/>
      <c r="B240" s="123"/>
      <c r="C240" s="124"/>
      <c r="D240" s="124"/>
      <c r="E240" s="124"/>
      <c r="F240" s="113"/>
      <c r="G240" s="113"/>
      <c r="H240" s="113"/>
      <c r="I240" s="113"/>
      <c r="J240" s="113"/>
      <c r="K240" s="113"/>
      <c r="L240" s="113"/>
      <c r="M240" s="113"/>
      <c r="N240" s="113"/>
      <c r="O240" s="124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</row>
    <row x14ac:dyDescent="0.25" r="241" customHeight="1" ht="15.75">
      <c r="A241" s="123"/>
      <c r="B241" s="123"/>
      <c r="C241" s="124"/>
      <c r="D241" s="124"/>
      <c r="E241" s="124"/>
      <c r="F241" s="113"/>
      <c r="G241" s="113"/>
      <c r="H241" s="113"/>
      <c r="I241" s="113"/>
      <c r="J241" s="113"/>
      <c r="K241" s="113"/>
      <c r="L241" s="113"/>
      <c r="M241" s="113"/>
      <c r="N241" s="113"/>
      <c r="O241" s="124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</row>
    <row x14ac:dyDescent="0.25" r="242" customHeight="1" ht="15.75">
      <c r="A242" s="123"/>
      <c r="B242" s="123"/>
      <c r="C242" s="124"/>
      <c r="D242" s="124"/>
      <c r="E242" s="124"/>
      <c r="F242" s="113"/>
      <c r="G242" s="113"/>
      <c r="H242" s="113"/>
      <c r="I242" s="113"/>
      <c r="J242" s="113"/>
      <c r="K242" s="113"/>
      <c r="L242" s="113"/>
      <c r="M242" s="113"/>
      <c r="N242" s="113"/>
      <c r="O242" s="124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</row>
    <row x14ac:dyDescent="0.25" r="243" customHeight="1" ht="15.75">
      <c r="A243" s="123"/>
      <c r="B243" s="123"/>
      <c r="C243" s="124"/>
      <c r="D243" s="124"/>
      <c r="E243" s="124"/>
      <c r="F243" s="113"/>
      <c r="G243" s="113"/>
      <c r="H243" s="113"/>
      <c r="I243" s="113"/>
      <c r="J243" s="113"/>
      <c r="K243" s="113"/>
      <c r="L243" s="113"/>
      <c r="M243" s="113"/>
      <c r="N243" s="113"/>
      <c r="O243" s="124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</row>
    <row x14ac:dyDescent="0.25" r="244" customHeight="1" ht="15.75">
      <c r="A244" s="123"/>
      <c r="B244" s="123"/>
      <c r="C244" s="124"/>
      <c r="D244" s="124"/>
      <c r="E244" s="124"/>
      <c r="F244" s="113"/>
      <c r="G244" s="113"/>
      <c r="H244" s="113"/>
      <c r="I244" s="113"/>
      <c r="J244" s="113"/>
      <c r="K244" s="113"/>
      <c r="L244" s="113"/>
      <c r="M244" s="113"/>
      <c r="N244" s="113"/>
      <c r="O244" s="124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</row>
    <row x14ac:dyDescent="0.25" r="245" customHeight="1" ht="15.75">
      <c r="A245" s="123"/>
      <c r="B245" s="123"/>
      <c r="C245" s="124"/>
      <c r="D245" s="124"/>
      <c r="E245" s="124"/>
      <c r="F245" s="113"/>
      <c r="G245" s="113"/>
      <c r="H245" s="113"/>
      <c r="I245" s="113"/>
      <c r="J245" s="113"/>
      <c r="K245" s="113"/>
      <c r="L245" s="113"/>
      <c r="M245" s="113"/>
      <c r="N245" s="113"/>
      <c r="O245" s="124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</row>
    <row x14ac:dyDescent="0.25" r="246" customHeight="1" ht="15.75">
      <c r="A246" s="123"/>
      <c r="B246" s="123"/>
      <c r="C246" s="124"/>
      <c r="D246" s="124"/>
      <c r="E246" s="124"/>
      <c r="F246" s="113"/>
      <c r="G246" s="113"/>
      <c r="H246" s="113"/>
      <c r="I246" s="113"/>
      <c r="J246" s="113"/>
      <c r="K246" s="113"/>
      <c r="L246" s="113"/>
      <c r="M246" s="113"/>
      <c r="N246" s="113"/>
      <c r="O246" s="124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</row>
    <row x14ac:dyDescent="0.25" r="247" customHeight="1" ht="15.75">
      <c r="A247" s="123"/>
      <c r="B247" s="123"/>
      <c r="C247" s="124"/>
      <c r="D247" s="124"/>
      <c r="E247" s="124"/>
      <c r="F247" s="113"/>
      <c r="G247" s="113"/>
      <c r="H247" s="113"/>
      <c r="I247" s="113"/>
      <c r="J247" s="113"/>
      <c r="K247" s="113"/>
      <c r="L247" s="113"/>
      <c r="M247" s="113"/>
      <c r="N247" s="113"/>
      <c r="O247" s="124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</row>
    <row x14ac:dyDescent="0.25" r="248" customHeight="1" ht="15.75">
      <c r="A248" s="123"/>
      <c r="B248" s="123"/>
      <c r="C248" s="124"/>
      <c r="D248" s="124"/>
      <c r="E248" s="124"/>
      <c r="F248" s="113"/>
      <c r="G248" s="113"/>
      <c r="H248" s="113"/>
      <c r="I248" s="113"/>
      <c r="J248" s="113"/>
      <c r="K248" s="113"/>
      <c r="L248" s="113"/>
      <c r="M248" s="113"/>
      <c r="N248" s="113"/>
      <c r="O248" s="124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</row>
    <row x14ac:dyDescent="0.25" r="249" customHeight="1" ht="15.75">
      <c r="A249" s="123"/>
      <c r="B249" s="123"/>
      <c r="C249" s="124"/>
      <c r="D249" s="124"/>
      <c r="E249" s="124"/>
      <c r="F249" s="113"/>
      <c r="G249" s="113"/>
      <c r="H249" s="113"/>
      <c r="I249" s="113"/>
      <c r="J249" s="113"/>
      <c r="K249" s="113"/>
      <c r="L249" s="113"/>
      <c r="M249" s="113"/>
      <c r="N249" s="113"/>
      <c r="O249" s="124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</row>
    <row x14ac:dyDescent="0.25" r="250" customHeight="1" ht="15.75">
      <c r="A250" s="123"/>
      <c r="B250" s="123"/>
      <c r="C250" s="124"/>
      <c r="D250" s="124"/>
      <c r="E250" s="124"/>
      <c r="F250" s="113"/>
      <c r="G250" s="113"/>
      <c r="H250" s="113"/>
      <c r="I250" s="113"/>
      <c r="J250" s="113"/>
      <c r="K250" s="113"/>
      <c r="L250" s="113"/>
      <c r="M250" s="113"/>
      <c r="N250" s="113"/>
      <c r="O250" s="124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</row>
    <row x14ac:dyDescent="0.25" r="251" customHeight="1" ht="15.75">
      <c r="A251" s="123"/>
      <c r="B251" s="123"/>
      <c r="C251" s="124"/>
      <c r="D251" s="124"/>
      <c r="E251" s="124"/>
      <c r="F251" s="113"/>
      <c r="G251" s="113"/>
      <c r="H251" s="113"/>
      <c r="I251" s="113"/>
      <c r="J251" s="113"/>
      <c r="K251" s="113"/>
      <c r="L251" s="113"/>
      <c r="M251" s="113"/>
      <c r="N251" s="113"/>
      <c r="O251" s="124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</row>
    <row x14ac:dyDescent="0.25" r="252" customHeight="1" ht="15.75">
      <c r="A252" s="123"/>
      <c r="B252" s="123"/>
      <c r="C252" s="124"/>
      <c r="D252" s="124"/>
      <c r="E252" s="124"/>
      <c r="F252" s="113"/>
      <c r="G252" s="113"/>
      <c r="H252" s="113"/>
      <c r="I252" s="113"/>
      <c r="J252" s="113"/>
      <c r="K252" s="113"/>
      <c r="L252" s="113"/>
      <c r="M252" s="113"/>
      <c r="N252" s="113"/>
      <c r="O252" s="124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</row>
    <row x14ac:dyDescent="0.25" r="253" customHeight="1" ht="15.75">
      <c r="A253" s="123"/>
      <c r="B253" s="123"/>
      <c r="C253" s="124"/>
      <c r="D253" s="124"/>
      <c r="E253" s="124"/>
      <c r="F253" s="113"/>
      <c r="G253" s="113"/>
      <c r="H253" s="113"/>
      <c r="I253" s="113"/>
      <c r="J253" s="113"/>
      <c r="K253" s="113"/>
      <c r="L253" s="113"/>
      <c r="M253" s="113"/>
      <c r="N253" s="113"/>
      <c r="O253" s="124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</row>
    <row x14ac:dyDescent="0.25" r="254" customHeight="1" ht="15.75">
      <c r="A254" s="123"/>
      <c r="B254" s="123"/>
      <c r="C254" s="124"/>
      <c r="D254" s="124"/>
      <c r="E254" s="124"/>
      <c r="F254" s="113"/>
      <c r="G254" s="113"/>
      <c r="H254" s="113"/>
      <c r="I254" s="113"/>
      <c r="J254" s="113"/>
      <c r="K254" s="113"/>
      <c r="L254" s="113"/>
      <c r="M254" s="113"/>
      <c r="N254" s="113"/>
      <c r="O254" s="124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</row>
    <row x14ac:dyDescent="0.25" r="255" customHeight="1" ht="15.75">
      <c r="A255" s="123"/>
      <c r="B255" s="123"/>
      <c r="C255" s="124"/>
      <c r="D255" s="124"/>
      <c r="E255" s="124"/>
      <c r="F255" s="113"/>
      <c r="G255" s="113"/>
      <c r="H255" s="113"/>
      <c r="I255" s="113"/>
      <c r="J255" s="113"/>
      <c r="K255" s="113"/>
      <c r="L255" s="113"/>
      <c r="M255" s="113"/>
      <c r="N255" s="113"/>
      <c r="O255" s="124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</row>
    <row x14ac:dyDescent="0.25" r="256" customHeight="1" ht="15.75">
      <c r="A256" s="123"/>
      <c r="B256" s="123"/>
      <c r="C256" s="124"/>
      <c r="D256" s="124"/>
      <c r="E256" s="124"/>
      <c r="F256" s="113"/>
      <c r="G256" s="113"/>
      <c r="H256" s="113"/>
      <c r="I256" s="113"/>
      <c r="J256" s="113"/>
      <c r="K256" s="113"/>
      <c r="L256" s="113"/>
      <c r="M256" s="113"/>
      <c r="N256" s="113"/>
      <c r="O256" s="124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</row>
    <row x14ac:dyDescent="0.25" r="257" customHeight="1" ht="15.75">
      <c r="A257" s="123"/>
      <c r="B257" s="123"/>
      <c r="C257" s="124"/>
      <c r="D257" s="124"/>
      <c r="E257" s="124"/>
      <c r="F257" s="113"/>
      <c r="G257" s="113"/>
      <c r="H257" s="113"/>
      <c r="I257" s="113"/>
      <c r="J257" s="113"/>
      <c r="K257" s="113"/>
      <c r="L257" s="113"/>
      <c r="M257" s="113"/>
      <c r="N257" s="113"/>
      <c r="O257" s="124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</row>
    <row x14ac:dyDescent="0.25" r="258" customHeight="1" ht="15.75">
      <c r="A258" s="123"/>
      <c r="B258" s="123"/>
      <c r="C258" s="124"/>
      <c r="D258" s="124"/>
      <c r="E258" s="124"/>
      <c r="F258" s="113"/>
      <c r="G258" s="113"/>
      <c r="H258" s="113"/>
      <c r="I258" s="113"/>
      <c r="J258" s="113"/>
      <c r="K258" s="113"/>
      <c r="L258" s="113"/>
      <c r="M258" s="113"/>
      <c r="N258" s="113"/>
      <c r="O258" s="124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</row>
    <row x14ac:dyDescent="0.25" r="259" customHeight="1" ht="15.75">
      <c r="A259" s="123"/>
      <c r="B259" s="123"/>
      <c r="C259" s="124"/>
      <c r="D259" s="124"/>
      <c r="E259" s="124"/>
      <c r="F259" s="113"/>
      <c r="G259" s="113"/>
      <c r="H259" s="113"/>
      <c r="I259" s="113"/>
      <c r="J259" s="113"/>
      <c r="K259" s="113"/>
      <c r="L259" s="113"/>
      <c r="M259" s="113"/>
      <c r="N259" s="113"/>
      <c r="O259" s="124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</row>
    <row x14ac:dyDescent="0.25" r="260" customHeight="1" ht="15.75">
      <c r="A260" s="123"/>
      <c r="B260" s="123"/>
      <c r="C260" s="124"/>
      <c r="D260" s="124"/>
      <c r="E260" s="124"/>
      <c r="F260" s="113"/>
      <c r="G260" s="113"/>
      <c r="H260" s="113"/>
      <c r="I260" s="113"/>
      <c r="J260" s="113"/>
      <c r="K260" s="113"/>
      <c r="L260" s="113"/>
      <c r="M260" s="113"/>
      <c r="N260" s="113"/>
      <c r="O260" s="124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</row>
    <row x14ac:dyDescent="0.25" r="261" customHeight="1" ht="15.75">
      <c r="A261" s="123"/>
      <c r="B261" s="123"/>
      <c r="C261" s="124"/>
      <c r="D261" s="124"/>
      <c r="E261" s="124"/>
      <c r="F261" s="113"/>
      <c r="G261" s="113"/>
      <c r="H261" s="113"/>
      <c r="I261" s="113"/>
      <c r="J261" s="113"/>
      <c r="K261" s="113"/>
      <c r="L261" s="113"/>
      <c r="M261" s="113"/>
      <c r="N261" s="113"/>
      <c r="O261" s="124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</row>
    <row x14ac:dyDescent="0.25" r="262" customHeight="1" ht="15.75">
      <c r="A262" s="123"/>
      <c r="B262" s="123"/>
      <c r="C262" s="124"/>
      <c r="D262" s="124"/>
      <c r="E262" s="124"/>
      <c r="F262" s="113"/>
      <c r="G262" s="113"/>
      <c r="H262" s="113"/>
      <c r="I262" s="113"/>
      <c r="J262" s="113"/>
      <c r="K262" s="113"/>
      <c r="L262" s="113"/>
      <c r="M262" s="113"/>
      <c r="N262" s="113"/>
      <c r="O262" s="124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</row>
    <row x14ac:dyDescent="0.25" r="263" customHeight="1" ht="15.75">
      <c r="A263" s="123"/>
      <c r="B263" s="123"/>
      <c r="C263" s="124"/>
      <c r="D263" s="124"/>
      <c r="E263" s="124"/>
      <c r="F263" s="113"/>
      <c r="G263" s="113"/>
      <c r="H263" s="113"/>
      <c r="I263" s="113"/>
      <c r="J263" s="113"/>
      <c r="K263" s="113"/>
      <c r="L263" s="113"/>
      <c r="M263" s="113"/>
      <c r="N263" s="113"/>
      <c r="O263" s="124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</row>
    <row x14ac:dyDescent="0.25" r="264" customHeight="1" ht="15.75">
      <c r="A264" s="123"/>
      <c r="B264" s="123"/>
      <c r="C264" s="124"/>
      <c r="D264" s="124"/>
      <c r="E264" s="124"/>
      <c r="F264" s="113"/>
      <c r="G264" s="113"/>
      <c r="H264" s="113"/>
      <c r="I264" s="113"/>
      <c r="J264" s="113"/>
      <c r="K264" s="113"/>
      <c r="L264" s="113"/>
      <c r="M264" s="113"/>
      <c r="N264" s="113"/>
      <c r="O264" s="124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</row>
    <row x14ac:dyDescent="0.25" r="265" customHeight="1" ht="15.75">
      <c r="A265" s="123"/>
      <c r="B265" s="123"/>
      <c r="C265" s="124"/>
      <c r="D265" s="124"/>
      <c r="E265" s="124"/>
      <c r="F265" s="113"/>
      <c r="G265" s="113"/>
      <c r="H265" s="113"/>
      <c r="I265" s="113"/>
      <c r="J265" s="113"/>
      <c r="K265" s="113"/>
      <c r="L265" s="113"/>
      <c r="M265" s="113"/>
      <c r="N265" s="113"/>
      <c r="O265" s="124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</row>
    <row x14ac:dyDescent="0.25" r="266" customHeight="1" ht="15.75">
      <c r="A266" s="123"/>
      <c r="B266" s="123"/>
      <c r="C266" s="124"/>
      <c r="D266" s="124"/>
      <c r="E266" s="124"/>
      <c r="F266" s="113"/>
      <c r="G266" s="113"/>
      <c r="H266" s="113"/>
      <c r="I266" s="113"/>
      <c r="J266" s="113"/>
      <c r="K266" s="113"/>
      <c r="L266" s="113"/>
      <c r="M266" s="113"/>
      <c r="N266" s="113"/>
      <c r="O266" s="124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</row>
    <row x14ac:dyDescent="0.25" r="267" customHeight="1" ht="15.75">
      <c r="A267" s="123"/>
      <c r="B267" s="123"/>
      <c r="C267" s="124"/>
      <c r="D267" s="124"/>
      <c r="E267" s="124"/>
      <c r="F267" s="113"/>
      <c r="G267" s="113"/>
      <c r="H267" s="113"/>
      <c r="I267" s="113"/>
      <c r="J267" s="113"/>
      <c r="K267" s="113"/>
      <c r="L267" s="113"/>
      <c r="M267" s="113"/>
      <c r="N267" s="113"/>
      <c r="O267" s="124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</row>
    <row x14ac:dyDescent="0.25" r="268" customHeight="1" ht="15.75">
      <c r="A268" s="123"/>
      <c r="B268" s="123"/>
      <c r="C268" s="124"/>
      <c r="D268" s="124"/>
      <c r="E268" s="124"/>
      <c r="F268" s="113"/>
      <c r="G268" s="113"/>
      <c r="H268" s="113"/>
      <c r="I268" s="113"/>
      <c r="J268" s="113"/>
      <c r="K268" s="113"/>
      <c r="L268" s="113"/>
      <c r="M268" s="113"/>
      <c r="N268" s="113"/>
      <c r="O268" s="124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</row>
    <row x14ac:dyDescent="0.25" r="269" customHeight="1" ht="15.75">
      <c r="A269" s="123"/>
      <c r="B269" s="123"/>
      <c r="C269" s="124"/>
      <c r="D269" s="124"/>
      <c r="E269" s="124"/>
      <c r="F269" s="113"/>
      <c r="G269" s="113"/>
      <c r="H269" s="113"/>
      <c r="I269" s="113"/>
      <c r="J269" s="113"/>
      <c r="K269" s="113"/>
      <c r="L269" s="113"/>
      <c r="M269" s="113"/>
      <c r="N269" s="113"/>
      <c r="O269" s="124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</row>
    <row x14ac:dyDescent="0.25" r="270" customHeight="1" ht="15.75">
      <c r="A270" s="123"/>
      <c r="B270" s="123"/>
      <c r="C270" s="124"/>
      <c r="D270" s="124"/>
      <c r="E270" s="124"/>
      <c r="F270" s="113"/>
      <c r="G270" s="113"/>
      <c r="H270" s="113"/>
      <c r="I270" s="113"/>
      <c r="J270" s="113"/>
      <c r="K270" s="113"/>
      <c r="L270" s="113"/>
      <c r="M270" s="113"/>
      <c r="N270" s="113"/>
      <c r="O270" s="124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</row>
    <row x14ac:dyDescent="0.25" r="271" customHeight="1" ht="15.75">
      <c r="A271" s="123"/>
      <c r="B271" s="123"/>
      <c r="C271" s="124"/>
      <c r="D271" s="124"/>
      <c r="E271" s="124"/>
      <c r="F271" s="113"/>
      <c r="G271" s="113"/>
      <c r="H271" s="113"/>
      <c r="I271" s="113"/>
      <c r="J271" s="113"/>
      <c r="K271" s="113"/>
      <c r="L271" s="113"/>
      <c r="M271" s="113"/>
      <c r="N271" s="113"/>
      <c r="O271" s="124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</row>
    <row x14ac:dyDescent="0.25" r="272" customHeight="1" ht="15.75">
      <c r="A272" s="123"/>
      <c r="B272" s="123"/>
      <c r="C272" s="124"/>
      <c r="D272" s="124"/>
      <c r="E272" s="124"/>
      <c r="F272" s="113"/>
      <c r="G272" s="113"/>
      <c r="H272" s="113"/>
      <c r="I272" s="113"/>
      <c r="J272" s="113"/>
      <c r="K272" s="113"/>
      <c r="L272" s="113"/>
      <c r="M272" s="113"/>
      <c r="N272" s="113"/>
      <c r="O272" s="124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</row>
    <row x14ac:dyDescent="0.25" r="273" customHeight="1" ht="15.75">
      <c r="A273" s="123"/>
      <c r="B273" s="123"/>
      <c r="C273" s="124"/>
      <c r="D273" s="124"/>
      <c r="E273" s="124"/>
      <c r="F273" s="113"/>
      <c r="G273" s="113"/>
      <c r="H273" s="113"/>
      <c r="I273" s="113"/>
      <c r="J273" s="113"/>
      <c r="K273" s="113"/>
      <c r="L273" s="113"/>
      <c r="M273" s="113"/>
      <c r="N273" s="113"/>
      <c r="O273" s="124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</row>
    <row x14ac:dyDescent="0.25" r="274" customHeight="1" ht="15.75">
      <c r="A274" s="123"/>
      <c r="B274" s="123"/>
      <c r="C274" s="124"/>
      <c r="D274" s="124"/>
      <c r="E274" s="124"/>
      <c r="F274" s="113"/>
      <c r="G274" s="113"/>
      <c r="H274" s="113"/>
      <c r="I274" s="113"/>
      <c r="J274" s="113"/>
      <c r="K274" s="113"/>
      <c r="L274" s="113"/>
      <c r="M274" s="113"/>
      <c r="N274" s="113"/>
      <c r="O274" s="124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</row>
    <row x14ac:dyDescent="0.25" r="275" customHeight="1" ht="15.75">
      <c r="A275" s="123"/>
      <c r="B275" s="123"/>
      <c r="C275" s="124"/>
      <c r="D275" s="124"/>
      <c r="E275" s="124"/>
      <c r="F275" s="113"/>
      <c r="G275" s="113"/>
      <c r="H275" s="113"/>
      <c r="I275" s="113"/>
      <c r="J275" s="113"/>
      <c r="K275" s="113"/>
      <c r="L275" s="113"/>
      <c r="M275" s="113"/>
      <c r="N275" s="113"/>
      <c r="O275" s="124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</row>
    <row x14ac:dyDescent="0.25" r="276" customHeight="1" ht="15.75">
      <c r="A276" s="123"/>
      <c r="B276" s="123"/>
      <c r="C276" s="124"/>
      <c r="D276" s="124"/>
      <c r="E276" s="124"/>
      <c r="F276" s="113"/>
      <c r="G276" s="113"/>
      <c r="H276" s="113"/>
      <c r="I276" s="113"/>
      <c r="J276" s="113"/>
      <c r="K276" s="113"/>
      <c r="L276" s="113"/>
      <c r="M276" s="113"/>
      <c r="N276" s="113"/>
      <c r="O276" s="124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</row>
    <row x14ac:dyDescent="0.25" r="277" customHeight="1" ht="15.75">
      <c r="A277" s="123"/>
      <c r="B277" s="123"/>
      <c r="C277" s="124"/>
      <c r="D277" s="124"/>
      <c r="E277" s="124"/>
      <c r="F277" s="113"/>
      <c r="G277" s="113"/>
      <c r="H277" s="113"/>
      <c r="I277" s="113"/>
      <c r="J277" s="113"/>
      <c r="K277" s="113"/>
      <c r="L277" s="113"/>
      <c r="M277" s="113"/>
      <c r="N277" s="113"/>
      <c r="O277" s="124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</row>
    <row x14ac:dyDescent="0.25" r="278" customHeight="1" ht="15.75">
      <c r="A278" s="123"/>
      <c r="B278" s="123"/>
      <c r="C278" s="124"/>
      <c r="D278" s="124"/>
      <c r="E278" s="124"/>
      <c r="F278" s="113"/>
      <c r="G278" s="113"/>
      <c r="H278" s="113"/>
      <c r="I278" s="113"/>
      <c r="J278" s="113"/>
      <c r="K278" s="113"/>
      <c r="L278" s="113"/>
      <c r="M278" s="113"/>
      <c r="N278" s="113"/>
      <c r="O278" s="124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</row>
    <row x14ac:dyDescent="0.25" r="279" customHeight="1" ht="15.75">
      <c r="A279" s="123"/>
      <c r="B279" s="123"/>
      <c r="C279" s="124"/>
      <c r="D279" s="124"/>
      <c r="E279" s="124"/>
      <c r="F279" s="113"/>
      <c r="G279" s="113"/>
      <c r="H279" s="113"/>
      <c r="I279" s="113"/>
      <c r="J279" s="113"/>
      <c r="K279" s="113"/>
      <c r="L279" s="113"/>
      <c r="M279" s="113"/>
      <c r="N279" s="113"/>
      <c r="O279" s="124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</row>
    <row x14ac:dyDescent="0.25" r="280" customHeight="1" ht="15.75">
      <c r="A280" s="123"/>
      <c r="B280" s="123"/>
      <c r="C280" s="124"/>
      <c r="D280" s="124"/>
      <c r="E280" s="124"/>
      <c r="F280" s="113"/>
      <c r="G280" s="113"/>
      <c r="H280" s="113"/>
      <c r="I280" s="113"/>
      <c r="J280" s="113"/>
      <c r="K280" s="113"/>
      <c r="L280" s="113"/>
      <c r="M280" s="113"/>
      <c r="N280" s="113"/>
      <c r="O280" s="124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</row>
    <row x14ac:dyDescent="0.25" r="281" customHeight="1" ht="15.75">
      <c r="A281" s="123"/>
      <c r="B281" s="123"/>
      <c r="C281" s="124"/>
      <c r="D281" s="124"/>
      <c r="E281" s="124"/>
      <c r="F281" s="113"/>
      <c r="G281" s="113"/>
      <c r="H281" s="113"/>
      <c r="I281" s="113"/>
      <c r="J281" s="113"/>
      <c r="K281" s="113"/>
      <c r="L281" s="113"/>
      <c r="M281" s="113"/>
      <c r="N281" s="113"/>
      <c r="O281" s="124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</row>
    <row x14ac:dyDescent="0.25" r="282" customHeight="1" ht="15.75">
      <c r="A282" s="123"/>
      <c r="B282" s="123"/>
      <c r="C282" s="124"/>
      <c r="D282" s="124"/>
      <c r="E282" s="124"/>
      <c r="F282" s="113"/>
      <c r="G282" s="113"/>
      <c r="H282" s="113"/>
      <c r="I282" s="113"/>
      <c r="J282" s="113"/>
      <c r="K282" s="113"/>
      <c r="L282" s="113"/>
      <c r="M282" s="113"/>
      <c r="N282" s="113"/>
      <c r="O282" s="124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</row>
    <row x14ac:dyDescent="0.25" r="283" customHeight="1" ht="15.75">
      <c r="A283" s="123"/>
      <c r="B283" s="123"/>
      <c r="C283" s="124"/>
      <c r="D283" s="124"/>
      <c r="E283" s="124"/>
      <c r="F283" s="113"/>
      <c r="G283" s="113"/>
      <c r="H283" s="113"/>
      <c r="I283" s="113"/>
      <c r="J283" s="113"/>
      <c r="K283" s="113"/>
      <c r="L283" s="113"/>
      <c r="M283" s="113"/>
      <c r="N283" s="113"/>
      <c r="O283" s="124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</row>
    <row x14ac:dyDescent="0.25" r="284" customHeight="1" ht="15.75">
      <c r="A284" s="123"/>
      <c r="B284" s="123"/>
      <c r="C284" s="124"/>
      <c r="D284" s="124"/>
      <c r="E284" s="124"/>
      <c r="F284" s="113"/>
      <c r="G284" s="113"/>
      <c r="H284" s="113"/>
      <c r="I284" s="113"/>
      <c r="J284" s="113"/>
      <c r="K284" s="113"/>
      <c r="L284" s="113"/>
      <c r="M284" s="113"/>
      <c r="N284" s="113"/>
      <c r="O284" s="124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</row>
    <row x14ac:dyDescent="0.25" r="285" customHeight="1" ht="15.75">
      <c r="A285" s="123"/>
      <c r="B285" s="123"/>
      <c r="C285" s="124"/>
      <c r="D285" s="124"/>
      <c r="E285" s="124"/>
      <c r="F285" s="113"/>
      <c r="G285" s="113"/>
      <c r="H285" s="113"/>
      <c r="I285" s="113"/>
      <c r="J285" s="113"/>
      <c r="K285" s="113"/>
      <c r="L285" s="113"/>
      <c r="M285" s="113"/>
      <c r="N285" s="113"/>
      <c r="O285" s="124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</row>
    <row x14ac:dyDescent="0.25" r="286" customHeight="1" ht="15.75">
      <c r="A286" s="123"/>
      <c r="B286" s="123"/>
      <c r="C286" s="124"/>
      <c r="D286" s="124"/>
      <c r="E286" s="124"/>
      <c r="F286" s="113"/>
      <c r="G286" s="113"/>
      <c r="H286" s="113"/>
      <c r="I286" s="113"/>
      <c r="J286" s="113"/>
      <c r="K286" s="113"/>
      <c r="L286" s="113"/>
      <c r="M286" s="113"/>
      <c r="N286" s="113"/>
      <c r="O286" s="124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</row>
    <row x14ac:dyDescent="0.25" r="287" customHeight="1" ht="15.75">
      <c r="A287" s="123"/>
      <c r="B287" s="123"/>
      <c r="C287" s="124"/>
      <c r="D287" s="124"/>
      <c r="E287" s="124"/>
      <c r="F287" s="113"/>
      <c r="G287" s="113"/>
      <c r="H287" s="113"/>
      <c r="I287" s="113"/>
      <c r="J287" s="113"/>
      <c r="K287" s="113"/>
      <c r="L287" s="113"/>
      <c r="M287" s="113"/>
      <c r="N287" s="113"/>
      <c r="O287" s="124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</row>
    <row x14ac:dyDescent="0.25" r="288" customHeight="1" ht="15.75">
      <c r="A288" s="123"/>
      <c r="B288" s="123"/>
      <c r="C288" s="124"/>
      <c r="D288" s="124"/>
      <c r="E288" s="124"/>
      <c r="F288" s="113"/>
      <c r="G288" s="113"/>
      <c r="H288" s="113"/>
      <c r="I288" s="113"/>
      <c r="J288" s="113"/>
      <c r="K288" s="113"/>
      <c r="L288" s="113"/>
      <c r="M288" s="113"/>
      <c r="N288" s="113"/>
      <c r="O288" s="124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</row>
    <row x14ac:dyDescent="0.25" r="289" customHeight="1" ht="15.75">
      <c r="A289" s="123"/>
      <c r="B289" s="123"/>
      <c r="C289" s="124"/>
      <c r="D289" s="124"/>
      <c r="E289" s="124"/>
      <c r="F289" s="113"/>
      <c r="G289" s="113"/>
      <c r="H289" s="113"/>
      <c r="I289" s="113"/>
      <c r="J289" s="113"/>
      <c r="K289" s="113"/>
      <c r="L289" s="113"/>
      <c r="M289" s="113"/>
      <c r="N289" s="113"/>
      <c r="O289" s="124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</row>
    <row x14ac:dyDescent="0.25" r="290" customHeight="1" ht="15.75">
      <c r="A290" s="123"/>
      <c r="B290" s="123"/>
      <c r="C290" s="124"/>
      <c r="D290" s="124"/>
      <c r="E290" s="124"/>
      <c r="F290" s="113"/>
      <c r="G290" s="113"/>
      <c r="H290" s="113"/>
      <c r="I290" s="113"/>
      <c r="J290" s="113"/>
      <c r="K290" s="113"/>
      <c r="L290" s="113"/>
      <c r="M290" s="113"/>
      <c r="N290" s="113"/>
      <c r="O290" s="124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</row>
    <row x14ac:dyDescent="0.25" r="291" customHeight="1" ht="15.75">
      <c r="A291" s="123"/>
      <c r="B291" s="123"/>
      <c r="C291" s="124"/>
      <c r="D291" s="124"/>
      <c r="E291" s="124"/>
      <c r="F291" s="113"/>
      <c r="G291" s="113"/>
      <c r="H291" s="113"/>
      <c r="I291" s="113"/>
      <c r="J291" s="113"/>
      <c r="K291" s="113"/>
      <c r="L291" s="113"/>
      <c r="M291" s="113"/>
      <c r="N291" s="113"/>
      <c r="O291" s="124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</row>
    <row x14ac:dyDescent="0.25" r="292" customHeight="1" ht="15.75">
      <c r="A292" s="123"/>
      <c r="B292" s="123"/>
      <c r="C292" s="124"/>
      <c r="D292" s="124"/>
      <c r="E292" s="124"/>
      <c r="F292" s="113"/>
      <c r="G292" s="113"/>
      <c r="H292" s="113"/>
      <c r="I292" s="113"/>
      <c r="J292" s="113"/>
      <c r="K292" s="113"/>
      <c r="L292" s="113"/>
      <c r="M292" s="113"/>
      <c r="N292" s="113"/>
      <c r="O292" s="124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</row>
    <row x14ac:dyDescent="0.25" r="293" customHeight="1" ht="15.75">
      <c r="A293" s="123"/>
      <c r="B293" s="123"/>
      <c r="C293" s="124"/>
      <c r="D293" s="124"/>
      <c r="E293" s="124"/>
      <c r="F293" s="113"/>
      <c r="G293" s="113"/>
      <c r="H293" s="113"/>
      <c r="I293" s="113"/>
      <c r="J293" s="113"/>
      <c r="K293" s="113"/>
      <c r="L293" s="113"/>
      <c r="M293" s="113"/>
      <c r="N293" s="113"/>
      <c r="O293" s="124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</row>
    <row x14ac:dyDescent="0.25" r="294" customHeight="1" ht="15.75">
      <c r="A294" s="123"/>
      <c r="B294" s="123"/>
      <c r="C294" s="124"/>
      <c r="D294" s="124"/>
      <c r="E294" s="124"/>
      <c r="F294" s="113"/>
      <c r="G294" s="113"/>
      <c r="H294" s="113"/>
      <c r="I294" s="113"/>
      <c r="J294" s="113"/>
      <c r="K294" s="113"/>
      <c r="L294" s="113"/>
      <c r="M294" s="113"/>
      <c r="N294" s="113"/>
      <c r="O294" s="124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</row>
    <row x14ac:dyDescent="0.25" r="295" customHeight="1" ht="15.75">
      <c r="A295" s="123"/>
      <c r="B295" s="123"/>
      <c r="C295" s="124"/>
      <c r="D295" s="124"/>
      <c r="E295" s="124"/>
      <c r="F295" s="113"/>
      <c r="G295" s="113"/>
      <c r="H295" s="113"/>
      <c r="I295" s="113"/>
      <c r="J295" s="113"/>
      <c r="K295" s="113"/>
      <c r="L295" s="113"/>
      <c r="M295" s="113"/>
      <c r="N295" s="113"/>
      <c r="O295" s="124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</row>
    <row x14ac:dyDescent="0.25" r="296" customHeight="1" ht="15.75">
      <c r="A296" s="123"/>
      <c r="B296" s="123"/>
      <c r="C296" s="124"/>
      <c r="D296" s="124"/>
      <c r="E296" s="124"/>
      <c r="F296" s="113"/>
      <c r="G296" s="113"/>
      <c r="H296" s="113"/>
      <c r="I296" s="113"/>
      <c r="J296" s="113"/>
      <c r="K296" s="113"/>
      <c r="L296" s="113"/>
      <c r="M296" s="113"/>
      <c r="N296" s="113"/>
      <c r="O296" s="124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</row>
    <row x14ac:dyDescent="0.25" r="297" customHeight="1" ht="15.75">
      <c r="A297" s="123"/>
      <c r="B297" s="123"/>
      <c r="C297" s="124"/>
      <c r="D297" s="124"/>
      <c r="E297" s="124"/>
      <c r="F297" s="113"/>
      <c r="G297" s="113"/>
      <c r="H297" s="113"/>
      <c r="I297" s="113"/>
      <c r="J297" s="113"/>
      <c r="K297" s="113"/>
      <c r="L297" s="113"/>
      <c r="M297" s="113"/>
      <c r="N297" s="113"/>
      <c r="O297" s="124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</row>
    <row x14ac:dyDescent="0.25" r="298" customHeight="1" ht="15.75">
      <c r="A298" s="123"/>
      <c r="B298" s="123"/>
      <c r="C298" s="124"/>
      <c r="D298" s="124"/>
      <c r="E298" s="124"/>
      <c r="F298" s="113"/>
      <c r="G298" s="113"/>
      <c r="H298" s="113"/>
      <c r="I298" s="113"/>
      <c r="J298" s="113"/>
      <c r="K298" s="113"/>
      <c r="L298" s="113"/>
      <c r="M298" s="113"/>
      <c r="N298" s="113"/>
      <c r="O298" s="124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</row>
    <row x14ac:dyDescent="0.25" r="299" customHeight="1" ht="15.75">
      <c r="A299" s="123"/>
      <c r="B299" s="123"/>
      <c r="C299" s="124"/>
      <c r="D299" s="124"/>
      <c r="E299" s="124"/>
      <c r="F299" s="113"/>
      <c r="G299" s="113"/>
      <c r="H299" s="113"/>
      <c r="I299" s="113"/>
      <c r="J299" s="113"/>
      <c r="K299" s="113"/>
      <c r="L299" s="113"/>
      <c r="M299" s="113"/>
      <c r="N299" s="113"/>
      <c r="O299" s="124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</row>
    <row x14ac:dyDescent="0.25" r="300" customHeight="1" ht="15.75">
      <c r="A300" s="123"/>
      <c r="B300" s="123"/>
      <c r="C300" s="124"/>
      <c r="D300" s="124"/>
      <c r="E300" s="124"/>
      <c r="F300" s="113"/>
      <c r="G300" s="113"/>
      <c r="H300" s="113"/>
      <c r="I300" s="113"/>
      <c r="J300" s="113"/>
      <c r="K300" s="113"/>
      <c r="L300" s="113"/>
      <c r="M300" s="113"/>
      <c r="N300" s="113"/>
      <c r="O300" s="124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</row>
    <row x14ac:dyDescent="0.25" r="301" customHeight="1" ht="15.75">
      <c r="A301" s="123"/>
      <c r="B301" s="123"/>
      <c r="C301" s="124"/>
      <c r="D301" s="124"/>
      <c r="E301" s="124"/>
      <c r="F301" s="113"/>
      <c r="G301" s="113"/>
      <c r="H301" s="113"/>
      <c r="I301" s="113"/>
      <c r="J301" s="113"/>
      <c r="K301" s="113"/>
      <c r="L301" s="113"/>
      <c r="M301" s="113"/>
      <c r="N301" s="113"/>
      <c r="O301" s="124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</row>
    <row x14ac:dyDescent="0.25" r="302" customHeight="1" ht="15.75">
      <c r="A302" s="123"/>
      <c r="B302" s="123"/>
      <c r="C302" s="124"/>
      <c r="D302" s="124"/>
      <c r="E302" s="124"/>
      <c r="F302" s="113"/>
      <c r="G302" s="113"/>
      <c r="H302" s="113"/>
      <c r="I302" s="113"/>
      <c r="J302" s="113"/>
      <c r="K302" s="113"/>
      <c r="L302" s="113"/>
      <c r="M302" s="113"/>
      <c r="N302" s="113"/>
      <c r="O302" s="124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</row>
    <row x14ac:dyDescent="0.25" r="303" customHeight="1" ht="15.75">
      <c r="A303" s="123"/>
      <c r="B303" s="123"/>
      <c r="C303" s="124"/>
      <c r="D303" s="124"/>
      <c r="E303" s="124"/>
      <c r="F303" s="113"/>
      <c r="G303" s="113"/>
      <c r="H303" s="113"/>
      <c r="I303" s="113"/>
      <c r="J303" s="113"/>
      <c r="K303" s="113"/>
      <c r="L303" s="113"/>
      <c r="M303" s="113"/>
      <c r="N303" s="113"/>
      <c r="O303" s="124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</row>
    <row x14ac:dyDescent="0.25" r="304" customHeight="1" ht="15.75">
      <c r="A304" s="123"/>
      <c r="B304" s="123"/>
      <c r="C304" s="124"/>
      <c r="D304" s="124"/>
      <c r="E304" s="124"/>
      <c r="F304" s="113"/>
      <c r="G304" s="113"/>
      <c r="H304" s="113"/>
      <c r="I304" s="113"/>
      <c r="J304" s="113"/>
      <c r="K304" s="113"/>
      <c r="L304" s="113"/>
      <c r="M304" s="113"/>
      <c r="N304" s="113"/>
      <c r="O304" s="124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</row>
    <row x14ac:dyDescent="0.25" r="305" customHeight="1" ht="15.75">
      <c r="A305" s="123"/>
      <c r="B305" s="123"/>
      <c r="C305" s="124"/>
      <c r="D305" s="124"/>
      <c r="E305" s="124"/>
      <c r="F305" s="113"/>
      <c r="G305" s="113"/>
      <c r="H305" s="113"/>
      <c r="I305" s="113"/>
      <c r="J305" s="113"/>
      <c r="K305" s="113"/>
      <c r="L305" s="113"/>
      <c r="M305" s="113"/>
      <c r="N305" s="113"/>
      <c r="O305" s="124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</row>
    <row x14ac:dyDescent="0.25" r="306" customHeight="1" ht="15.75">
      <c r="A306" s="123"/>
      <c r="B306" s="123"/>
      <c r="C306" s="124"/>
      <c r="D306" s="124"/>
      <c r="E306" s="124"/>
      <c r="F306" s="113"/>
      <c r="G306" s="113"/>
      <c r="H306" s="113"/>
      <c r="I306" s="113"/>
      <c r="J306" s="113"/>
      <c r="K306" s="113"/>
      <c r="L306" s="113"/>
      <c r="M306" s="113"/>
      <c r="N306" s="113"/>
      <c r="O306" s="124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</row>
    <row x14ac:dyDescent="0.25" r="307" customHeight="1" ht="15.75">
      <c r="A307" s="123"/>
      <c r="B307" s="123"/>
      <c r="C307" s="124"/>
      <c r="D307" s="124"/>
      <c r="E307" s="124"/>
      <c r="F307" s="113"/>
      <c r="G307" s="113"/>
      <c r="H307" s="113"/>
      <c r="I307" s="113"/>
      <c r="J307" s="113"/>
      <c r="K307" s="113"/>
      <c r="L307" s="113"/>
      <c r="M307" s="113"/>
      <c r="N307" s="113"/>
      <c r="O307" s="124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</row>
    <row x14ac:dyDescent="0.25" r="308" customHeight="1" ht="15.75">
      <c r="A308" s="123"/>
      <c r="B308" s="123"/>
      <c r="C308" s="124"/>
      <c r="D308" s="124"/>
      <c r="E308" s="124"/>
      <c r="F308" s="113"/>
      <c r="G308" s="113"/>
      <c r="H308" s="113"/>
      <c r="I308" s="113"/>
      <c r="J308" s="113"/>
      <c r="K308" s="113"/>
      <c r="L308" s="113"/>
      <c r="M308" s="113"/>
      <c r="N308" s="113"/>
      <c r="O308" s="124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</row>
    <row x14ac:dyDescent="0.25" r="309" customHeight="1" ht="15.75">
      <c r="A309" s="123"/>
      <c r="B309" s="123"/>
      <c r="C309" s="124"/>
      <c r="D309" s="124"/>
      <c r="E309" s="124"/>
      <c r="F309" s="113"/>
      <c r="G309" s="113"/>
      <c r="H309" s="113"/>
      <c r="I309" s="113"/>
      <c r="J309" s="113"/>
      <c r="K309" s="113"/>
      <c r="L309" s="113"/>
      <c r="M309" s="113"/>
      <c r="N309" s="113"/>
      <c r="O309" s="124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</row>
    <row x14ac:dyDescent="0.25" r="310" customHeight="1" ht="15.75">
      <c r="A310" s="123"/>
      <c r="B310" s="123"/>
      <c r="C310" s="124"/>
      <c r="D310" s="124"/>
      <c r="E310" s="124"/>
      <c r="F310" s="113"/>
      <c r="G310" s="113"/>
      <c r="H310" s="113"/>
      <c r="I310" s="113"/>
      <c r="J310" s="113"/>
      <c r="K310" s="113"/>
      <c r="L310" s="113"/>
      <c r="M310" s="113"/>
      <c r="N310" s="113"/>
      <c r="O310" s="124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</row>
    <row x14ac:dyDescent="0.25" r="311" customHeight="1" ht="15.75">
      <c r="A311" s="123"/>
      <c r="B311" s="123"/>
      <c r="C311" s="124"/>
      <c r="D311" s="124"/>
      <c r="E311" s="124"/>
      <c r="F311" s="113"/>
      <c r="G311" s="113"/>
      <c r="H311" s="113"/>
      <c r="I311" s="113"/>
      <c r="J311" s="113"/>
      <c r="K311" s="113"/>
      <c r="L311" s="113"/>
      <c r="M311" s="113"/>
      <c r="N311" s="113"/>
      <c r="O311" s="124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</row>
    <row x14ac:dyDescent="0.25" r="312" customHeight="1" ht="15.75">
      <c r="A312" s="123"/>
      <c r="B312" s="123"/>
      <c r="C312" s="124"/>
      <c r="D312" s="124"/>
      <c r="E312" s="124"/>
      <c r="F312" s="113"/>
      <c r="G312" s="113"/>
      <c r="H312" s="113"/>
      <c r="I312" s="113"/>
      <c r="J312" s="113"/>
      <c r="K312" s="113"/>
      <c r="L312" s="113"/>
      <c r="M312" s="113"/>
      <c r="N312" s="113"/>
      <c r="O312" s="124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</row>
    <row x14ac:dyDescent="0.25" r="313" customHeight="1" ht="15.75">
      <c r="A313" s="123"/>
      <c r="B313" s="123"/>
      <c r="C313" s="124"/>
      <c r="D313" s="124"/>
      <c r="E313" s="124"/>
      <c r="F313" s="113"/>
      <c r="G313" s="113"/>
      <c r="H313" s="113"/>
      <c r="I313" s="113"/>
      <c r="J313" s="113"/>
      <c r="K313" s="113"/>
      <c r="L313" s="113"/>
      <c r="M313" s="113"/>
      <c r="N313" s="113"/>
      <c r="O313" s="124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</row>
    <row x14ac:dyDescent="0.25" r="314" customHeight="1" ht="15.75">
      <c r="A314" s="123"/>
      <c r="B314" s="123"/>
      <c r="C314" s="124"/>
      <c r="D314" s="124"/>
      <c r="E314" s="124"/>
      <c r="F314" s="113"/>
      <c r="G314" s="113"/>
      <c r="H314" s="113"/>
      <c r="I314" s="113"/>
      <c r="J314" s="113"/>
      <c r="K314" s="113"/>
      <c r="L314" s="113"/>
      <c r="M314" s="113"/>
      <c r="N314" s="113"/>
      <c r="O314" s="124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</row>
    <row x14ac:dyDescent="0.25" r="315" customHeight="1" ht="15.75">
      <c r="A315" s="123"/>
      <c r="B315" s="123"/>
      <c r="C315" s="124"/>
      <c r="D315" s="124"/>
      <c r="E315" s="124"/>
      <c r="F315" s="113"/>
      <c r="G315" s="113"/>
      <c r="H315" s="113"/>
      <c r="I315" s="113"/>
      <c r="J315" s="113"/>
      <c r="K315" s="113"/>
      <c r="L315" s="113"/>
      <c r="M315" s="113"/>
      <c r="N315" s="113"/>
      <c r="O315" s="124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</row>
    <row x14ac:dyDescent="0.25" r="316" customHeight="1" ht="15.75">
      <c r="A316" s="123"/>
      <c r="B316" s="123"/>
      <c r="C316" s="124"/>
      <c r="D316" s="124"/>
      <c r="E316" s="124"/>
      <c r="F316" s="113"/>
      <c r="G316" s="113"/>
      <c r="H316" s="113"/>
      <c r="I316" s="113"/>
      <c r="J316" s="113"/>
      <c r="K316" s="113"/>
      <c r="L316" s="113"/>
      <c r="M316" s="113"/>
      <c r="N316" s="113"/>
      <c r="O316" s="124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</row>
    <row x14ac:dyDescent="0.25" r="317" customHeight="1" ht="15.75">
      <c r="A317" s="123"/>
      <c r="B317" s="123"/>
      <c r="C317" s="124"/>
      <c r="D317" s="124"/>
      <c r="E317" s="124"/>
      <c r="F317" s="113"/>
      <c r="G317" s="113"/>
      <c r="H317" s="113"/>
      <c r="I317" s="113"/>
      <c r="J317" s="113"/>
      <c r="K317" s="113"/>
      <c r="L317" s="113"/>
      <c r="M317" s="113"/>
      <c r="N317" s="113"/>
      <c r="O317" s="124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</row>
    <row x14ac:dyDescent="0.25" r="318" customHeight="1" ht="15.75">
      <c r="A318" s="123"/>
      <c r="B318" s="123"/>
      <c r="C318" s="124"/>
      <c r="D318" s="124"/>
      <c r="E318" s="124"/>
      <c r="F318" s="113"/>
      <c r="G318" s="113"/>
      <c r="H318" s="113"/>
      <c r="I318" s="113"/>
      <c r="J318" s="113"/>
      <c r="K318" s="113"/>
      <c r="L318" s="113"/>
      <c r="M318" s="113"/>
      <c r="N318" s="113"/>
      <c r="O318" s="124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</row>
    <row x14ac:dyDescent="0.25" r="319" customHeight="1" ht="15.75">
      <c r="A319" s="123"/>
      <c r="B319" s="123"/>
      <c r="C319" s="124"/>
      <c r="D319" s="124"/>
      <c r="E319" s="124"/>
      <c r="F319" s="113"/>
      <c r="G319" s="113"/>
      <c r="H319" s="113"/>
      <c r="I319" s="113"/>
      <c r="J319" s="113"/>
      <c r="K319" s="113"/>
      <c r="L319" s="113"/>
      <c r="M319" s="113"/>
      <c r="N319" s="113"/>
      <c r="O319" s="124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</row>
    <row x14ac:dyDescent="0.25" r="320" customHeight="1" ht="15.75">
      <c r="A320" s="123"/>
      <c r="B320" s="123"/>
      <c r="C320" s="124"/>
      <c r="D320" s="124"/>
      <c r="E320" s="124"/>
      <c r="F320" s="113"/>
      <c r="G320" s="113"/>
      <c r="H320" s="113"/>
      <c r="I320" s="113"/>
      <c r="J320" s="113"/>
      <c r="K320" s="113"/>
      <c r="L320" s="113"/>
      <c r="M320" s="113"/>
      <c r="N320" s="113"/>
      <c r="O320" s="124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</row>
    <row x14ac:dyDescent="0.25" r="321" customHeight="1" ht="15.75">
      <c r="A321" s="123"/>
      <c r="B321" s="123"/>
      <c r="C321" s="124"/>
      <c r="D321" s="124"/>
      <c r="E321" s="124"/>
      <c r="F321" s="113"/>
      <c r="G321" s="113"/>
      <c r="H321" s="113"/>
      <c r="I321" s="113"/>
      <c r="J321" s="113"/>
      <c r="K321" s="113"/>
      <c r="L321" s="113"/>
      <c r="M321" s="113"/>
      <c r="N321" s="113"/>
      <c r="O321" s="124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</row>
    <row x14ac:dyDescent="0.25" r="322" customHeight="1" ht="15.75">
      <c r="A322" s="123"/>
      <c r="B322" s="123"/>
      <c r="C322" s="124"/>
      <c r="D322" s="124"/>
      <c r="E322" s="124"/>
      <c r="F322" s="113"/>
      <c r="G322" s="113"/>
      <c r="H322" s="113"/>
      <c r="I322" s="113"/>
      <c r="J322" s="113"/>
      <c r="K322" s="113"/>
      <c r="L322" s="113"/>
      <c r="M322" s="113"/>
      <c r="N322" s="113"/>
      <c r="O322" s="124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</row>
    <row x14ac:dyDescent="0.25" r="323" customHeight="1" ht="15.75">
      <c r="A323" s="123"/>
      <c r="B323" s="123"/>
      <c r="C323" s="124"/>
      <c r="D323" s="124"/>
      <c r="E323" s="124"/>
      <c r="F323" s="113"/>
      <c r="G323" s="113"/>
      <c r="H323" s="113"/>
      <c r="I323" s="113"/>
      <c r="J323" s="113"/>
      <c r="K323" s="113"/>
      <c r="L323" s="113"/>
      <c r="M323" s="113"/>
      <c r="N323" s="113"/>
      <c r="O323" s="124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</row>
    <row x14ac:dyDescent="0.25" r="324" customHeight="1" ht="15.75">
      <c r="A324" s="123"/>
      <c r="B324" s="123"/>
      <c r="C324" s="124"/>
      <c r="D324" s="124"/>
      <c r="E324" s="124"/>
      <c r="F324" s="113"/>
      <c r="G324" s="113"/>
      <c r="H324" s="113"/>
      <c r="I324" s="113"/>
      <c r="J324" s="113"/>
      <c r="K324" s="113"/>
      <c r="L324" s="113"/>
      <c r="M324" s="113"/>
      <c r="N324" s="113"/>
      <c r="O324" s="124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</row>
    <row x14ac:dyDescent="0.25" r="325" customHeight="1" ht="15.75">
      <c r="A325" s="123"/>
      <c r="B325" s="123"/>
      <c r="C325" s="124"/>
      <c r="D325" s="124"/>
      <c r="E325" s="124"/>
      <c r="F325" s="113"/>
      <c r="G325" s="113"/>
      <c r="H325" s="113"/>
      <c r="I325" s="113"/>
      <c r="J325" s="113"/>
      <c r="K325" s="113"/>
      <c r="L325" s="113"/>
      <c r="M325" s="113"/>
      <c r="N325" s="113"/>
      <c r="O325" s="124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</row>
    <row x14ac:dyDescent="0.25" r="326" customHeight="1" ht="15.75">
      <c r="A326" s="123"/>
      <c r="B326" s="123"/>
      <c r="C326" s="124"/>
      <c r="D326" s="124"/>
      <c r="E326" s="124"/>
      <c r="F326" s="113"/>
      <c r="G326" s="113"/>
      <c r="H326" s="113"/>
      <c r="I326" s="113"/>
      <c r="J326" s="113"/>
      <c r="K326" s="113"/>
      <c r="L326" s="113"/>
      <c r="M326" s="113"/>
      <c r="N326" s="113"/>
      <c r="O326" s="124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</row>
    <row x14ac:dyDescent="0.25" r="327" customHeight="1" ht="15.75">
      <c r="A327" s="123"/>
      <c r="B327" s="123"/>
      <c r="C327" s="124"/>
      <c r="D327" s="124"/>
      <c r="E327" s="124"/>
      <c r="F327" s="113"/>
      <c r="G327" s="113"/>
      <c r="H327" s="113"/>
      <c r="I327" s="113"/>
      <c r="J327" s="113"/>
      <c r="K327" s="113"/>
      <c r="L327" s="113"/>
      <c r="M327" s="113"/>
      <c r="N327" s="113"/>
      <c r="O327" s="124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</row>
    <row x14ac:dyDescent="0.25" r="328" customHeight="1" ht="15.75">
      <c r="A328" s="123"/>
      <c r="B328" s="123"/>
      <c r="C328" s="124"/>
      <c r="D328" s="124"/>
      <c r="E328" s="124"/>
      <c r="F328" s="113"/>
      <c r="G328" s="113"/>
      <c r="H328" s="113"/>
      <c r="I328" s="113"/>
      <c r="J328" s="113"/>
      <c r="K328" s="113"/>
      <c r="L328" s="113"/>
      <c r="M328" s="113"/>
      <c r="N328" s="113"/>
      <c r="O328" s="124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</row>
    <row x14ac:dyDescent="0.25" r="329" customHeight="1" ht="15.75">
      <c r="A329" s="123"/>
      <c r="B329" s="123"/>
      <c r="C329" s="124"/>
      <c r="D329" s="124"/>
      <c r="E329" s="124"/>
      <c r="F329" s="113"/>
      <c r="G329" s="113"/>
      <c r="H329" s="113"/>
      <c r="I329" s="113"/>
      <c r="J329" s="113"/>
      <c r="K329" s="113"/>
      <c r="L329" s="113"/>
      <c r="M329" s="113"/>
      <c r="N329" s="113"/>
      <c r="O329" s="124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</row>
    <row x14ac:dyDescent="0.25" r="330" customHeight="1" ht="15.75">
      <c r="A330" s="123"/>
      <c r="B330" s="123"/>
      <c r="C330" s="124"/>
      <c r="D330" s="124"/>
      <c r="E330" s="124"/>
      <c r="F330" s="113"/>
      <c r="G330" s="113"/>
      <c r="H330" s="113"/>
      <c r="I330" s="113"/>
      <c r="J330" s="113"/>
      <c r="K330" s="113"/>
      <c r="L330" s="113"/>
      <c r="M330" s="113"/>
      <c r="N330" s="113"/>
      <c r="O330" s="124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</row>
    <row x14ac:dyDescent="0.25" r="331" customHeight="1" ht="15.75">
      <c r="A331" s="123"/>
      <c r="B331" s="123"/>
      <c r="C331" s="124"/>
      <c r="D331" s="124"/>
      <c r="E331" s="124"/>
      <c r="F331" s="113"/>
      <c r="G331" s="113"/>
      <c r="H331" s="113"/>
      <c r="I331" s="113"/>
      <c r="J331" s="113"/>
      <c r="K331" s="113"/>
      <c r="L331" s="113"/>
      <c r="M331" s="113"/>
      <c r="N331" s="113"/>
      <c r="O331" s="124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</row>
    <row x14ac:dyDescent="0.25" r="332" customHeight="1" ht="15.75">
      <c r="A332" s="123"/>
      <c r="B332" s="123"/>
      <c r="C332" s="124"/>
      <c r="D332" s="124"/>
      <c r="E332" s="124"/>
      <c r="F332" s="113"/>
      <c r="G332" s="113"/>
      <c r="H332" s="113"/>
      <c r="I332" s="113"/>
      <c r="J332" s="113"/>
      <c r="K332" s="113"/>
      <c r="L332" s="113"/>
      <c r="M332" s="113"/>
      <c r="N332" s="113"/>
      <c r="O332" s="124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</row>
    <row x14ac:dyDescent="0.25" r="333" customHeight="1" ht="15.75">
      <c r="A333" s="123"/>
      <c r="B333" s="123"/>
      <c r="C333" s="124"/>
      <c r="D333" s="124"/>
      <c r="E333" s="124"/>
      <c r="F333" s="113"/>
      <c r="G333" s="113"/>
      <c r="H333" s="113"/>
      <c r="I333" s="113"/>
      <c r="J333" s="113"/>
      <c r="K333" s="113"/>
      <c r="L333" s="113"/>
      <c r="M333" s="113"/>
      <c r="N333" s="113"/>
      <c r="O333" s="124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</row>
    <row x14ac:dyDescent="0.25" r="334" customHeight="1" ht="15.75">
      <c r="A334" s="123"/>
      <c r="B334" s="123"/>
      <c r="C334" s="124"/>
      <c r="D334" s="124"/>
      <c r="E334" s="124"/>
      <c r="F334" s="113"/>
      <c r="G334" s="113"/>
      <c r="H334" s="113"/>
      <c r="I334" s="113"/>
      <c r="J334" s="113"/>
      <c r="K334" s="113"/>
      <c r="L334" s="113"/>
      <c r="M334" s="113"/>
      <c r="N334" s="113"/>
      <c r="O334" s="124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</row>
    <row x14ac:dyDescent="0.25" r="335" customHeight="1" ht="15.75">
      <c r="A335" s="123"/>
      <c r="B335" s="123"/>
      <c r="C335" s="124"/>
      <c r="D335" s="124"/>
      <c r="E335" s="124"/>
      <c r="F335" s="113"/>
      <c r="G335" s="113"/>
      <c r="H335" s="113"/>
      <c r="I335" s="113"/>
      <c r="J335" s="113"/>
      <c r="K335" s="113"/>
      <c r="L335" s="113"/>
      <c r="M335" s="113"/>
      <c r="N335" s="113"/>
      <c r="O335" s="124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</row>
    <row x14ac:dyDescent="0.25" r="336" customHeight="1" ht="15.75">
      <c r="A336" s="123"/>
      <c r="B336" s="123"/>
      <c r="C336" s="124"/>
      <c r="D336" s="124"/>
      <c r="E336" s="124"/>
      <c r="F336" s="113"/>
      <c r="G336" s="113"/>
      <c r="H336" s="113"/>
      <c r="I336" s="113"/>
      <c r="J336" s="113"/>
      <c r="K336" s="113"/>
      <c r="L336" s="113"/>
      <c r="M336" s="113"/>
      <c r="N336" s="113"/>
      <c r="O336" s="124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</row>
    <row x14ac:dyDescent="0.25" r="337" customHeight="1" ht="15.75">
      <c r="A337" s="123"/>
      <c r="B337" s="123"/>
      <c r="C337" s="124"/>
      <c r="D337" s="124"/>
      <c r="E337" s="124"/>
      <c r="F337" s="113"/>
      <c r="G337" s="113"/>
      <c r="H337" s="113"/>
      <c r="I337" s="113"/>
      <c r="J337" s="113"/>
      <c r="K337" s="113"/>
      <c r="L337" s="113"/>
      <c r="M337" s="113"/>
      <c r="N337" s="113"/>
      <c r="O337" s="124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</row>
    <row x14ac:dyDescent="0.25" r="338" customHeight="1" ht="15.75">
      <c r="A338" s="123"/>
      <c r="B338" s="123"/>
      <c r="C338" s="124"/>
      <c r="D338" s="124"/>
      <c r="E338" s="124"/>
      <c r="F338" s="113"/>
      <c r="G338" s="113"/>
      <c r="H338" s="113"/>
      <c r="I338" s="113"/>
      <c r="J338" s="113"/>
      <c r="K338" s="113"/>
      <c r="L338" s="113"/>
      <c r="M338" s="113"/>
      <c r="N338" s="113"/>
      <c r="O338" s="124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</row>
    <row x14ac:dyDescent="0.25" r="339" customHeight="1" ht="15.75">
      <c r="A339" s="123"/>
      <c r="B339" s="123"/>
      <c r="C339" s="124"/>
      <c r="D339" s="124"/>
      <c r="E339" s="124"/>
      <c r="F339" s="113"/>
      <c r="G339" s="113"/>
      <c r="H339" s="113"/>
      <c r="I339" s="113"/>
      <c r="J339" s="113"/>
      <c r="K339" s="113"/>
      <c r="L339" s="113"/>
      <c r="M339" s="113"/>
      <c r="N339" s="113"/>
      <c r="O339" s="124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</row>
    <row x14ac:dyDescent="0.25" r="340" customHeight="1" ht="15.75">
      <c r="A340" s="123"/>
      <c r="B340" s="123"/>
      <c r="C340" s="124"/>
      <c r="D340" s="124"/>
      <c r="E340" s="124"/>
      <c r="F340" s="113"/>
      <c r="G340" s="113"/>
      <c r="H340" s="113"/>
      <c r="I340" s="113"/>
      <c r="J340" s="113"/>
      <c r="K340" s="113"/>
      <c r="L340" s="113"/>
      <c r="M340" s="113"/>
      <c r="N340" s="113"/>
      <c r="O340" s="124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</row>
    <row x14ac:dyDescent="0.25" r="341" customHeight="1" ht="15.75">
      <c r="A341" s="123"/>
      <c r="B341" s="123"/>
      <c r="C341" s="124"/>
      <c r="D341" s="124"/>
      <c r="E341" s="124"/>
      <c r="F341" s="113"/>
      <c r="G341" s="113"/>
      <c r="H341" s="113"/>
      <c r="I341" s="113"/>
      <c r="J341" s="113"/>
      <c r="K341" s="113"/>
      <c r="L341" s="113"/>
      <c r="M341" s="113"/>
      <c r="N341" s="113"/>
      <c r="O341" s="124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</row>
    <row x14ac:dyDescent="0.25" r="342" customHeight="1" ht="15.75">
      <c r="A342" s="123"/>
      <c r="B342" s="123"/>
      <c r="C342" s="124"/>
      <c r="D342" s="124"/>
      <c r="E342" s="124"/>
      <c r="F342" s="113"/>
      <c r="G342" s="113"/>
      <c r="H342" s="113"/>
      <c r="I342" s="113"/>
      <c r="J342" s="113"/>
      <c r="K342" s="113"/>
      <c r="L342" s="113"/>
      <c r="M342" s="113"/>
      <c r="N342" s="113"/>
      <c r="O342" s="124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</row>
    <row x14ac:dyDescent="0.25" r="343" customHeight="1" ht="15.75">
      <c r="A343" s="123"/>
      <c r="B343" s="123"/>
      <c r="C343" s="124"/>
      <c r="D343" s="124"/>
      <c r="E343" s="124"/>
      <c r="F343" s="113"/>
      <c r="G343" s="113"/>
      <c r="H343" s="113"/>
      <c r="I343" s="113"/>
      <c r="J343" s="113"/>
      <c r="K343" s="113"/>
      <c r="L343" s="113"/>
      <c r="M343" s="113"/>
      <c r="N343" s="113"/>
      <c r="O343" s="124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</row>
    <row x14ac:dyDescent="0.25" r="344" customHeight="1" ht="15.75">
      <c r="A344" s="123"/>
      <c r="B344" s="123"/>
      <c r="C344" s="124"/>
      <c r="D344" s="124"/>
      <c r="E344" s="124"/>
      <c r="F344" s="113"/>
      <c r="G344" s="113"/>
      <c r="H344" s="113"/>
      <c r="I344" s="113"/>
      <c r="J344" s="113"/>
      <c r="K344" s="113"/>
      <c r="L344" s="113"/>
      <c r="M344" s="113"/>
      <c r="N344" s="113"/>
      <c r="O344" s="124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</row>
    <row x14ac:dyDescent="0.25" r="345" customHeight="1" ht="15.75">
      <c r="A345" s="123"/>
      <c r="B345" s="123"/>
      <c r="C345" s="124"/>
      <c r="D345" s="124"/>
      <c r="E345" s="124"/>
      <c r="F345" s="113"/>
      <c r="G345" s="113"/>
      <c r="H345" s="113"/>
      <c r="I345" s="113"/>
      <c r="J345" s="113"/>
      <c r="K345" s="113"/>
      <c r="L345" s="113"/>
      <c r="M345" s="113"/>
      <c r="N345" s="113"/>
      <c r="O345" s="124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</row>
    <row x14ac:dyDescent="0.25" r="346" customHeight="1" ht="15.75">
      <c r="A346" s="123"/>
      <c r="B346" s="123"/>
      <c r="C346" s="124"/>
      <c r="D346" s="124"/>
      <c r="E346" s="124"/>
      <c r="F346" s="113"/>
      <c r="G346" s="113"/>
      <c r="H346" s="113"/>
      <c r="I346" s="113"/>
      <c r="J346" s="113"/>
      <c r="K346" s="113"/>
      <c r="L346" s="113"/>
      <c r="M346" s="113"/>
      <c r="N346" s="113"/>
      <c r="O346" s="124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</row>
    <row x14ac:dyDescent="0.25" r="347" customHeight="1" ht="15.75">
      <c r="A347" s="123"/>
      <c r="B347" s="123"/>
      <c r="C347" s="124"/>
      <c r="D347" s="124"/>
      <c r="E347" s="124"/>
      <c r="F347" s="113"/>
      <c r="G347" s="113"/>
      <c r="H347" s="113"/>
      <c r="I347" s="113"/>
      <c r="J347" s="113"/>
      <c r="K347" s="113"/>
      <c r="L347" s="113"/>
      <c r="M347" s="113"/>
      <c r="N347" s="113"/>
      <c r="O347" s="124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</row>
    <row x14ac:dyDescent="0.25" r="348" customHeight="1" ht="15.75">
      <c r="A348" s="123"/>
      <c r="B348" s="123"/>
      <c r="C348" s="124"/>
      <c r="D348" s="124"/>
      <c r="E348" s="124"/>
      <c r="F348" s="113"/>
      <c r="G348" s="113"/>
      <c r="H348" s="113"/>
      <c r="I348" s="113"/>
      <c r="J348" s="113"/>
      <c r="K348" s="113"/>
      <c r="L348" s="113"/>
      <c r="M348" s="113"/>
      <c r="N348" s="113"/>
      <c r="O348" s="124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</row>
    <row x14ac:dyDescent="0.25" r="349" customHeight="1" ht="15.75">
      <c r="A349" s="123"/>
      <c r="B349" s="123"/>
      <c r="C349" s="124"/>
      <c r="D349" s="124"/>
      <c r="E349" s="124"/>
      <c r="F349" s="113"/>
      <c r="G349" s="113"/>
      <c r="H349" s="113"/>
      <c r="I349" s="113"/>
      <c r="J349" s="113"/>
      <c r="K349" s="113"/>
      <c r="L349" s="113"/>
      <c r="M349" s="113"/>
      <c r="N349" s="113"/>
      <c r="O349" s="124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</row>
    <row x14ac:dyDescent="0.25" r="350" customHeight="1" ht="15.75">
      <c r="A350" s="123"/>
      <c r="B350" s="123"/>
      <c r="C350" s="124"/>
      <c r="D350" s="124"/>
      <c r="E350" s="124"/>
      <c r="F350" s="113"/>
      <c r="G350" s="113"/>
      <c r="H350" s="113"/>
      <c r="I350" s="113"/>
      <c r="J350" s="113"/>
      <c r="K350" s="113"/>
      <c r="L350" s="113"/>
      <c r="M350" s="113"/>
      <c r="N350" s="113"/>
      <c r="O350" s="124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</row>
    <row x14ac:dyDescent="0.25" r="351" customHeight="1" ht="15.75">
      <c r="A351" s="123"/>
      <c r="B351" s="123"/>
      <c r="C351" s="124"/>
      <c r="D351" s="124"/>
      <c r="E351" s="124"/>
      <c r="F351" s="113"/>
      <c r="G351" s="113"/>
      <c r="H351" s="113"/>
      <c r="I351" s="113"/>
      <c r="J351" s="113"/>
      <c r="K351" s="113"/>
      <c r="L351" s="113"/>
      <c r="M351" s="113"/>
      <c r="N351" s="113"/>
      <c r="O351" s="124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</row>
    <row x14ac:dyDescent="0.25" r="352" customHeight="1" ht="15.75">
      <c r="A352" s="123"/>
      <c r="B352" s="123"/>
      <c r="C352" s="124"/>
      <c r="D352" s="124"/>
      <c r="E352" s="124"/>
      <c r="F352" s="113"/>
      <c r="G352" s="113"/>
      <c r="H352" s="113"/>
      <c r="I352" s="113"/>
      <c r="J352" s="113"/>
      <c r="K352" s="113"/>
      <c r="L352" s="113"/>
      <c r="M352" s="113"/>
      <c r="N352" s="113"/>
      <c r="O352" s="124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</row>
    <row x14ac:dyDescent="0.25" r="353" customHeight="1" ht="15.75">
      <c r="A353" s="123"/>
      <c r="B353" s="123"/>
      <c r="C353" s="124"/>
      <c r="D353" s="124"/>
      <c r="E353" s="124"/>
      <c r="F353" s="113"/>
      <c r="G353" s="113"/>
      <c r="H353" s="113"/>
      <c r="I353" s="113"/>
      <c r="J353" s="113"/>
      <c r="K353" s="113"/>
      <c r="L353" s="113"/>
      <c r="M353" s="113"/>
      <c r="N353" s="113"/>
      <c r="O353" s="124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</row>
    <row x14ac:dyDescent="0.25" r="354" customHeight="1" ht="15.75">
      <c r="A354" s="123"/>
      <c r="B354" s="123"/>
      <c r="C354" s="124"/>
      <c r="D354" s="124"/>
      <c r="E354" s="124"/>
      <c r="F354" s="113"/>
      <c r="G354" s="113"/>
      <c r="H354" s="113"/>
      <c r="I354" s="113"/>
      <c r="J354" s="113"/>
      <c r="K354" s="113"/>
      <c r="L354" s="113"/>
      <c r="M354" s="113"/>
      <c r="N354" s="113"/>
      <c r="O354" s="124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</row>
    <row x14ac:dyDescent="0.25" r="355" customHeight="1" ht="15.75">
      <c r="A355" s="123"/>
      <c r="B355" s="123"/>
      <c r="C355" s="124"/>
      <c r="D355" s="124"/>
      <c r="E355" s="124"/>
      <c r="F355" s="113"/>
      <c r="G355" s="113"/>
      <c r="H355" s="113"/>
      <c r="I355" s="113"/>
      <c r="J355" s="113"/>
      <c r="K355" s="113"/>
      <c r="L355" s="113"/>
      <c r="M355" s="113"/>
      <c r="N355" s="113"/>
      <c r="O355" s="124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</row>
    <row x14ac:dyDescent="0.25" r="356" customHeight="1" ht="15.75">
      <c r="A356" s="123"/>
      <c r="B356" s="123"/>
      <c r="C356" s="124"/>
      <c r="D356" s="124"/>
      <c r="E356" s="124"/>
      <c r="F356" s="113"/>
      <c r="G356" s="113"/>
      <c r="H356" s="113"/>
      <c r="I356" s="113"/>
      <c r="J356" s="113"/>
      <c r="K356" s="113"/>
      <c r="L356" s="113"/>
      <c r="M356" s="113"/>
      <c r="N356" s="113"/>
      <c r="O356" s="124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</row>
    <row x14ac:dyDescent="0.25" r="357" customHeight="1" ht="15.75">
      <c r="A357" s="123"/>
      <c r="B357" s="123"/>
      <c r="C357" s="124"/>
      <c r="D357" s="124"/>
      <c r="E357" s="124"/>
      <c r="F357" s="113"/>
      <c r="G357" s="113"/>
      <c r="H357" s="113"/>
      <c r="I357" s="113"/>
      <c r="J357" s="113"/>
      <c r="K357" s="113"/>
      <c r="L357" s="113"/>
      <c r="M357" s="113"/>
      <c r="N357" s="113"/>
      <c r="O357" s="124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</row>
    <row x14ac:dyDescent="0.25" r="358" customHeight="1" ht="15.75">
      <c r="A358" s="123"/>
      <c r="B358" s="123"/>
      <c r="C358" s="124"/>
      <c r="D358" s="124"/>
      <c r="E358" s="124"/>
      <c r="F358" s="113"/>
      <c r="G358" s="113"/>
      <c r="H358" s="113"/>
      <c r="I358" s="113"/>
      <c r="J358" s="113"/>
      <c r="K358" s="113"/>
      <c r="L358" s="113"/>
      <c r="M358" s="113"/>
      <c r="N358" s="113"/>
      <c r="O358" s="124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</row>
    <row x14ac:dyDescent="0.25" r="359" customHeight="1" ht="15.75">
      <c r="A359" s="123"/>
      <c r="B359" s="123"/>
      <c r="C359" s="124"/>
      <c r="D359" s="124"/>
      <c r="E359" s="124"/>
      <c r="F359" s="113"/>
      <c r="G359" s="113"/>
      <c r="H359" s="113"/>
      <c r="I359" s="113"/>
      <c r="J359" s="113"/>
      <c r="K359" s="113"/>
      <c r="L359" s="113"/>
      <c r="M359" s="113"/>
      <c r="N359" s="113"/>
      <c r="O359" s="124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</row>
    <row x14ac:dyDescent="0.25" r="360" customHeight="1" ht="15.75">
      <c r="A360" s="123"/>
      <c r="B360" s="123"/>
      <c r="C360" s="124"/>
      <c r="D360" s="124"/>
      <c r="E360" s="124"/>
      <c r="F360" s="113"/>
      <c r="G360" s="113"/>
      <c r="H360" s="113"/>
      <c r="I360" s="113"/>
      <c r="J360" s="113"/>
      <c r="K360" s="113"/>
      <c r="L360" s="113"/>
      <c r="M360" s="113"/>
      <c r="N360" s="113"/>
      <c r="O360" s="124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</row>
    <row x14ac:dyDescent="0.25" r="361" customHeight="1" ht="15.75">
      <c r="A361" s="123"/>
      <c r="B361" s="123"/>
      <c r="C361" s="124"/>
      <c r="D361" s="124"/>
      <c r="E361" s="124"/>
      <c r="F361" s="113"/>
      <c r="G361" s="113"/>
      <c r="H361" s="113"/>
      <c r="I361" s="113"/>
      <c r="J361" s="113"/>
      <c r="K361" s="113"/>
      <c r="L361" s="113"/>
      <c r="M361" s="113"/>
      <c r="N361" s="113"/>
      <c r="O361" s="124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</row>
    <row x14ac:dyDescent="0.25" r="362" customHeight="1" ht="15.75">
      <c r="A362" s="123"/>
      <c r="B362" s="123"/>
      <c r="C362" s="124"/>
      <c r="D362" s="124"/>
      <c r="E362" s="124"/>
      <c r="F362" s="113"/>
      <c r="G362" s="113"/>
      <c r="H362" s="113"/>
      <c r="I362" s="113"/>
      <c r="J362" s="113"/>
      <c r="K362" s="113"/>
      <c r="L362" s="113"/>
      <c r="M362" s="113"/>
      <c r="N362" s="113"/>
      <c r="O362" s="124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</row>
    <row x14ac:dyDescent="0.25" r="363" customHeight="1" ht="15.75">
      <c r="A363" s="123"/>
      <c r="B363" s="123"/>
      <c r="C363" s="124"/>
      <c r="D363" s="124"/>
      <c r="E363" s="124"/>
      <c r="F363" s="113"/>
      <c r="G363" s="113"/>
      <c r="H363" s="113"/>
      <c r="I363" s="113"/>
      <c r="J363" s="113"/>
      <c r="K363" s="113"/>
      <c r="L363" s="113"/>
      <c r="M363" s="113"/>
      <c r="N363" s="113"/>
      <c r="O363" s="124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</row>
    <row x14ac:dyDescent="0.25" r="364" customHeight="1" ht="15.75">
      <c r="A364" s="123"/>
      <c r="B364" s="123"/>
      <c r="C364" s="124"/>
      <c r="D364" s="124"/>
      <c r="E364" s="124"/>
      <c r="F364" s="113"/>
      <c r="G364" s="113"/>
      <c r="H364" s="113"/>
      <c r="I364" s="113"/>
      <c r="J364" s="113"/>
      <c r="K364" s="113"/>
      <c r="L364" s="113"/>
      <c r="M364" s="113"/>
      <c r="N364" s="113"/>
      <c r="O364" s="124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</row>
    <row x14ac:dyDescent="0.25" r="365" customHeight="1" ht="15.75">
      <c r="A365" s="123"/>
      <c r="B365" s="123"/>
      <c r="C365" s="124"/>
      <c r="D365" s="124"/>
      <c r="E365" s="124"/>
      <c r="F365" s="113"/>
      <c r="G365" s="113"/>
      <c r="H365" s="113"/>
      <c r="I365" s="113"/>
      <c r="J365" s="113"/>
      <c r="K365" s="113"/>
      <c r="L365" s="113"/>
      <c r="M365" s="113"/>
      <c r="N365" s="113"/>
      <c r="O365" s="124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</row>
    <row x14ac:dyDescent="0.25" r="366" customHeight="1" ht="15.75">
      <c r="A366" s="123"/>
      <c r="B366" s="123"/>
      <c r="C366" s="124"/>
      <c r="D366" s="124"/>
      <c r="E366" s="124"/>
      <c r="F366" s="113"/>
      <c r="G366" s="113"/>
      <c r="H366" s="113"/>
      <c r="I366" s="113"/>
      <c r="J366" s="113"/>
      <c r="K366" s="113"/>
      <c r="L366" s="113"/>
      <c r="M366" s="113"/>
      <c r="N366" s="113"/>
      <c r="O366" s="124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</row>
    <row x14ac:dyDescent="0.25" r="367" customHeight="1" ht="15.75">
      <c r="A367" s="123"/>
      <c r="B367" s="123"/>
      <c r="C367" s="124"/>
      <c r="D367" s="124"/>
      <c r="E367" s="124"/>
      <c r="F367" s="113"/>
      <c r="G367" s="113"/>
      <c r="H367" s="113"/>
      <c r="I367" s="113"/>
      <c r="J367" s="113"/>
      <c r="K367" s="113"/>
      <c r="L367" s="113"/>
      <c r="M367" s="113"/>
      <c r="N367" s="113"/>
      <c r="O367" s="124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</row>
    <row x14ac:dyDescent="0.25" r="368" customHeight="1" ht="15.75">
      <c r="A368" s="123"/>
      <c r="B368" s="123"/>
      <c r="C368" s="124"/>
      <c r="D368" s="124"/>
      <c r="E368" s="124"/>
      <c r="F368" s="113"/>
      <c r="G368" s="113"/>
      <c r="H368" s="113"/>
      <c r="I368" s="113"/>
      <c r="J368" s="113"/>
      <c r="K368" s="113"/>
      <c r="L368" s="113"/>
      <c r="M368" s="113"/>
      <c r="N368" s="113"/>
      <c r="O368" s="124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</row>
    <row x14ac:dyDescent="0.25" r="369" customHeight="1" ht="15.75">
      <c r="A369" s="123"/>
      <c r="B369" s="123"/>
      <c r="C369" s="124"/>
      <c r="D369" s="124"/>
      <c r="E369" s="124"/>
      <c r="F369" s="113"/>
      <c r="G369" s="113"/>
      <c r="H369" s="113"/>
      <c r="I369" s="113"/>
      <c r="J369" s="113"/>
      <c r="K369" s="113"/>
      <c r="L369" s="113"/>
      <c r="M369" s="113"/>
      <c r="N369" s="113"/>
      <c r="O369" s="124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</row>
    <row x14ac:dyDescent="0.25" r="370" customHeight="1" ht="15.75">
      <c r="A370" s="123"/>
      <c r="B370" s="123"/>
      <c r="C370" s="124"/>
      <c r="D370" s="124"/>
      <c r="E370" s="124"/>
      <c r="F370" s="113"/>
      <c r="G370" s="113"/>
      <c r="H370" s="113"/>
      <c r="I370" s="113"/>
      <c r="J370" s="113"/>
      <c r="K370" s="113"/>
      <c r="L370" s="113"/>
      <c r="M370" s="113"/>
      <c r="N370" s="113"/>
      <c r="O370" s="124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</row>
    <row x14ac:dyDescent="0.25" r="371" customHeight="1" ht="15.75">
      <c r="A371" s="123"/>
      <c r="B371" s="123"/>
      <c r="C371" s="124"/>
      <c r="D371" s="124"/>
      <c r="E371" s="124"/>
      <c r="F371" s="113"/>
      <c r="G371" s="113"/>
      <c r="H371" s="113"/>
      <c r="I371" s="113"/>
      <c r="J371" s="113"/>
      <c r="K371" s="113"/>
      <c r="L371" s="113"/>
      <c r="M371" s="113"/>
      <c r="N371" s="113"/>
      <c r="O371" s="124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</row>
    <row x14ac:dyDescent="0.25" r="372" customHeight="1" ht="15.75">
      <c r="A372" s="123"/>
      <c r="B372" s="123"/>
      <c r="C372" s="124"/>
      <c r="D372" s="124"/>
      <c r="E372" s="124"/>
      <c r="F372" s="113"/>
      <c r="G372" s="113"/>
      <c r="H372" s="113"/>
      <c r="I372" s="113"/>
      <c r="J372" s="113"/>
      <c r="K372" s="113"/>
      <c r="L372" s="113"/>
      <c r="M372" s="113"/>
      <c r="N372" s="113"/>
      <c r="O372" s="124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</row>
    <row x14ac:dyDescent="0.25" r="373" customHeight="1" ht="15.75">
      <c r="A373" s="123"/>
      <c r="B373" s="123"/>
      <c r="C373" s="124"/>
      <c r="D373" s="124"/>
      <c r="E373" s="124"/>
      <c r="F373" s="113"/>
      <c r="G373" s="113"/>
      <c r="H373" s="113"/>
      <c r="I373" s="113"/>
      <c r="J373" s="113"/>
      <c r="K373" s="113"/>
      <c r="L373" s="113"/>
      <c r="M373" s="113"/>
      <c r="N373" s="113"/>
      <c r="O373" s="124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</row>
    <row x14ac:dyDescent="0.25" r="374" customHeight="1" ht="15.75">
      <c r="A374" s="123"/>
      <c r="B374" s="123"/>
      <c r="C374" s="124"/>
      <c r="D374" s="124"/>
      <c r="E374" s="124"/>
      <c r="F374" s="113"/>
      <c r="G374" s="113"/>
      <c r="H374" s="113"/>
      <c r="I374" s="113"/>
      <c r="J374" s="113"/>
      <c r="K374" s="113"/>
      <c r="L374" s="113"/>
      <c r="M374" s="113"/>
      <c r="N374" s="113"/>
      <c r="O374" s="124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</row>
    <row x14ac:dyDescent="0.25" r="375" customHeight="1" ht="15.75">
      <c r="A375" s="123"/>
      <c r="B375" s="123"/>
      <c r="C375" s="124"/>
      <c r="D375" s="124"/>
      <c r="E375" s="124"/>
      <c r="F375" s="113"/>
      <c r="G375" s="113"/>
      <c r="H375" s="113"/>
      <c r="I375" s="113"/>
      <c r="J375" s="113"/>
      <c r="K375" s="113"/>
      <c r="L375" s="113"/>
      <c r="M375" s="113"/>
      <c r="N375" s="113"/>
      <c r="O375" s="124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</row>
    <row x14ac:dyDescent="0.25" r="376" customHeight="1" ht="15.75">
      <c r="A376" s="123"/>
      <c r="B376" s="123"/>
      <c r="C376" s="124"/>
      <c r="D376" s="124"/>
      <c r="E376" s="124"/>
      <c r="F376" s="113"/>
      <c r="G376" s="113"/>
      <c r="H376" s="113"/>
      <c r="I376" s="113"/>
      <c r="J376" s="113"/>
      <c r="K376" s="113"/>
      <c r="L376" s="113"/>
      <c r="M376" s="113"/>
      <c r="N376" s="113"/>
      <c r="O376" s="124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</row>
    <row x14ac:dyDescent="0.25" r="377" customHeight="1" ht="15.75">
      <c r="A377" s="123"/>
      <c r="B377" s="123"/>
      <c r="C377" s="124"/>
      <c r="D377" s="124"/>
      <c r="E377" s="124"/>
      <c r="F377" s="113"/>
      <c r="G377" s="113"/>
      <c r="H377" s="113"/>
      <c r="I377" s="113"/>
      <c r="J377" s="113"/>
      <c r="K377" s="113"/>
      <c r="L377" s="113"/>
      <c r="M377" s="113"/>
      <c r="N377" s="113"/>
      <c r="O377" s="124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</row>
    <row x14ac:dyDescent="0.25" r="378" customHeight="1" ht="15.75">
      <c r="A378" s="123"/>
      <c r="B378" s="123"/>
      <c r="C378" s="124"/>
      <c r="D378" s="124"/>
      <c r="E378" s="124"/>
      <c r="F378" s="113"/>
      <c r="G378" s="113"/>
      <c r="H378" s="113"/>
      <c r="I378" s="113"/>
      <c r="J378" s="113"/>
      <c r="K378" s="113"/>
      <c r="L378" s="113"/>
      <c r="M378" s="113"/>
      <c r="N378" s="113"/>
      <c r="O378" s="124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</row>
    <row x14ac:dyDescent="0.25" r="379" customHeight="1" ht="15.75">
      <c r="A379" s="123"/>
      <c r="B379" s="123"/>
      <c r="C379" s="124"/>
      <c r="D379" s="124"/>
      <c r="E379" s="124"/>
      <c r="F379" s="113"/>
      <c r="G379" s="113"/>
      <c r="H379" s="113"/>
      <c r="I379" s="113"/>
      <c r="J379" s="113"/>
      <c r="K379" s="113"/>
      <c r="L379" s="113"/>
      <c r="M379" s="113"/>
      <c r="N379" s="113"/>
      <c r="O379" s="124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</row>
    <row x14ac:dyDescent="0.25" r="380" customHeight="1" ht="15.75">
      <c r="A380" s="123"/>
      <c r="B380" s="123"/>
      <c r="C380" s="124"/>
      <c r="D380" s="124"/>
      <c r="E380" s="124"/>
      <c r="F380" s="113"/>
      <c r="G380" s="113"/>
      <c r="H380" s="113"/>
      <c r="I380" s="113"/>
      <c r="J380" s="113"/>
      <c r="K380" s="113"/>
      <c r="L380" s="113"/>
      <c r="M380" s="113"/>
      <c r="N380" s="113"/>
      <c r="O380" s="124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</row>
    <row x14ac:dyDescent="0.25" r="381" customHeight="1" ht="15.75">
      <c r="A381" s="123"/>
      <c r="B381" s="123"/>
      <c r="C381" s="124"/>
      <c r="D381" s="124"/>
      <c r="E381" s="124"/>
      <c r="F381" s="113"/>
      <c r="G381" s="113"/>
      <c r="H381" s="113"/>
      <c r="I381" s="113"/>
      <c r="J381" s="113"/>
      <c r="K381" s="113"/>
      <c r="L381" s="113"/>
      <c r="M381" s="113"/>
      <c r="N381" s="113"/>
      <c r="O381" s="124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</row>
    <row x14ac:dyDescent="0.25" r="382" customHeight="1" ht="15.75">
      <c r="A382" s="123"/>
      <c r="B382" s="123"/>
      <c r="C382" s="124"/>
      <c r="D382" s="124"/>
      <c r="E382" s="124"/>
      <c r="F382" s="113"/>
      <c r="G382" s="113"/>
      <c r="H382" s="113"/>
      <c r="I382" s="113"/>
      <c r="J382" s="113"/>
      <c r="K382" s="113"/>
      <c r="L382" s="113"/>
      <c r="M382" s="113"/>
      <c r="N382" s="113"/>
      <c r="O382" s="124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</row>
    <row x14ac:dyDescent="0.25" r="383" customHeight="1" ht="15.75">
      <c r="A383" s="123"/>
      <c r="B383" s="123"/>
      <c r="C383" s="124"/>
      <c r="D383" s="124"/>
      <c r="E383" s="124"/>
      <c r="F383" s="113"/>
      <c r="G383" s="113"/>
      <c r="H383" s="113"/>
      <c r="I383" s="113"/>
      <c r="J383" s="113"/>
      <c r="K383" s="113"/>
      <c r="L383" s="113"/>
      <c r="M383" s="113"/>
      <c r="N383" s="113"/>
      <c r="O383" s="124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</row>
    <row x14ac:dyDescent="0.25" r="384" customHeight="1" ht="15.75">
      <c r="A384" s="123"/>
      <c r="B384" s="123"/>
      <c r="C384" s="124"/>
      <c r="D384" s="124"/>
      <c r="E384" s="124"/>
      <c r="F384" s="113"/>
      <c r="G384" s="113"/>
      <c r="H384" s="113"/>
      <c r="I384" s="113"/>
      <c r="J384" s="113"/>
      <c r="K384" s="113"/>
      <c r="L384" s="113"/>
      <c r="M384" s="113"/>
      <c r="N384" s="113"/>
      <c r="O384" s="124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</row>
    <row x14ac:dyDescent="0.25" r="385" customHeight="1" ht="15.75">
      <c r="A385" s="123"/>
      <c r="B385" s="123"/>
      <c r="C385" s="124"/>
      <c r="D385" s="124"/>
      <c r="E385" s="124"/>
      <c r="F385" s="113"/>
      <c r="G385" s="113"/>
      <c r="H385" s="113"/>
      <c r="I385" s="113"/>
      <c r="J385" s="113"/>
      <c r="K385" s="113"/>
      <c r="L385" s="113"/>
      <c r="M385" s="113"/>
      <c r="N385" s="113"/>
      <c r="O385" s="124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</row>
    <row x14ac:dyDescent="0.25" r="386" customHeight="1" ht="15.75">
      <c r="A386" s="123"/>
      <c r="B386" s="123"/>
      <c r="C386" s="124"/>
      <c r="D386" s="124"/>
      <c r="E386" s="124"/>
      <c r="F386" s="113"/>
      <c r="G386" s="113"/>
      <c r="H386" s="113"/>
      <c r="I386" s="113"/>
      <c r="J386" s="113"/>
      <c r="K386" s="113"/>
      <c r="L386" s="113"/>
      <c r="M386" s="113"/>
      <c r="N386" s="113"/>
      <c r="O386" s="124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</row>
    <row x14ac:dyDescent="0.25" r="387" customHeight="1" ht="15.75">
      <c r="A387" s="123"/>
      <c r="B387" s="123"/>
      <c r="C387" s="124"/>
      <c r="D387" s="124"/>
      <c r="E387" s="124"/>
      <c r="F387" s="113"/>
      <c r="G387" s="113"/>
      <c r="H387" s="113"/>
      <c r="I387" s="113"/>
      <c r="J387" s="113"/>
      <c r="K387" s="113"/>
      <c r="L387" s="113"/>
      <c r="M387" s="113"/>
      <c r="N387" s="113"/>
      <c r="O387" s="124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</row>
    <row x14ac:dyDescent="0.25" r="388" customHeight="1" ht="15.75">
      <c r="A388" s="123"/>
      <c r="B388" s="123"/>
      <c r="C388" s="124"/>
      <c r="D388" s="124"/>
      <c r="E388" s="124"/>
      <c r="F388" s="113"/>
      <c r="G388" s="113"/>
      <c r="H388" s="113"/>
      <c r="I388" s="113"/>
      <c r="J388" s="113"/>
      <c r="K388" s="113"/>
      <c r="L388" s="113"/>
      <c r="M388" s="113"/>
      <c r="N388" s="113"/>
      <c r="O388" s="124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</row>
    <row x14ac:dyDescent="0.25" r="389" customHeight="1" ht="15.75">
      <c r="A389" s="123"/>
      <c r="B389" s="123"/>
      <c r="C389" s="124"/>
      <c r="D389" s="124"/>
      <c r="E389" s="124"/>
      <c r="F389" s="113"/>
      <c r="G389" s="113"/>
      <c r="H389" s="113"/>
      <c r="I389" s="113"/>
      <c r="J389" s="113"/>
      <c r="K389" s="113"/>
      <c r="L389" s="113"/>
      <c r="M389" s="113"/>
      <c r="N389" s="113"/>
      <c r="O389" s="124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</row>
    <row x14ac:dyDescent="0.25" r="390" customHeight="1" ht="15.75">
      <c r="A390" s="123"/>
      <c r="B390" s="123"/>
      <c r="C390" s="124"/>
      <c r="D390" s="124"/>
      <c r="E390" s="124"/>
      <c r="F390" s="113"/>
      <c r="G390" s="113"/>
      <c r="H390" s="113"/>
      <c r="I390" s="113"/>
      <c r="J390" s="113"/>
      <c r="K390" s="113"/>
      <c r="L390" s="113"/>
      <c r="M390" s="113"/>
      <c r="N390" s="113"/>
      <c r="O390" s="124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</row>
    <row x14ac:dyDescent="0.25" r="391" customHeight="1" ht="15.75">
      <c r="A391" s="123"/>
      <c r="B391" s="123"/>
      <c r="C391" s="124"/>
      <c r="D391" s="124"/>
      <c r="E391" s="124"/>
      <c r="F391" s="113"/>
      <c r="G391" s="113"/>
      <c r="H391" s="113"/>
      <c r="I391" s="113"/>
      <c r="J391" s="113"/>
      <c r="K391" s="113"/>
      <c r="L391" s="113"/>
      <c r="M391" s="113"/>
      <c r="N391" s="113"/>
      <c r="O391" s="124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</row>
    <row x14ac:dyDescent="0.25" r="392" customHeight="1" ht="15.75">
      <c r="A392" s="123"/>
      <c r="B392" s="123"/>
      <c r="C392" s="124"/>
      <c r="D392" s="124"/>
      <c r="E392" s="124"/>
      <c r="F392" s="113"/>
      <c r="G392" s="113"/>
      <c r="H392" s="113"/>
      <c r="I392" s="113"/>
      <c r="J392" s="113"/>
      <c r="K392" s="113"/>
      <c r="L392" s="113"/>
      <c r="M392" s="113"/>
      <c r="N392" s="113"/>
      <c r="O392" s="124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</row>
    <row x14ac:dyDescent="0.25" r="393" customHeight="1" ht="15.75">
      <c r="A393" s="123"/>
      <c r="B393" s="123"/>
      <c r="C393" s="124"/>
      <c r="D393" s="124"/>
      <c r="E393" s="124"/>
      <c r="F393" s="113"/>
      <c r="G393" s="113"/>
      <c r="H393" s="113"/>
      <c r="I393" s="113"/>
      <c r="J393" s="113"/>
      <c r="K393" s="113"/>
      <c r="L393" s="113"/>
      <c r="M393" s="113"/>
      <c r="N393" s="113"/>
      <c r="O393" s="124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</row>
    <row x14ac:dyDescent="0.25" r="394" customHeight="1" ht="15.75">
      <c r="A394" s="123"/>
      <c r="B394" s="123"/>
      <c r="C394" s="124"/>
      <c r="D394" s="124"/>
      <c r="E394" s="124"/>
      <c r="F394" s="113"/>
      <c r="G394" s="113"/>
      <c r="H394" s="113"/>
      <c r="I394" s="113"/>
      <c r="J394" s="113"/>
      <c r="K394" s="113"/>
      <c r="L394" s="113"/>
      <c r="M394" s="113"/>
      <c r="N394" s="113"/>
      <c r="O394" s="124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</row>
    <row x14ac:dyDescent="0.25" r="395" customHeight="1" ht="15.75">
      <c r="A395" s="123"/>
      <c r="B395" s="123"/>
      <c r="C395" s="124"/>
      <c r="D395" s="124"/>
      <c r="E395" s="124"/>
      <c r="F395" s="113"/>
      <c r="G395" s="113"/>
      <c r="H395" s="113"/>
      <c r="I395" s="113"/>
      <c r="J395" s="113"/>
      <c r="K395" s="113"/>
      <c r="L395" s="113"/>
      <c r="M395" s="113"/>
      <c r="N395" s="113"/>
      <c r="O395" s="124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</row>
    <row x14ac:dyDescent="0.25" r="396" customHeight="1" ht="15.75">
      <c r="A396" s="123"/>
      <c r="B396" s="123"/>
      <c r="C396" s="124"/>
      <c r="D396" s="124"/>
      <c r="E396" s="124"/>
      <c r="F396" s="113"/>
      <c r="G396" s="113"/>
      <c r="H396" s="113"/>
      <c r="I396" s="113"/>
      <c r="J396" s="113"/>
      <c r="K396" s="113"/>
      <c r="L396" s="113"/>
      <c r="M396" s="113"/>
      <c r="N396" s="113"/>
      <c r="O396" s="124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</row>
    <row x14ac:dyDescent="0.25" r="397" customHeight="1" ht="15.75">
      <c r="A397" s="123"/>
      <c r="B397" s="123"/>
      <c r="C397" s="124"/>
      <c r="D397" s="124"/>
      <c r="E397" s="124"/>
      <c r="F397" s="113"/>
      <c r="G397" s="113"/>
      <c r="H397" s="113"/>
      <c r="I397" s="113"/>
      <c r="J397" s="113"/>
      <c r="K397" s="113"/>
      <c r="L397" s="113"/>
      <c r="M397" s="113"/>
      <c r="N397" s="113"/>
      <c r="O397" s="124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</row>
    <row x14ac:dyDescent="0.25" r="398" customHeight="1" ht="15.75">
      <c r="A398" s="123"/>
      <c r="B398" s="123"/>
      <c r="C398" s="124"/>
      <c r="D398" s="124"/>
      <c r="E398" s="124"/>
      <c r="F398" s="113"/>
      <c r="G398" s="113"/>
      <c r="H398" s="113"/>
      <c r="I398" s="113"/>
      <c r="J398" s="113"/>
      <c r="K398" s="113"/>
      <c r="L398" s="113"/>
      <c r="M398" s="113"/>
      <c r="N398" s="113"/>
      <c r="O398" s="124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</row>
    <row x14ac:dyDescent="0.25" r="399" customHeight="1" ht="15.75">
      <c r="A399" s="123"/>
      <c r="B399" s="123"/>
      <c r="C399" s="124"/>
      <c r="D399" s="124"/>
      <c r="E399" s="124"/>
      <c r="F399" s="113"/>
      <c r="G399" s="113"/>
      <c r="H399" s="113"/>
      <c r="I399" s="113"/>
      <c r="J399" s="113"/>
      <c r="K399" s="113"/>
      <c r="L399" s="113"/>
      <c r="M399" s="113"/>
      <c r="N399" s="113"/>
      <c r="O399" s="124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</row>
    <row x14ac:dyDescent="0.25" r="400" customHeight="1" ht="15.75">
      <c r="A400" s="123"/>
      <c r="B400" s="123"/>
      <c r="C400" s="124"/>
      <c r="D400" s="124"/>
      <c r="E400" s="124"/>
      <c r="F400" s="113"/>
      <c r="G400" s="113"/>
      <c r="H400" s="113"/>
      <c r="I400" s="113"/>
      <c r="J400" s="113"/>
      <c r="K400" s="113"/>
      <c r="L400" s="113"/>
      <c r="M400" s="113"/>
      <c r="N400" s="113"/>
      <c r="O400" s="124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</row>
    <row x14ac:dyDescent="0.25" r="401" customHeight="1" ht="15.75">
      <c r="A401" s="123"/>
      <c r="B401" s="123"/>
      <c r="C401" s="124"/>
      <c r="D401" s="124"/>
      <c r="E401" s="124"/>
      <c r="F401" s="113"/>
      <c r="G401" s="113"/>
      <c r="H401" s="113"/>
      <c r="I401" s="113"/>
      <c r="J401" s="113"/>
      <c r="K401" s="113"/>
      <c r="L401" s="113"/>
      <c r="M401" s="113"/>
      <c r="N401" s="113"/>
      <c r="O401" s="124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</row>
    <row x14ac:dyDescent="0.25" r="402" customHeight="1" ht="15.75">
      <c r="A402" s="123"/>
      <c r="B402" s="123"/>
      <c r="C402" s="124"/>
      <c r="D402" s="124"/>
      <c r="E402" s="124"/>
      <c r="F402" s="113"/>
      <c r="G402" s="113"/>
      <c r="H402" s="113"/>
      <c r="I402" s="113"/>
      <c r="J402" s="113"/>
      <c r="K402" s="113"/>
      <c r="L402" s="113"/>
      <c r="M402" s="113"/>
      <c r="N402" s="113"/>
      <c r="O402" s="124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</row>
    <row x14ac:dyDescent="0.25" r="403" customHeight="1" ht="15.75">
      <c r="A403" s="123"/>
      <c r="B403" s="123"/>
      <c r="C403" s="124"/>
      <c r="D403" s="124"/>
      <c r="E403" s="124"/>
      <c r="F403" s="113"/>
      <c r="G403" s="113"/>
      <c r="H403" s="113"/>
      <c r="I403" s="113"/>
      <c r="J403" s="113"/>
      <c r="K403" s="113"/>
      <c r="L403" s="113"/>
      <c r="M403" s="113"/>
      <c r="N403" s="113"/>
      <c r="O403" s="124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</row>
    <row x14ac:dyDescent="0.25" r="404" customHeight="1" ht="15.75">
      <c r="A404" s="123"/>
      <c r="B404" s="123"/>
      <c r="C404" s="124"/>
      <c r="D404" s="124"/>
      <c r="E404" s="124"/>
      <c r="F404" s="113"/>
      <c r="G404" s="113"/>
      <c r="H404" s="113"/>
      <c r="I404" s="113"/>
      <c r="J404" s="113"/>
      <c r="K404" s="113"/>
      <c r="L404" s="113"/>
      <c r="M404" s="113"/>
      <c r="N404" s="113"/>
      <c r="O404" s="124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</row>
    <row x14ac:dyDescent="0.25" r="405" customHeight="1" ht="15.75">
      <c r="A405" s="123"/>
      <c r="B405" s="123"/>
      <c r="C405" s="124"/>
      <c r="D405" s="124"/>
      <c r="E405" s="124"/>
      <c r="F405" s="113"/>
      <c r="G405" s="113"/>
      <c r="H405" s="113"/>
      <c r="I405" s="113"/>
      <c r="J405" s="113"/>
      <c r="K405" s="113"/>
      <c r="L405" s="113"/>
      <c r="M405" s="113"/>
      <c r="N405" s="113"/>
      <c r="O405" s="124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</row>
    <row x14ac:dyDescent="0.25" r="406" customHeight="1" ht="15.75">
      <c r="A406" s="123"/>
      <c r="B406" s="123"/>
      <c r="C406" s="124"/>
      <c r="D406" s="124"/>
      <c r="E406" s="124"/>
      <c r="F406" s="113"/>
      <c r="G406" s="113"/>
      <c r="H406" s="113"/>
      <c r="I406" s="113"/>
      <c r="J406" s="113"/>
      <c r="K406" s="113"/>
      <c r="L406" s="113"/>
      <c r="M406" s="113"/>
      <c r="N406" s="113"/>
      <c r="O406" s="124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</row>
    <row x14ac:dyDescent="0.25" r="407" customHeight="1" ht="15.75">
      <c r="A407" s="123"/>
      <c r="B407" s="123"/>
      <c r="C407" s="124"/>
      <c r="D407" s="124"/>
      <c r="E407" s="124"/>
      <c r="F407" s="113"/>
      <c r="G407" s="113"/>
      <c r="H407" s="113"/>
      <c r="I407" s="113"/>
      <c r="J407" s="113"/>
      <c r="K407" s="113"/>
      <c r="L407" s="113"/>
      <c r="M407" s="113"/>
      <c r="N407" s="113"/>
      <c r="O407" s="124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</row>
    <row x14ac:dyDescent="0.25" r="408" customHeight="1" ht="15.75">
      <c r="A408" s="123"/>
      <c r="B408" s="123"/>
      <c r="C408" s="124"/>
      <c r="D408" s="124"/>
      <c r="E408" s="124"/>
      <c r="F408" s="113"/>
      <c r="G408" s="113"/>
      <c r="H408" s="113"/>
      <c r="I408" s="113"/>
      <c r="J408" s="113"/>
      <c r="K408" s="113"/>
      <c r="L408" s="113"/>
      <c r="M408" s="113"/>
      <c r="N408" s="113"/>
      <c r="O408" s="124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</row>
    <row x14ac:dyDescent="0.25" r="409" customHeight="1" ht="15.75">
      <c r="A409" s="123"/>
      <c r="B409" s="123"/>
      <c r="C409" s="124"/>
      <c r="D409" s="124"/>
      <c r="E409" s="124"/>
      <c r="F409" s="113"/>
      <c r="G409" s="113"/>
      <c r="H409" s="113"/>
      <c r="I409" s="113"/>
      <c r="J409" s="113"/>
      <c r="K409" s="113"/>
      <c r="L409" s="113"/>
      <c r="M409" s="113"/>
      <c r="N409" s="113"/>
      <c r="O409" s="124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</row>
    <row x14ac:dyDescent="0.25" r="410" customHeight="1" ht="15.75">
      <c r="A410" s="123"/>
      <c r="B410" s="123"/>
      <c r="C410" s="124"/>
      <c r="D410" s="124"/>
      <c r="E410" s="124"/>
      <c r="F410" s="113"/>
      <c r="G410" s="113"/>
      <c r="H410" s="113"/>
      <c r="I410" s="113"/>
      <c r="J410" s="113"/>
      <c r="K410" s="113"/>
      <c r="L410" s="113"/>
      <c r="M410" s="113"/>
      <c r="N410" s="113"/>
      <c r="O410" s="124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</row>
    <row x14ac:dyDescent="0.25" r="411" customHeight="1" ht="15.75">
      <c r="A411" s="123"/>
      <c r="B411" s="123"/>
      <c r="C411" s="124"/>
      <c r="D411" s="124"/>
      <c r="E411" s="124"/>
      <c r="F411" s="113"/>
      <c r="G411" s="113"/>
      <c r="H411" s="113"/>
      <c r="I411" s="113"/>
      <c r="J411" s="113"/>
      <c r="K411" s="113"/>
      <c r="L411" s="113"/>
      <c r="M411" s="113"/>
      <c r="N411" s="113"/>
      <c r="O411" s="124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</row>
    <row x14ac:dyDescent="0.25" r="412" customHeight="1" ht="15.75">
      <c r="A412" s="123"/>
      <c r="B412" s="123"/>
      <c r="C412" s="124"/>
      <c r="D412" s="124"/>
      <c r="E412" s="124"/>
      <c r="F412" s="113"/>
      <c r="G412" s="113"/>
      <c r="H412" s="113"/>
      <c r="I412" s="113"/>
      <c r="J412" s="113"/>
      <c r="K412" s="113"/>
      <c r="L412" s="113"/>
      <c r="M412" s="113"/>
      <c r="N412" s="113"/>
      <c r="O412" s="124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</row>
    <row x14ac:dyDescent="0.25" r="413" customHeight="1" ht="15.75">
      <c r="A413" s="123"/>
      <c r="B413" s="123"/>
      <c r="C413" s="124"/>
      <c r="D413" s="124"/>
      <c r="E413" s="124"/>
      <c r="F413" s="113"/>
      <c r="G413" s="113"/>
      <c r="H413" s="113"/>
      <c r="I413" s="113"/>
      <c r="J413" s="113"/>
      <c r="K413" s="113"/>
      <c r="L413" s="113"/>
      <c r="M413" s="113"/>
      <c r="N413" s="113"/>
      <c r="O413" s="124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</row>
    <row x14ac:dyDescent="0.25" r="414" customHeight="1" ht="15.75">
      <c r="A414" s="123"/>
      <c r="B414" s="123"/>
      <c r="C414" s="124"/>
      <c r="D414" s="124"/>
      <c r="E414" s="124"/>
      <c r="F414" s="113"/>
      <c r="G414" s="113"/>
      <c r="H414" s="113"/>
      <c r="I414" s="113"/>
      <c r="J414" s="113"/>
      <c r="K414" s="113"/>
      <c r="L414" s="113"/>
      <c r="M414" s="113"/>
      <c r="N414" s="113"/>
      <c r="O414" s="124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</row>
    <row x14ac:dyDescent="0.25" r="415" customHeight="1" ht="15.75">
      <c r="A415" s="123"/>
      <c r="B415" s="123"/>
      <c r="C415" s="124"/>
      <c r="D415" s="124"/>
      <c r="E415" s="124"/>
      <c r="F415" s="113"/>
      <c r="G415" s="113"/>
      <c r="H415" s="113"/>
      <c r="I415" s="113"/>
      <c r="J415" s="113"/>
      <c r="K415" s="113"/>
      <c r="L415" s="113"/>
      <c r="M415" s="113"/>
      <c r="N415" s="113"/>
      <c r="O415" s="124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</row>
    <row x14ac:dyDescent="0.25" r="416" customHeight="1" ht="15.75">
      <c r="A416" s="123"/>
      <c r="B416" s="123"/>
      <c r="C416" s="124"/>
      <c r="D416" s="124"/>
      <c r="E416" s="124"/>
      <c r="F416" s="113"/>
      <c r="G416" s="113"/>
      <c r="H416" s="113"/>
      <c r="I416" s="113"/>
      <c r="J416" s="113"/>
      <c r="K416" s="113"/>
      <c r="L416" s="113"/>
      <c r="M416" s="113"/>
      <c r="N416" s="113"/>
      <c r="O416" s="124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</row>
    <row x14ac:dyDescent="0.25" r="417" customHeight="1" ht="15.75">
      <c r="A417" s="123"/>
      <c r="B417" s="123"/>
      <c r="C417" s="124"/>
      <c r="D417" s="124"/>
      <c r="E417" s="124"/>
      <c r="F417" s="113"/>
      <c r="G417" s="113"/>
      <c r="H417" s="113"/>
      <c r="I417" s="113"/>
      <c r="J417" s="113"/>
      <c r="K417" s="113"/>
      <c r="L417" s="113"/>
      <c r="M417" s="113"/>
      <c r="N417" s="113"/>
      <c r="O417" s="124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</row>
    <row x14ac:dyDescent="0.25" r="418" customHeight="1" ht="15.75">
      <c r="A418" s="123"/>
      <c r="B418" s="123"/>
      <c r="C418" s="124"/>
      <c r="D418" s="124"/>
      <c r="E418" s="124"/>
      <c r="F418" s="113"/>
      <c r="G418" s="113"/>
      <c r="H418" s="113"/>
      <c r="I418" s="113"/>
      <c r="J418" s="113"/>
      <c r="K418" s="113"/>
      <c r="L418" s="113"/>
      <c r="M418" s="113"/>
      <c r="N418" s="113"/>
      <c r="O418" s="124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</row>
    <row x14ac:dyDescent="0.25" r="419" customHeight="1" ht="15.75">
      <c r="A419" s="123"/>
      <c r="B419" s="123"/>
      <c r="C419" s="124"/>
      <c r="D419" s="124"/>
      <c r="E419" s="124"/>
      <c r="F419" s="113"/>
      <c r="G419" s="113"/>
      <c r="H419" s="113"/>
      <c r="I419" s="113"/>
      <c r="J419" s="113"/>
      <c r="K419" s="113"/>
      <c r="L419" s="113"/>
      <c r="M419" s="113"/>
      <c r="N419" s="113"/>
      <c r="O419" s="124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</row>
    <row x14ac:dyDescent="0.25" r="420" customHeight="1" ht="15.75">
      <c r="A420" s="123"/>
      <c r="B420" s="123"/>
      <c r="C420" s="124"/>
      <c r="D420" s="124"/>
      <c r="E420" s="124"/>
      <c r="F420" s="113"/>
      <c r="G420" s="113"/>
      <c r="H420" s="113"/>
      <c r="I420" s="113"/>
      <c r="J420" s="113"/>
      <c r="K420" s="113"/>
      <c r="L420" s="113"/>
      <c r="M420" s="113"/>
      <c r="N420" s="113"/>
      <c r="O420" s="124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</row>
    <row x14ac:dyDescent="0.25" r="421" customHeight="1" ht="15.75">
      <c r="A421" s="123"/>
      <c r="B421" s="123"/>
      <c r="C421" s="124"/>
      <c r="D421" s="124"/>
      <c r="E421" s="124"/>
      <c r="F421" s="113"/>
      <c r="G421" s="113"/>
      <c r="H421" s="113"/>
      <c r="I421" s="113"/>
      <c r="J421" s="113"/>
      <c r="K421" s="113"/>
      <c r="L421" s="113"/>
      <c r="M421" s="113"/>
      <c r="N421" s="113"/>
      <c r="O421" s="124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</row>
    <row x14ac:dyDescent="0.25" r="422" customHeight="1" ht="15.75">
      <c r="A422" s="123"/>
      <c r="B422" s="123"/>
      <c r="C422" s="124"/>
      <c r="D422" s="124"/>
      <c r="E422" s="124"/>
      <c r="F422" s="113"/>
      <c r="G422" s="113"/>
      <c r="H422" s="113"/>
      <c r="I422" s="113"/>
      <c r="J422" s="113"/>
      <c r="K422" s="113"/>
      <c r="L422" s="113"/>
      <c r="M422" s="113"/>
      <c r="N422" s="113"/>
      <c r="O422" s="124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</row>
    <row x14ac:dyDescent="0.25" r="423" customHeight="1" ht="15.75">
      <c r="A423" s="123"/>
      <c r="B423" s="123"/>
      <c r="C423" s="124"/>
      <c r="D423" s="124"/>
      <c r="E423" s="124"/>
      <c r="F423" s="113"/>
      <c r="G423" s="113"/>
      <c r="H423" s="113"/>
      <c r="I423" s="113"/>
      <c r="J423" s="113"/>
      <c r="K423" s="113"/>
      <c r="L423" s="113"/>
      <c r="M423" s="113"/>
      <c r="N423" s="113"/>
      <c r="O423" s="124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</row>
    <row x14ac:dyDescent="0.25" r="424" customHeight="1" ht="15.75">
      <c r="A424" s="123"/>
      <c r="B424" s="123"/>
      <c r="C424" s="124"/>
      <c r="D424" s="124"/>
      <c r="E424" s="124"/>
      <c r="F424" s="113"/>
      <c r="G424" s="113"/>
      <c r="H424" s="113"/>
      <c r="I424" s="113"/>
      <c r="J424" s="113"/>
      <c r="K424" s="113"/>
      <c r="L424" s="113"/>
      <c r="M424" s="113"/>
      <c r="N424" s="113"/>
      <c r="O424" s="124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</row>
    <row x14ac:dyDescent="0.25" r="425" customHeight="1" ht="15.75">
      <c r="A425" s="123"/>
      <c r="B425" s="123"/>
      <c r="C425" s="124"/>
      <c r="D425" s="124"/>
      <c r="E425" s="124"/>
      <c r="F425" s="113"/>
      <c r="G425" s="113"/>
      <c r="H425" s="113"/>
      <c r="I425" s="113"/>
      <c r="J425" s="113"/>
      <c r="K425" s="113"/>
      <c r="L425" s="113"/>
      <c r="M425" s="113"/>
      <c r="N425" s="113"/>
      <c r="O425" s="124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</row>
    <row x14ac:dyDescent="0.25" r="426" customHeight="1" ht="15.75">
      <c r="A426" s="123"/>
      <c r="B426" s="123"/>
      <c r="C426" s="124"/>
      <c r="D426" s="124"/>
      <c r="E426" s="124"/>
      <c r="F426" s="113"/>
      <c r="G426" s="113"/>
      <c r="H426" s="113"/>
      <c r="I426" s="113"/>
      <c r="J426" s="113"/>
      <c r="K426" s="113"/>
      <c r="L426" s="113"/>
      <c r="M426" s="113"/>
      <c r="N426" s="113"/>
      <c r="O426" s="124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</row>
    <row x14ac:dyDescent="0.25" r="427" customHeight="1" ht="15.75">
      <c r="A427" s="123"/>
      <c r="B427" s="123"/>
      <c r="C427" s="124"/>
      <c r="D427" s="124"/>
      <c r="E427" s="124"/>
      <c r="F427" s="113"/>
      <c r="G427" s="113"/>
      <c r="H427" s="113"/>
      <c r="I427" s="113"/>
      <c r="J427" s="113"/>
      <c r="K427" s="113"/>
      <c r="L427" s="113"/>
      <c r="M427" s="113"/>
      <c r="N427" s="113"/>
      <c r="O427" s="124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</row>
    <row x14ac:dyDescent="0.25" r="428" customHeight="1" ht="15.75">
      <c r="A428" s="123"/>
      <c r="B428" s="123"/>
      <c r="C428" s="124"/>
      <c r="D428" s="124"/>
      <c r="E428" s="124"/>
      <c r="F428" s="113"/>
      <c r="G428" s="113"/>
      <c r="H428" s="113"/>
      <c r="I428" s="113"/>
      <c r="J428" s="113"/>
      <c r="K428" s="113"/>
      <c r="L428" s="113"/>
      <c r="M428" s="113"/>
      <c r="N428" s="113"/>
      <c r="O428" s="124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</row>
    <row x14ac:dyDescent="0.25" r="429" customHeight="1" ht="15.75">
      <c r="A429" s="123"/>
      <c r="B429" s="123"/>
      <c r="C429" s="124"/>
      <c r="D429" s="124"/>
      <c r="E429" s="124"/>
      <c r="F429" s="113"/>
      <c r="G429" s="113"/>
      <c r="H429" s="113"/>
      <c r="I429" s="113"/>
      <c r="J429" s="113"/>
      <c r="K429" s="113"/>
      <c r="L429" s="113"/>
      <c r="M429" s="113"/>
      <c r="N429" s="113"/>
      <c r="O429" s="124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</row>
    <row x14ac:dyDescent="0.25" r="430" customHeight="1" ht="15.75">
      <c r="A430" s="123"/>
      <c r="B430" s="123"/>
      <c r="C430" s="124"/>
      <c r="D430" s="124"/>
      <c r="E430" s="124"/>
      <c r="F430" s="113"/>
      <c r="G430" s="113"/>
      <c r="H430" s="113"/>
      <c r="I430" s="113"/>
      <c r="J430" s="113"/>
      <c r="K430" s="113"/>
      <c r="L430" s="113"/>
      <c r="M430" s="113"/>
      <c r="N430" s="113"/>
      <c r="O430" s="124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</row>
    <row x14ac:dyDescent="0.25" r="431" customHeight="1" ht="15.75">
      <c r="A431" s="123"/>
      <c r="B431" s="123"/>
      <c r="C431" s="124"/>
      <c r="D431" s="124"/>
      <c r="E431" s="124"/>
      <c r="F431" s="113"/>
      <c r="G431" s="113"/>
      <c r="H431" s="113"/>
      <c r="I431" s="113"/>
      <c r="J431" s="113"/>
      <c r="K431" s="113"/>
      <c r="L431" s="113"/>
      <c r="M431" s="113"/>
      <c r="N431" s="113"/>
      <c r="O431" s="124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</row>
    <row x14ac:dyDescent="0.25" r="432" customHeight="1" ht="15.75">
      <c r="A432" s="123"/>
      <c r="B432" s="123"/>
      <c r="C432" s="124"/>
      <c r="D432" s="124"/>
      <c r="E432" s="124"/>
      <c r="F432" s="113"/>
      <c r="G432" s="113"/>
      <c r="H432" s="113"/>
      <c r="I432" s="113"/>
      <c r="J432" s="113"/>
      <c r="K432" s="113"/>
      <c r="L432" s="113"/>
      <c r="M432" s="113"/>
      <c r="N432" s="113"/>
      <c r="O432" s="124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</row>
    <row x14ac:dyDescent="0.25" r="433" customHeight="1" ht="15.75">
      <c r="A433" s="123"/>
      <c r="B433" s="123"/>
      <c r="C433" s="124"/>
      <c r="D433" s="124"/>
      <c r="E433" s="124"/>
      <c r="F433" s="113"/>
      <c r="G433" s="113"/>
      <c r="H433" s="113"/>
      <c r="I433" s="113"/>
      <c r="J433" s="113"/>
      <c r="K433" s="113"/>
      <c r="L433" s="113"/>
      <c r="M433" s="113"/>
      <c r="N433" s="113"/>
      <c r="O433" s="124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</row>
    <row x14ac:dyDescent="0.25" r="434" customHeight="1" ht="15.75">
      <c r="A434" s="123"/>
      <c r="B434" s="123"/>
      <c r="C434" s="124"/>
      <c r="D434" s="124"/>
      <c r="E434" s="124"/>
      <c r="F434" s="113"/>
      <c r="G434" s="113"/>
      <c r="H434" s="113"/>
      <c r="I434" s="113"/>
      <c r="J434" s="113"/>
      <c r="K434" s="113"/>
      <c r="L434" s="113"/>
      <c r="M434" s="113"/>
      <c r="N434" s="113"/>
      <c r="O434" s="124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</row>
    <row x14ac:dyDescent="0.25" r="435" customHeight="1" ht="15.75">
      <c r="A435" s="123"/>
      <c r="B435" s="123"/>
      <c r="C435" s="124"/>
      <c r="D435" s="124"/>
      <c r="E435" s="124"/>
      <c r="F435" s="113"/>
      <c r="G435" s="113"/>
      <c r="H435" s="113"/>
      <c r="I435" s="113"/>
      <c r="J435" s="113"/>
      <c r="K435" s="113"/>
      <c r="L435" s="113"/>
      <c r="M435" s="113"/>
      <c r="N435" s="113"/>
      <c r="O435" s="124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</row>
    <row x14ac:dyDescent="0.25" r="436" customHeight="1" ht="15.75">
      <c r="A436" s="123"/>
      <c r="B436" s="123"/>
      <c r="C436" s="124"/>
      <c r="D436" s="124"/>
      <c r="E436" s="124"/>
      <c r="F436" s="113"/>
      <c r="G436" s="113"/>
      <c r="H436" s="113"/>
      <c r="I436" s="113"/>
      <c r="J436" s="113"/>
      <c r="K436" s="113"/>
      <c r="L436" s="113"/>
      <c r="M436" s="113"/>
      <c r="N436" s="113"/>
      <c r="O436" s="124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</row>
    <row x14ac:dyDescent="0.25" r="437" customHeight="1" ht="15.75">
      <c r="A437" s="123"/>
      <c r="B437" s="123"/>
      <c r="C437" s="124"/>
      <c r="D437" s="124"/>
      <c r="E437" s="124"/>
      <c r="F437" s="113"/>
      <c r="G437" s="113"/>
      <c r="H437" s="113"/>
      <c r="I437" s="113"/>
      <c r="J437" s="113"/>
      <c r="K437" s="113"/>
      <c r="L437" s="113"/>
      <c r="M437" s="113"/>
      <c r="N437" s="113"/>
      <c r="O437" s="124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</row>
    <row x14ac:dyDescent="0.25" r="438" customHeight="1" ht="15.75">
      <c r="A438" s="123"/>
      <c r="B438" s="123"/>
      <c r="C438" s="124"/>
      <c r="D438" s="124"/>
      <c r="E438" s="124"/>
      <c r="F438" s="113"/>
      <c r="G438" s="113"/>
      <c r="H438" s="113"/>
      <c r="I438" s="113"/>
      <c r="J438" s="113"/>
      <c r="K438" s="113"/>
      <c r="L438" s="113"/>
      <c r="M438" s="113"/>
      <c r="N438" s="113"/>
      <c r="O438" s="124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</row>
    <row x14ac:dyDescent="0.25" r="439" customHeight="1" ht="15.75">
      <c r="A439" s="123"/>
      <c r="B439" s="123"/>
      <c r="C439" s="124"/>
      <c r="D439" s="124"/>
      <c r="E439" s="124"/>
      <c r="F439" s="113"/>
      <c r="G439" s="113"/>
      <c r="H439" s="113"/>
      <c r="I439" s="113"/>
      <c r="J439" s="113"/>
      <c r="K439" s="113"/>
      <c r="L439" s="113"/>
      <c r="M439" s="113"/>
      <c r="N439" s="113"/>
      <c r="O439" s="124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</row>
    <row x14ac:dyDescent="0.25" r="440" customHeight="1" ht="15.75">
      <c r="A440" s="123"/>
      <c r="B440" s="123"/>
      <c r="C440" s="124"/>
      <c r="D440" s="124"/>
      <c r="E440" s="124"/>
      <c r="F440" s="113"/>
      <c r="G440" s="113"/>
      <c r="H440" s="113"/>
      <c r="I440" s="113"/>
      <c r="J440" s="113"/>
      <c r="K440" s="113"/>
      <c r="L440" s="113"/>
      <c r="M440" s="113"/>
      <c r="N440" s="113"/>
      <c r="O440" s="124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</row>
    <row x14ac:dyDescent="0.25" r="441" customHeight="1" ht="15.75">
      <c r="A441" s="123"/>
      <c r="B441" s="123"/>
      <c r="C441" s="124"/>
      <c r="D441" s="124"/>
      <c r="E441" s="124"/>
      <c r="F441" s="113"/>
      <c r="G441" s="113"/>
      <c r="H441" s="113"/>
      <c r="I441" s="113"/>
      <c r="J441" s="113"/>
      <c r="K441" s="113"/>
      <c r="L441" s="113"/>
      <c r="M441" s="113"/>
      <c r="N441" s="113"/>
      <c r="O441" s="124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</row>
    <row x14ac:dyDescent="0.25" r="442" customHeight="1" ht="15.75">
      <c r="A442" s="123"/>
      <c r="B442" s="123"/>
      <c r="C442" s="124"/>
      <c r="D442" s="124"/>
      <c r="E442" s="124"/>
      <c r="F442" s="113"/>
      <c r="G442" s="113"/>
      <c r="H442" s="113"/>
      <c r="I442" s="113"/>
      <c r="J442" s="113"/>
      <c r="K442" s="113"/>
      <c r="L442" s="113"/>
      <c r="M442" s="113"/>
      <c r="N442" s="113"/>
      <c r="O442" s="124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</row>
    <row x14ac:dyDescent="0.25" r="443" customHeight="1" ht="15.75">
      <c r="A443" s="123"/>
      <c r="B443" s="123"/>
      <c r="C443" s="124"/>
      <c r="D443" s="124"/>
      <c r="E443" s="124"/>
      <c r="F443" s="113"/>
      <c r="G443" s="113"/>
      <c r="H443" s="113"/>
      <c r="I443" s="113"/>
      <c r="J443" s="113"/>
      <c r="K443" s="113"/>
      <c r="L443" s="113"/>
      <c r="M443" s="113"/>
      <c r="N443" s="113"/>
      <c r="O443" s="124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</row>
    <row x14ac:dyDescent="0.25" r="444" customHeight="1" ht="15.75">
      <c r="A444" s="123"/>
      <c r="B444" s="123"/>
      <c r="C444" s="124"/>
      <c r="D444" s="124"/>
      <c r="E444" s="124"/>
      <c r="F444" s="113"/>
      <c r="G444" s="113"/>
      <c r="H444" s="113"/>
      <c r="I444" s="113"/>
      <c r="J444" s="113"/>
      <c r="K444" s="113"/>
      <c r="L444" s="113"/>
      <c r="M444" s="113"/>
      <c r="N444" s="113"/>
      <c r="O444" s="124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</row>
    <row x14ac:dyDescent="0.25" r="445" customHeight="1" ht="15.75">
      <c r="A445" s="123"/>
      <c r="B445" s="123"/>
      <c r="C445" s="124"/>
      <c r="D445" s="124"/>
      <c r="E445" s="124"/>
      <c r="F445" s="113"/>
      <c r="G445" s="113"/>
      <c r="H445" s="113"/>
      <c r="I445" s="113"/>
      <c r="J445" s="113"/>
      <c r="K445" s="113"/>
      <c r="L445" s="113"/>
      <c r="M445" s="113"/>
      <c r="N445" s="113"/>
      <c r="O445" s="124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</row>
    <row x14ac:dyDescent="0.25" r="446" customHeight="1" ht="15.75">
      <c r="A446" s="123"/>
      <c r="B446" s="123"/>
      <c r="C446" s="124"/>
      <c r="D446" s="124"/>
      <c r="E446" s="124"/>
      <c r="F446" s="113"/>
      <c r="G446" s="113"/>
      <c r="H446" s="113"/>
      <c r="I446" s="113"/>
      <c r="J446" s="113"/>
      <c r="K446" s="113"/>
      <c r="L446" s="113"/>
      <c r="M446" s="113"/>
      <c r="N446" s="113"/>
      <c r="O446" s="124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</row>
    <row x14ac:dyDescent="0.25" r="447" customHeight="1" ht="15.75">
      <c r="A447" s="123"/>
      <c r="B447" s="123"/>
      <c r="C447" s="124"/>
      <c r="D447" s="124"/>
      <c r="E447" s="124"/>
      <c r="F447" s="113"/>
      <c r="G447" s="113"/>
      <c r="H447" s="113"/>
      <c r="I447" s="113"/>
      <c r="J447" s="113"/>
      <c r="K447" s="113"/>
      <c r="L447" s="113"/>
      <c r="M447" s="113"/>
      <c r="N447" s="113"/>
      <c r="O447" s="124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</row>
    <row x14ac:dyDescent="0.25" r="448" customHeight="1" ht="15.75">
      <c r="A448" s="123"/>
      <c r="B448" s="123"/>
      <c r="C448" s="124"/>
      <c r="D448" s="124"/>
      <c r="E448" s="124"/>
      <c r="F448" s="113"/>
      <c r="G448" s="113"/>
      <c r="H448" s="113"/>
      <c r="I448" s="113"/>
      <c r="J448" s="113"/>
      <c r="K448" s="113"/>
      <c r="L448" s="113"/>
      <c r="M448" s="113"/>
      <c r="N448" s="113"/>
      <c r="O448" s="124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</row>
    <row x14ac:dyDescent="0.25" r="449" customHeight="1" ht="15.75">
      <c r="A449" s="123"/>
      <c r="B449" s="123"/>
      <c r="C449" s="124"/>
      <c r="D449" s="124"/>
      <c r="E449" s="124"/>
      <c r="F449" s="113"/>
      <c r="G449" s="113"/>
      <c r="H449" s="113"/>
      <c r="I449" s="113"/>
      <c r="J449" s="113"/>
      <c r="K449" s="113"/>
      <c r="L449" s="113"/>
      <c r="M449" s="113"/>
      <c r="N449" s="113"/>
      <c r="O449" s="124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</row>
    <row x14ac:dyDescent="0.25" r="450" customHeight="1" ht="15.75">
      <c r="A450" s="123"/>
      <c r="B450" s="123"/>
      <c r="C450" s="124"/>
      <c r="D450" s="124"/>
      <c r="E450" s="124"/>
      <c r="F450" s="113"/>
      <c r="G450" s="113"/>
      <c r="H450" s="113"/>
      <c r="I450" s="113"/>
      <c r="J450" s="113"/>
      <c r="K450" s="113"/>
      <c r="L450" s="113"/>
      <c r="M450" s="113"/>
      <c r="N450" s="113"/>
      <c r="O450" s="124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</row>
    <row x14ac:dyDescent="0.25" r="451" customHeight="1" ht="15.75">
      <c r="A451" s="123"/>
      <c r="B451" s="123"/>
      <c r="C451" s="124"/>
      <c r="D451" s="124"/>
      <c r="E451" s="124"/>
      <c r="F451" s="113"/>
      <c r="G451" s="113"/>
      <c r="H451" s="113"/>
      <c r="I451" s="113"/>
      <c r="J451" s="113"/>
      <c r="K451" s="113"/>
      <c r="L451" s="113"/>
      <c r="M451" s="113"/>
      <c r="N451" s="113"/>
      <c r="O451" s="124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</row>
    <row x14ac:dyDescent="0.25" r="452" customHeight="1" ht="15.75">
      <c r="A452" s="123"/>
      <c r="B452" s="123"/>
      <c r="C452" s="124"/>
      <c r="D452" s="124"/>
      <c r="E452" s="124"/>
      <c r="F452" s="113"/>
      <c r="G452" s="113"/>
      <c r="H452" s="113"/>
      <c r="I452" s="113"/>
      <c r="J452" s="113"/>
      <c r="K452" s="113"/>
      <c r="L452" s="113"/>
      <c r="M452" s="113"/>
      <c r="N452" s="113"/>
      <c r="O452" s="124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</row>
    <row x14ac:dyDescent="0.25" r="453" customHeight="1" ht="15.75">
      <c r="A453" s="123"/>
      <c r="B453" s="123"/>
      <c r="C453" s="124"/>
      <c r="D453" s="124"/>
      <c r="E453" s="124"/>
      <c r="F453" s="113"/>
      <c r="G453" s="113"/>
      <c r="H453" s="113"/>
      <c r="I453" s="113"/>
      <c r="J453" s="113"/>
      <c r="K453" s="113"/>
      <c r="L453" s="113"/>
      <c r="M453" s="113"/>
      <c r="N453" s="113"/>
      <c r="O453" s="124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</row>
    <row x14ac:dyDescent="0.25" r="454" customHeight="1" ht="15.75">
      <c r="A454" s="123"/>
      <c r="B454" s="123"/>
      <c r="C454" s="124"/>
      <c r="D454" s="124"/>
      <c r="E454" s="124"/>
      <c r="F454" s="113"/>
      <c r="G454" s="113"/>
      <c r="H454" s="113"/>
      <c r="I454" s="113"/>
      <c r="J454" s="113"/>
      <c r="K454" s="113"/>
      <c r="L454" s="113"/>
      <c r="M454" s="113"/>
      <c r="N454" s="113"/>
      <c r="O454" s="124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</row>
    <row x14ac:dyDescent="0.25" r="455" customHeight="1" ht="15.75">
      <c r="A455" s="123"/>
      <c r="B455" s="123"/>
      <c r="C455" s="124"/>
      <c r="D455" s="124"/>
      <c r="E455" s="124"/>
      <c r="F455" s="113"/>
      <c r="G455" s="113"/>
      <c r="H455" s="113"/>
      <c r="I455" s="113"/>
      <c r="J455" s="113"/>
      <c r="K455" s="113"/>
      <c r="L455" s="113"/>
      <c r="M455" s="113"/>
      <c r="N455" s="113"/>
      <c r="O455" s="124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</row>
    <row x14ac:dyDescent="0.25" r="456" customHeight="1" ht="15.75">
      <c r="A456" s="123"/>
      <c r="B456" s="123"/>
      <c r="C456" s="124"/>
      <c r="D456" s="124"/>
      <c r="E456" s="124"/>
      <c r="F456" s="113"/>
      <c r="G456" s="113"/>
      <c r="H456" s="113"/>
      <c r="I456" s="113"/>
      <c r="J456" s="113"/>
      <c r="K456" s="113"/>
      <c r="L456" s="113"/>
      <c r="M456" s="113"/>
      <c r="N456" s="113"/>
      <c r="O456" s="124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</row>
    <row x14ac:dyDescent="0.25" r="457" customHeight="1" ht="15.75">
      <c r="A457" s="123"/>
      <c r="B457" s="123"/>
      <c r="C457" s="124"/>
      <c r="D457" s="124"/>
      <c r="E457" s="124"/>
      <c r="F457" s="113"/>
      <c r="G457" s="113"/>
      <c r="H457" s="113"/>
      <c r="I457" s="113"/>
      <c r="J457" s="113"/>
      <c r="K457" s="113"/>
      <c r="L457" s="113"/>
      <c r="M457" s="113"/>
      <c r="N457" s="113"/>
      <c r="O457" s="124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</row>
    <row x14ac:dyDescent="0.25" r="458" customHeight="1" ht="15.75">
      <c r="A458" s="123"/>
      <c r="B458" s="123"/>
      <c r="C458" s="124"/>
      <c r="D458" s="124"/>
      <c r="E458" s="124"/>
      <c r="F458" s="113"/>
      <c r="G458" s="113"/>
      <c r="H458" s="113"/>
      <c r="I458" s="113"/>
      <c r="J458" s="113"/>
      <c r="K458" s="113"/>
      <c r="L458" s="113"/>
      <c r="M458" s="113"/>
      <c r="N458" s="113"/>
      <c r="O458" s="124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</row>
    <row x14ac:dyDescent="0.25" r="459" customHeight="1" ht="15.75">
      <c r="A459" s="123"/>
      <c r="B459" s="123"/>
      <c r="C459" s="124"/>
      <c r="D459" s="124"/>
      <c r="E459" s="124"/>
      <c r="F459" s="113"/>
      <c r="G459" s="113"/>
      <c r="H459" s="113"/>
      <c r="I459" s="113"/>
      <c r="J459" s="113"/>
      <c r="K459" s="113"/>
      <c r="L459" s="113"/>
      <c r="M459" s="113"/>
      <c r="N459" s="113"/>
      <c r="O459" s="124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</row>
    <row x14ac:dyDescent="0.25" r="460" customHeight="1" ht="15.75">
      <c r="A460" s="123"/>
      <c r="B460" s="123"/>
      <c r="C460" s="124"/>
      <c r="D460" s="124"/>
      <c r="E460" s="124"/>
      <c r="F460" s="113"/>
      <c r="G460" s="113"/>
      <c r="H460" s="113"/>
      <c r="I460" s="113"/>
      <c r="J460" s="113"/>
      <c r="K460" s="113"/>
      <c r="L460" s="113"/>
      <c r="M460" s="113"/>
      <c r="N460" s="113"/>
      <c r="O460" s="124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</row>
    <row x14ac:dyDescent="0.25" r="461" customHeight="1" ht="15.75">
      <c r="A461" s="123"/>
      <c r="B461" s="123"/>
      <c r="C461" s="124"/>
      <c r="D461" s="124"/>
      <c r="E461" s="124"/>
      <c r="F461" s="113"/>
      <c r="G461" s="113"/>
      <c r="H461" s="113"/>
      <c r="I461" s="113"/>
      <c r="J461" s="113"/>
      <c r="K461" s="113"/>
      <c r="L461" s="113"/>
      <c r="M461" s="113"/>
      <c r="N461" s="113"/>
      <c r="O461" s="124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</row>
    <row x14ac:dyDescent="0.25" r="462" customHeight="1" ht="15.75">
      <c r="A462" s="123"/>
      <c r="B462" s="123"/>
      <c r="C462" s="124"/>
      <c r="D462" s="124"/>
      <c r="E462" s="124"/>
      <c r="F462" s="113"/>
      <c r="G462" s="113"/>
      <c r="H462" s="113"/>
      <c r="I462" s="113"/>
      <c r="J462" s="113"/>
      <c r="K462" s="113"/>
      <c r="L462" s="113"/>
      <c r="M462" s="113"/>
      <c r="N462" s="113"/>
      <c r="O462" s="124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</row>
    <row x14ac:dyDescent="0.25" r="463" customHeight="1" ht="15.75">
      <c r="A463" s="123"/>
      <c r="B463" s="123"/>
      <c r="C463" s="124"/>
      <c r="D463" s="124"/>
      <c r="E463" s="124"/>
      <c r="F463" s="113"/>
      <c r="G463" s="113"/>
      <c r="H463" s="113"/>
      <c r="I463" s="113"/>
      <c r="J463" s="113"/>
      <c r="K463" s="113"/>
      <c r="L463" s="113"/>
      <c r="M463" s="113"/>
      <c r="N463" s="113"/>
      <c r="O463" s="124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</row>
    <row x14ac:dyDescent="0.25" r="464" customHeight="1" ht="15.75">
      <c r="A464" s="123"/>
      <c r="B464" s="123"/>
      <c r="C464" s="124"/>
      <c r="D464" s="124"/>
      <c r="E464" s="124"/>
      <c r="F464" s="113"/>
      <c r="G464" s="113"/>
      <c r="H464" s="113"/>
      <c r="I464" s="113"/>
      <c r="J464" s="113"/>
      <c r="K464" s="113"/>
      <c r="L464" s="113"/>
      <c r="M464" s="113"/>
      <c r="N464" s="113"/>
      <c r="O464" s="124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</row>
    <row x14ac:dyDescent="0.25" r="465" customHeight="1" ht="15.75">
      <c r="A465" s="123"/>
      <c r="B465" s="123"/>
      <c r="C465" s="124"/>
      <c r="D465" s="124"/>
      <c r="E465" s="124"/>
      <c r="F465" s="113"/>
      <c r="G465" s="113"/>
      <c r="H465" s="113"/>
      <c r="I465" s="113"/>
      <c r="J465" s="113"/>
      <c r="K465" s="113"/>
      <c r="L465" s="113"/>
      <c r="M465" s="113"/>
      <c r="N465" s="113"/>
      <c r="O465" s="124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</row>
    <row x14ac:dyDescent="0.25" r="466" customHeight="1" ht="15.75">
      <c r="A466" s="123"/>
      <c r="B466" s="123"/>
      <c r="C466" s="124"/>
      <c r="D466" s="124"/>
      <c r="E466" s="124"/>
      <c r="F466" s="113"/>
      <c r="G466" s="113"/>
      <c r="H466" s="113"/>
      <c r="I466" s="113"/>
      <c r="J466" s="113"/>
      <c r="K466" s="113"/>
      <c r="L466" s="113"/>
      <c r="M466" s="113"/>
      <c r="N466" s="113"/>
      <c r="O466" s="124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</row>
    <row x14ac:dyDescent="0.25" r="467" customHeight="1" ht="15.75">
      <c r="A467" s="123"/>
      <c r="B467" s="123"/>
      <c r="C467" s="124"/>
      <c r="D467" s="124"/>
      <c r="E467" s="124"/>
      <c r="F467" s="113"/>
      <c r="G467" s="113"/>
      <c r="H467" s="113"/>
      <c r="I467" s="113"/>
      <c r="J467" s="113"/>
      <c r="K467" s="113"/>
      <c r="L467" s="113"/>
      <c r="M467" s="113"/>
      <c r="N467" s="113"/>
      <c r="O467" s="124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</row>
    <row x14ac:dyDescent="0.25" r="468" customHeight="1" ht="15.75">
      <c r="A468" s="123"/>
      <c r="B468" s="123"/>
      <c r="C468" s="124"/>
      <c r="D468" s="124"/>
      <c r="E468" s="124"/>
      <c r="F468" s="113"/>
      <c r="G468" s="113"/>
      <c r="H468" s="113"/>
      <c r="I468" s="113"/>
      <c r="J468" s="113"/>
      <c r="K468" s="113"/>
      <c r="L468" s="113"/>
      <c r="M468" s="113"/>
      <c r="N468" s="113"/>
      <c r="O468" s="124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</row>
    <row x14ac:dyDescent="0.25" r="469" customHeight="1" ht="15.75">
      <c r="A469" s="123"/>
      <c r="B469" s="123"/>
      <c r="C469" s="124"/>
      <c r="D469" s="124"/>
      <c r="E469" s="124"/>
      <c r="F469" s="113"/>
      <c r="G469" s="113"/>
      <c r="H469" s="113"/>
      <c r="I469" s="113"/>
      <c r="J469" s="113"/>
      <c r="K469" s="113"/>
      <c r="L469" s="113"/>
      <c r="M469" s="113"/>
      <c r="N469" s="113"/>
      <c r="O469" s="124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</row>
    <row x14ac:dyDescent="0.25" r="470" customHeight="1" ht="15.75">
      <c r="A470" s="123"/>
      <c r="B470" s="123"/>
      <c r="C470" s="124"/>
      <c r="D470" s="124"/>
      <c r="E470" s="124"/>
      <c r="F470" s="113"/>
      <c r="G470" s="113"/>
      <c r="H470" s="113"/>
      <c r="I470" s="113"/>
      <c r="J470" s="113"/>
      <c r="K470" s="113"/>
      <c r="L470" s="113"/>
      <c r="M470" s="113"/>
      <c r="N470" s="113"/>
      <c r="O470" s="124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</row>
    <row x14ac:dyDescent="0.25" r="471" customHeight="1" ht="15.75">
      <c r="A471" s="123"/>
      <c r="B471" s="123"/>
      <c r="C471" s="124"/>
      <c r="D471" s="124"/>
      <c r="E471" s="124"/>
      <c r="F471" s="113"/>
      <c r="G471" s="113"/>
      <c r="H471" s="113"/>
      <c r="I471" s="113"/>
      <c r="J471" s="113"/>
      <c r="K471" s="113"/>
      <c r="L471" s="113"/>
      <c r="M471" s="113"/>
      <c r="N471" s="113"/>
      <c r="O471" s="124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</row>
    <row x14ac:dyDescent="0.25" r="472" customHeight="1" ht="15.75">
      <c r="A472" s="123"/>
      <c r="B472" s="123"/>
      <c r="C472" s="124"/>
      <c r="D472" s="124"/>
      <c r="E472" s="124"/>
      <c r="F472" s="113"/>
      <c r="G472" s="113"/>
      <c r="H472" s="113"/>
      <c r="I472" s="113"/>
      <c r="J472" s="113"/>
      <c r="K472" s="113"/>
      <c r="L472" s="113"/>
      <c r="M472" s="113"/>
      <c r="N472" s="113"/>
      <c r="O472" s="124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</row>
    <row x14ac:dyDescent="0.25" r="473" customHeight="1" ht="15.75">
      <c r="A473" s="123"/>
      <c r="B473" s="123"/>
      <c r="C473" s="124"/>
      <c r="D473" s="124"/>
      <c r="E473" s="124"/>
      <c r="F473" s="113"/>
      <c r="G473" s="113"/>
      <c r="H473" s="113"/>
      <c r="I473" s="113"/>
      <c r="J473" s="113"/>
      <c r="K473" s="113"/>
      <c r="L473" s="113"/>
      <c r="M473" s="113"/>
      <c r="N473" s="113"/>
      <c r="O473" s="124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</row>
    <row x14ac:dyDescent="0.25" r="474" customHeight="1" ht="15.75">
      <c r="A474" s="123"/>
      <c r="B474" s="123"/>
      <c r="C474" s="124"/>
      <c r="D474" s="124"/>
      <c r="E474" s="124"/>
      <c r="F474" s="113"/>
      <c r="G474" s="113"/>
      <c r="H474" s="113"/>
      <c r="I474" s="113"/>
      <c r="J474" s="113"/>
      <c r="K474" s="113"/>
      <c r="L474" s="113"/>
      <c r="M474" s="113"/>
      <c r="N474" s="113"/>
      <c r="O474" s="124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</row>
    <row x14ac:dyDescent="0.25" r="475" customHeight="1" ht="15.75">
      <c r="A475" s="123"/>
      <c r="B475" s="123"/>
      <c r="C475" s="124"/>
      <c r="D475" s="124"/>
      <c r="E475" s="124"/>
      <c r="F475" s="113"/>
      <c r="G475" s="113"/>
      <c r="H475" s="113"/>
      <c r="I475" s="113"/>
      <c r="J475" s="113"/>
      <c r="K475" s="113"/>
      <c r="L475" s="113"/>
      <c r="M475" s="113"/>
      <c r="N475" s="113"/>
      <c r="O475" s="124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</row>
    <row x14ac:dyDescent="0.25" r="476" customHeight="1" ht="15.75">
      <c r="A476" s="123"/>
      <c r="B476" s="123"/>
      <c r="C476" s="124"/>
      <c r="D476" s="124"/>
      <c r="E476" s="124"/>
      <c r="F476" s="113"/>
      <c r="G476" s="113"/>
      <c r="H476" s="113"/>
      <c r="I476" s="113"/>
      <c r="J476" s="113"/>
      <c r="K476" s="113"/>
      <c r="L476" s="113"/>
      <c r="M476" s="113"/>
      <c r="N476" s="113"/>
      <c r="O476" s="124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</row>
    <row x14ac:dyDescent="0.25" r="477" customHeight="1" ht="15.75">
      <c r="A477" s="123"/>
      <c r="B477" s="123"/>
      <c r="C477" s="124"/>
      <c r="D477" s="124"/>
      <c r="E477" s="124"/>
      <c r="F477" s="113"/>
      <c r="G477" s="113"/>
      <c r="H477" s="113"/>
      <c r="I477" s="113"/>
      <c r="J477" s="113"/>
      <c r="K477" s="113"/>
      <c r="L477" s="113"/>
      <c r="M477" s="113"/>
      <c r="N477" s="113"/>
      <c r="O477" s="124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</row>
    <row x14ac:dyDescent="0.25" r="478" customHeight="1" ht="15.75">
      <c r="A478" s="123"/>
      <c r="B478" s="123"/>
      <c r="C478" s="124"/>
      <c r="D478" s="124"/>
      <c r="E478" s="124"/>
      <c r="F478" s="113"/>
      <c r="G478" s="113"/>
      <c r="H478" s="113"/>
      <c r="I478" s="113"/>
      <c r="J478" s="113"/>
      <c r="K478" s="113"/>
      <c r="L478" s="113"/>
      <c r="M478" s="113"/>
      <c r="N478" s="113"/>
      <c r="O478" s="124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</row>
    <row x14ac:dyDescent="0.25" r="479" customHeight="1" ht="15.75">
      <c r="A479" s="123"/>
      <c r="B479" s="123"/>
      <c r="C479" s="124"/>
      <c r="D479" s="124"/>
      <c r="E479" s="124"/>
      <c r="F479" s="113"/>
      <c r="G479" s="113"/>
      <c r="H479" s="113"/>
      <c r="I479" s="113"/>
      <c r="J479" s="113"/>
      <c r="K479" s="113"/>
      <c r="L479" s="113"/>
      <c r="M479" s="113"/>
      <c r="N479" s="113"/>
      <c r="O479" s="124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</row>
    <row x14ac:dyDescent="0.25" r="480" customHeight="1" ht="15.75">
      <c r="A480" s="123"/>
      <c r="B480" s="123"/>
      <c r="C480" s="124"/>
      <c r="D480" s="124"/>
      <c r="E480" s="124"/>
      <c r="F480" s="113"/>
      <c r="G480" s="113"/>
      <c r="H480" s="113"/>
      <c r="I480" s="113"/>
      <c r="J480" s="113"/>
      <c r="K480" s="113"/>
      <c r="L480" s="113"/>
      <c r="M480" s="113"/>
      <c r="N480" s="113"/>
      <c r="O480" s="124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</row>
    <row x14ac:dyDescent="0.25" r="481" customHeight="1" ht="15.75">
      <c r="A481" s="123"/>
      <c r="B481" s="123"/>
      <c r="C481" s="124"/>
      <c r="D481" s="124"/>
      <c r="E481" s="124"/>
      <c r="F481" s="113"/>
      <c r="G481" s="113"/>
      <c r="H481" s="113"/>
      <c r="I481" s="113"/>
      <c r="J481" s="113"/>
      <c r="K481" s="113"/>
      <c r="L481" s="113"/>
      <c r="M481" s="113"/>
      <c r="N481" s="113"/>
      <c r="O481" s="124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</row>
    <row x14ac:dyDescent="0.25" r="482" customHeight="1" ht="15.75">
      <c r="A482" s="123"/>
      <c r="B482" s="123"/>
      <c r="C482" s="124"/>
      <c r="D482" s="124"/>
      <c r="E482" s="124"/>
      <c r="F482" s="113"/>
      <c r="G482" s="113"/>
      <c r="H482" s="113"/>
      <c r="I482" s="113"/>
      <c r="J482" s="113"/>
      <c r="K482" s="113"/>
      <c r="L482" s="113"/>
      <c r="M482" s="113"/>
      <c r="N482" s="113"/>
      <c r="O482" s="124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</row>
    <row x14ac:dyDescent="0.25" r="483" customHeight="1" ht="15.75">
      <c r="A483" s="123"/>
      <c r="B483" s="123"/>
      <c r="C483" s="124"/>
      <c r="D483" s="124"/>
      <c r="E483" s="124"/>
      <c r="F483" s="113"/>
      <c r="G483" s="113"/>
      <c r="H483" s="113"/>
      <c r="I483" s="113"/>
      <c r="J483" s="113"/>
      <c r="K483" s="113"/>
      <c r="L483" s="113"/>
      <c r="M483" s="113"/>
      <c r="N483" s="113"/>
      <c r="O483" s="124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</row>
    <row x14ac:dyDescent="0.25" r="484" customHeight="1" ht="15.75">
      <c r="A484" s="123"/>
      <c r="B484" s="123"/>
      <c r="C484" s="124"/>
      <c r="D484" s="124"/>
      <c r="E484" s="124"/>
      <c r="F484" s="113"/>
      <c r="G484" s="113"/>
      <c r="H484" s="113"/>
      <c r="I484" s="113"/>
      <c r="J484" s="113"/>
      <c r="K484" s="113"/>
      <c r="L484" s="113"/>
      <c r="M484" s="113"/>
      <c r="N484" s="113"/>
      <c r="O484" s="124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</row>
    <row x14ac:dyDescent="0.25" r="485" customHeight="1" ht="15.75">
      <c r="A485" s="123"/>
      <c r="B485" s="123"/>
      <c r="C485" s="124"/>
      <c r="D485" s="124"/>
      <c r="E485" s="124"/>
      <c r="F485" s="113"/>
      <c r="G485" s="113"/>
      <c r="H485" s="113"/>
      <c r="I485" s="113"/>
      <c r="J485" s="113"/>
      <c r="K485" s="113"/>
      <c r="L485" s="113"/>
      <c r="M485" s="113"/>
      <c r="N485" s="113"/>
      <c r="O485" s="124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</row>
    <row x14ac:dyDescent="0.25" r="486" customHeight="1" ht="15.75">
      <c r="A486" s="123"/>
      <c r="B486" s="123"/>
      <c r="C486" s="124"/>
      <c r="D486" s="124"/>
      <c r="E486" s="124"/>
      <c r="F486" s="113"/>
      <c r="G486" s="113"/>
      <c r="H486" s="113"/>
      <c r="I486" s="113"/>
      <c r="J486" s="113"/>
      <c r="K486" s="113"/>
      <c r="L486" s="113"/>
      <c r="M486" s="113"/>
      <c r="N486" s="113"/>
      <c r="O486" s="124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</row>
    <row x14ac:dyDescent="0.25" r="487" customHeight="1" ht="15.75">
      <c r="A487" s="123"/>
      <c r="B487" s="123"/>
      <c r="C487" s="124"/>
      <c r="D487" s="124"/>
      <c r="E487" s="124"/>
      <c r="F487" s="113"/>
      <c r="G487" s="113"/>
      <c r="H487" s="113"/>
      <c r="I487" s="113"/>
      <c r="J487" s="113"/>
      <c r="K487" s="113"/>
      <c r="L487" s="113"/>
      <c r="M487" s="113"/>
      <c r="N487" s="113"/>
      <c r="O487" s="124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</row>
    <row x14ac:dyDescent="0.25" r="488" customHeight="1" ht="15.75">
      <c r="A488" s="123"/>
      <c r="B488" s="123"/>
      <c r="C488" s="124"/>
      <c r="D488" s="124"/>
      <c r="E488" s="124"/>
      <c r="F488" s="113"/>
      <c r="G488" s="113"/>
      <c r="H488" s="113"/>
      <c r="I488" s="113"/>
      <c r="J488" s="113"/>
      <c r="K488" s="113"/>
      <c r="L488" s="113"/>
      <c r="M488" s="113"/>
      <c r="N488" s="113"/>
      <c r="O488" s="124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</row>
    <row x14ac:dyDescent="0.25" r="489" customHeight="1" ht="15.75">
      <c r="A489" s="123"/>
      <c r="B489" s="123"/>
      <c r="C489" s="124"/>
      <c r="D489" s="124"/>
      <c r="E489" s="124"/>
      <c r="F489" s="113"/>
      <c r="G489" s="113"/>
      <c r="H489" s="113"/>
      <c r="I489" s="113"/>
      <c r="J489" s="113"/>
      <c r="K489" s="113"/>
      <c r="L489" s="113"/>
      <c r="M489" s="113"/>
      <c r="N489" s="113"/>
      <c r="O489" s="124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</row>
    <row x14ac:dyDescent="0.25" r="490" customHeight="1" ht="15.75">
      <c r="A490" s="123"/>
      <c r="B490" s="123"/>
      <c r="C490" s="124"/>
      <c r="D490" s="124"/>
      <c r="E490" s="124"/>
      <c r="F490" s="113"/>
      <c r="G490" s="113"/>
      <c r="H490" s="113"/>
      <c r="I490" s="113"/>
      <c r="J490" s="113"/>
      <c r="K490" s="113"/>
      <c r="L490" s="113"/>
      <c r="M490" s="113"/>
      <c r="N490" s="113"/>
      <c r="O490" s="124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</row>
    <row x14ac:dyDescent="0.25" r="491" customHeight="1" ht="15.75">
      <c r="A491" s="123"/>
      <c r="B491" s="123"/>
      <c r="C491" s="124"/>
      <c r="D491" s="124"/>
      <c r="E491" s="124"/>
      <c r="F491" s="113"/>
      <c r="G491" s="113"/>
      <c r="H491" s="113"/>
      <c r="I491" s="113"/>
      <c r="J491" s="113"/>
      <c r="K491" s="113"/>
      <c r="L491" s="113"/>
      <c r="M491" s="113"/>
      <c r="N491" s="113"/>
      <c r="O491" s="124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</row>
    <row x14ac:dyDescent="0.25" r="492" customHeight="1" ht="15.75">
      <c r="A492" s="123"/>
      <c r="B492" s="123"/>
      <c r="C492" s="124"/>
      <c r="D492" s="124"/>
      <c r="E492" s="124"/>
      <c r="F492" s="113"/>
      <c r="G492" s="113"/>
      <c r="H492" s="113"/>
      <c r="I492" s="113"/>
      <c r="J492" s="113"/>
      <c r="K492" s="113"/>
      <c r="L492" s="113"/>
      <c r="M492" s="113"/>
      <c r="N492" s="113"/>
      <c r="O492" s="124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</row>
    <row x14ac:dyDescent="0.25" r="493" customHeight="1" ht="15.75">
      <c r="A493" s="123"/>
      <c r="B493" s="123"/>
      <c r="C493" s="124"/>
      <c r="D493" s="124"/>
      <c r="E493" s="124"/>
      <c r="F493" s="113"/>
      <c r="G493" s="113"/>
      <c r="H493" s="113"/>
      <c r="I493" s="113"/>
      <c r="J493" s="113"/>
      <c r="K493" s="113"/>
      <c r="L493" s="113"/>
      <c r="M493" s="113"/>
      <c r="N493" s="113"/>
      <c r="O493" s="124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</row>
    <row x14ac:dyDescent="0.25" r="494" customHeight="1" ht="15.75">
      <c r="A494" s="123"/>
      <c r="B494" s="123"/>
      <c r="C494" s="124"/>
      <c r="D494" s="124"/>
      <c r="E494" s="124"/>
      <c r="F494" s="113"/>
      <c r="G494" s="113"/>
      <c r="H494" s="113"/>
      <c r="I494" s="113"/>
      <c r="J494" s="113"/>
      <c r="K494" s="113"/>
      <c r="L494" s="113"/>
      <c r="M494" s="113"/>
      <c r="N494" s="113"/>
      <c r="O494" s="124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</row>
    <row x14ac:dyDescent="0.25" r="495" customHeight="1" ht="15.75">
      <c r="A495" s="123"/>
      <c r="B495" s="123"/>
      <c r="C495" s="124"/>
      <c r="D495" s="124"/>
      <c r="E495" s="124"/>
      <c r="F495" s="113"/>
      <c r="G495" s="113"/>
      <c r="H495" s="113"/>
      <c r="I495" s="113"/>
      <c r="J495" s="113"/>
      <c r="K495" s="113"/>
      <c r="L495" s="113"/>
      <c r="M495" s="113"/>
      <c r="N495" s="113"/>
      <c r="O495" s="124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</row>
    <row x14ac:dyDescent="0.25" r="496" customHeight="1" ht="15.75">
      <c r="A496" s="123"/>
      <c r="B496" s="123"/>
      <c r="C496" s="124"/>
      <c r="D496" s="124"/>
      <c r="E496" s="124"/>
      <c r="F496" s="113"/>
      <c r="G496" s="113"/>
      <c r="H496" s="113"/>
      <c r="I496" s="113"/>
      <c r="J496" s="113"/>
      <c r="K496" s="113"/>
      <c r="L496" s="113"/>
      <c r="M496" s="113"/>
      <c r="N496" s="113"/>
      <c r="O496" s="124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</row>
    <row x14ac:dyDescent="0.25" r="497" customHeight="1" ht="15.75">
      <c r="A497" s="123"/>
      <c r="B497" s="123"/>
      <c r="C497" s="124"/>
      <c r="D497" s="124"/>
      <c r="E497" s="124"/>
      <c r="F497" s="113"/>
      <c r="G497" s="113"/>
      <c r="H497" s="113"/>
      <c r="I497" s="113"/>
      <c r="J497" s="113"/>
      <c r="K497" s="113"/>
      <c r="L497" s="113"/>
      <c r="M497" s="113"/>
      <c r="N497" s="113"/>
      <c r="O497" s="124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</row>
    <row x14ac:dyDescent="0.25" r="498" customHeight="1" ht="15.75">
      <c r="A498" s="123"/>
      <c r="B498" s="123"/>
      <c r="C498" s="124"/>
      <c r="D498" s="124"/>
      <c r="E498" s="124"/>
      <c r="F498" s="113"/>
      <c r="G498" s="113"/>
      <c r="H498" s="113"/>
      <c r="I498" s="113"/>
      <c r="J498" s="113"/>
      <c r="K498" s="113"/>
      <c r="L498" s="113"/>
      <c r="M498" s="113"/>
      <c r="N498" s="113"/>
      <c r="O498" s="124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</row>
    <row x14ac:dyDescent="0.25" r="499" customHeight="1" ht="15.75">
      <c r="A499" s="123"/>
      <c r="B499" s="123"/>
      <c r="C499" s="124"/>
      <c r="D499" s="124"/>
      <c r="E499" s="124"/>
      <c r="F499" s="113"/>
      <c r="G499" s="113"/>
      <c r="H499" s="113"/>
      <c r="I499" s="113"/>
      <c r="J499" s="113"/>
      <c r="K499" s="113"/>
      <c r="L499" s="113"/>
      <c r="M499" s="113"/>
      <c r="N499" s="113"/>
      <c r="O499" s="124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</row>
    <row x14ac:dyDescent="0.25" r="500" customHeight="1" ht="15.75">
      <c r="A500" s="123"/>
      <c r="B500" s="123"/>
      <c r="C500" s="124"/>
      <c r="D500" s="124"/>
      <c r="E500" s="124"/>
      <c r="F500" s="113"/>
      <c r="G500" s="113"/>
      <c r="H500" s="113"/>
      <c r="I500" s="113"/>
      <c r="J500" s="113"/>
      <c r="K500" s="113"/>
      <c r="L500" s="113"/>
      <c r="M500" s="113"/>
      <c r="N500" s="113"/>
      <c r="O500" s="124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</row>
    <row x14ac:dyDescent="0.25" r="501" customHeight="1" ht="15.75">
      <c r="A501" s="123"/>
      <c r="B501" s="123"/>
      <c r="C501" s="124"/>
      <c r="D501" s="124"/>
      <c r="E501" s="124"/>
      <c r="F501" s="113"/>
      <c r="G501" s="113"/>
      <c r="H501" s="113"/>
      <c r="I501" s="113"/>
      <c r="J501" s="113"/>
      <c r="K501" s="113"/>
      <c r="L501" s="113"/>
      <c r="M501" s="113"/>
      <c r="N501" s="113"/>
      <c r="O501" s="124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</row>
    <row x14ac:dyDescent="0.25" r="502" customHeight="1" ht="15.75">
      <c r="A502" s="123"/>
      <c r="B502" s="123"/>
      <c r="C502" s="124"/>
      <c r="D502" s="124"/>
      <c r="E502" s="124"/>
      <c r="F502" s="113"/>
      <c r="G502" s="113"/>
      <c r="H502" s="113"/>
      <c r="I502" s="113"/>
      <c r="J502" s="113"/>
      <c r="K502" s="113"/>
      <c r="L502" s="113"/>
      <c r="M502" s="113"/>
      <c r="N502" s="113"/>
      <c r="O502" s="124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</row>
    <row x14ac:dyDescent="0.25" r="503" customHeight="1" ht="15.75">
      <c r="A503" s="123"/>
      <c r="B503" s="123"/>
      <c r="C503" s="124"/>
      <c r="D503" s="124"/>
      <c r="E503" s="124"/>
      <c r="F503" s="113"/>
      <c r="G503" s="113"/>
      <c r="H503" s="113"/>
      <c r="I503" s="113"/>
      <c r="J503" s="113"/>
      <c r="K503" s="113"/>
      <c r="L503" s="113"/>
      <c r="M503" s="113"/>
      <c r="N503" s="113"/>
      <c r="O503" s="124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</row>
    <row x14ac:dyDescent="0.25" r="504" customHeight="1" ht="15.75">
      <c r="A504" s="123"/>
      <c r="B504" s="123"/>
      <c r="C504" s="124"/>
      <c r="D504" s="124"/>
      <c r="E504" s="124"/>
      <c r="F504" s="113"/>
      <c r="G504" s="113"/>
      <c r="H504" s="113"/>
      <c r="I504" s="113"/>
      <c r="J504" s="113"/>
      <c r="K504" s="113"/>
      <c r="L504" s="113"/>
      <c r="M504" s="113"/>
      <c r="N504" s="113"/>
      <c r="O504" s="124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</row>
    <row x14ac:dyDescent="0.25" r="505" customHeight="1" ht="15.75">
      <c r="A505" s="123"/>
      <c r="B505" s="123"/>
      <c r="C505" s="124"/>
      <c r="D505" s="124"/>
      <c r="E505" s="124"/>
      <c r="F505" s="113"/>
      <c r="G505" s="113"/>
      <c r="H505" s="113"/>
      <c r="I505" s="113"/>
      <c r="J505" s="113"/>
      <c r="K505" s="113"/>
      <c r="L505" s="113"/>
      <c r="M505" s="113"/>
      <c r="N505" s="113"/>
      <c r="O505" s="124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</row>
    <row x14ac:dyDescent="0.25" r="506" customHeight="1" ht="15.75">
      <c r="A506" s="123"/>
      <c r="B506" s="123"/>
      <c r="C506" s="124"/>
      <c r="D506" s="124"/>
      <c r="E506" s="124"/>
      <c r="F506" s="113"/>
      <c r="G506" s="113"/>
      <c r="H506" s="113"/>
      <c r="I506" s="113"/>
      <c r="J506" s="113"/>
      <c r="K506" s="113"/>
      <c r="L506" s="113"/>
      <c r="M506" s="113"/>
      <c r="N506" s="113"/>
      <c r="O506" s="124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</row>
    <row x14ac:dyDescent="0.25" r="507" customHeight="1" ht="15.75">
      <c r="A507" s="123"/>
      <c r="B507" s="123"/>
      <c r="C507" s="124"/>
      <c r="D507" s="124"/>
      <c r="E507" s="124"/>
      <c r="F507" s="113"/>
      <c r="G507" s="113"/>
      <c r="H507" s="113"/>
      <c r="I507" s="113"/>
      <c r="J507" s="113"/>
      <c r="K507" s="113"/>
      <c r="L507" s="113"/>
      <c r="M507" s="113"/>
      <c r="N507" s="113"/>
      <c r="O507" s="124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</row>
    <row x14ac:dyDescent="0.25" r="508" customHeight="1" ht="15.75">
      <c r="A508" s="123"/>
      <c r="B508" s="123"/>
      <c r="C508" s="124"/>
      <c r="D508" s="124"/>
      <c r="E508" s="124"/>
      <c r="F508" s="113"/>
      <c r="G508" s="113"/>
      <c r="H508" s="113"/>
      <c r="I508" s="113"/>
      <c r="J508" s="113"/>
      <c r="K508" s="113"/>
      <c r="L508" s="113"/>
      <c r="M508" s="113"/>
      <c r="N508" s="113"/>
      <c r="O508" s="124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</row>
    <row x14ac:dyDescent="0.25" r="509" customHeight="1" ht="15.75">
      <c r="A509" s="123"/>
      <c r="B509" s="123"/>
      <c r="C509" s="124"/>
      <c r="D509" s="124"/>
      <c r="E509" s="124"/>
      <c r="F509" s="113"/>
      <c r="G509" s="113"/>
      <c r="H509" s="113"/>
      <c r="I509" s="113"/>
      <c r="J509" s="113"/>
      <c r="K509" s="113"/>
      <c r="L509" s="113"/>
      <c r="M509" s="113"/>
      <c r="N509" s="113"/>
      <c r="O509" s="124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</row>
    <row x14ac:dyDescent="0.25" r="510" customHeight="1" ht="15.75">
      <c r="A510" s="123"/>
      <c r="B510" s="123"/>
      <c r="C510" s="124"/>
      <c r="D510" s="124"/>
      <c r="E510" s="124"/>
      <c r="F510" s="113"/>
      <c r="G510" s="113"/>
      <c r="H510" s="113"/>
      <c r="I510" s="113"/>
      <c r="J510" s="113"/>
      <c r="K510" s="113"/>
      <c r="L510" s="113"/>
      <c r="M510" s="113"/>
      <c r="N510" s="113"/>
      <c r="O510" s="124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</row>
    <row x14ac:dyDescent="0.25" r="511" customHeight="1" ht="15.75">
      <c r="A511" s="123"/>
      <c r="B511" s="123"/>
      <c r="C511" s="124"/>
      <c r="D511" s="124"/>
      <c r="E511" s="124"/>
      <c r="F511" s="113"/>
      <c r="G511" s="113"/>
      <c r="H511" s="113"/>
      <c r="I511" s="113"/>
      <c r="J511" s="113"/>
      <c r="K511" s="113"/>
      <c r="L511" s="113"/>
      <c r="M511" s="113"/>
      <c r="N511" s="113"/>
      <c r="O511" s="124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</row>
    <row x14ac:dyDescent="0.25" r="512" customHeight="1" ht="15.75">
      <c r="A512" s="123"/>
      <c r="B512" s="123"/>
      <c r="C512" s="124"/>
      <c r="D512" s="124"/>
      <c r="E512" s="124"/>
      <c r="F512" s="113"/>
      <c r="G512" s="113"/>
      <c r="H512" s="113"/>
      <c r="I512" s="113"/>
      <c r="J512" s="113"/>
      <c r="K512" s="113"/>
      <c r="L512" s="113"/>
      <c r="M512" s="113"/>
      <c r="N512" s="113"/>
      <c r="O512" s="124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</row>
    <row x14ac:dyDescent="0.25" r="513" customHeight="1" ht="15.75">
      <c r="A513" s="123"/>
      <c r="B513" s="123"/>
      <c r="C513" s="124"/>
      <c r="D513" s="124"/>
      <c r="E513" s="124"/>
      <c r="F513" s="113"/>
      <c r="G513" s="113"/>
      <c r="H513" s="113"/>
      <c r="I513" s="113"/>
      <c r="J513" s="113"/>
      <c r="K513" s="113"/>
      <c r="L513" s="113"/>
      <c r="M513" s="113"/>
      <c r="N513" s="113"/>
      <c r="O513" s="124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</row>
    <row x14ac:dyDescent="0.25" r="514" customHeight="1" ht="15.75">
      <c r="A514" s="123"/>
      <c r="B514" s="123"/>
      <c r="C514" s="124"/>
      <c r="D514" s="124"/>
      <c r="E514" s="124"/>
      <c r="F514" s="113"/>
      <c r="G514" s="113"/>
      <c r="H514" s="113"/>
      <c r="I514" s="113"/>
      <c r="J514" s="113"/>
      <c r="K514" s="113"/>
      <c r="L514" s="113"/>
      <c r="M514" s="113"/>
      <c r="N514" s="113"/>
      <c r="O514" s="124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</row>
    <row x14ac:dyDescent="0.25" r="515" customHeight="1" ht="15.75">
      <c r="A515" s="123"/>
      <c r="B515" s="123"/>
      <c r="C515" s="124"/>
      <c r="D515" s="124"/>
      <c r="E515" s="124"/>
      <c r="F515" s="113"/>
      <c r="G515" s="113"/>
      <c r="H515" s="113"/>
      <c r="I515" s="113"/>
      <c r="J515" s="113"/>
      <c r="K515" s="113"/>
      <c r="L515" s="113"/>
      <c r="M515" s="113"/>
      <c r="N515" s="113"/>
      <c r="O515" s="124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</row>
    <row x14ac:dyDescent="0.25" r="516" customHeight="1" ht="15.75">
      <c r="A516" s="123"/>
      <c r="B516" s="123"/>
      <c r="C516" s="124"/>
      <c r="D516" s="124"/>
      <c r="E516" s="124"/>
      <c r="F516" s="113"/>
      <c r="G516" s="113"/>
      <c r="H516" s="113"/>
      <c r="I516" s="113"/>
      <c r="J516" s="113"/>
      <c r="K516" s="113"/>
      <c r="L516" s="113"/>
      <c r="M516" s="113"/>
      <c r="N516" s="113"/>
      <c r="O516" s="124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</row>
    <row x14ac:dyDescent="0.25" r="517" customHeight="1" ht="15.75">
      <c r="A517" s="123"/>
      <c r="B517" s="123"/>
      <c r="C517" s="124"/>
      <c r="D517" s="124"/>
      <c r="E517" s="124"/>
      <c r="F517" s="113"/>
      <c r="G517" s="113"/>
      <c r="H517" s="113"/>
      <c r="I517" s="113"/>
      <c r="J517" s="113"/>
      <c r="K517" s="113"/>
      <c r="L517" s="113"/>
      <c r="M517" s="113"/>
      <c r="N517" s="113"/>
      <c r="O517" s="124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</row>
    <row x14ac:dyDescent="0.25" r="518" customHeight="1" ht="15.75">
      <c r="A518" s="123"/>
      <c r="B518" s="123"/>
      <c r="C518" s="124"/>
      <c r="D518" s="124"/>
      <c r="E518" s="124"/>
      <c r="F518" s="113"/>
      <c r="G518" s="113"/>
      <c r="H518" s="113"/>
      <c r="I518" s="113"/>
      <c r="J518" s="113"/>
      <c r="K518" s="113"/>
      <c r="L518" s="113"/>
      <c r="M518" s="113"/>
      <c r="N518" s="113"/>
      <c r="O518" s="124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</row>
    <row x14ac:dyDescent="0.25" r="519" customHeight="1" ht="15.75">
      <c r="A519" s="123"/>
      <c r="B519" s="123"/>
      <c r="C519" s="124"/>
      <c r="D519" s="124"/>
      <c r="E519" s="124"/>
      <c r="F519" s="113"/>
      <c r="G519" s="113"/>
      <c r="H519" s="113"/>
      <c r="I519" s="113"/>
      <c r="J519" s="113"/>
      <c r="K519" s="113"/>
      <c r="L519" s="113"/>
      <c r="M519" s="113"/>
      <c r="N519" s="113"/>
      <c r="O519" s="124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</row>
    <row x14ac:dyDescent="0.25" r="520" customHeight="1" ht="15.75">
      <c r="A520" s="123"/>
      <c r="B520" s="123"/>
      <c r="C520" s="124"/>
      <c r="D520" s="124"/>
      <c r="E520" s="124"/>
      <c r="F520" s="113"/>
      <c r="G520" s="113"/>
      <c r="H520" s="113"/>
      <c r="I520" s="113"/>
      <c r="J520" s="113"/>
      <c r="K520" s="113"/>
      <c r="L520" s="113"/>
      <c r="M520" s="113"/>
      <c r="N520" s="113"/>
      <c r="O520" s="124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</row>
    <row x14ac:dyDescent="0.25" r="521" customHeight="1" ht="15.75">
      <c r="A521" s="123"/>
      <c r="B521" s="123"/>
      <c r="C521" s="124"/>
      <c r="D521" s="124"/>
      <c r="E521" s="124"/>
      <c r="F521" s="113"/>
      <c r="G521" s="113"/>
      <c r="H521" s="113"/>
      <c r="I521" s="113"/>
      <c r="J521" s="113"/>
      <c r="K521" s="113"/>
      <c r="L521" s="113"/>
      <c r="M521" s="113"/>
      <c r="N521" s="113"/>
      <c r="O521" s="124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</row>
    <row x14ac:dyDescent="0.25" r="522" customHeight="1" ht="15.75">
      <c r="A522" s="123"/>
      <c r="B522" s="123"/>
      <c r="C522" s="124"/>
      <c r="D522" s="124"/>
      <c r="E522" s="124"/>
      <c r="F522" s="113"/>
      <c r="G522" s="113"/>
      <c r="H522" s="113"/>
      <c r="I522" s="113"/>
      <c r="J522" s="113"/>
      <c r="K522" s="113"/>
      <c r="L522" s="113"/>
      <c r="M522" s="113"/>
      <c r="N522" s="113"/>
      <c r="O522" s="124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</row>
    <row x14ac:dyDescent="0.25" r="523" customHeight="1" ht="15.75">
      <c r="A523" s="123"/>
      <c r="B523" s="123"/>
      <c r="C523" s="124"/>
      <c r="D523" s="124"/>
      <c r="E523" s="124"/>
      <c r="F523" s="113"/>
      <c r="G523" s="113"/>
      <c r="H523" s="113"/>
      <c r="I523" s="113"/>
      <c r="J523" s="113"/>
      <c r="K523" s="113"/>
      <c r="L523" s="113"/>
      <c r="M523" s="113"/>
      <c r="N523" s="113"/>
      <c r="O523" s="124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</row>
    <row x14ac:dyDescent="0.25" r="524" customHeight="1" ht="15.75">
      <c r="A524" s="123"/>
      <c r="B524" s="123"/>
      <c r="C524" s="124"/>
      <c r="D524" s="124"/>
      <c r="E524" s="124"/>
      <c r="F524" s="113"/>
      <c r="G524" s="113"/>
      <c r="H524" s="113"/>
      <c r="I524" s="113"/>
      <c r="J524" s="113"/>
      <c r="K524" s="113"/>
      <c r="L524" s="113"/>
      <c r="M524" s="113"/>
      <c r="N524" s="113"/>
      <c r="O524" s="124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</row>
    <row x14ac:dyDescent="0.25" r="525" customHeight="1" ht="15.75">
      <c r="A525" s="123"/>
      <c r="B525" s="123"/>
      <c r="C525" s="124"/>
      <c r="D525" s="124"/>
      <c r="E525" s="124"/>
      <c r="F525" s="113"/>
      <c r="G525" s="113"/>
      <c r="H525" s="113"/>
      <c r="I525" s="113"/>
      <c r="J525" s="113"/>
      <c r="K525" s="113"/>
      <c r="L525" s="113"/>
      <c r="M525" s="113"/>
      <c r="N525" s="113"/>
      <c r="O525" s="124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</row>
    <row x14ac:dyDescent="0.25" r="526" customHeight="1" ht="15.75">
      <c r="A526" s="123"/>
      <c r="B526" s="123"/>
      <c r="C526" s="124"/>
      <c r="D526" s="124"/>
      <c r="E526" s="124"/>
      <c r="F526" s="113"/>
      <c r="G526" s="113"/>
      <c r="H526" s="113"/>
      <c r="I526" s="113"/>
      <c r="J526" s="113"/>
      <c r="K526" s="113"/>
      <c r="L526" s="113"/>
      <c r="M526" s="113"/>
      <c r="N526" s="113"/>
      <c r="O526" s="124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</row>
    <row x14ac:dyDescent="0.25" r="527" customHeight="1" ht="15.75">
      <c r="A527" s="123"/>
      <c r="B527" s="123"/>
      <c r="C527" s="124"/>
      <c r="D527" s="124"/>
      <c r="E527" s="124"/>
      <c r="F527" s="113"/>
      <c r="G527" s="113"/>
      <c r="H527" s="113"/>
      <c r="I527" s="113"/>
      <c r="J527" s="113"/>
      <c r="K527" s="113"/>
      <c r="L527" s="113"/>
      <c r="M527" s="113"/>
      <c r="N527" s="113"/>
      <c r="O527" s="124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</row>
    <row x14ac:dyDescent="0.25" r="528" customHeight="1" ht="15.75">
      <c r="A528" s="123"/>
      <c r="B528" s="123"/>
      <c r="C528" s="124"/>
      <c r="D528" s="124"/>
      <c r="E528" s="124"/>
      <c r="F528" s="113"/>
      <c r="G528" s="113"/>
      <c r="H528" s="113"/>
      <c r="I528" s="113"/>
      <c r="J528" s="113"/>
      <c r="K528" s="113"/>
      <c r="L528" s="113"/>
      <c r="M528" s="113"/>
      <c r="N528" s="113"/>
      <c r="O528" s="124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</row>
    <row x14ac:dyDescent="0.25" r="529" customHeight="1" ht="15.75">
      <c r="A529" s="123"/>
      <c r="B529" s="123"/>
      <c r="C529" s="124"/>
      <c r="D529" s="124"/>
      <c r="E529" s="124"/>
      <c r="F529" s="113"/>
      <c r="G529" s="113"/>
      <c r="H529" s="113"/>
      <c r="I529" s="113"/>
      <c r="J529" s="113"/>
      <c r="K529" s="113"/>
      <c r="L529" s="113"/>
      <c r="M529" s="113"/>
      <c r="N529" s="113"/>
      <c r="O529" s="124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</row>
    <row x14ac:dyDescent="0.25" r="530" customHeight="1" ht="15.75">
      <c r="A530" s="123"/>
      <c r="B530" s="123"/>
      <c r="C530" s="124"/>
      <c r="D530" s="124"/>
      <c r="E530" s="124"/>
      <c r="F530" s="113"/>
      <c r="G530" s="113"/>
      <c r="H530" s="113"/>
      <c r="I530" s="113"/>
      <c r="J530" s="113"/>
      <c r="K530" s="113"/>
      <c r="L530" s="113"/>
      <c r="M530" s="113"/>
      <c r="N530" s="113"/>
      <c r="O530" s="124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</row>
    <row x14ac:dyDescent="0.25" r="531" customHeight="1" ht="15.75">
      <c r="A531" s="123"/>
      <c r="B531" s="123"/>
      <c r="C531" s="124"/>
      <c r="D531" s="124"/>
      <c r="E531" s="124"/>
      <c r="F531" s="113"/>
      <c r="G531" s="113"/>
      <c r="H531" s="113"/>
      <c r="I531" s="113"/>
      <c r="J531" s="113"/>
      <c r="K531" s="113"/>
      <c r="L531" s="113"/>
      <c r="M531" s="113"/>
      <c r="N531" s="113"/>
      <c r="O531" s="124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</row>
    <row x14ac:dyDescent="0.25" r="532" customHeight="1" ht="15.75">
      <c r="A532" s="123"/>
      <c r="B532" s="123"/>
      <c r="C532" s="124"/>
      <c r="D532" s="124"/>
      <c r="E532" s="124"/>
      <c r="F532" s="113"/>
      <c r="G532" s="113"/>
      <c r="H532" s="113"/>
      <c r="I532" s="113"/>
      <c r="J532" s="113"/>
      <c r="K532" s="113"/>
      <c r="L532" s="113"/>
      <c r="M532" s="113"/>
      <c r="N532" s="113"/>
      <c r="O532" s="124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</row>
    <row x14ac:dyDescent="0.25" r="533" customHeight="1" ht="15.75">
      <c r="A533" s="123"/>
      <c r="B533" s="123"/>
      <c r="C533" s="124"/>
      <c r="D533" s="124"/>
      <c r="E533" s="124"/>
      <c r="F533" s="113"/>
      <c r="G533" s="113"/>
      <c r="H533" s="113"/>
      <c r="I533" s="113"/>
      <c r="J533" s="113"/>
      <c r="K533" s="113"/>
      <c r="L533" s="113"/>
      <c r="M533" s="113"/>
      <c r="N533" s="113"/>
      <c r="O533" s="124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</row>
    <row x14ac:dyDescent="0.25" r="534" customHeight="1" ht="15.75">
      <c r="A534" s="123"/>
      <c r="B534" s="123"/>
      <c r="C534" s="124"/>
      <c r="D534" s="124"/>
      <c r="E534" s="124"/>
      <c r="F534" s="113"/>
      <c r="G534" s="113"/>
      <c r="H534" s="113"/>
      <c r="I534" s="113"/>
      <c r="J534" s="113"/>
      <c r="K534" s="113"/>
      <c r="L534" s="113"/>
      <c r="M534" s="113"/>
      <c r="N534" s="113"/>
      <c r="O534" s="124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</row>
    <row x14ac:dyDescent="0.25" r="535" customHeight="1" ht="15.75">
      <c r="A535" s="123"/>
      <c r="B535" s="123"/>
      <c r="C535" s="124"/>
      <c r="D535" s="124"/>
      <c r="E535" s="124"/>
      <c r="F535" s="113"/>
      <c r="G535" s="113"/>
      <c r="H535" s="113"/>
      <c r="I535" s="113"/>
      <c r="J535" s="113"/>
      <c r="K535" s="113"/>
      <c r="L535" s="113"/>
      <c r="M535" s="113"/>
      <c r="N535" s="113"/>
      <c r="O535" s="124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</row>
    <row x14ac:dyDescent="0.25" r="536" customHeight="1" ht="15.75">
      <c r="A536" s="123"/>
      <c r="B536" s="123"/>
      <c r="C536" s="124"/>
      <c r="D536" s="124"/>
      <c r="E536" s="124"/>
      <c r="F536" s="113"/>
      <c r="G536" s="113"/>
      <c r="H536" s="113"/>
      <c r="I536" s="113"/>
      <c r="J536" s="113"/>
      <c r="K536" s="113"/>
      <c r="L536" s="113"/>
      <c r="M536" s="113"/>
      <c r="N536" s="113"/>
      <c r="O536" s="124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</row>
    <row x14ac:dyDescent="0.25" r="537" customHeight="1" ht="15.75">
      <c r="A537" s="123"/>
      <c r="B537" s="123"/>
      <c r="C537" s="124"/>
      <c r="D537" s="124"/>
      <c r="E537" s="124"/>
      <c r="F537" s="113"/>
      <c r="G537" s="113"/>
      <c r="H537" s="113"/>
      <c r="I537" s="113"/>
      <c r="J537" s="113"/>
      <c r="K537" s="113"/>
      <c r="L537" s="113"/>
      <c r="M537" s="113"/>
      <c r="N537" s="113"/>
      <c r="O537" s="124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</row>
    <row x14ac:dyDescent="0.25" r="538" customHeight="1" ht="15.75">
      <c r="A538" s="123"/>
      <c r="B538" s="123"/>
      <c r="C538" s="124"/>
      <c r="D538" s="124"/>
      <c r="E538" s="124"/>
      <c r="F538" s="113"/>
      <c r="G538" s="113"/>
      <c r="H538" s="113"/>
      <c r="I538" s="113"/>
      <c r="J538" s="113"/>
      <c r="K538" s="113"/>
      <c r="L538" s="113"/>
      <c r="M538" s="113"/>
      <c r="N538" s="113"/>
      <c r="O538" s="124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</row>
    <row x14ac:dyDescent="0.25" r="539" customHeight="1" ht="15.75">
      <c r="A539" s="123"/>
      <c r="B539" s="123"/>
      <c r="C539" s="124"/>
      <c r="D539" s="124"/>
      <c r="E539" s="124"/>
      <c r="F539" s="113"/>
      <c r="G539" s="113"/>
      <c r="H539" s="113"/>
      <c r="I539" s="113"/>
      <c r="J539" s="113"/>
      <c r="K539" s="113"/>
      <c r="L539" s="113"/>
      <c r="M539" s="113"/>
      <c r="N539" s="113"/>
      <c r="O539" s="124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</row>
    <row x14ac:dyDescent="0.25" r="540" customHeight="1" ht="15.75">
      <c r="A540" s="123"/>
      <c r="B540" s="123"/>
      <c r="C540" s="124"/>
      <c r="D540" s="124"/>
      <c r="E540" s="124"/>
      <c r="F540" s="113"/>
      <c r="G540" s="113"/>
      <c r="H540" s="113"/>
      <c r="I540" s="113"/>
      <c r="J540" s="113"/>
      <c r="K540" s="113"/>
      <c r="L540" s="113"/>
      <c r="M540" s="113"/>
      <c r="N540" s="113"/>
      <c r="O540" s="124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</row>
    <row x14ac:dyDescent="0.25" r="541" customHeight="1" ht="15.75">
      <c r="A541" s="123"/>
      <c r="B541" s="123"/>
      <c r="C541" s="124"/>
      <c r="D541" s="124"/>
      <c r="E541" s="124"/>
      <c r="F541" s="113"/>
      <c r="G541" s="113"/>
      <c r="H541" s="113"/>
      <c r="I541" s="113"/>
      <c r="J541" s="113"/>
      <c r="K541" s="113"/>
      <c r="L541" s="113"/>
      <c r="M541" s="113"/>
      <c r="N541" s="113"/>
      <c r="O541" s="124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</row>
    <row x14ac:dyDescent="0.25" r="542" customHeight="1" ht="15.75">
      <c r="A542" s="123"/>
      <c r="B542" s="123"/>
      <c r="C542" s="124"/>
      <c r="D542" s="124"/>
      <c r="E542" s="124"/>
      <c r="F542" s="113"/>
      <c r="G542" s="113"/>
      <c r="H542" s="113"/>
      <c r="I542" s="113"/>
      <c r="J542" s="113"/>
      <c r="K542" s="113"/>
      <c r="L542" s="113"/>
      <c r="M542" s="113"/>
      <c r="N542" s="113"/>
      <c r="O542" s="124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</row>
    <row x14ac:dyDescent="0.25" r="543" customHeight="1" ht="15.75">
      <c r="A543" s="123"/>
      <c r="B543" s="123"/>
      <c r="C543" s="124"/>
      <c r="D543" s="124"/>
      <c r="E543" s="124"/>
      <c r="F543" s="113"/>
      <c r="G543" s="113"/>
      <c r="H543" s="113"/>
      <c r="I543" s="113"/>
      <c r="J543" s="113"/>
      <c r="K543" s="113"/>
      <c r="L543" s="113"/>
      <c r="M543" s="113"/>
      <c r="N543" s="113"/>
      <c r="O543" s="124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</row>
    <row x14ac:dyDescent="0.25" r="544" customHeight="1" ht="15.75">
      <c r="A544" s="123"/>
      <c r="B544" s="123"/>
      <c r="C544" s="124"/>
      <c r="D544" s="124"/>
      <c r="E544" s="124"/>
      <c r="F544" s="113"/>
      <c r="G544" s="113"/>
      <c r="H544" s="113"/>
      <c r="I544" s="113"/>
      <c r="J544" s="113"/>
      <c r="K544" s="113"/>
      <c r="L544" s="113"/>
      <c r="M544" s="113"/>
      <c r="N544" s="113"/>
      <c r="O544" s="124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</row>
    <row x14ac:dyDescent="0.25" r="545" customHeight="1" ht="15.75">
      <c r="A545" s="123"/>
      <c r="B545" s="123"/>
      <c r="C545" s="124"/>
      <c r="D545" s="124"/>
      <c r="E545" s="124"/>
      <c r="F545" s="113"/>
      <c r="G545" s="113"/>
      <c r="H545" s="113"/>
      <c r="I545" s="113"/>
      <c r="J545" s="113"/>
      <c r="K545" s="113"/>
      <c r="L545" s="113"/>
      <c r="M545" s="113"/>
      <c r="N545" s="113"/>
      <c r="O545" s="124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</row>
    <row x14ac:dyDescent="0.25" r="546" customHeight="1" ht="15.75">
      <c r="A546" s="123"/>
      <c r="B546" s="123"/>
      <c r="C546" s="124"/>
      <c r="D546" s="124"/>
      <c r="E546" s="124"/>
      <c r="F546" s="113"/>
      <c r="G546" s="113"/>
      <c r="H546" s="113"/>
      <c r="I546" s="113"/>
      <c r="J546" s="113"/>
      <c r="K546" s="113"/>
      <c r="L546" s="113"/>
      <c r="M546" s="113"/>
      <c r="N546" s="113"/>
      <c r="O546" s="124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</row>
    <row x14ac:dyDescent="0.25" r="547" customHeight="1" ht="15.75">
      <c r="A547" s="123"/>
      <c r="B547" s="123"/>
      <c r="C547" s="124"/>
      <c r="D547" s="124"/>
      <c r="E547" s="124"/>
      <c r="F547" s="113"/>
      <c r="G547" s="113"/>
      <c r="H547" s="113"/>
      <c r="I547" s="113"/>
      <c r="J547" s="113"/>
      <c r="K547" s="113"/>
      <c r="L547" s="113"/>
      <c r="M547" s="113"/>
      <c r="N547" s="113"/>
      <c r="O547" s="124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</row>
    <row x14ac:dyDescent="0.25" r="548" customHeight="1" ht="15.75">
      <c r="A548" s="123"/>
      <c r="B548" s="123"/>
      <c r="C548" s="124"/>
      <c r="D548" s="124"/>
      <c r="E548" s="124"/>
      <c r="F548" s="113"/>
      <c r="G548" s="113"/>
      <c r="H548" s="113"/>
      <c r="I548" s="113"/>
      <c r="J548" s="113"/>
      <c r="K548" s="113"/>
      <c r="L548" s="113"/>
      <c r="M548" s="113"/>
      <c r="N548" s="113"/>
      <c r="O548" s="124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</row>
    <row x14ac:dyDescent="0.25" r="549" customHeight="1" ht="15.75">
      <c r="A549" s="123"/>
      <c r="B549" s="123"/>
      <c r="C549" s="124"/>
      <c r="D549" s="124"/>
      <c r="E549" s="124"/>
      <c r="F549" s="113"/>
      <c r="G549" s="113"/>
      <c r="H549" s="113"/>
      <c r="I549" s="113"/>
      <c r="J549" s="113"/>
      <c r="K549" s="113"/>
      <c r="L549" s="113"/>
      <c r="M549" s="113"/>
      <c r="N549" s="113"/>
      <c r="O549" s="124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</row>
    <row x14ac:dyDescent="0.25" r="550" customHeight="1" ht="15.75">
      <c r="A550" s="123"/>
      <c r="B550" s="123"/>
      <c r="C550" s="124"/>
      <c r="D550" s="124"/>
      <c r="E550" s="124"/>
      <c r="F550" s="113"/>
      <c r="G550" s="113"/>
      <c r="H550" s="113"/>
      <c r="I550" s="113"/>
      <c r="J550" s="113"/>
      <c r="K550" s="113"/>
      <c r="L550" s="113"/>
      <c r="M550" s="113"/>
      <c r="N550" s="113"/>
      <c r="O550" s="124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</row>
    <row x14ac:dyDescent="0.25" r="551" customHeight="1" ht="15.75">
      <c r="A551" s="123"/>
      <c r="B551" s="123"/>
      <c r="C551" s="124"/>
      <c r="D551" s="124"/>
      <c r="E551" s="124"/>
      <c r="F551" s="113"/>
      <c r="G551" s="113"/>
      <c r="H551" s="113"/>
      <c r="I551" s="113"/>
      <c r="J551" s="113"/>
      <c r="K551" s="113"/>
      <c r="L551" s="113"/>
      <c r="M551" s="113"/>
      <c r="N551" s="113"/>
      <c r="O551" s="124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</row>
    <row x14ac:dyDescent="0.25" r="552" customHeight="1" ht="15.75">
      <c r="A552" s="123"/>
      <c r="B552" s="123"/>
      <c r="C552" s="124"/>
      <c r="D552" s="124"/>
      <c r="E552" s="124"/>
      <c r="F552" s="113"/>
      <c r="G552" s="113"/>
      <c r="H552" s="113"/>
      <c r="I552" s="113"/>
      <c r="J552" s="113"/>
      <c r="K552" s="113"/>
      <c r="L552" s="113"/>
      <c r="M552" s="113"/>
      <c r="N552" s="113"/>
      <c r="O552" s="124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</row>
    <row x14ac:dyDescent="0.25" r="553" customHeight="1" ht="15.75">
      <c r="A553" s="123"/>
      <c r="B553" s="123"/>
      <c r="C553" s="124"/>
      <c r="D553" s="124"/>
      <c r="E553" s="124"/>
      <c r="F553" s="113"/>
      <c r="G553" s="113"/>
      <c r="H553" s="113"/>
      <c r="I553" s="113"/>
      <c r="J553" s="113"/>
      <c r="K553" s="113"/>
      <c r="L553" s="113"/>
      <c r="M553" s="113"/>
      <c r="N553" s="113"/>
      <c r="O553" s="124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</row>
    <row x14ac:dyDescent="0.25" r="554" customHeight="1" ht="15.75">
      <c r="A554" s="123"/>
      <c r="B554" s="123"/>
      <c r="C554" s="124"/>
      <c r="D554" s="124"/>
      <c r="E554" s="124"/>
      <c r="F554" s="113"/>
      <c r="G554" s="113"/>
      <c r="H554" s="113"/>
      <c r="I554" s="113"/>
      <c r="J554" s="113"/>
      <c r="K554" s="113"/>
      <c r="L554" s="113"/>
      <c r="M554" s="113"/>
      <c r="N554" s="113"/>
      <c r="O554" s="124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</row>
    <row x14ac:dyDescent="0.25" r="555" customHeight="1" ht="15.75">
      <c r="A555" s="123"/>
      <c r="B555" s="123"/>
      <c r="C555" s="124"/>
      <c r="D555" s="124"/>
      <c r="E555" s="124"/>
      <c r="F555" s="113"/>
      <c r="G555" s="113"/>
      <c r="H555" s="113"/>
      <c r="I555" s="113"/>
      <c r="J555" s="113"/>
      <c r="K555" s="113"/>
      <c r="L555" s="113"/>
      <c r="M555" s="113"/>
      <c r="N555" s="113"/>
      <c r="O555" s="124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</row>
    <row x14ac:dyDescent="0.25" r="556" customHeight="1" ht="15.75">
      <c r="A556" s="123"/>
      <c r="B556" s="123"/>
      <c r="C556" s="124"/>
      <c r="D556" s="124"/>
      <c r="E556" s="124"/>
      <c r="F556" s="113"/>
      <c r="G556" s="113"/>
      <c r="H556" s="113"/>
      <c r="I556" s="113"/>
      <c r="J556" s="113"/>
      <c r="K556" s="113"/>
      <c r="L556" s="113"/>
      <c r="M556" s="113"/>
      <c r="N556" s="113"/>
      <c r="O556" s="124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</row>
    <row x14ac:dyDescent="0.25" r="557" customHeight="1" ht="15.75">
      <c r="A557" s="123"/>
      <c r="B557" s="123"/>
      <c r="C557" s="124"/>
      <c r="D557" s="124"/>
      <c r="E557" s="124"/>
      <c r="F557" s="113"/>
      <c r="G557" s="113"/>
      <c r="H557" s="113"/>
      <c r="I557" s="113"/>
      <c r="J557" s="113"/>
      <c r="K557" s="113"/>
      <c r="L557" s="113"/>
      <c r="M557" s="113"/>
      <c r="N557" s="113"/>
      <c r="O557" s="124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</row>
    <row x14ac:dyDescent="0.25" r="558" customHeight="1" ht="15.75">
      <c r="A558" s="123"/>
      <c r="B558" s="123"/>
      <c r="C558" s="124"/>
      <c r="D558" s="124"/>
      <c r="E558" s="124"/>
      <c r="F558" s="113"/>
      <c r="G558" s="113"/>
      <c r="H558" s="113"/>
      <c r="I558" s="113"/>
      <c r="J558" s="113"/>
      <c r="K558" s="113"/>
      <c r="L558" s="113"/>
      <c r="M558" s="113"/>
      <c r="N558" s="113"/>
      <c r="O558" s="124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</row>
    <row x14ac:dyDescent="0.25" r="559" customHeight="1" ht="15.75">
      <c r="A559" s="123"/>
      <c r="B559" s="123"/>
      <c r="C559" s="124"/>
      <c r="D559" s="124"/>
      <c r="E559" s="124"/>
      <c r="F559" s="113"/>
      <c r="G559" s="113"/>
      <c r="H559" s="113"/>
      <c r="I559" s="113"/>
      <c r="J559" s="113"/>
      <c r="K559" s="113"/>
      <c r="L559" s="113"/>
      <c r="M559" s="113"/>
      <c r="N559" s="113"/>
      <c r="O559" s="124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</row>
    <row x14ac:dyDescent="0.25" r="560" customHeight="1" ht="15.75">
      <c r="A560" s="123"/>
      <c r="B560" s="123"/>
      <c r="C560" s="124"/>
      <c r="D560" s="124"/>
      <c r="E560" s="124"/>
      <c r="F560" s="113"/>
      <c r="G560" s="113"/>
      <c r="H560" s="113"/>
      <c r="I560" s="113"/>
      <c r="J560" s="113"/>
      <c r="K560" s="113"/>
      <c r="L560" s="113"/>
      <c r="M560" s="113"/>
      <c r="N560" s="113"/>
      <c r="O560" s="124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</row>
    <row x14ac:dyDescent="0.25" r="561" customHeight="1" ht="15.75">
      <c r="A561" s="123"/>
      <c r="B561" s="123"/>
      <c r="C561" s="124"/>
      <c r="D561" s="124"/>
      <c r="E561" s="124"/>
      <c r="F561" s="113"/>
      <c r="G561" s="113"/>
      <c r="H561" s="113"/>
      <c r="I561" s="113"/>
      <c r="J561" s="113"/>
      <c r="K561" s="113"/>
      <c r="L561" s="113"/>
      <c r="M561" s="113"/>
      <c r="N561" s="113"/>
      <c r="O561" s="124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</row>
    <row x14ac:dyDescent="0.25" r="562" customHeight="1" ht="15.75">
      <c r="A562" s="123"/>
      <c r="B562" s="123"/>
      <c r="C562" s="124"/>
      <c r="D562" s="124"/>
      <c r="E562" s="124"/>
      <c r="F562" s="113"/>
      <c r="G562" s="113"/>
      <c r="H562" s="113"/>
      <c r="I562" s="113"/>
      <c r="J562" s="113"/>
      <c r="K562" s="113"/>
      <c r="L562" s="113"/>
      <c r="M562" s="113"/>
      <c r="N562" s="113"/>
      <c r="O562" s="124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</row>
    <row x14ac:dyDescent="0.25" r="563" customHeight="1" ht="15.75">
      <c r="A563" s="123"/>
      <c r="B563" s="123"/>
      <c r="C563" s="124"/>
      <c r="D563" s="124"/>
      <c r="E563" s="124"/>
      <c r="F563" s="113"/>
      <c r="G563" s="113"/>
      <c r="H563" s="113"/>
      <c r="I563" s="113"/>
      <c r="J563" s="113"/>
      <c r="K563" s="113"/>
      <c r="L563" s="113"/>
      <c r="M563" s="113"/>
      <c r="N563" s="113"/>
      <c r="O563" s="124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</row>
    <row x14ac:dyDescent="0.25" r="564" customHeight="1" ht="15.75">
      <c r="A564" s="123"/>
      <c r="B564" s="123"/>
      <c r="C564" s="124"/>
      <c r="D564" s="124"/>
      <c r="E564" s="124"/>
      <c r="F564" s="113"/>
      <c r="G564" s="113"/>
      <c r="H564" s="113"/>
      <c r="I564" s="113"/>
      <c r="J564" s="113"/>
      <c r="K564" s="113"/>
      <c r="L564" s="113"/>
      <c r="M564" s="113"/>
      <c r="N564" s="113"/>
      <c r="O564" s="124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</row>
    <row x14ac:dyDescent="0.25" r="565" customHeight="1" ht="15.75">
      <c r="A565" s="123"/>
      <c r="B565" s="123"/>
      <c r="C565" s="124"/>
      <c r="D565" s="124"/>
      <c r="E565" s="124"/>
      <c r="F565" s="113"/>
      <c r="G565" s="113"/>
      <c r="H565" s="113"/>
      <c r="I565" s="113"/>
      <c r="J565" s="113"/>
      <c r="K565" s="113"/>
      <c r="L565" s="113"/>
      <c r="M565" s="113"/>
      <c r="N565" s="113"/>
      <c r="O565" s="124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</row>
    <row x14ac:dyDescent="0.25" r="566" customHeight="1" ht="15.75">
      <c r="A566" s="123"/>
      <c r="B566" s="123"/>
      <c r="C566" s="124"/>
      <c r="D566" s="124"/>
      <c r="E566" s="124"/>
      <c r="F566" s="113"/>
      <c r="G566" s="113"/>
      <c r="H566" s="113"/>
      <c r="I566" s="113"/>
      <c r="J566" s="113"/>
      <c r="K566" s="113"/>
      <c r="L566" s="113"/>
      <c r="M566" s="113"/>
      <c r="N566" s="113"/>
      <c r="O566" s="124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</row>
    <row x14ac:dyDescent="0.25" r="567" customHeight="1" ht="15.75">
      <c r="A567" s="123"/>
      <c r="B567" s="123"/>
      <c r="C567" s="124"/>
      <c r="D567" s="124"/>
      <c r="E567" s="124"/>
      <c r="F567" s="113"/>
      <c r="G567" s="113"/>
      <c r="H567" s="113"/>
      <c r="I567" s="113"/>
      <c r="J567" s="113"/>
      <c r="K567" s="113"/>
      <c r="L567" s="113"/>
      <c r="M567" s="113"/>
      <c r="N567" s="113"/>
      <c r="O567" s="124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</row>
    <row x14ac:dyDescent="0.25" r="568" customHeight="1" ht="15.75">
      <c r="A568" s="123"/>
      <c r="B568" s="123"/>
      <c r="C568" s="124"/>
      <c r="D568" s="124"/>
      <c r="E568" s="124"/>
      <c r="F568" s="113"/>
      <c r="G568" s="113"/>
      <c r="H568" s="113"/>
      <c r="I568" s="113"/>
      <c r="J568" s="113"/>
      <c r="K568" s="113"/>
      <c r="L568" s="113"/>
      <c r="M568" s="113"/>
      <c r="N568" s="113"/>
      <c r="O568" s="124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</row>
    <row x14ac:dyDescent="0.25" r="569" customHeight="1" ht="15.75">
      <c r="A569" s="123"/>
      <c r="B569" s="123"/>
      <c r="C569" s="124"/>
      <c r="D569" s="124"/>
      <c r="E569" s="124"/>
      <c r="F569" s="113"/>
      <c r="G569" s="113"/>
      <c r="H569" s="113"/>
      <c r="I569" s="113"/>
      <c r="J569" s="113"/>
      <c r="K569" s="113"/>
      <c r="L569" s="113"/>
      <c r="M569" s="113"/>
      <c r="N569" s="113"/>
      <c r="O569" s="124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</row>
    <row x14ac:dyDescent="0.25" r="570" customHeight="1" ht="15.75">
      <c r="A570" s="123"/>
      <c r="B570" s="123"/>
      <c r="C570" s="124"/>
      <c r="D570" s="124"/>
      <c r="E570" s="124"/>
      <c r="F570" s="113"/>
      <c r="G570" s="113"/>
      <c r="H570" s="113"/>
      <c r="I570" s="113"/>
      <c r="J570" s="113"/>
      <c r="K570" s="113"/>
      <c r="L570" s="113"/>
      <c r="M570" s="113"/>
      <c r="N570" s="113"/>
      <c r="O570" s="124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</row>
    <row x14ac:dyDescent="0.25" r="571" customHeight="1" ht="15.75">
      <c r="A571" s="123"/>
      <c r="B571" s="123"/>
      <c r="C571" s="124"/>
      <c r="D571" s="124"/>
      <c r="E571" s="124"/>
      <c r="F571" s="113"/>
      <c r="G571" s="113"/>
      <c r="H571" s="113"/>
      <c r="I571" s="113"/>
      <c r="J571" s="113"/>
      <c r="K571" s="113"/>
      <c r="L571" s="113"/>
      <c r="M571" s="113"/>
      <c r="N571" s="113"/>
      <c r="O571" s="124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</row>
    <row x14ac:dyDescent="0.25" r="572" customHeight="1" ht="15.75">
      <c r="A572" s="123"/>
      <c r="B572" s="123"/>
      <c r="C572" s="124"/>
      <c r="D572" s="124"/>
      <c r="E572" s="124"/>
      <c r="F572" s="113"/>
      <c r="G572" s="113"/>
      <c r="H572" s="113"/>
      <c r="I572" s="113"/>
      <c r="J572" s="113"/>
      <c r="K572" s="113"/>
      <c r="L572" s="113"/>
      <c r="M572" s="113"/>
      <c r="N572" s="113"/>
      <c r="O572" s="124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</row>
    <row x14ac:dyDescent="0.25" r="573" customHeight="1" ht="15.75">
      <c r="A573" s="123"/>
      <c r="B573" s="123"/>
      <c r="C573" s="124"/>
      <c r="D573" s="124"/>
      <c r="E573" s="124"/>
      <c r="F573" s="113"/>
      <c r="G573" s="113"/>
      <c r="H573" s="113"/>
      <c r="I573" s="113"/>
      <c r="J573" s="113"/>
      <c r="K573" s="113"/>
      <c r="L573" s="113"/>
      <c r="M573" s="113"/>
      <c r="N573" s="113"/>
      <c r="O573" s="124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</row>
    <row x14ac:dyDescent="0.25" r="574" customHeight="1" ht="15.75">
      <c r="A574" s="123"/>
      <c r="B574" s="123"/>
      <c r="C574" s="124"/>
      <c r="D574" s="124"/>
      <c r="E574" s="124"/>
      <c r="F574" s="113"/>
      <c r="G574" s="113"/>
      <c r="H574" s="113"/>
      <c r="I574" s="113"/>
      <c r="J574" s="113"/>
      <c r="K574" s="113"/>
      <c r="L574" s="113"/>
      <c r="M574" s="113"/>
      <c r="N574" s="113"/>
      <c r="O574" s="124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</row>
    <row x14ac:dyDescent="0.25" r="575" customHeight="1" ht="15.75">
      <c r="A575" s="123"/>
      <c r="B575" s="123"/>
      <c r="C575" s="124"/>
      <c r="D575" s="124"/>
      <c r="E575" s="124"/>
      <c r="F575" s="113"/>
      <c r="G575" s="113"/>
      <c r="H575" s="113"/>
      <c r="I575" s="113"/>
      <c r="J575" s="113"/>
      <c r="K575" s="113"/>
      <c r="L575" s="113"/>
      <c r="M575" s="113"/>
      <c r="N575" s="113"/>
      <c r="O575" s="124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</row>
    <row x14ac:dyDescent="0.25" r="576" customHeight="1" ht="15.75">
      <c r="A576" s="123"/>
      <c r="B576" s="123"/>
      <c r="C576" s="124"/>
      <c r="D576" s="124"/>
      <c r="E576" s="124"/>
      <c r="F576" s="113"/>
      <c r="G576" s="113"/>
      <c r="H576" s="113"/>
      <c r="I576" s="113"/>
      <c r="J576" s="113"/>
      <c r="K576" s="113"/>
      <c r="L576" s="113"/>
      <c r="M576" s="113"/>
      <c r="N576" s="113"/>
      <c r="O576" s="124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</row>
    <row x14ac:dyDescent="0.25" r="577" customHeight="1" ht="15.75">
      <c r="A577" s="123"/>
      <c r="B577" s="123"/>
      <c r="C577" s="124"/>
      <c r="D577" s="124"/>
      <c r="E577" s="124"/>
      <c r="F577" s="113"/>
      <c r="G577" s="113"/>
      <c r="H577" s="113"/>
      <c r="I577" s="113"/>
      <c r="J577" s="113"/>
      <c r="K577" s="113"/>
      <c r="L577" s="113"/>
      <c r="M577" s="113"/>
      <c r="N577" s="113"/>
      <c r="O577" s="124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</row>
    <row x14ac:dyDescent="0.25" r="578" customHeight="1" ht="15.75">
      <c r="A578" s="123"/>
      <c r="B578" s="123"/>
      <c r="C578" s="124"/>
      <c r="D578" s="124"/>
      <c r="E578" s="124"/>
      <c r="F578" s="113"/>
      <c r="G578" s="113"/>
      <c r="H578" s="113"/>
      <c r="I578" s="113"/>
      <c r="J578" s="113"/>
      <c r="K578" s="113"/>
      <c r="L578" s="113"/>
      <c r="M578" s="113"/>
      <c r="N578" s="113"/>
      <c r="O578" s="124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</row>
    <row x14ac:dyDescent="0.25" r="579" customHeight="1" ht="15.75">
      <c r="A579" s="123"/>
      <c r="B579" s="123"/>
      <c r="C579" s="124"/>
      <c r="D579" s="124"/>
      <c r="E579" s="124"/>
      <c r="F579" s="113"/>
      <c r="G579" s="113"/>
      <c r="H579" s="113"/>
      <c r="I579" s="113"/>
      <c r="J579" s="113"/>
      <c r="K579" s="113"/>
      <c r="L579" s="113"/>
      <c r="M579" s="113"/>
      <c r="N579" s="113"/>
      <c r="O579" s="124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</row>
    <row x14ac:dyDescent="0.25" r="580" customHeight="1" ht="15.75">
      <c r="A580" s="123"/>
      <c r="B580" s="123"/>
      <c r="C580" s="124"/>
      <c r="D580" s="124"/>
      <c r="E580" s="124"/>
      <c r="F580" s="113"/>
      <c r="G580" s="113"/>
      <c r="H580" s="113"/>
      <c r="I580" s="113"/>
      <c r="J580" s="113"/>
      <c r="K580" s="113"/>
      <c r="L580" s="113"/>
      <c r="M580" s="113"/>
      <c r="N580" s="113"/>
      <c r="O580" s="124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</row>
    <row x14ac:dyDescent="0.25" r="581" customHeight="1" ht="15.75">
      <c r="A581" s="123"/>
      <c r="B581" s="123"/>
      <c r="C581" s="124"/>
      <c r="D581" s="124"/>
      <c r="E581" s="124"/>
      <c r="F581" s="113"/>
      <c r="G581" s="113"/>
      <c r="H581" s="113"/>
      <c r="I581" s="113"/>
      <c r="J581" s="113"/>
      <c r="K581" s="113"/>
      <c r="L581" s="113"/>
      <c r="M581" s="113"/>
      <c r="N581" s="113"/>
      <c r="O581" s="124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</row>
    <row x14ac:dyDescent="0.25" r="582" customHeight="1" ht="15.75">
      <c r="A582" s="123"/>
      <c r="B582" s="123"/>
      <c r="C582" s="124"/>
      <c r="D582" s="124"/>
      <c r="E582" s="124"/>
      <c r="F582" s="113"/>
      <c r="G582" s="113"/>
      <c r="H582" s="113"/>
      <c r="I582" s="113"/>
      <c r="J582" s="113"/>
      <c r="K582" s="113"/>
      <c r="L582" s="113"/>
      <c r="M582" s="113"/>
      <c r="N582" s="113"/>
      <c r="O582" s="124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</row>
    <row x14ac:dyDescent="0.25" r="583" customHeight="1" ht="15.75">
      <c r="A583" s="123"/>
      <c r="B583" s="123"/>
      <c r="C583" s="124"/>
      <c r="D583" s="124"/>
      <c r="E583" s="124"/>
      <c r="F583" s="113"/>
      <c r="G583" s="113"/>
      <c r="H583" s="113"/>
      <c r="I583" s="113"/>
      <c r="J583" s="113"/>
      <c r="K583" s="113"/>
      <c r="L583" s="113"/>
      <c r="M583" s="113"/>
      <c r="N583" s="113"/>
      <c r="O583" s="124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</row>
    <row x14ac:dyDescent="0.25" r="584" customHeight="1" ht="15.75">
      <c r="A584" s="123"/>
      <c r="B584" s="123"/>
      <c r="C584" s="124"/>
      <c r="D584" s="124"/>
      <c r="E584" s="124"/>
      <c r="F584" s="113"/>
      <c r="G584" s="113"/>
      <c r="H584" s="113"/>
      <c r="I584" s="113"/>
      <c r="J584" s="113"/>
      <c r="K584" s="113"/>
      <c r="L584" s="113"/>
      <c r="M584" s="113"/>
      <c r="N584" s="113"/>
      <c r="O584" s="124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</row>
    <row x14ac:dyDescent="0.25" r="585" customHeight="1" ht="15.75">
      <c r="A585" s="123"/>
      <c r="B585" s="123"/>
      <c r="C585" s="124"/>
      <c r="D585" s="124"/>
      <c r="E585" s="124"/>
      <c r="F585" s="113"/>
      <c r="G585" s="113"/>
      <c r="H585" s="113"/>
      <c r="I585" s="113"/>
      <c r="J585" s="113"/>
      <c r="K585" s="113"/>
      <c r="L585" s="113"/>
      <c r="M585" s="113"/>
      <c r="N585" s="113"/>
      <c r="O585" s="124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</row>
    <row x14ac:dyDescent="0.25" r="586" customHeight="1" ht="15.75">
      <c r="A586" s="123"/>
      <c r="B586" s="123"/>
      <c r="C586" s="124"/>
      <c r="D586" s="124"/>
      <c r="E586" s="124"/>
      <c r="F586" s="113"/>
      <c r="G586" s="113"/>
      <c r="H586" s="113"/>
      <c r="I586" s="113"/>
      <c r="J586" s="113"/>
      <c r="K586" s="113"/>
      <c r="L586" s="113"/>
      <c r="M586" s="113"/>
      <c r="N586" s="113"/>
      <c r="O586" s="124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</row>
    <row x14ac:dyDescent="0.25" r="587" customHeight="1" ht="15.75">
      <c r="A587" s="123"/>
      <c r="B587" s="123"/>
      <c r="C587" s="124"/>
      <c r="D587" s="124"/>
      <c r="E587" s="124"/>
      <c r="F587" s="113"/>
      <c r="G587" s="113"/>
      <c r="H587" s="113"/>
      <c r="I587" s="113"/>
      <c r="J587" s="113"/>
      <c r="K587" s="113"/>
      <c r="L587" s="113"/>
      <c r="M587" s="113"/>
      <c r="N587" s="113"/>
      <c r="O587" s="124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</row>
    <row x14ac:dyDescent="0.25" r="588" customHeight="1" ht="15.75">
      <c r="A588" s="123"/>
      <c r="B588" s="123"/>
      <c r="C588" s="124"/>
      <c r="D588" s="124"/>
      <c r="E588" s="124"/>
      <c r="F588" s="113"/>
      <c r="G588" s="113"/>
      <c r="H588" s="113"/>
      <c r="I588" s="113"/>
      <c r="J588" s="113"/>
      <c r="K588" s="113"/>
      <c r="L588" s="113"/>
      <c r="M588" s="113"/>
      <c r="N588" s="113"/>
      <c r="O588" s="124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</row>
    <row x14ac:dyDescent="0.25" r="589" customHeight="1" ht="15.75">
      <c r="A589" s="123"/>
      <c r="B589" s="123"/>
      <c r="C589" s="124"/>
      <c r="D589" s="124"/>
      <c r="E589" s="124"/>
      <c r="F589" s="113"/>
      <c r="G589" s="113"/>
      <c r="H589" s="113"/>
      <c r="I589" s="113"/>
      <c r="J589" s="113"/>
      <c r="K589" s="113"/>
      <c r="L589" s="113"/>
      <c r="M589" s="113"/>
      <c r="N589" s="113"/>
      <c r="O589" s="124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</row>
    <row x14ac:dyDescent="0.25" r="590" customHeight="1" ht="15.75">
      <c r="A590" s="123"/>
      <c r="B590" s="123"/>
      <c r="C590" s="124"/>
      <c r="D590" s="124"/>
      <c r="E590" s="124"/>
      <c r="F590" s="113"/>
      <c r="G590" s="113"/>
      <c r="H590" s="113"/>
      <c r="I590" s="113"/>
      <c r="J590" s="113"/>
      <c r="K590" s="113"/>
      <c r="L590" s="113"/>
      <c r="M590" s="113"/>
      <c r="N590" s="113"/>
      <c r="O590" s="124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</row>
    <row x14ac:dyDescent="0.25" r="591" customHeight="1" ht="15.75">
      <c r="A591" s="123"/>
      <c r="B591" s="123"/>
      <c r="C591" s="124"/>
      <c r="D591" s="124"/>
      <c r="E591" s="124"/>
      <c r="F591" s="113"/>
      <c r="G591" s="113"/>
      <c r="H591" s="113"/>
      <c r="I591" s="113"/>
      <c r="J591" s="113"/>
      <c r="K591" s="113"/>
      <c r="L591" s="113"/>
      <c r="M591" s="113"/>
      <c r="N591" s="113"/>
      <c r="O591" s="124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</row>
    <row x14ac:dyDescent="0.25" r="592" customHeight="1" ht="15.75">
      <c r="A592" s="123"/>
      <c r="B592" s="123"/>
      <c r="C592" s="124"/>
      <c r="D592" s="124"/>
      <c r="E592" s="124"/>
      <c r="F592" s="113"/>
      <c r="G592" s="113"/>
      <c r="H592" s="113"/>
      <c r="I592" s="113"/>
      <c r="J592" s="113"/>
      <c r="K592" s="113"/>
      <c r="L592" s="113"/>
      <c r="M592" s="113"/>
      <c r="N592" s="113"/>
      <c r="O592" s="124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</row>
    <row x14ac:dyDescent="0.25" r="593" customHeight="1" ht="15.75">
      <c r="A593" s="123"/>
      <c r="B593" s="123"/>
      <c r="C593" s="124"/>
      <c r="D593" s="124"/>
      <c r="E593" s="124"/>
      <c r="F593" s="113"/>
      <c r="G593" s="113"/>
      <c r="H593" s="113"/>
      <c r="I593" s="113"/>
      <c r="J593" s="113"/>
      <c r="K593" s="113"/>
      <c r="L593" s="113"/>
      <c r="M593" s="113"/>
      <c r="N593" s="113"/>
      <c r="O593" s="124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</row>
    <row x14ac:dyDescent="0.25" r="594" customHeight="1" ht="15.75">
      <c r="A594" s="123"/>
      <c r="B594" s="123"/>
      <c r="C594" s="124"/>
      <c r="D594" s="124"/>
      <c r="E594" s="124"/>
      <c r="F594" s="113"/>
      <c r="G594" s="113"/>
      <c r="H594" s="113"/>
      <c r="I594" s="113"/>
      <c r="J594" s="113"/>
      <c r="K594" s="113"/>
      <c r="L594" s="113"/>
      <c r="M594" s="113"/>
      <c r="N594" s="113"/>
      <c r="O594" s="124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</row>
    <row x14ac:dyDescent="0.25" r="595" customHeight="1" ht="15.75">
      <c r="A595" s="123"/>
      <c r="B595" s="123"/>
      <c r="C595" s="124"/>
      <c r="D595" s="124"/>
      <c r="E595" s="124"/>
      <c r="F595" s="113"/>
      <c r="G595" s="113"/>
      <c r="H595" s="113"/>
      <c r="I595" s="113"/>
      <c r="J595" s="113"/>
      <c r="K595" s="113"/>
      <c r="L595" s="113"/>
      <c r="M595" s="113"/>
      <c r="N595" s="113"/>
      <c r="O595" s="124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</row>
    <row x14ac:dyDescent="0.25" r="596" customHeight="1" ht="15.75">
      <c r="A596" s="123"/>
      <c r="B596" s="123"/>
      <c r="C596" s="124"/>
      <c r="D596" s="124"/>
      <c r="E596" s="124"/>
      <c r="F596" s="113"/>
      <c r="G596" s="113"/>
      <c r="H596" s="113"/>
      <c r="I596" s="113"/>
      <c r="J596" s="113"/>
      <c r="K596" s="113"/>
      <c r="L596" s="113"/>
      <c r="M596" s="113"/>
      <c r="N596" s="113"/>
      <c r="O596" s="124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</row>
    <row x14ac:dyDescent="0.25" r="597" customHeight="1" ht="15.75">
      <c r="A597" s="123"/>
      <c r="B597" s="123"/>
      <c r="C597" s="124"/>
      <c r="D597" s="124"/>
      <c r="E597" s="124"/>
      <c r="F597" s="113"/>
      <c r="G597" s="113"/>
      <c r="H597" s="113"/>
      <c r="I597" s="113"/>
      <c r="J597" s="113"/>
      <c r="K597" s="113"/>
      <c r="L597" s="113"/>
      <c r="M597" s="113"/>
      <c r="N597" s="113"/>
      <c r="O597" s="124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</row>
    <row x14ac:dyDescent="0.25" r="598" customHeight="1" ht="15.75">
      <c r="A598" s="123"/>
      <c r="B598" s="123"/>
      <c r="C598" s="124"/>
      <c r="D598" s="124"/>
      <c r="E598" s="124"/>
      <c r="F598" s="113"/>
      <c r="G598" s="113"/>
      <c r="H598" s="113"/>
      <c r="I598" s="113"/>
      <c r="J598" s="113"/>
      <c r="K598" s="113"/>
      <c r="L598" s="113"/>
      <c r="M598" s="113"/>
      <c r="N598" s="113"/>
      <c r="O598" s="124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</row>
    <row x14ac:dyDescent="0.25" r="599" customHeight="1" ht="15.75">
      <c r="A599" s="123"/>
      <c r="B599" s="123"/>
      <c r="C599" s="124"/>
      <c r="D599" s="124"/>
      <c r="E599" s="124"/>
      <c r="F599" s="113"/>
      <c r="G599" s="113"/>
      <c r="H599" s="113"/>
      <c r="I599" s="113"/>
      <c r="J599" s="113"/>
      <c r="K599" s="113"/>
      <c r="L599" s="113"/>
      <c r="M599" s="113"/>
      <c r="N599" s="113"/>
      <c r="O599" s="124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</row>
    <row x14ac:dyDescent="0.25" r="600" customHeight="1" ht="15.75">
      <c r="A600" s="123"/>
      <c r="B600" s="123"/>
      <c r="C600" s="124"/>
      <c r="D600" s="124"/>
      <c r="E600" s="124"/>
      <c r="F600" s="113"/>
      <c r="G600" s="113"/>
      <c r="H600" s="113"/>
      <c r="I600" s="113"/>
      <c r="J600" s="113"/>
      <c r="K600" s="113"/>
      <c r="L600" s="113"/>
      <c r="M600" s="113"/>
      <c r="N600" s="113"/>
      <c r="O600" s="124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</row>
    <row x14ac:dyDescent="0.25" r="601" customHeight="1" ht="15.75">
      <c r="A601" s="123"/>
      <c r="B601" s="123"/>
      <c r="C601" s="124"/>
      <c r="D601" s="124"/>
      <c r="E601" s="124"/>
      <c r="F601" s="113"/>
      <c r="G601" s="113"/>
      <c r="H601" s="113"/>
      <c r="I601" s="113"/>
      <c r="J601" s="113"/>
      <c r="K601" s="113"/>
      <c r="L601" s="113"/>
      <c r="M601" s="113"/>
      <c r="N601" s="113"/>
      <c r="O601" s="124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</row>
    <row x14ac:dyDescent="0.25" r="602" customHeight="1" ht="15.75">
      <c r="A602" s="123"/>
      <c r="B602" s="123"/>
      <c r="C602" s="124"/>
      <c r="D602" s="124"/>
      <c r="E602" s="124"/>
      <c r="F602" s="113"/>
      <c r="G602" s="113"/>
      <c r="H602" s="113"/>
      <c r="I602" s="113"/>
      <c r="J602" s="113"/>
      <c r="K602" s="113"/>
      <c r="L602" s="113"/>
      <c r="M602" s="113"/>
      <c r="N602" s="113"/>
      <c r="O602" s="124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</row>
    <row x14ac:dyDescent="0.25" r="603" customHeight="1" ht="15.75">
      <c r="A603" s="123"/>
      <c r="B603" s="123"/>
      <c r="C603" s="124"/>
      <c r="D603" s="124"/>
      <c r="E603" s="124"/>
      <c r="F603" s="113"/>
      <c r="G603" s="113"/>
      <c r="H603" s="113"/>
      <c r="I603" s="113"/>
      <c r="J603" s="113"/>
      <c r="K603" s="113"/>
      <c r="L603" s="113"/>
      <c r="M603" s="113"/>
      <c r="N603" s="113"/>
      <c r="O603" s="124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</row>
    <row x14ac:dyDescent="0.25" r="604" customHeight="1" ht="15.75">
      <c r="A604" s="123"/>
      <c r="B604" s="123"/>
      <c r="C604" s="124"/>
      <c r="D604" s="124"/>
      <c r="E604" s="124"/>
      <c r="F604" s="113"/>
      <c r="G604" s="113"/>
      <c r="H604" s="113"/>
      <c r="I604" s="113"/>
      <c r="J604" s="113"/>
      <c r="K604" s="113"/>
      <c r="L604" s="113"/>
      <c r="M604" s="113"/>
      <c r="N604" s="113"/>
      <c r="O604" s="124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</row>
    <row x14ac:dyDescent="0.25" r="605" customHeight="1" ht="15.75">
      <c r="A605" s="123"/>
      <c r="B605" s="123"/>
      <c r="C605" s="124"/>
      <c r="D605" s="124"/>
      <c r="E605" s="124"/>
      <c r="F605" s="113"/>
      <c r="G605" s="113"/>
      <c r="H605" s="113"/>
      <c r="I605" s="113"/>
      <c r="J605" s="113"/>
      <c r="K605" s="113"/>
      <c r="L605" s="113"/>
      <c r="M605" s="113"/>
      <c r="N605" s="113"/>
      <c r="O605" s="124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</row>
    <row x14ac:dyDescent="0.25" r="606" customHeight="1" ht="15.75">
      <c r="A606" s="123"/>
      <c r="B606" s="123"/>
      <c r="C606" s="124"/>
      <c r="D606" s="124"/>
      <c r="E606" s="124"/>
      <c r="F606" s="113"/>
      <c r="G606" s="113"/>
      <c r="H606" s="113"/>
      <c r="I606" s="113"/>
      <c r="J606" s="113"/>
      <c r="K606" s="113"/>
      <c r="L606" s="113"/>
      <c r="M606" s="113"/>
      <c r="N606" s="113"/>
      <c r="O606" s="124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</row>
    <row x14ac:dyDescent="0.25" r="607" customHeight="1" ht="15.75">
      <c r="A607" s="123"/>
      <c r="B607" s="123"/>
      <c r="C607" s="124"/>
      <c r="D607" s="124"/>
      <c r="E607" s="124"/>
      <c r="F607" s="113"/>
      <c r="G607" s="113"/>
      <c r="H607" s="113"/>
      <c r="I607" s="113"/>
      <c r="J607" s="113"/>
      <c r="K607" s="113"/>
      <c r="L607" s="113"/>
      <c r="M607" s="113"/>
      <c r="N607" s="113"/>
      <c r="O607" s="124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</row>
    <row x14ac:dyDescent="0.25" r="608" customHeight="1" ht="15.75">
      <c r="A608" s="123"/>
      <c r="B608" s="123"/>
      <c r="C608" s="124"/>
      <c r="D608" s="124"/>
      <c r="E608" s="124"/>
      <c r="F608" s="113"/>
      <c r="G608" s="113"/>
      <c r="H608" s="113"/>
      <c r="I608" s="113"/>
      <c r="J608" s="113"/>
      <c r="K608" s="113"/>
      <c r="L608" s="113"/>
      <c r="M608" s="113"/>
      <c r="N608" s="113"/>
      <c r="O608" s="124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</row>
    <row x14ac:dyDescent="0.25" r="609" customHeight="1" ht="15.75">
      <c r="A609" s="123"/>
      <c r="B609" s="123"/>
      <c r="C609" s="124"/>
      <c r="D609" s="124"/>
      <c r="E609" s="124"/>
      <c r="F609" s="113"/>
      <c r="G609" s="113"/>
      <c r="H609" s="113"/>
      <c r="I609" s="113"/>
      <c r="J609" s="113"/>
      <c r="K609" s="113"/>
      <c r="L609" s="113"/>
      <c r="M609" s="113"/>
      <c r="N609" s="113"/>
      <c r="O609" s="124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</row>
    <row x14ac:dyDescent="0.25" r="610" customHeight="1" ht="15.75">
      <c r="A610" s="123"/>
      <c r="B610" s="123"/>
      <c r="C610" s="124"/>
      <c r="D610" s="124"/>
      <c r="E610" s="124"/>
      <c r="F610" s="113"/>
      <c r="G610" s="113"/>
      <c r="H610" s="113"/>
      <c r="I610" s="113"/>
      <c r="J610" s="113"/>
      <c r="K610" s="113"/>
      <c r="L610" s="113"/>
      <c r="M610" s="113"/>
      <c r="N610" s="113"/>
      <c r="O610" s="124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</row>
    <row x14ac:dyDescent="0.25" r="611" customHeight="1" ht="15.75">
      <c r="A611" s="123"/>
      <c r="B611" s="123"/>
      <c r="C611" s="124"/>
      <c r="D611" s="124"/>
      <c r="E611" s="124"/>
      <c r="F611" s="113"/>
      <c r="G611" s="113"/>
      <c r="H611" s="113"/>
      <c r="I611" s="113"/>
      <c r="J611" s="113"/>
      <c r="K611" s="113"/>
      <c r="L611" s="113"/>
      <c r="M611" s="113"/>
      <c r="N611" s="113"/>
      <c r="O611" s="124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</row>
    <row x14ac:dyDescent="0.25" r="612" customHeight="1" ht="15.75">
      <c r="A612" s="123"/>
      <c r="B612" s="123"/>
      <c r="C612" s="124"/>
      <c r="D612" s="124"/>
      <c r="E612" s="124"/>
      <c r="F612" s="113"/>
      <c r="G612" s="113"/>
      <c r="H612" s="113"/>
      <c r="I612" s="113"/>
      <c r="J612" s="113"/>
      <c r="K612" s="113"/>
      <c r="L612" s="113"/>
      <c r="M612" s="113"/>
      <c r="N612" s="113"/>
      <c r="O612" s="124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</row>
    <row x14ac:dyDescent="0.25" r="613" customHeight="1" ht="15.75">
      <c r="A613" s="123"/>
      <c r="B613" s="123"/>
      <c r="C613" s="124"/>
      <c r="D613" s="124"/>
      <c r="E613" s="124"/>
      <c r="F613" s="113"/>
      <c r="G613" s="113"/>
      <c r="H613" s="113"/>
      <c r="I613" s="113"/>
      <c r="J613" s="113"/>
      <c r="K613" s="113"/>
      <c r="L613" s="113"/>
      <c r="M613" s="113"/>
      <c r="N613" s="113"/>
      <c r="O613" s="124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</row>
    <row x14ac:dyDescent="0.25" r="614" customHeight="1" ht="15.75">
      <c r="A614" s="123"/>
      <c r="B614" s="123"/>
      <c r="C614" s="124"/>
      <c r="D614" s="124"/>
      <c r="E614" s="124"/>
      <c r="F614" s="113"/>
      <c r="G614" s="113"/>
      <c r="H614" s="113"/>
      <c r="I614" s="113"/>
      <c r="J614" s="113"/>
      <c r="K614" s="113"/>
      <c r="L614" s="113"/>
      <c r="M614" s="113"/>
      <c r="N614" s="113"/>
      <c r="O614" s="124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</row>
    <row x14ac:dyDescent="0.25" r="615" customHeight="1" ht="15.75">
      <c r="A615" s="123"/>
      <c r="B615" s="123"/>
      <c r="C615" s="124"/>
      <c r="D615" s="124"/>
      <c r="E615" s="124"/>
      <c r="F615" s="113"/>
      <c r="G615" s="113"/>
      <c r="H615" s="113"/>
      <c r="I615" s="113"/>
      <c r="J615" s="113"/>
      <c r="K615" s="113"/>
      <c r="L615" s="113"/>
      <c r="M615" s="113"/>
      <c r="N615" s="113"/>
      <c r="O615" s="124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</row>
    <row x14ac:dyDescent="0.25" r="616" customHeight="1" ht="15.75">
      <c r="A616" s="123"/>
      <c r="B616" s="123"/>
      <c r="C616" s="124"/>
      <c r="D616" s="124"/>
      <c r="E616" s="124"/>
      <c r="F616" s="113"/>
      <c r="G616" s="113"/>
      <c r="H616" s="113"/>
      <c r="I616" s="113"/>
      <c r="J616" s="113"/>
      <c r="K616" s="113"/>
      <c r="L616" s="113"/>
      <c r="M616" s="113"/>
      <c r="N616" s="113"/>
      <c r="O616" s="124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</row>
    <row x14ac:dyDescent="0.25" r="617" customHeight="1" ht="15.75">
      <c r="A617" s="123"/>
      <c r="B617" s="123"/>
      <c r="C617" s="124"/>
      <c r="D617" s="124"/>
      <c r="E617" s="124"/>
      <c r="F617" s="113"/>
      <c r="G617" s="113"/>
      <c r="H617" s="113"/>
      <c r="I617" s="113"/>
      <c r="J617" s="113"/>
      <c r="K617" s="113"/>
      <c r="L617" s="113"/>
      <c r="M617" s="113"/>
      <c r="N617" s="113"/>
      <c r="O617" s="124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</row>
    <row x14ac:dyDescent="0.25" r="618" customHeight="1" ht="15.75">
      <c r="A618" s="123"/>
      <c r="B618" s="123"/>
      <c r="C618" s="124"/>
      <c r="D618" s="124"/>
      <c r="E618" s="124"/>
      <c r="F618" s="113"/>
      <c r="G618" s="113"/>
      <c r="H618" s="113"/>
      <c r="I618" s="113"/>
      <c r="J618" s="113"/>
      <c r="K618" s="113"/>
      <c r="L618" s="113"/>
      <c r="M618" s="113"/>
      <c r="N618" s="113"/>
      <c r="O618" s="124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</row>
    <row x14ac:dyDescent="0.25" r="619" customHeight="1" ht="15.75">
      <c r="A619" s="123"/>
      <c r="B619" s="123"/>
      <c r="C619" s="124"/>
      <c r="D619" s="124"/>
      <c r="E619" s="124"/>
      <c r="F619" s="113"/>
      <c r="G619" s="113"/>
      <c r="H619" s="113"/>
      <c r="I619" s="113"/>
      <c r="J619" s="113"/>
      <c r="K619" s="113"/>
      <c r="L619" s="113"/>
      <c r="M619" s="113"/>
      <c r="N619" s="113"/>
      <c r="O619" s="124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</row>
    <row x14ac:dyDescent="0.25" r="620" customHeight="1" ht="15.75">
      <c r="A620" s="123"/>
      <c r="B620" s="123"/>
      <c r="C620" s="124"/>
      <c r="D620" s="124"/>
      <c r="E620" s="124"/>
      <c r="F620" s="113"/>
      <c r="G620" s="113"/>
      <c r="H620" s="113"/>
      <c r="I620" s="113"/>
      <c r="J620" s="113"/>
      <c r="K620" s="113"/>
      <c r="L620" s="113"/>
      <c r="M620" s="113"/>
      <c r="N620" s="113"/>
      <c r="O620" s="124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</row>
    <row x14ac:dyDescent="0.25" r="621" customHeight="1" ht="15.75">
      <c r="A621" s="123"/>
      <c r="B621" s="123"/>
      <c r="C621" s="124"/>
      <c r="D621" s="124"/>
      <c r="E621" s="124"/>
      <c r="F621" s="113"/>
      <c r="G621" s="113"/>
      <c r="H621" s="113"/>
      <c r="I621" s="113"/>
      <c r="J621" s="113"/>
      <c r="K621" s="113"/>
      <c r="L621" s="113"/>
      <c r="M621" s="113"/>
      <c r="N621" s="113"/>
      <c r="O621" s="124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</row>
    <row x14ac:dyDescent="0.25" r="622" customHeight="1" ht="15.75">
      <c r="A622" s="123"/>
      <c r="B622" s="123"/>
      <c r="C622" s="124"/>
      <c r="D622" s="124"/>
      <c r="E622" s="124"/>
      <c r="F622" s="113"/>
      <c r="G622" s="113"/>
      <c r="H622" s="113"/>
      <c r="I622" s="113"/>
      <c r="J622" s="113"/>
      <c r="K622" s="113"/>
      <c r="L622" s="113"/>
      <c r="M622" s="113"/>
      <c r="N622" s="113"/>
      <c r="O622" s="124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</row>
    <row x14ac:dyDescent="0.25" r="623" customHeight="1" ht="15.75">
      <c r="A623" s="123"/>
      <c r="B623" s="123"/>
      <c r="C623" s="124"/>
      <c r="D623" s="124"/>
      <c r="E623" s="124"/>
      <c r="F623" s="113"/>
      <c r="G623" s="113"/>
      <c r="H623" s="113"/>
      <c r="I623" s="113"/>
      <c r="J623" s="113"/>
      <c r="K623" s="113"/>
      <c r="L623" s="113"/>
      <c r="M623" s="113"/>
      <c r="N623" s="113"/>
      <c r="O623" s="124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</row>
    <row x14ac:dyDescent="0.25" r="624" customHeight="1" ht="15.75">
      <c r="A624" s="123"/>
      <c r="B624" s="123"/>
      <c r="C624" s="124"/>
      <c r="D624" s="124"/>
      <c r="E624" s="124"/>
      <c r="F624" s="113"/>
      <c r="G624" s="113"/>
      <c r="H624" s="113"/>
      <c r="I624" s="113"/>
      <c r="J624" s="113"/>
      <c r="K624" s="113"/>
      <c r="L624" s="113"/>
      <c r="M624" s="113"/>
      <c r="N624" s="113"/>
      <c r="O624" s="124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</row>
    <row x14ac:dyDescent="0.25" r="625" customHeight="1" ht="15.75">
      <c r="A625" s="123"/>
      <c r="B625" s="123"/>
      <c r="C625" s="124"/>
      <c r="D625" s="124"/>
      <c r="E625" s="124"/>
      <c r="F625" s="113"/>
      <c r="G625" s="113"/>
      <c r="H625" s="113"/>
      <c r="I625" s="113"/>
      <c r="J625" s="113"/>
      <c r="K625" s="113"/>
      <c r="L625" s="113"/>
      <c r="M625" s="113"/>
      <c r="N625" s="113"/>
      <c r="O625" s="124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</row>
    <row x14ac:dyDescent="0.25" r="626" customHeight="1" ht="15.75">
      <c r="A626" s="123"/>
      <c r="B626" s="123"/>
      <c r="C626" s="124"/>
      <c r="D626" s="124"/>
      <c r="E626" s="124"/>
      <c r="F626" s="113"/>
      <c r="G626" s="113"/>
      <c r="H626" s="113"/>
      <c r="I626" s="113"/>
      <c r="J626" s="113"/>
      <c r="K626" s="113"/>
      <c r="L626" s="113"/>
      <c r="M626" s="113"/>
      <c r="N626" s="113"/>
      <c r="O626" s="124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</row>
    <row x14ac:dyDescent="0.25" r="627" customHeight="1" ht="15.75">
      <c r="A627" s="123"/>
      <c r="B627" s="123"/>
      <c r="C627" s="124"/>
      <c r="D627" s="124"/>
      <c r="E627" s="124"/>
      <c r="F627" s="113"/>
      <c r="G627" s="113"/>
      <c r="H627" s="113"/>
      <c r="I627" s="113"/>
      <c r="J627" s="113"/>
      <c r="K627" s="113"/>
      <c r="L627" s="113"/>
      <c r="M627" s="113"/>
      <c r="N627" s="113"/>
      <c r="O627" s="124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</row>
    <row x14ac:dyDescent="0.25" r="628" customHeight="1" ht="15.75">
      <c r="A628" s="123"/>
      <c r="B628" s="123"/>
      <c r="C628" s="124"/>
      <c r="D628" s="124"/>
      <c r="E628" s="124"/>
      <c r="F628" s="113"/>
      <c r="G628" s="113"/>
      <c r="H628" s="113"/>
      <c r="I628" s="113"/>
      <c r="J628" s="113"/>
      <c r="K628" s="113"/>
      <c r="L628" s="113"/>
      <c r="M628" s="113"/>
      <c r="N628" s="113"/>
      <c r="O628" s="124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</row>
    <row x14ac:dyDescent="0.25" r="629" customHeight="1" ht="15.75">
      <c r="A629" s="123"/>
      <c r="B629" s="123"/>
      <c r="C629" s="124"/>
      <c r="D629" s="124"/>
      <c r="E629" s="124"/>
      <c r="F629" s="113"/>
      <c r="G629" s="113"/>
      <c r="H629" s="113"/>
      <c r="I629" s="113"/>
      <c r="J629" s="113"/>
      <c r="K629" s="113"/>
      <c r="L629" s="113"/>
      <c r="M629" s="113"/>
      <c r="N629" s="113"/>
      <c r="O629" s="124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</row>
    <row x14ac:dyDescent="0.25" r="630" customHeight="1" ht="15.75">
      <c r="A630" s="123"/>
      <c r="B630" s="123"/>
      <c r="C630" s="124"/>
      <c r="D630" s="124"/>
      <c r="E630" s="124"/>
      <c r="F630" s="113"/>
      <c r="G630" s="113"/>
      <c r="H630" s="113"/>
      <c r="I630" s="113"/>
      <c r="J630" s="113"/>
      <c r="K630" s="113"/>
      <c r="L630" s="113"/>
      <c r="M630" s="113"/>
      <c r="N630" s="113"/>
      <c r="O630" s="124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</row>
    <row x14ac:dyDescent="0.25" r="631" customHeight="1" ht="15.75">
      <c r="A631" s="123"/>
      <c r="B631" s="123"/>
      <c r="C631" s="124"/>
      <c r="D631" s="124"/>
      <c r="E631" s="124"/>
      <c r="F631" s="113"/>
      <c r="G631" s="113"/>
      <c r="H631" s="113"/>
      <c r="I631" s="113"/>
      <c r="J631" s="113"/>
      <c r="K631" s="113"/>
      <c r="L631" s="113"/>
      <c r="M631" s="113"/>
      <c r="N631" s="113"/>
      <c r="O631" s="124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</row>
    <row x14ac:dyDescent="0.25" r="632" customHeight="1" ht="15.75">
      <c r="A632" s="123"/>
      <c r="B632" s="123"/>
      <c r="C632" s="124"/>
      <c r="D632" s="124"/>
      <c r="E632" s="124"/>
      <c r="F632" s="113"/>
      <c r="G632" s="113"/>
      <c r="H632" s="113"/>
      <c r="I632" s="113"/>
      <c r="J632" s="113"/>
      <c r="K632" s="113"/>
      <c r="L632" s="113"/>
      <c r="M632" s="113"/>
      <c r="N632" s="113"/>
      <c r="O632" s="124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</row>
    <row x14ac:dyDescent="0.25" r="633" customHeight="1" ht="15.75">
      <c r="A633" s="123"/>
      <c r="B633" s="123"/>
      <c r="C633" s="124"/>
      <c r="D633" s="124"/>
      <c r="E633" s="124"/>
      <c r="F633" s="113"/>
      <c r="G633" s="113"/>
      <c r="H633" s="113"/>
      <c r="I633" s="113"/>
      <c r="J633" s="113"/>
      <c r="K633" s="113"/>
      <c r="L633" s="113"/>
      <c r="M633" s="113"/>
      <c r="N633" s="113"/>
      <c r="O633" s="124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</row>
    <row x14ac:dyDescent="0.25" r="634" customHeight="1" ht="15.75">
      <c r="A634" s="123"/>
      <c r="B634" s="123"/>
      <c r="C634" s="124"/>
      <c r="D634" s="124"/>
      <c r="E634" s="124"/>
      <c r="F634" s="113"/>
      <c r="G634" s="113"/>
      <c r="H634" s="113"/>
      <c r="I634" s="113"/>
      <c r="J634" s="113"/>
      <c r="K634" s="113"/>
      <c r="L634" s="113"/>
      <c r="M634" s="113"/>
      <c r="N634" s="113"/>
      <c r="O634" s="124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</row>
    <row x14ac:dyDescent="0.25" r="635" customHeight="1" ht="15.75">
      <c r="A635" s="123"/>
      <c r="B635" s="123"/>
      <c r="C635" s="124"/>
      <c r="D635" s="124"/>
      <c r="E635" s="124"/>
      <c r="F635" s="113"/>
      <c r="G635" s="113"/>
      <c r="H635" s="113"/>
      <c r="I635" s="113"/>
      <c r="J635" s="113"/>
      <c r="K635" s="113"/>
      <c r="L635" s="113"/>
      <c r="M635" s="113"/>
      <c r="N635" s="113"/>
      <c r="O635" s="124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</row>
    <row x14ac:dyDescent="0.25" r="636" customHeight="1" ht="15.75">
      <c r="A636" s="123"/>
      <c r="B636" s="123"/>
      <c r="C636" s="124"/>
      <c r="D636" s="124"/>
      <c r="E636" s="124"/>
      <c r="F636" s="113"/>
      <c r="G636" s="113"/>
      <c r="H636" s="113"/>
      <c r="I636" s="113"/>
      <c r="J636" s="113"/>
      <c r="K636" s="113"/>
      <c r="L636" s="113"/>
      <c r="M636" s="113"/>
      <c r="N636" s="113"/>
      <c r="O636" s="124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</row>
    <row x14ac:dyDescent="0.25" r="637" customHeight="1" ht="15.75">
      <c r="A637" s="123"/>
      <c r="B637" s="123"/>
      <c r="C637" s="124"/>
      <c r="D637" s="124"/>
      <c r="E637" s="124"/>
      <c r="F637" s="113"/>
      <c r="G637" s="113"/>
      <c r="H637" s="113"/>
      <c r="I637" s="113"/>
      <c r="J637" s="113"/>
      <c r="K637" s="113"/>
      <c r="L637" s="113"/>
      <c r="M637" s="113"/>
      <c r="N637" s="113"/>
      <c r="O637" s="124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</row>
    <row x14ac:dyDescent="0.25" r="638" customHeight="1" ht="15.75">
      <c r="A638" s="123"/>
      <c r="B638" s="123"/>
      <c r="C638" s="124"/>
      <c r="D638" s="124"/>
      <c r="E638" s="124"/>
      <c r="F638" s="113"/>
      <c r="G638" s="113"/>
      <c r="H638" s="113"/>
      <c r="I638" s="113"/>
      <c r="J638" s="113"/>
      <c r="K638" s="113"/>
      <c r="L638" s="113"/>
      <c r="M638" s="113"/>
      <c r="N638" s="113"/>
      <c r="O638" s="124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</row>
    <row x14ac:dyDescent="0.25" r="639" customHeight="1" ht="15.75">
      <c r="A639" s="123"/>
      <c r="B639" s="123"/>
      <c r="C639" s="124"/>
      <c r="D639" s="124"/>
      <c r="E639" s="124"/>
      <c r="F639" s="113"/>
      <c r="G639" s="113"/>
      <c r="H639" s="113"/>
      <c r="I639" s="113"/>
      <c r="J639" s="113"/>
      <c r="K639" s="113"/>
      <c r="L639" s="113"/>
      <c r="M639" s="113"/>
      <c r="N639" s="113"/>
      <c r="O639" s="124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</row>
    <row x14ac:dyDescent="0.25" r="640" customHeight="1" ht="15.75">
      <c r="A640" s="123"/>
      <c r="B640" s="123"/>
      <c r="C640" s="124"/>
      <c r="D640" s="124"/>
      <c r="E640" s="124"/>
      <c r="F640" s="113"/>
      <c r="G640" s="113"/>
      <c r="H640" s="113"/>
      <c r="I640" s="113"/>
      <c r="J640" s="113"/>
      <c r="K640" s="113"/>
      <c r="L640" s="113"/>
      <c r="M640" s="113"/>
      <c r="N640" s="113"/>
      <c r="O640" s="124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</row>
    <row x14ac:dyDescent="0.25" r="641" customHeight="1" ht="15.75">
      <c r="A641" s="123"/>
      <c r="B641" s="123"/>
      <c r="C641" s="124"/>
      <c r="D641" s="124"/>
      <c r="E641" s="124"/>
      <c r="F641" s="113"/>
      <c r="G641" s="113"/>
      <c r="H641" s="113"/>
      <c r="I641" s="113"/>
      <c r="J641" s="113"/>
      <c r="K641" s="113"/>
      <c r="L641" s="113"/>
      <c r="M641" s="113"/>
      <c r="N641" s="113"/>
      <c r="O641" s="124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</row>
    <row x14ac:dyDescent="0.25" r="642" customHeight="1" ht="15.75">
      <c r="A642" s="123"/>
      <c r="B642" s="123"/>
      <c r="C642" s="124"/>
      <c r="D642" s="124"/>
      <c r="E642" s="124"/>
      <c r="F642" s="113"/>
      <c r="G642" s="113"/>
      <c r="H642" s="113"/>
      <c r="I642" s="113"/>
      <c r="J642" s="113"/>
      <c r="K642" s="113"/>
      <c r="L642" s="113"/>
      <c r="M642" s="113"/>
      <c r="N642" s="113"/>
      <c r="O642" s="124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</row>
    <row x14ac:dyDescent="0.25" r="643" customHeight="1" ht="15.75">
      <c r="A643" s="123"/>
      <c r="B643" s="123"/>
      <c r="C643" s="124"/>
      <c r="D643" s="124"/>
      <c r="E643" s="124"/>
      <c r="F643" s="113"/>
      <c r="G643" s="113"/>
      <c r="H643" s="113"/>
      <c r="I643" s="113"/>
      <c r="J643" s="113"/>
      <c r="K643" s="113"/>
      <c r="L643" s="113"/>
      <c r="M643" s="113"/>
      <c r="N643" s="113"/>
      <c r="O643" s="124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</row>
    <row x14ac:dyDescent="0.25" r="644" customHeight="1" ht="15.75">
      <c r="A644" s="123"/>
      <c r="B644" s="123"/>
      <c r="C644" s="124"/>
      <c r="D644" s="124"/>
      <c r="E644" s="124"/>
      <c r="F644" s="113"/>
      <c r="G644" s="113"/>
      <c r="H644" s="113"/>
      <c r="I644" s="113"/>
      <c r="J644" s="113"/>
      <c r="K644" s="113"/>
      <c r="L644" s="113"/>
      <c r="M644" s="113"/>
      <c r="N644" s="113"/>
      <c r="O644" s="124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</row>
    <row x14ac:dyDescent="0.25" r="645" customHeight="1" ht="15.75">
      <c r="A645" s="123"/>
      <c r="B645" s="123"/>
      <c r="C645" s="124"/>
      <c r="D645" s="124"/>
      <c r="E645" s="124"/>
      <c r="F645" s="113"/>
      <c r="G645" s="113"/>
      <c r="H645" s="113"/>
      <c r="I645" s="113"/>
      <c r="J645" s="113"/>
      <c r="K645" s="113"/>
      <c r="L645" s="113"/>
      <c r="M645" s="113"/>
      <c r="N645" s="113"/>
      <c r="O645" s="124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</row>
    <row x14ac:dyDescent="0.25" r="646" customHeight="1" ht="15.75">
      <c r="A646" s="123"/>
      <c r="B646" s="123"/>
      <c r="C646" s="124"/>
      <c r="D646" s="124"/>
      <c r="E646" s="124"/>
      <c r="F646" s="113"/>
      <c r="G646" s="113"/>
      <c r="H646" s="113"/>
      <c r="I646" s="113"/>
      <c r="J646" s="113"/>
      <c r="K646" s="113"/>
      <c r="L646" s="113"/>
      <c r="M646" s="113"/>
      <c r="N646" s="113"/>
      <c r="O646" s="124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</row>
    <row x14ac:dyDescent="0.25" r="647" customHeight="1" ht="15.75">
      <c r="A647" s="123"/>
      <c r="B647" s="123"/>
      <c r="C647" s="124"/>
      <c r="D647" s="124"/>
      <c r="E647" s="124"/>
      <c r="F647" s="113"/>
      <c r="G647" s="113"/>
      <c r="H647" s="113"/>
      <c r="I647" s="113"/>
      <c r="J647" s="113"/>
      <c r="K647" s="113"/>
      <c r="L647" s="113"/>
      <c r="M647" s="113"/>
      <c r="N647" s="113"/>
      <c r="O647" s="124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</row>
    <row x14ac:dyDescent="0.25" r="648" customHeight="1" ht="15.75">
      <c r="A648" s="123"/>
      <c r="B648" s="123"/>
      <c r="C648" s="124"/>
      <c r="D648" s="124"/>
      <c r="E648" s="124"/>
      <c r="F648" s="113"/>
      <c r="G648" s="113"/>
      <c r="H648" s="113"/>
      <c r="I648" s="113"/>
      <c r="J648" s="113"/>
      <c r="K648" s="113"/>
      <c r="L648" s="113"/>
      <c r="M648" s="113"/>
      <c r="N648" s="113"/>
      <c r="O648" s="124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</row>
    <row x14ac:dyDescent="0.25" r="649" customHeight="1" ht="15.75">
      <c r="A649" s="123"/>
      <c r="B649" s="123"/>
      <c r="C649" s="124"/>
      <c r="D649" s="124"/>
      <c r="E649" s="124"/>
      <c r="F649" s="113"/>
      <c r="G649" s="113"/>
      <c r="H649" s="113"/>
      <c r="I649" s="113"/>
      <c r="J649" s="113"/>
      <c r="K649" s="113"/>
      <c r="L649" s="113"/>
      <c r="M649" s="113"/>
      <c r="N649" s="113"/>
      <c r="O649" s="124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</row>
    <row x14ac:dyDescent="0.25" r="650" customHeight="1" ht="15.75">
      <c r="A650" s="123"/>
      <c r="B650" s="123"/>
      <c r="C650" s="124"/>
      <c r="D650" s="124"/>
      <c r="E650" s="124"/>
      <c r="F650" s="113"/>
      <c r="G650" s="113"/>
      <c r="H650" s="113"/>
      <c r="I650" s="113"/>
      <c r="J650" s="113"/>
      <c r="K650" s="113"/>
      <c r="L650" s="113"/>
      <c r="M650" s="113"/>
      <c r="N650" s="113"/>
      <c r="O650" s="124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</row>
    <row x14ac:dyDescent="0.25" r="651" customHeight="1" ht="15.75">
      <c r="A651" s="123"/>
      <c r="B651" s="123"/>
      <c r="C651" s="124"/>
      <c r="D651" s="124"/>
      <c r="E651" s="124"/>
      <c r="F651" s="113"/>
      <c r="G651" s="113"/>
      <c r="H651" s="113"/>
      <c r="I651" s="113"/>
      <c r="J651" s="113"/>
      <c r="K651" s="113"/>
      <c r="L651" s="113"/>
      <c r="M651" s="113"/>
      <c r="N651" s="113"/>
      <c r="O651" s="124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</row>
    <row x14ac:dyDescent="0.25" r="652" customHeight="1" ht="15.75">
      <c r="A652" s="123"/>
      <c r="B652" s="123"/>
      <c r="C652" s="124"/>
      <c r="D652" s="124"/>
      <c r="E652" s="124"/>
      <c r="F652" s="113"/>
      <c r="G652" s="113"/>
      <c r="H652" s="113"/>
      <c r="I652" s="113"/>
      <c r="J652" s="113"/>
      <c r="K652" s="113"/>
      <c r="L652" s="113"/>
      <c r="M652" s="113"/>
      <c r="N652" s="113"/>
      <c r="O652" s="124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</row>
    <row x14ac:dyDescent="0.25" r="653" customHeight="1" ht="15.75">
      <c r="A653" s="123"/>
      <c r="B653" s="123"/>
      <c r="C653" s="124"/>
      <c r="D653" s="124"/>
      <c r="E653" s="124"/>
      <c r="F653" s="113"/>
      <c r="G653" s="113"/>
      <c r="H653" s="113"/>
      <c r="I653" s="113"/>
      <c r="J653" s="113"/>
      <c r="K653" s="113"/>
      <c r="L653" s="113"/>
      <c r="M653" s="113"/>
      <c r="N653" s="113"/>
      <c r="O653" s="124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</row>
    <row x14ac:dyDescent="0.25" r="654" customHeight="1" ht="15.75">
      <c r="A654" s="123"/>
      <c r="B654" s="123"/>
      <c r="C654" s="124"/>
      <c r="D654" s="124"/>
      <c r="E654" s="124"/>
      <c r="F654" s="113"/>
      <c r="G654" s="113"/>
      <c r="H654" s="113"/>
      <c r="I654" s="113"/>
      <c r="J654" s="113"/>
      <c r="K654" s="113"/>
      <c r="L654" s="113"/>
      <c r="M654" s="113"/>
      <c r="N654" s="113"/>
      <c r="O654" s="124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</row>
    <row x14ac:dyDescent="0.25" r="655" customHeight="1" ht="15.75">
      <c r="A655" s="123"/>
      <c r="B655" s="123"/>
      <c r="C655" s="124"/>
      <c r="D655" s="124"/>
      <c r="E655" s="124"/>
      <c r="F655" s="113"/>
      <c r="G655" s="113"/>
      <c r="H655" s="113"/>
      <c r="I655" s="113"/>
      <c r="J655" s="113"/>
      <c r="K655" s="113"/>
      <c r="L655" s="113"/>
      <c r="M655" s="113"/>
      <c r="N655" s="113"/>
      <c r="O655" s="124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</row>
    <row x14ac:dyDescent="0.25" r="656" customHeight="1" ht="15.75">
      <c r="A656" s="123"/>
      <c r="B656" s="123"/>
      <c r="C656" s="124"/>
      <c r="D656" s="124"/>
      <c r="E656" s="124"/>
      <c r="F656" s="113"/>
      <c r="G656" s="113"/>
      <c r="H656" s="113"/>
      <c r="I656" s="113"/>
      <c r="J656" s="113"/>
      <c r="K656" s="113"/>
      <c r="L656" s="113"/>
      <c r="M656" s="113"/>
      <c r="N656" s="113"/>
      <c r="O656" s="124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</row>
    <row x14ac:dyDescent="0.25" r="657" customHeight="1" ht="15.75">
      <c r="A657" s="123"/>
      <c r="B657" s="123"/>
      <c r="C657" s="124"/>
      <c r="D657" s="124"/>
      <c r="E657" s="124"/>
      <c r="F657" s="113"/>
      <c r="G657" s="113"/>
      <c r="H657" s="113"/>
      <c r="I657" s="113"/>
      <c r="J657" s="113"/>
      <c r="K657" s="113"/>
      <c r="L657" s="113"/>
      <c r="M657" s="113"/>
      <c r="N657" s="113"/>
      <c r="O657" s="124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</row>
    <row x14ac:dyDescent="0.25" r="658" customHeight="1" ht="15.75">
      <c r="A658" s="123"/>
      <c r="B658" s="123"/>
      <c r="C658" s="124"/>
      <c r="D658" s="124"/>
      <c r="E658" s="124"/>
      <c r="F658" s="113"/>
      <c r="G658" s="113"/>
      <c r="H658" s="113"/>
      <c r="I658" s="113"/>
      <c r="J658" s="113"/>
      <c r="K658" s="113"/>
      <c r="L658" s="113"/>
      <c r="M658" s="113"/>
      <c r="N658" s="113"/>
      <c r="O658" s="124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</row>
    <row x14ac:dyDescent="0.25" r="659" customHeight="1" ht="15.75">
      <c r="A659" s="123"/>
      <c r="B659" s="123"/>
      <c r="C659" s="124"/>
      <c r="D659" s="124"/>
      <c r="E659" s="124"/>
      <c r="F659" s="113"/>
      <c r="G659" s="113"/>
      <c r="H659" s="113"/>
      <c r="I659" s="113"/>
      <c r="J659" s="113"/>
      <c r="K659" s="113"/>
      <c r="L659" s="113"/>
      <c r="M659" s="113"/>
      <c r="N659" s="113"/>
      <c r="O659" s="124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</row>
    <row x14ac:dyDescent="0.25" r="660" customHeight="1" ht="15.75">
      <c r="A660" s="123"/>
      <c r="B660" s="123"/>
      <c r="C660" s="124"/>
      <c r="D660" s="124"/>
      <c r="E660" s="124"/>
      <c r="F660" s="113"/>
      <c r="G660" s="113"/>
      <c r="H660" s="113"/>
      <c r="I660" s="113"/>
      <c r="J660" s="113"/>
      <c r="K660" s="113"/>
      <c r="L660" s="113"/>
      <c r="M660" s="113"/>
      <c r="N660" s="113"/>
      <c r="O660" s="124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</row>
    <row x14ac:dyDescent="0.25" r="661" customHeight="1" ht="15.75">
      <c r="A661" s="123"/>
      <c r="B661" s="123"/>
      <c r="C661" s="124"/>
      <c r="D661" s="124"/>
      <c r="E661" s="124"/>
      <c r="F661" s="113"/>
      <c r="G661" s="113"/>
      <c r="H661" s="113"/>
      <c r="I661" s="113"/>
      <c r="J661" s="113"/>
      <c r="K661" s="113"/>
      <c r="L661" s="113"/>
      <c r="M661" s="113"/>
      <c r="N661" s="113"/>
      <c r="O661" s="124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</row>
    <row x14ac:dyDescent="0.25" r="662" customHeight="1" ht="15.75">
      <c r="A662" s="123"/>
      <c r="B662" s="123"/>
      <c r="C662" s="124"/>
      <c r="D662" s="124"/>
      <c r="E662" s="124"/>
      <c r="F662" s="113"/>
      <c r="G662" s="113"/>
      <c r="H662" s="113"/>
      <c r="I662" s="113"/>
      <c r="J662" s="113"/>
      <c r="K662" s="113"/>
      <c r="L662" s="113"/>
      <c r="M662" s="113"/>
      <c r="N662" s="113"/>
      <c r="O662" s="124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</row>
    <row x14ac:dyDescent="0.25" r="663" customHeight="1" ht="15.75">
      <c r="A663" s="123"/>
      <c r="B663" s="123"/>
      <c r="C663" s="124"/>
      <c r="D663" s="124"/>
      <c r="E663" s="124"/>
      <c r="F663" s="113"/>
      <c r="G663" s="113"/>
      <c r="H663" s="113"/>
      <c r="I663" s="113"/>
      <c r="J663" s="113"/>
      <c r="K663" s="113"/>
      <c r="L663" s="113"/>
      <c r="M663" s="113"/>
      <c r="N663" s="113"/>
      <c r="O663" s="124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</row>
    <row x14ac:dyDescent="0.25" r="664" customHeight="1" ht="15.75">
      <c r="A664" s="123"/>
      <c r="B664" s="123"/>
      <c r="C664" s="124"/>
      <c r="D664" s="124"/>
      <c r="E664" s="124"/>
      <c r="F664" s="113"/>
      <c r="G664" s="113"/>
      <c r="H664" s="113"/>
      <c r="I664" s="113"/>
      <c r="J664" s="113"/>
      <c r="K664" s="113"/>
      <c r="L664" s="113"/>
      <c r="M664" s="113"/>
      <c r="N664" s="113"/>
      <c r="O664" s="124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</row>
    <row x14ac:dyDescent="0.25" r="665" customHeight="1" ht="15.75">
      <c r="A665" s="123"/>
      <c r="B665" s="123"/>
      <c r="C665" s="124"/>
      <c r="D665" s="124"/>
      <c r="E665" s="124"/>
      <c r="F665" s="113"/>
      <c r="G665" s="113"/>
      <c r="H665" s="113"/>
      <c r="I665" s="113"/>
      <c r="J665" s="113"/>
      <c r="K665" s="113"/>
      <c r="L665" s="113"/>
      <c r="M665" s="113"/>
      <c r="N665" s="113"/>
      <c r="O665" s="124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</row>
    <row x14ac:dyDescent="0.25" r="666" customHeight="1" ht="15.75">
      <c r="A666" s="123"/>
      <c r="B666" s="123"/>
      <c r="C666" s="124"/>
      <c r="D666" s="124"/>
      <c r="E666" s="124"/>
      <c r="F666" s="113"/>
      <c r="G666" s="113"/>
      <c r="H666" s="113"/>
      <c r="I666" s="113"/>
      <c r="J666" s="113"/>
      <c r="K666" s="113"/>
      <c r="L666" s="113"/>
      <c r="M666" s="113"/>
      <c r="N666" s="113"/>
      <c r="O666" s="124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</row>
    <row x14ac:dyDescent="0.25" r="667" customHeight="1" ht="15.75">
      <c r="A667" s="123"/>
      <c r="B667" s="123"/>
      <c r="C667" s="124"/>
      <c r="D667" s="124"/>
      <c r="E667" s="124"/>
      <c r="F667" s="113"/>
      <c r="G667" s="113"/>
      <c r="H667" s="113"/>
      <c r="I667" s="113"/>
      <c r="J667" s="113"/>
      <c r="K667" s="113"/>
      <c r="L667" s="113"/>
      <c r="M667" s="113"/>
      <c r="N667" s="113"/>
      <c r="O667" s="124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</row>
    <row x14ac:dyDescent="0.25" r="668" customHeight="1" ht="15.75">
      <c r="A668" s="123"/>
      <c r="B668" s="123"/>
      <c r="C668" s="124"/>
      <c r="D668" s="124"/>
      <c r="E668" s="124"/>
      <c r="F668" s="113"/>
      <c r="G668" s="113"/>
      <c r="H668" s="113"/>
      <c r="I668" s="113"/>
      <c r="J668" s="113"/>
      <c r="K668" s="113"/>
      <c r="L668" s="113"/>
      <c r="M668" s="113"/>
      <c r="N668" s="113"/>
      <c r="O668" s="124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</row>
    <row x14ac:dyDescent="0.25" r="669" customHeight="1" ht="15.75">
      <c r="A669" s="123"/>
      <c r="B669" s="123"/>
      <c r="C669" s="124"/>
      <c r="D669" s="124"/>
      <c r="E669" s="124"/>
      <c r="F669" s="113"/>
      <c r="G669" s="113"/>
      <c r="H669" s="113"/>
      <c r="I669" s="113"/>
      <c r="J669" s="113"/>
      <c r="K669" s="113"/>
      <c r="L669" s="113"/>
      <c r="M669" s="113"/>
      <c r="N669" s="113"/>
      <c r="O669" s="124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</row>
    <row x14ac:dyDescent="0.25" r="670" customHeight="1" ht="15.75">
      <c r="A670" s="123"/>
      <c r="B670" s="123"/>
      <c r="C670" s="124"/>
      <c r="D670" s="124"/>
      <c r="E670" s="124"/>
      <c r="F670" s="113"/>
      <c r="G670" s="113"/>
      <c r="H670" s="113"/>
      <c r="I670" s="113"/>
      <c r="J670" s="113"/>
      <c r="K670" s="113"/>
      <c r="L670" s="113"/>
      <c r="M670" s="113"/>
      <c r="N670" s="113"/>
      <c r="O670" s="124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</row>
    <row x14ac:dyDescent="0.25" r="671" customHeight="1" ht="15.75">
      <c r="A671" s="123"/>
      <c r="B671" s="123"/>
      <c r="C671" s="124"/>
      <c r="D671" s="124"/>
      <c r="E671" s="124"/>
      <c r="F671" s="113"/>
      <c r="G671" s="113"/>
      <c r="H671" s="113"/>
      <c r="I671" s="113"/>
      <c r="J671" s="113"/>
      <c r="K671" s="113"/>
      <c r="L671" s="113"/>
      <c r="M671" s="113"/>
      <c r="N671" s="113"/>
      <c r="O671" s="124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</row>
    <row x14ac:dyDescent="0.25" r="672" customHeight="1" ht="15.75">
      <c r="A672" s="123"/>
      <c r="B672" s="123"/>
      <c r="C672" s="124"/>
      <c r="D672" s="124"/>
      <c r="E672" s="124"/>
      <c r="F672" s="113"/>
      <c r="G672" s="113"/>
      <c r="H672" s="113"/>
      <c r="I672" s="113"/>
      <c r="J672" s="113"/>
      <c r="K672" s="113"/>
      <c r="L672" s="113"/>
      <c r="M672" s="113"/>
      <c r="N672" s="113"/>
      <c r="O672" s="124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</row>
    <row x14ac:dyDescent="0.25" r="673" customHeight="1" ht="15.75">
      <c r="A673" s="123"/>
      <c r="B673" s="123"/>
      <c r="C673" s="124"/>
      <c r="D673" s="124"/>
      <c r="E673" s="124"/>
      <c r="F673" s="113"/>
      <c r="G673" s="113"/>
      <c r="H673" s="113"/>
      <c r="I673" s="113"/>
      <c r="J673" s="113"/>
      <c r="K673" s="113"/>
      <c r="L673" s="113"/>
      <c r="M673" s="113"/>
      <c r="N673" s="113"/>
      <c r="O673" s="124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</row>
    <row x14ac:dyDescent="0.25" r="674" customHeight="1" ht="15.75">
      <c r="A674" s="123"/>
      <c r="B674" s="123"/>
      <c r="C674" s="124"/>
      <c r="D674" s="124"/>
      <c r="E674" s="124"/>
      <c r="F674" s="113"/>
      <c r="G674" s="113"/>
      <c r="H674" s="113"/>
      <c r="I674" s="113"/>
      <c r="J674" s="113"/>
      <c r="K674" s="113"/>
      <c r="L674" s="113"/>
      <c r="M674" s="113"/>
      <c r="N674" s="113"/>
      <c r="O674" s="124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</row>
    <row x14ac:dyDescent="0.25" r="675" customHeight="1" ht="15.75">
      <c r="A675" s="123"/>
      <c r="B675" s="123"/>
      <c r="C675" s="124"/>
      <c r="D675" s="124"/>
      <c r="E675" s="124"/>
      <c r="F675" s="113"/>
      <c r="G675" s="113"/>
      <c r="H675" s="113"/>
      <c r="I675" s="113"/>
      <c r="J675" s="113"/>
      <c r="K675" s="113"/>
      <c r="L675" s="113"/>
      <c r="M675" s="113"/>
      <c r="N675" s="113"/>
      <c r="O675" s="124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</row>
    <row x14ac:dyDescent="0.25" r="676" customHeight="1" ht="15.75">
      <c r="A676" s="123"/>
      <c r="B676" s="123"/>
      <c r="C676" s="124"/>
      <c r="D676" s="124"/>
      <c r="E676" s="124"/>
      <c r="F676" s="113"/>
      <c r="G676" s="113"/>
      <c r="H676" s="113"/>
      <c r="I676" s="113"/>
      <c r="J676" s="113"/>
      <c r="K676" s="113"/>
      <c r="L676" s="113"/>
      <c r="M676" s="113"/>
      <c r="N676" s="113"/>
      <c r="O676" s="124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</row>
    <row x14ac:dyDescent="0.25" r="677" customHeight="1" ht="15.75">
      <c r="A677" s="123"/>
      <c r="B677" s="123"/>
      <c r="C677" s="124"/>
      <c r="D677" s="124"/>
      <c r="E677" s="124"/>
      <c r="F677" s="113"/>
      <c r="G677" s="113"/>
      <c r="H677" s="113"/>
      <c r="I677" s="113"/>
      <c r="J677" s="113"/>
      <c r="K677" s="113"/>
      <c r="L677" s="113"/>
      <c r="M677" s="113"/>
      <c r="N677" s="113"/>
      <c r="O677" s="124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</row>
    <row x14ac:dyDescent="0.25" r="678" customHeight="1" ht="15.75">
      <c r="A678" s="123"/>
      <c r="B678" s="123"/>
      <c r="C678" s="124"/>
      <c r="D678" s="124"/>
      <c r="E678" s="124"/>
      <c r="F678" s="113"/>
      <c r="G678" s="113"/>
      <c r="H678" s="113"/>
      <c r="I678" s="113"/>
      <c r="J678" s="113"/>
      <c r="K678" s="113"/>
      <c r="L678" s="113"/>
      <c r="M678" s="113"/>
      <c r="N678" s="113"/>
      <c r="O678" s="124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</row>
    <row x14ac:dyDescent="0.25" r="679" customHeight="1" ht="15.75">
      <c r="A679" s="123"/>
      <c r="B679" s="123"/>
      <c r="C679" s="124"/>
      <c r="D679" s="124"/>
      <c r="E679" s="124"/>
      <c r="F679" s="113"/>
      <c r="G679" s="113"/>
      <c r="H679" s="113"/>
      <c r="I679" s="113"/>
      <c r="J679" s="113"/>
      <c r="K679" s="113"/>
      <c r="L679" s="113"/>
      <c r="M679" s="113"/>
      <c r="N679" s="113"/>
      <c r="O679" s="124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</row>
    <row x14ac:dyDescent="0.25" r="680" customHeight="1" ht="15.75">
      <c r="A680" s="123"/>
      <c r="B680" s="123"/>
      <c r="C680" s="124"/>
      <c r="D680" s="124"/>
      <c r="E680" s="124"/>
      <c r="F680" s="113"/>
      <c r="G680" s="113"/>
      <c r="H680" s="113"/>
      <c r="I680" s="113"/>
      <c r="J680" s="113"/>
      <c r="K680" s="113"/>
      <c r="L680" s="113"/>
      <c r="M680" s="113"/>
      <c r="N680" s="113"/>
      <c r="O680" s="124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</row>
    <row x14ac:dyDescent="0.25" r="681" customHeight="1" ht="15.75">
      <c r="A681" s="123"/>
      <c r="B681" s="123"/>
      <c r="C681" s="124"/>
      <c r="D681" s="124"/>
      <c r="E681" s="124"/>
      <c r="F681" s="113"/>
      <c r="G681" s="113"/>
      <c r="H681" s="113"/>
      <c r="I681" s="113"/>
      <c r="J681" s="113"/>
      <c r="K681" s="113"/>
      <c r="L681" s="113"/>
      <c r="M681" s="113"/>
      <c r="N681" s="113"/>
      <c r="O681" s="124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</row>
    <row x14ac:dyDescent="0.25" r="682" customHeight="1" ht="15.75">
      <c r="A682" s="123"/>
      <c r="B682" s="123"/>
      <c r="C682" s="124"/>
      <c r="D682" s="124"/>
      <c r="E682" s="124"/>
      <c r="F682" s="113"/>
      <c r="G682" s="113"/>
      <c r="H682" s="113"/>
      <c r="I682" s="113"/>
      <c r="J682" s="113"/>
      <c r="K682" s="113"/>
      <c r="L682" s="113"/>
      <c r="M682" s="113"/>
      <c r="N682" s="113"/>
      <c r="O682" s="124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</row>
    <row x14ac:dyDescent="0.25" r="683" customHeight="1" ht="15.75">
      <c r="A683" s="123"/>
      <c r="B683" s="123"/>
      <c r="C683" s="124"/>
      <c r="D683" s="124"/>
      <c r="E683" s="124"/>
      <c r="F683" s="113"/>
      <c r="G683" s="113"/>
      <c r="H683" s="113"/>
      <c r="I683" s="113"/>
      <c r="J683" s="113"/>
      <c r="K683" s="113"/>
      <c r="L683" s="113"/>
      <c r="M683" s="113"/>
      <c r="N683" s="113"/>
      <c r="O683" s="124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</row>
    <row x14ac:dyDescent="0.25" r="684" customHeight="1" ht="15.75">
      <c r="A684" s="123"/>
      <c r="B684" s="123"/>
      <c r="C684" s="124"/>
      <c r="D684" s="124"/>
      <c r="E684" s="124"/>
      <c r="F684" s="113"/>
      <c r="G684" s="113"/>
      <c r="H684" s="113"/>
      <c r="I684" s="113"/>
      <c r="J684" s="113"/>
      <c r="K684" s="113"/>
      <c r="L684" s="113"/>
      <c r="M684" s="113"/>
      <c r="N684" s="113"/>
      <c r="O684" s="124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</row>
    <row x14ac:dyDescent="0.25" r="685" customHeight="1" ht="15.75">
      <c r="A685" s="123"/>
      <c r="B685" s="123"/>
      <c r="C685" s="124"/>
      <c r="D685" s="124"/>
      <c r="E685" s="124"/>
      <c r="F685" s="113"/>
      <c r="G685" s="113"/>
      <c r="H685" s="113"/>
      <c r="I685" s="113"/>
      <c r="J685" s="113"/>
      <c r="K685" s="113"/>
      <c r="L685" s="113"/>
      <c r="M685" s="113"/>
      <c r="N685" s="113"/>
      <c r="O685" s="124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</row>
    <row x14ac:dyDescent="0.25" r="686" customHeight="1" ht="15.75">
      <c r="A686" s="123"/>
      <c r="B686" s="123"/>
      <c r="C686" s="124"/>
      <c r="D686" s="124"/>
      <c r="E686" s="124"/>
      <c r="F686" s="113"/>
      <c r="G686" s="113"/>
      <c r="H686" s="113"/>
      <c r="I686" s="113"/>
      <c r="J686" s="113"/>
      <c r="K686" s="113"/>
      <c r="L686" s="113"/>
      <c r="M686" s="113"/>
      <c r="N686" s="113"/>
      <c r="O686" s="124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</row>
    <row x14ac:dyDescent="0.25" r="687" customHeight="1" ht="15.75">
      <c r="A687" s="123"/>
      <c r="B687" s="123"/>
      <c r="C687" s="124"/>
      <c r="D687" s="124"/>
      <c r="E687" s="124"/>
      <c r="F687" s="113"/>
      <c r="G687" s="113"/>
      <c r="H687" s="113"/>
      <c r="I687" s="113"/>
      <c r="J687" s="113"/>
      <c r="K687" s="113"/>
      <c r="L687" s="113"/>
      <c r="M687" s="113"/>
      <c r="N687" s="113"/>
      <c r="O687" s="124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</row>
    <row x14ac:dyDescent="0.25" r="688" customHeight="1" ht="15.75">
      <c r="A688" s="123"/>
      <c r="B688" s="123"/>
      <c r="C688" s="124"/>
      <c r="D688" s="124"/>
      <c r="E688" s="124"/>
      <c r="F688" s="113"/>
      <c r="G688" s="113"/>
      <c r="H688" s="113"/>
      <c r="I688" s="113"/>
      <c r="J688" s="113"/>
      <c r="K688" s="113"/>
      <c r="L688" s="113"/>
      <c r="M688" s="113"/>
      <c r="N688" s="113"/>
      <c r="O688" s="124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</row>
    <row x14ac:dyDescent="0.25" r="689" customHeight="1" ht="15.75">
      <c r="A689" s="123"/>
      <c r="B689" s="123"/>
      <c r="C689" s="124"/>
      <c r="D689" s="124"/>
      <c r="E689" s="124"/>
      <c r="F689" s="113"/>
      <c r="G689" s="113"/>
      <c r="H689" s="113"/>
      <c r="I689" s="113"/>
      <c r="J689" s="113"/>
      <c r="K689" s="113"/>
      <c r="L689" s="113"/>
      <c r="M689" s="113"/>
      <c r="N689" s="113"/>
      <c r="O689" s="124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</row>
    <row x14ac:dyDescent="0.25" r="690" customHeight="1" ht="15.75">
      <c r="A690" s="123"/>
      <c r="B690" s="123"/>
      <c r="C690" s="124"/>
      <c r="D690" s="124"/>
      <c r="E690" s="124"/>
      <c r="F690" s="113"/>
      <c r="G690" s="113"/>
      <c r="H690" s="113"/>
      <c r="I690" s="113"/>
      <c r="J690" s="113"/>
      <c r="K690" s="113"/>
      <c r="L690" s="113"/>
      <c r="M690" s="113"/>
      <c r="N690" s="113"/>
      <c r="O690" s="124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</row>
    <row x14ac:dyDescent="0.25" r="691" customHeight="1" ht="15.75">
      <c r="A691" s="123"/>
      <c r="B691" s="123"/>
      <c r="C691" s="124"/>
      <c r="D691" s="124"/>
      <c r="E691" s="124"/>
      <c r="F691" s="113"/>
      <c r="G691" s="113"/>
      <c r="H691" s="113"/>
      <c r="I691" s="113"/>
      <c r="J691" s="113"/>
      <c r="K691" s="113"/>
      <c r="L691" s="113"/>
      <c r="M691" s="113"/>
      <c r="N691" s="113"/>
      <c r="O691" s="124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</row>
    <row x14ac:dyDescent="0.25" r="692" customHeight="1" ht="15.75">
      <c r="A692" s="123"/>
      <c r="B692" s="123"/>
      <c r="C692" s="124"/>
      <c r="D692" s="124"/>
      <c r="E692" s="124"/>
      <c r="F692" s="113"/>
      <c r="G692" s="113"/>
      <c r="H692" s="113"/>
      <c r="I692" s="113"/>
      <c r="J692" s="113"/>
      <c r="K692" s="113"/>
      <c r="L692" s="113"/>
      <c r="M692" s="113"/>
      <c r="N692" s="113"/>
      <c r="O692" s="124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</row>
    <row x14ac:dyDescent="0.25" r="693" customHeight="1" ht="15.75">
      <c r="A693" s="123"/>
      <c r="B693" s="123"/>
      <c r="C693" s="124"/>
      <c r="D693" s="124"/>
      <c r="E693" s="124"/>
      <c r="F693" s="113"/>
      <c r="G693" s="113"/>
      <c r="H693" s="113"/>
      <c r="I693" s="113"/>
      <c r="J693" s="113"/>
      <c r="K693" s="113"/>
      <c r="L693" s="113"/>
      <c r="M693" s="113"/>
      <c r="N693" s="113"/>
      <c r="O693" s="124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</row>
    <row x14ac:dyDescent="0.25" r="694" customHeight="1" ht="15.75">
      <c r="A694" s="123"/>
      <c r="B694" s="123"/>
      <c r="C694" s="124"/>
      <c r="D694" s="124"/>
      <c r="E694" s="124"/>
      <c r="F694" s="113"/>
      <c r="G694" s="113"/>
      <c r="H694" s="113"/>
      <c r="I694" s="113"/>
      <c r="J694" s="113"/>
      <c r="K694" s="113"/>
      <c r="L694" s="113"/>
      <c r="M694" s="113"/>
      <c r="N694" s="113"/>
      <c r="O694" s="124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</row>
    <row x14ac:dyDescent="0.25" r="695" customHeight="1" ht="15.75">
      <c r="A695" s="123"/>
      <c r="B695" s="123"/>
      <c r="C695" s="124"/>
      <c r="D695" s="124"/>
      <c r="E695" s="124"/>
      <c r="F695" s="113"/>
      <c r="G695" s="113"/>
      <c r="H695" s="113"/>
      <c r="I695" s="113"/>
      <c r="J695" s="113"/>
      <c r="K695" s="113"/>
      <c r="L695" s="113"/>
      <c r="M695" s="113"/>
      <c r="N695" s="113"/>
      <c r="O695" s="124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</row>
    <row x14ac:dyDescent="0.25" r="696" customHeight="1" ht="15.75">
      <c r="A696" s="123"/>
      <c r="B696" s="123"/>
      <c r="C696" s="124"/>
      <c r="D696" s="124"/>
      <c r="E696" s="124"/>
      <c r="F696" s="113"/>
      <c r="G696" s="113"/>
      <c r="H696" s="113"/>
      <c r="I696" s="113"/>
      <c r="J696" s="113"/>
      <c r="K696" s="113"/>
      <c r="L696" s="113"/>
      <c r="M696" s="113"/>
      <c r="N696" s="113"/>
      <c r="O696" s="124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</row>
    <row x14ac:dyDescent="0.25" r="697" customHeight="1" ht="15.75">
      <c r="A697" s="123"/>
      <c r="B697" s="123"/>
      <c r="C697" s="124"/>
      <c r="D697" s="124"/>
      <c r="E697" s="124"/>
      <c r="F697" s="113"/>
      <c r="G697" s="113"/>
      <c r="H697" s="113"/>
      <c r="I697" s="113"/>
      <c r="J697" s="113"/>
      <c r="K697" s="113"/>
      <c r="L697" s="113"/>
      <c r="M697" s="113"/>
      <c r="N697" s="113"/>
      <c r="O697" s="124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</row>
    <row x14ac:dyDescent="0.25" r="698" customHeight="1" ht="15.75">
      <c r="A698" s="123"/>
      <c r="B698" s="123"/>
      <c r="C698" s="124"/>
      <c r="D698" s="124"/>
      <c r="E698" s="124"/>
      <c r="F698" s="113"/>
      <c r="G698" s="113"/>
      <c r="H698" s="113"/>
      <c r="I698" s="113"/>
      <c r="J698" s="113"/>
      <c r="K698" s="113"/>
      <c r="L698" s="113"/>
      <c r="M698" s="113"/>
      <c r="N698" s="113"/>
      <c r="O698" s="124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</row>
    <row x14ac:dyDescent="0.25" r="699" customHeight="1" ht="15.75">
      <c r="A699" s="123"/>
      <c r="B699" s="123"/>
      <c r="C699" s="124"/>
      <c r="D699" s="124"/>
      <c r="E699" s="124"/>
      <c r="F699" s="113"/>
      <c r="G699" s="113"/>
      <c r="H699" s="113"/>
      <c r="I699" s="113"/>
      <c r="J699" s="113"/>
      <c r="K699" s="113"/>
      <c r="L699" s="113"/>
      <c r="M699" s="113"/>
      <c r="N699" s="113"/>
      <c r="O699" s="124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</row>
    <row x14ac:dyDescent="0.25" r="700" customHeight="1" ht="15.75">
      <c r="A700" s="123"/>
      <c r="B700" s="123"/>
      <c r="C700" s="124"/>
      <c r="D700" s="124"/>
      <c r="E700" s="124"/>
      <c r="F700" s="113"/>
      <c r="G700" s="113"/>
      <c r="H700" s="113"/>
      <c r="I700" s="113"/>
      <c r="J700" s="113"/>
      <c r="K700" s="113"/>
      <c r="L700" s="113"/>
      <c r="M700" s="113"/>
      <c r="N700" s="113"/>
      <c r="O700" s="124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</row>
    <row x14ac:dyDescent="0.25" r="701" customHeight="1" ht="15.75">
      <c r="A701" s="123"/>
      <c r="B701" s="123"/>
      <c r="C701" s="124"/>
      <c r="D701" s="124"/>
      <c r="E701" s="124"/>
      <c r="F701" s="113"/>
      <c r="G701" s="113"/>
      <c r="H701" s="113"/>
      <c r="I701" s="113"/>
      <c r="J701" s="113"/>
      <c r="K701" s="113"/>
      <c r="L701" s="113"/>
      <c r="M701" s="113"/>
      <c r="N701" s="113"/>
      <c r="O701" s="124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</row>
    <row x14ac:dyDescent="0.25" r="702" customHeight="1" ht="15.75">
      <c r="A702" s="123"/>
      <c r="B702" s="123"/>
      <c r="C702" s="124"/>
      <c r="D702" s="124"/>
      <c r="E702" s="124"/>
      <c r="F702" s="113"/>
      <c r="G702" s="113"/>
      <c r="H702" s="113"/>
      <c r="I702" s="113"/>
      <c r="J702" s="113"/>
      <c r="K702" s="113"/>
      <c r="L702" s="113"/>
      <c r="M702" s="113"/>
      <c r="N702" s="113"/>
      <c r="O702" s="124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</row>
    <row x14ac:dyDescent="0.25" r="703" customHeight="1" ht="15.75">
      <c r="A703" s="123"/>
      <c r="B703" s="123"/>
      <c r="C703" s="124"/>
      <c r="D703" s="124"/>
      <c r="E703" s="124"/>
      <c r="F703" s="113"/>
      <c r="G703" s="113"/>
      <c r="H703" s="113"/>
      <c r="I703" s="113"/>
      <c r="J703" s="113"/>
      <c r="K703" s="113"/>
      <c r="L703" s="113"/>
      <c r="M703" s="113"/>
      <c r="N703" s="113"/>
      <c r="O703" s="124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</row>
    <row x14ac:dyDescent="0.25" r="704" customHeight="1" ht="15.75">
      <c r="A704" s="123"/>
      <c r="B704" s="123"/>
      <c r="C704" s="124"/>
      <c r="D704" s="124"/>
      <c r="E704" s="124"/>
      <c r="F704" s="113"/>
      <c r="G704" s="113"/>
      <c r="H704" s="113"/>
      <c r="I704" s="113"/>
      <c r="J704" s="113"/>
      <c r="K704" s="113"/>
      <c r="L704" s="113"/>
      <c r="M704" s="113"/>
      <c r="N704" s="113"/>
      <c r="O704" s="124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</row>
    <row x14ac:dyDescent="0.25" r="705" customHeight="1" ht="15.75">
      <c r="A705" s="123"/>
      <c r="B705" s="123"/>
      <c r="C705" s="124"/>
      <c r="D705" s="124"/>
      <c r="E705" s="124"/>
      <c r="F705" s="113"/>
      <c r="G705" s="113"/>
      <c r="H705" s="113"/>
      <c r="I705" s="113"/>
      <c r="J705" s="113"/>
      <c r="K705" s="113"/>
      <c r="L705" s="113"/>
      <c r="M705" s="113"/>
      <c r="N705" s="113"/>
      <c r="O705" s="124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</row>
    <row x14ac:dyDescent="0.25" r="706" customHeight="1" ht="15.75">
      <c r="A706" s="123"/>
      <c r="B706" s="123"/>
      <c r="C706" s="124"/>
      <c r="D706" s="124"/>
      <c r="E706" s="124"/>
      <c r="F706" s="113"/>
      <c r="G706" s="113"/>
      <c r="H706" s="113"/>
      <c r="I706" s="113"/>
      <c r="J706" s="113"/>
      <c r="K706" s="113"/>
      <c r="L706" s="113"/>
      <c r="M706" s="113"/>
      <c r="N706" s="113"/>
      <c r="O706" s="124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</row>
    <row x14ac:dyDescent="0.25" r="707" customHeight="1" ht="15.75">
      <c r="A707" s="123"/>
      <c r="B707" s="123"/>
      <c r="C707" s="124"/>
      <c r="D707" s="124"/>
      <c r="E707" s="124"/>
      <c r="F707" s="113"/>
      <c r="G707" s="113"/>
      <c r="H707" s="113"/>
      <c r="I707" s="113"/>
      <c r="J707" s="113"/>
      <c r="K707" s="113"/>
      <c r="L707" s="113"/>
      <c r="M707" s="113"/>
      <c r="N707" s="113"/>
      <c r="O707" s="124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</row>
    <row x14ac:dyDescent="0.25" r="708" customHeight="1" ht="15.75">
      <c r="A708" s="123"/>
      <c r="B708" s="123"/>
      <c r="C708" s="124"/>
      <c r="D708" s="124"/>
      <c r="E708" s="124"/>
      <c r="F708" s="113"/>
      <c r="G708" s="113"/>
      <c r="H708" s="113"/>
      <c r="I708" s="113"/>
      <c r="J708" s="113"/>
      <c r="K708" s="113"/>
      <c r="L708" s="113"/>
      <c r="M708" s="113"/>
      <c r="N708" s="113"/>
      <c r="O708" s="124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</row>
    <row x14ac:dyDescent="0.25" r="709" customHeight="1" ht="15.75">
      <c r="A709" s="123"/>
      <c r="B709" s="123"/>
      <c r="C709" s="124"/>
      <c r="D709" s="124"/>
      <c r="E709" s="124"/>
      <c r="F709" s="113"/>
      <c r="G709" s="113"/>
      <c r="H709" s="113"/>
      <c r="I709" s="113"/>
      <c r="J709" s="113"/>
      <c r="K709" s="113"/>
      <c r="L709" s="113"/>
      <c r="M709" s="113"/>
      <c r="N709" s="113"/>
      <c r="O709" s="124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</row>
    <row x14ac:dyDescent="0.25" r="710" customHeight="1" ht="15.75">
      <c r="A710" s="123"/>
      <c r="B710" s="123"/>
      <c r="C710" s="124"/>
      <c r="D710" s="124"/>
      <c r="E710" s="124"/>
      <c r="F710" s="113"/>
      <c r="G710" s="113"/>
      <c r="H710" s="113"/>
      <c r="I710" s="113"/>
      <c r="J710" s="113"/>
      <c r="K710" s="113"/>
      <c r="L710" s="113"/>
      <c r="M710" s="113"/>
      <c r="N710" s="113"/>
      <c r="O710" s="124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</row>
    <row x14ac:dyDescent="0.25" r="711" customHeight="1" ht="15.75">
      <c r="A711" s="123"/>
      <c r="B711" s="123"/>
      <c r="C711" s="124"/>
      <c r="D711" s="124"/>
      <c r="E711" s="124"/>
      <c r="F711" s="113"/>
      <c r="G711" s="113"/>
      <c r="H711" s="113"/>
      <c r="I711" s="113"/>
      <c r="J711" s="113"/>
      <c r="K711" s="113"/>
      <c r="L711" s="113"/>
      <c r="M711" s="113"/>
      <c r="N711" s="113"/>
      <c r="O711" s="124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</row>
    <row x14ac:dyDescent="0.25" r="712" customHeight="1" ht="15.75">
      <c r="A712" s="123"/>
      <c r="B712" s="123"/>
      <c r="C712" s="124"/>
      <c r="D712" s="124"/>
      <c r="E712" s="124"/>
      <c r="F712" s="113"/>
      <c r="G712" s="113"/>
      <c r="H712" s="113"/>
      <c r="I712" s="113"/>
      <c r="J712" s="113"/>
      <c r="K712" s="113"/>
      <c r="L712" s="113"/>
      <c r="M712" s="113"/>
      <c r="N712" s="113"/>
      <c r="O712" s="124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</row>
    <row x14ac:dyDescent="0.25" r="713" customHeight="1" ht="15.75">
      <c r="A713" s="123"/>
      <c r="B713" s="123"/>
      <c r="C713" s="124"/>
      <c r="D713" s="124"/>
      <c r="E713" s="124"/>
      <c r="F713" s="113"/>
      <c r="G713" s="113"/>
      <c r="H713" s="113"/>
      <c r="I713" s="113"/>
      <c r="J713" s="113"/>
      <c r="K713" s="113"/>
      <c r="L713" s="113"/>
      <c r="M713" s="113"/>
      <c r="N713" s="113"/>
      <c r="O713" s="124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</row>
    <row x14ac:dyDescent="0.25" r="714" customHeight="1" ht="15.75">
      <c r="A714" s="123"/>
      <c r="B714" s="123"/>
      <c r="C714" s="124"/>
      <c r="D714" s="124"/>
      <c r="E714" s="124"/>
      <c r="F714" s="113"/>
      <c r="G714" s="113"/>
      <c r="H714" s="113"/>
      <c r="I714" s="113"/>
      <c r="J714" s="113"/>
      <c r="K714" s="113"/>
      <c r="L714" s="113"/>
      <c r="M714" s="113"/>
      <c r="N714" s="113"/>
      <c r="O714" s="124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</row>
    <row x14ac:dyDescent="0.25" r="715" customHeight="1" ht="15.75">
      <c r="A715" s="123"/>
      <c r="B715" s="123"/>
      <c r="C715" s="124"/>
      <c r="D715" s="124"/>
      <c r="E715" s="124"/>
      <c r="F715" s="113"/>
      <c r="G715" s="113"/>
      <c r="H715" s="113"/>
      <c r="I715" s="113"/>
      <c r="J715" s="113"/>
      <c r="K715" s="113"/>
      <c r="L715" s="113"/>
      <c r="M715" s="113"/>
      <c r="N715" s="113"/>
      <c r="O715" s="124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</row>
    <row x14ac:dyDescent="0.25" r="716" customHeight="1" ht="15.75">
      <c r="A716" s="123"/>
      <c r="B716" s="123"/>
      <c r="C716" s="124"/>
      <c r="D716" s="124"/>
      <c r="E716" s="124"/>
      <c r="F716" s="113"/>
      <c r="G716" s="113"/>
      <c r="H716" s="113"/>
      <c r="I716" s="113"/>
      <c r="J716" s="113"/>
      <c r="K716" s="113"/>
      <c r="L716" s="113"/>
      <c r="M716" s="113"/>
      <c r="N716" s="113"/>
      <c r="O716" s="124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</row>
    <row x14ac:dyDescent="0.25" r="717" customHeight="1" ht="15.75">
      <c r="A717" s="123"/>
      <c r="B717" s="123"/>
      <c r="C717" s="124"/>
      <c r="D717" s="124"/>
      <c r="E717" s="124"/>
      <c r="F717" s="113"/>
      <c r="G717" s="113"/>
      <c r="H717" s="113"/>
      <c r="I717" s="113"/>
      <c r="J717" s="113"/>
      <c r="K717" s="113"/>
      <c r="L717" s="113"/>
      <c r="M717" s="113"/>
      <c r="N717" s="113"/>
      <c r="O717" s="124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</row>
    <row x14ac:dyDescent="0.25" r="718" customHeight="1" ht="15.75">
      <c r="A718" s="123"/>
      <c r="B718" s="123"/>
      <c r="C718" s="124"/>
      <c r="D718" s="124"/>
      <c r="E718" s="124"/>
      <c r="F718" s="113"/>
      <c r="G718" s="113"/>
      <c r="H718" s="113"/>
      <c r="I718" s="113"/>
      <c r="J718" s="113"/>
      <c r="K718" s="113"/>
      <c r="L718" s="113"/>
      <c r="M718" s="113"/>
      <c r="N718" s="113"/>
      <c r="O718" s="124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</row>
    <row x14ac:dyDescent="0.25" r="719" customHeight="1" ht="15.75">
      <c r="A719" s="123"/>
      <c r="B719" s="123"/>
      <c r="C719" s="124"/>
      <c r="D719" s="124"/>
      <c r="E719" s="124"/>
      <c r="F719" s="113"/>
      <c r="G719" s="113"/>
      <c r="H719" s="113"/>
      <c r="I719" s="113"/>
      <c r="J719" s="113"/>
      <c r="K719" s="113"/>
      <c r="L719" s="113"/>
      <c r="M719" s="113"/>
      <c r="N719" s="113"/>
      <c r="O719" s="124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</row>
    <row x14ac:dyDescent="0.25" r="720" customHeight="1" ht="15.75">
      <c r="A720" s="123"/>
      <c r="B720" s="123"/>
      <c r="C720" s="124"/>
      <c r="D720" s="124"/>
      <c r="E720" s="124"/>
      <c r="F720" s="113"/>
      <c r="G720" s="113"/>
      <c r="H720" s="113"/>
      <c r="I720" s="113"/>
      <c r="J720" s="113"/>
      <c r="K720" s="113"/>
      <c r="L720" s="113"/>
      <c r="M720" s="113"/>
      <c r="N720" s="113"/>
      <c r="O720" s="124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</row>
    <row x14ac:dyDescent="0.25" r="721" customHeight="1" ht="15.75">
      <c r="A721" s="123"/>
      <c r="B721" s="123"/>
      <c r="C721" s="124"/>
      <c r="D721" s="124"/>
      <c r="E721" s="124"/>
      <c r="F721" s="113"/>
      <c r="G721" s="113"/>
      <c r="H721" s="113"/>
      <c r="I721" s="113"/>
      <c r="J721" s="113"/>
      <c r="K721" s="113"/>
      <c r="L721" s="113"/>
      <c r="M721" s="113"/>
      <c r="N721" s="113"/>
      <c r="O721" s="124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</row>
    <row x14ac:dyDescent="0.25" r="722" customHeight="1" ht="15.75">
      <c r="A722" s="123"/>
      <c r="B722" s="123"/>
      <c r="C722" s="124"/>
      <c r="D722" s="124"/>
      <c r="E722" s="124"/>
      <c r="F722" s="113"/>
      <c r="G722" s="113"/>
      <c r="H722" s="113"/>
      <c r="I722" s="113"/>
      <c r="J722" s="113"/>
      <c r="K722" s="113"/>
      <c r="L722" s="113"/>
      <c r="M722" s="113"/>
      <c r="N722" s="113"/>
      <c r="O722" s="124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</row>
    <row x14ac:dyDescent="0.25" r="723" customHeight="1" ht="15.75">
      <c r="A723" s="123"/>
      <c r="B723" s="123"/>
      <c r="C723" s="124"/>
      <c r="D723" s="124"/>
      <c r="E723" s="124"/>
      <c r="F723" s="113"/>
      <c r="G723" s="113"/>
      <c r="H723" s="113"/>
      <c r="I723" s="113"/>
      <c r="J723" s="113"/>
      <c r="K723" s="113"/>
      <c r="L723" s="113"/>
      <c r="M723" s="113"/>
      <c r="N723" s="113"/>
      <c r="O723" s="124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</row>
    <row x14ac:dyDescent="0.25" r="724" customHeight="1" ht="15.75">
      <c r="A724" s="123"/>
      <c r="B724" s="123"/>
      <c r="C724" s="124"/>
      <c r="D724" s="124"/>
      <c r="E724" s="124"/>
      <c r="F724" s="113"/>
      <c r="G724" s="113"/>
      <c r="H724" s="113"/>
      <c r="I724" s="113"/>
      <c r="J724" s="113"/>
      <c r="K724" s="113"/>
      <c r="L724" s="113"/>
      <c r="M724" s="113"/>
      <c r="N724" s="113"/>
      <c r="O724" s="124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</row>
    <row x14ac:dyDescent="0.25" r="725" customHeight="1" ht="15.75">
      <c r="A725" s="123"/>
      <c r="B725" s="123"/>
      <c r="C725" s="124"/>
      <c r="D725" s="124"/>
      <c r="E725" s="124"/>
      <c r="F725" s="113"/>
      <c r="G725" s="113"/>
      <c r="H725" s="113"/>
      <c r="I725" s="113"/>
      <c r="J725" s="113"/>
      <c r="K725" s="113"/>
      <c r="L725" s="113"/>
      <c r="M725" s="113"/>
      <c r="N725" s="113"/>
      <c r="O725" s="124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</row>
    <row x14ac:dyDescent="0.25" r="726" customHeight="1" ht="15.75">
      <c r="A726" s="123"/>
      <c r="B726" s="123"/>
      <c r="C726" s="124"/>
      <c r="D726" s="124"/>
      <c r="E726" s="124"/>
      <c r="F726" s="113"/>
      <c r="G726" s="113"/>
      <c r="H726" s="113"/>
      <c r="I726" s="113"/>
      <c r="J726" s="113"/>
      <c r="K726" s="113"/>
      <c r="L726" s="113"/>
      <c r="M726" s="113"/>
      <c r="N726" s="113"/>
      <c r="O726" s="124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</row>
    <row x14ac:dyDescent="0.25" r="727" customHeight="1" ht="15.75">
      <c r="A727" s="123"/>
      <c r="B727" s="123"/>
      <c r="C727" s="124"/>
      <c r="D727" s="124"/>
      <c r="E727" s="124"/>
      <c r="F727" s="113"/>
      <c r="G727" s="113"/>
      <c r="H727" s="113"/>
      <c r="I727" s="113"/>
      <c r="J727" s="113"/>
      <c r="K727" s="113"/>
      <c r="L727" s="113"/>
      <c r="M727" s="113"/>
      <c r="N727" s="113"/>
      <c r="O727" s="124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</row>
    <row x14ac:dyDescent="0.25" r="728" customHeight="1" ht="15.75">
      <c r="A728" s="123"/>
      <c r="B728" s="123"/>
      <c r="C728" s="124"/>
      <c r="D728" s="124"/>
      <c r="E728" s="124"/>
      <c r="F728" s="113"/>
      <c r="G728" s="113"/>
      <c r="H728" s="113"/>
      <c r="I728" s="113"/>
      <c r="J728" s="113"/>
      <c r="K728" s="113"/>
      <c r="L728" s="113"/>
      <c r="M728" s="113"/>
      <c r="N728" s="113"/>
      <c r="O728" s="124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</row>
    <row x14ac:dyDescent="0.25" r="729" customHeight="1" ht="15.75">
      <c r="A729" s="123"/>
      <c r="B729" s="123"/>
      <c r="C729" s="124"/>
      <c r="D729" s="124"/>
      <c r="E729" s="124"/>
      <c r="F729" s="113"/>
      <c r="G729" s="113"/>
      <c r="H729" s="113"/>
      <c r="I729" s="113"/>
      <c r="J729" s="113"/>
      <c r="K729" s="113"/>
      <c r="L729" s="113"/>
      <c r="M729" s="113"/>
      <c r="N729" s="113"/>
      <c r="O729" s="124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</row>
    <row x14ac:dyDescent="0.25" r="730" customHeight="1" ht="15.75">
      <c r="A730" s="123"/>
      <c r="B730" s="123"/>
      <c r="C730" s="124"/>
      <c r="D730" s="124"/>
      <c r="E730" s="124"/>
      <c r="F730" s="113"/>
      <c r="G730" s="113"/>
      <c r="H730" s="113"/>
      <c r="I730" s="113"/>
      <c r="J730" s="113"/>
      <c r="K730" s="113"/>
      <c r="L730" s="113"/>
      <c r="M730" s="113"/>
      <c r="N730" s="113"/>
      <c r="O730" s="124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</row>
    <row x14ac:dyDescent="0.25" r="731" customHeight="1" ht="15.75">
      <c r="A731" s="123"/>
      <c r="B731" s="123"/>
      <c r="C731" s="124"/>
      <c r="D731" s="124"/>
      <c r="E731" s="124"/>
      <c r="F731" s="113"/>
      <c r="G731" s="113"/>
      <c r="H731" s="113"/>
      <c r="I731" s="113"/>
      <c r="J731" s="113"/>
      <c r="K731" s="113"/>
      <c r="L731" s="113"/>
      <c r="M731" s="113"/>
      <c r="N731" s="113"/>
      <c r="O731" s="124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</row>
    <row x14ac:dyDescent="0.25" r="732" customHeight="1" ht="15.75">
      <c r="A732" s="123"/>
      <c r="B732" s="123"/>
      <c r="C732" s="124"/>
      <c r="D732" s="124"/>
      <c r="E732" s="124"/>
      <c r="F732" s="113"/>
      <c r="G732" s="113"/>
      <c r="H732" s="113"/>
      <c r="I732" s="113"/>
      <c r="J732" s="113"/>
      <c r="K732" s="113"/>
      <c r="L732" s="113"/>
      <c r="M732" s="113"/>
      <c r="N732" s="113"/>
      <c r="O732" s="124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</row>
    <row x14ac:dyDescent="0.25" r="733" customHeight="1" ht="15.75">
      <c r="A733" s="123"/>
      <c r="B733" s="123"/>
      <c r="C733" s="124"/>
      <c r="D733" s="124"/>
      <c r="E733" s="124"/>
      <c r="F733" s="113"/>
      <c r="G733" s="113"/>
      <c r="H733" s="113"/>
      <c r="I733" s="113"/>
      <c r="J733" s="113"/>
      <c r="K733" s="113"/>
      <c r="L733" s="113"/>
      <c r="M733" s="113"/>
      <c r="N733" s="113"/>
      <c r="O733" s="124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</row>
    <row x14ac:dyDescent="0.25" r="734" customHeight="1" ht="15.75">
      <c r="A734" s="123"/>
      <c r="B734" s="123"/>
      <c r="C734" s="124"/>
      <c r="D734" s="124"/>
      <c r="E734" s="124"/>
      <c r="F734" s="113"/>
      <c r="G734" s="113"/>
      <c r="H734" s="113"/>
      <c r="I734" s="113"/>
      <c r="J734" s="113"/>
      <c r="K734" s="113"/>
      <c r="L734" s="113"/>
      <c r="M734" s="113"/>
      <c r="N734" s="113"/>
      <c r="O734" s="124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</row>
    <row x14ac:dyDescent="0.25" r="735" customHeight="1" ht="15.75">
      <c r="A735" s="123"/>
      <c r="B735" s="123"/>
      <c r="C735" s="124"/>
      <c r="D735" s="124"/>
      <c r="E735" s="124"/>
      <c r="F735" s="113"/>
      <c r="G735" s="113"/>
      <c r="H735" s="113"/>
      <c r="I735" s="113"/>
      <c r="J735" s="113"/>
      <c r="K735" s="113"/>
      <c r="L735" s="113"/>
      <c r="M735" s="113"/>
      <c r="N735" s="113"/>
      <c r="O735" s="124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</row>
    <row x14ac:dyDescent="0.25" r="736" customHeight="1" ht="15.75">
      <c r="A736" s="123"/>
      <c r="B736" s="123"/>
      <c r="C736" s="124"/>
      <c r="D736" s="124"/>
      <c r="E736" s="124"/>
      <c r="F736" s="113"/>
      <c r="G736" s="113"/>
      <c r="H736" s="113"/>
      <c r="I736" s="113"/>
      <c r="J736" s="113"/>
      <c r="K736" s="113"/>
      <c r="L736" s="113"/>
      <c r="M736" s="113"/>
      <c r="N736" s="113"/>
      <c r="O736" s="124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</row>
    <row x14ac:dyDescent="0.25" r="737" customHeight="1" ht="15.75">
      <c r="A737" s="123"/>
      <c r="B737" s="123"/>
      <c r="C737" s="124"/>
      <c r="D737" s="124"/>
      <c r="E737" s="124"/>
      <c r="F737" s="113"/>
      <c r="G737" s="113"/>
      <c r="H737" s="113"/>
      <c r="I737" s="113"/>
      <c r="J737" s="113"/>
      <c r="K737" s="113"/>
      <c r="L737" s="113"/>
      <c r="M737" s="113"/>
      <c r="N737" s="113"/>
      <c r="O737" s="124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</row>
    <row x14ac:dyDescent="0.25" r="738" customHeight="1" ht="15.75">
      <c r="A738" s="123"/>
      <c r="B738" s="123"/>
      <c r="C738" s="124"/>
      <c r="D738" s="124"/>
      <c r="E738" s="124"/>
      <c r="F738" s="113"/>
      <c r="G738" s="113"/>
      <c r="H738" s="113"/>
      <c r="I738" s="113"/>
      <c r="J738" s="113"/>
      <c r="K738" s="113"/>
      <c r="L738" s="113"/>
      <c r="M738" s="113"/>
      <c r="N738" s="113"/>
      <c r="O738" s="124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</row>
    <row x14ac:dyDescent="0.25" r="739" customHeight="1" ht="15.75">
      <c r="A739" s="123"/>
      <c r="B739" s="123"/>
      <c r="C739" s="124"/>
      <c r="D739" s="124"/>
      <c r="E739" s="124"/>
      <c r="F739" s="113"/>
      <c r="G739" s="113"/>
      <c r="H739" s="113"/>
      <c r="I739" s="113"/>
      <c r="J739" s="113"/>
      <c r="K739" s="113"/>
      <c r="L739" s="113"/>
      <c r="M739" s="113"/>
      <c r="N739" s="113"/>
      <c r="O739" s="124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</row>
    <row x14ac:dyDescent="0.25" r="740" customHeight="1" ht="15.75">
      <c r="A740" s="123"/>
      <c r="B740" s="123"/>
      <c r="C740" s="124"/>
      <c r="D740" s="124"/>
      <c r="E740" s="124"/>
      <c r="F740" s="113"/>
      <c r="G740" s="113"/>
      <c r="H740" s="113"/>
      <c r="I740" s="113"/>
      <c r="J740" s="113"/>
      <c r="K740" s="113"/>
      <c r="L740" s="113"/>
      <c r="M740" s="113"/>
      <c r="N740" s="113"/>
      <c r="O740" s="124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</row>
    <row x14ac:dyDescent="0.25" r="741" customHeight="1" ht="15.75">
      <c r="A741" s="123"/>
      <c r="B741" s="123"/>
      <c r="C741" s="124"/>
      <c r="D741" s="124"/>
      <c r="E741" s="124"/>
      <c r="F741" s="113"/>
      <c r="G741" s="113"/>
      <c r="H741" s="113"/>
      <c r="I741" s="113"/>
      <c r="J741" s="113"/>
      <c r="K741" s="113"/>
      <c r="L741" s="113"/>
      <c r="M741" s="113"/>
      <c r="N741" s="113"/>
      <c r="O741" s="124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</row>
    <row x14ac:dyDescent="0.25" r="742" customHeight="1" ht="15.75">
      <c r="A742" s="123"/>
      <c r="B742" s="123"/>
      <c r="C742" s="124"/>
      <c r="D742" s="124"/>
      <c r="E742" s="124"/>
      <c r="F742" s="113"/>
      <c r="G742" s="113"/>
      <c r="H742" s="113"/>
      <c r="I742" s="113"/>
      <c r="J742" s="113"/>
      <c r="K742" s="113"/>
      <c r="L742" s="113"/>
      <c r="M742" s="113"/>
      <c r="N742" s="113"/>
      <c r="O742" s="124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</row>
    <row x14ac:dyDescent="0.25" r="743" customHeight="1" ht="15.75">
      <c r="A743" s="123"/>
      <c r="B743" s="123"/>
      <c r="C743" s="124"/>
      <c r="D743" s="124"/>
      <c r="E743" s="124"/>
      <c r="F743" s="113"/>
      <c r="G743" s="113"/>
      <c r="H743" s="113"/>
      <c r="I743" s="113"/>
      <c r="J743" s="113"/>
      <c r="K743" s="113"/>
      <c r="L743" s="113"/>
      <c r="M743" s="113"/>
      <c r="N743" s="113"/>
      <c r="O743" s="124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</row>
    <row x14ac:dyDescent="0.25" r="744" customHeight="1" ht="15.75">
      <c r="A744" s="123"/>
      <c r="B744" s="123"/>
      <c r="C744" s="124"/>
      <c r="D744" s="124"/>
      <c r="E744" s="124"/>
      <c r="F744" s="113"/>
      <c r="G744" s="113"/>
      <c r="H744" s="113"/>
      <c r="I744" s="113"/>
      <c r="J744" s="113"/>
      <c r="K744" s="113"/>
      <c r="L744" s="113"/>
      <c r="M744" s="113"/>
      <c r="N744" s="113"/>
      <c r="O744" s="124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</row>
    <row x14ac:dyDescent="0.25" r="745" customHeight="1" ht="15.75">
      <c r="A745" s="123"/>
      <c r="B745" s="123"/>
      <c r="C745" s="124"/>
      <c r="D745" s="124"/>
      <c r="E745" s="124"/>
      <c r="F745" s="113"/>
      <c r="G745" s="113"/>
      <c r="H745" s="113"/>
      <c r="I745" s="113"/>
      <c r="J745" s="113"/>
      <c r="K745" s="113"/>
      <c r="L745" s="113"/>
      <c r="M745" s="113"/>
      <c r="N745" s="113"/>
      <c r="O745" s="124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</row>
    <row x14ac:dyDescent="0.25" r="746" customHeight="1" ht="15.75">
      <c r="A746" s="123"/>
      <c r="B746" s="123"/>
      <c r="C746" s="124"/>
      <c r="D746" s="124"/>
      <c r="E746" s="124"/>
      <c r="F746" s="113"/>
      <c r="G746" s="113"/>
      <c r="H746" s="113"/>
      <c r="I746" s="113"/>
      <c r="J746" s="113"/>
      <c r="K746" s="113"/>
      <c r="L746" s="113"/>
      <c r="M746" s="113"/>
      <c r="N746" s="113"/>
      <c r="O746" s="124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</row>
    <row x14ac:dyDescent="0.25" r="747" customHeight="1" ht="15.75">
      <c r="A747" s="123"/>
      <c r="B747" s="123"/>
      <c r="C747" s="124"/>
      <c r="D747" s="124"/>
      <c r="E747" s="124"/>
      <c r="F747" s="113"/>
      <c r="G747" s="113"/>
      <c r="H747" s="113"/>
      <c r="I747" s="113"/>
      <c r="J747" s="113"/>
      <c r="K747" s="113"/>
      <c r="L747" s="113"/>
      <c r="M747" s="113"/>
      <c r="N747" s="113"/>
      <c r="O747" s="124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</row>
    <row x14ac:dyDescent="0.25" r="748" customHeight="1" ht="15.75">
      <c r="A748" s="123"/>
      <c r="B748" s="123"/>
      <c r="C748" s="124"/>
      <c r="D748" s="124"/>
      <c r="E748" s="124"/>
      <c r="F748" s="113"/>
      <c r="G748" s="113"/>
      <c r="H748" s="113"/>
      <c r="I748" s="113"/>
      <c r="J748" s="113"/>
      <c r="K748" s="113"/>
      <c r="L748" s="113"/>
      <c r="M748" s="113"/>
      <c r="N748" s="113"/>
      <c r="O748" s="124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</row>
    <row x14ac:dyDescent="0.25" r="749" customHeight="1" ht="15.75">
      <c r="A749" s="123"/>
      <c r="B749" s="123"/>
      <c r="C749" s="124"/>
      <c r="D749" s="124"/>
      <c r="E749" s="124"/>
      <c r="F749" s="113"/>
      <c r="G749" s="113"/>
      <c r="H749" s="113"/>
      <c r="I749" s="113"/>
      <c r="J749" s="113"/>
      <c r="K749" s="113"/>
      <c r="L749" s="113"/>
      <c r="M749" s="113"/>
      <c r="N749" s="113"/>
      <c r="O749" s="124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</row>
    <row x14ac:dyDescent="0.25" r="750" customHeight="1" ht="15.75">
      <c r="A750" s="123"/>
      <c r="B750" s="123"/>
      <c r="C750" s="124"/>
      <c r="D750" s="124"/>
      <c r="E750" s="124"/>
      <c r="F750" s="113"/>
      <c r="G750" s="113"/>
      <c r="H750" s="113"/>
      <c r="I750" s="113"/>
      <c r="J750" s="113"/>
      <c r="K750" s="113"/>
      <c r="L750" s="113"/>
      <c r="M750" s="113"/>
      <c r="N750" s="113"/>
      <c r="O750" s="124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</row>
    <row x14ac:dyDescent="0.25" r="751" customHeight="1" ht="15.75">
      <c r="A751" s="123"/>
      <c r="B751" s="123"/>
      <c r="C751" s="124"/>
      <c r="D751" s="124"/>
      <c r="E751" s="124"/>
      <c r="F751" s="113"/>
      <c r="G751" s="113"/>
      <c r="H751" s="113"/>
      <c r="I751" s="113"/>
      <c r="J751" s="113"/>
      <c r="K751" s="113"/>
      <c r="L751" s="113"/>
      <c r="M751" s="113"/>
      <c r="N751" s="113"/>
      <c r="O751" s="124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</row>
    <row x14ac:dyDescent="0.25" r="752" customHeight="1" ht="15.75">
      <c r="A752" s="123"/>
      <c r="B752" s="123"/>
      <c r="C752" s="124"/>
      <c r="D752" s="124"/>
      <c r="E752" s="124"/>
      <c r="F752" s="113"/>
      <c r="G752" s="113"/>
      <c r="H752" s="113"/>
      <c r="I752" s="113"/>
      <c r="J752" s="113"/>
      <c r="K752" s="113"/>
      <c r="L752" s="113"/>
      <c r="M752" s="113"/>
      <c r="N752" s="113"/>
      <c r="O752" s="124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</row>
    <row x14ac:dyDescent="0.25" r="753" customHeight="1" ht="15.75">
      <c r="A753" s="123"/>
      <c r="B753" s="123"/>
      <c r="C753" s="124"/>
      <c r="D753" s="124"/>
      <c r="E753" s="124"/>
      <c r="F753" s="113"/>
      <c r="G753" s="113"/>
      <c r="H753" s="113"/>
      <c r="I753" s="113"/>
      <c r="J753" s="113"/>
      <c r="K753" s="113"/>
      <c r="L753" s="113"/>
      <c r="M753" s="113"/>
      <c r="N753" s="113"/>
      <c r="O753" s="124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</row>
    <row x14ac:dyDescent="0.25" r="754" customHeight="1" ht="15.75">
      <c r="A754" s="123"/>
      <c r="B754" s="123"/>
      <c r="C754" s="124"/>
      <c r="D754" s="124"/>
      <c r="E754" s="124"/>
      <c r="F754" s="113"/>
      <c r="G754" s="113"/>
      <c r="H754" s="113"/>
      <c r="I754" s="113"/>
      <c r="J754" s="113"/>
      <c r="K754" s="113"/>
      <c r="L754" s="113"/>
      <c r="M754" s="113"/>
      <c r="N754" s="113"/>
      <c r="O754" s="124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</row>
    <row x14ac:dyDescent="0.25" r="755" customHeight="1" ht="15.75">
      <c r="A755" s="123"/>
      <c r="B755" s="123"/>
      <c r="C755" s="124"/>
      <c r="D755" s="124"/>
      <c r="E755" s="124"/>
      <c r="F755" s="113"/>
      <c r="G755" s="113"/>
      <c r="H755" s="113"/>
      <c r="I755" s="113"/>
      <c r="J755" s="113"/>
      <c r="K755" s="113"/>
      <c r="L755" s="113"/>
      <c r="M755" s="113"/>
      <c r="N755" s="113"/>
      <c r="O755" s="124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</row>
    <row x14ac:dyDescent="0.25" r="756" customHeight="1" ht="15.75">
      <c r="A756" s="123"/>
      <c r="B756" s="123"/>
      <c r="C756" s="124"/>
      <c r="D756" s="124"/>
      <c r="E756" s="124"/>
      <c r="F756" s="113"/>
      <c r="G756" s="113"/>
      <c r="H756" s="113"/>
      <c r="I756" s="113"/>
      <c r="J756" s="113"/>
      <c r="K756" s="113"/>
      <c r="L756" s="113"/>
      <c r="M756" s="113"/>
      <c r="N756" s="113"/>
      <c r="O756" s="124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</row>
    <row x14ac:dyDescent="0.25" r="757" customHeight="1" ht="15.75">
      <c r="A757" s="123"/>
      <c r="B757" s="123"/>
      <c r="C757" s="124"/>
      <c r="D757" s="124"/>
      <c r="E757" s="124"/>
      <c r="F757" s="113"/>
      <c r="G757" s="113"/>
      <c r="H757" s="113"/>
      <c r="I757" s="113"/>
      <c r="J757" s="113"/>
      <c r="K757" s="113"/>
      <c r="L757" s="113"/>
      <c r="M757" s="113"/>
      <c r="N757" s="113"/>
      <c r="O757" s="124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</row>
    <row x14ac:dyDescent="0.25" r="758" customHeight="1" ht="15.75">
      <c r="A758" s="123"/>
      <c r="B758" s="123"/>
      <c r="C758" s="124"/>
      <c r="D758" s="124"/>
      <c r="E758" s="124"/>
      <c r="F758" s="113"/>
      <c r="G758" s="113"/>
      <c r="H758" s="113"/>
      <c r="I758" s="113"/>
      <c r="J758" s="113"/>
      <c r="K758" s="113"/>
      <c r="L758" s="113"/>
      <c r="M758" s="113"/>
      <c r="N758" s="113"/>
      <c r="O758" s="124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</row>
    <row x14ac:dyDescent="0.25" r="759" customHeight="1" ht="15.75">
      <c r="A759" s="123"/>
      <c r="B759" s="123"/>
      <c r="C759" s="124"/>
      <c r="D759" s="124"/>
      <c r="E759" s="124"/>
      <c r="F759" s="113"/>
      <c r="G759" s="113"/>
      <c r="H759" s="113"/>
      <c r="I759" s="113"/>
      <c r="J759" s="113"/>
      <c r="K759" s="113"/>
      <c r="L759" s="113"/>
      <c r="M759" s="113"/>
      <c r="N759" s="113"/>
      <c r="O759" s="124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</row>
    <row x14ac:dyDescent="0.25" r="760" customHeight="1" ht="15.75">
      <c r="A760" s="123"/>
      <c r="B760" s="123"/>
      <c r="C760" s="124"/>
      <c r="D760" s="124"/>
      <c r="E760" s="124"/>
      <c r="F760" s="113"/>
      <c r="G760" s="113"/>
      <c r="H760" s="113"/>
      <c r="I760" s="113"/>
      <c r="J760" s="113"/>
      <c r="K760" s="113"/>
      <c r="L760" s="113"/>
      <c r="M760" s="113"/>
      <c r="N760" s="113"/>
      <c r="O760" s="124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</row>
    <row x14ac:dyDescent="0.25" r="761" customHeight="1" ht="15.75">
      <c r="A761" s="123"/>
      <c r="B761" s="123"/>
      <c r="C761" s="124"/>
      <c r="D761" s="124"/>
      <c r="E761" s="124"/>
      <c r="F761" s="113"/>
      <c r="G761" s="113"/>
      <c r="H761" s="113"/>
      <c r="I761" s="113"/>
      <c r="J761" s="113"/>
      <c r="K761" s="113"/>
      <c r="L761" s="113"/>
      <c r="M761" s="113"/>
      <c r="N761" s="113"/>
      <c r="O761" s="124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</row>
    <row x14ac:dyDescent="0.25" r="762" customHeight="1" ht="15.75">
      <c r="A762" s="123"/>
      <c r="B762" s="123"/>
      <c r="C762" s="124"/>
      <c r="D762" s="124"/>
      <c r="E762" s="124"/>
      <c r="F762" s="113"/>
      <c r="G762" s="113"/>
      <c r="H762" s="113"/>
      <c r="I762" s="113"/>
      <c r="J762" s="113"/>
      <c r="K762" s="113"/>
      <c r="L762" s="113"/>
      <c r="M762" s="113"/>
      <c r="N762" s="113"/>
      <c r="O762" s="124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</row>
    <row x14ac:dyDescent="0.25" r="763" customHeight="1" ht="15.75">
      <c r="A763" s="123"/>
      <c r="B763" s="123"/>
      <c r="C763" s="124"/>
      <c r="D763" s="124"/>
      <c r="E763" s="124"/>
      <c r="F763" s="113"/>
      <c r="G763" s="113"/>
      <c r="H763" s="113"/>
      <c r="I763" s="113"/>
      <c r="J763" s="113"/>
      <c r="K763" s="113"/>
      <c r="L763" s="113"/>
      <c r="M763" s="113"/>
      <c r="N763" s="113"/>
      <c r="O763" s="124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</row>
    <row x14ac:dyDescent="0.25" r="764" customHeight="1" ht="15.75">
      <c r="A764" s="123"/>
      <c r="B764" s="123"/>
      <c r="C764" s="124"/>
      <c r="D764" s="124"/>
      <c r="E764" s="124"/>
      <c r="F764" s="113"/>
      <c r="G764" s="113"/>
      <c r="H764" s="113"/>
      <c r="I764" s="113"/>
      <c r="J764" s="113"/>
      <c r="K764" s="113"/>
      <c r="L764" s="113"/>
      <c r="M764" s="113"/>
      <c r="N764" s="113"/>
      <c r="O764" s="124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</row>
    <row x14ac:dyDescent="0.25" r="765" customHeight="1" ht="15.75">
      <c r="A765" s="123"/>
      <c r="B765" s="123"/>
      <c r="C765" s="124"/>
      <c r="D765" s="124"/>
      <c r="E765" s="124"/>
      <c r="F765" s="113"/>
      <c r="G765" s="113"/>
      <c r="H765" s="113"/>
      <c r="I765" s="113"/>
      <c r="J765" s="113"/>
      <c r="K765" s="113"/>
      <c r="L765" s="113"/>
      <c r="M765" s="113"/>
      <c r="N765" s="113"/>
      <c r="O765" s="124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</row>
    <row x14ac:dyDescent="0.25" r="766" customHeight="1" ht="15.75">
      <c r="A766" s="123"/>
      <c r="B766" s="123"/>
      <c r="C766" s="124"/>
      <c r="D766" s="124"/>
      <c r="E766" s="124"/>
      <c r="F766" s="113"/>
      <c r="G766" s="113"/>
      <c r="H766" s="113"/>
      <c r="I766" s="113"/>
      <c r="J766" s="113"/>
      <c r="K766" s="113"/>
      <c r="L766" s="113"/>
      <c r="M766" s="113"/>
      <c r="N766" s="113"/>
      <c r="O766" s="124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</row>
    <row x14ac:dyDescent="0.25" r="767" customHeight="1" ht="15.75">
      <c r="A767" s="123"/>
      <c r="B767" s="123"/>
      <c r="C767" s="124"/>
      <c r="D767" s="124"/>
      <c r="E767" s="124"/>
      <c r="F767" s="113"/>
      <c r="G767" s="113"/>
      <c r="H767" s="113"/>
      <c r="I767" s="113"/>
      <c r="J767" s="113"/>
      <c r="K767" s="113"/>
      <c r="L767" s="113"/>
      <c r="M767" s="113"/>
      <c r="N767" s="113"/>
      <c r="O767" s="124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</row>
    <row x14ac:dyDescent="0.25" r="768" customHeight="1" ht="15.75">
      <c r="A768" s="123"/>
      <c r="B768" s="123"/>
      <c r="C768" s="124"/>
      <c r="D768" s="124"/>
      <c r="E768" s="124"/>
      <c r="F768" s="113"/>
      <c r="G768" s="113"/>
      <c r="H768" s="113"/>
      <c r="I768" s="113"/>
      <c r="J768" s="113"/>
      <c r="K768" s="113"/>
      <c r="L768" s="113"/>
      <c r="M768" s="113"/>
      <c r="N768" s="113"/>
      <c r="O768" s="124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</row>
    <row x14ac:dyDescent="0.25" r="769" customHeight="1" ht="15.75">
      <c r="A769" s="123"/>
      <c r="B769" s="123"/>
      <c r="C769" s="124"/>
      <c r="D769" s="124"/>
      <c r="E769" s="124"/>
      <c r="F769" s="113"/>
      <c r="G769" s="113"/>
      <c r="H769" s="113"/>
      <c r="I769" s="113"/>
      <c r="J769" s="113"/>
      <c r="K769" s="113"/>
      <c r="L769" s="113"/>
      <c r="M769" s="113"/>
      <c r="N769" s="113"/>
      <c r="O769" s="124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</row>
    <row x14ac:dyDescent="0.25" r="770" customHeight="1" ht="15.75">
      <c r="A770" s="123"/>
      <c r="B770" s="123"/>
      <c r="C770" s="124"/>
      <c r="D770" s="124"/>
      <c r="E770" s="124"/>
      <c r="F770" s="113"/>
      <c r="G770" s="113"/>
      <c r="H770" s="113"/>
      <c r="I770" s="113"/>
      <c r="J770" s="113"/>
      <c r="K770" s="113"/>
      <c r="L770" s="113"/>
      <c r="M770" s="113"/>
      <c r="N770" s="113"/>
      <c r="O770" s="124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</row>
    <row x14ac:dyDescent="0.25" r="771" customHeight="1" ht="15.75">
      <c r="A771" s="123"/>
      <c r="B771" s="123"/>
      <c r="C771" s="124"/>
      <c r="D771" s="124"/>
      <c r="E771" s="124"/>
      <c r="F771" s="113"/>
      <c r="G771" s="113"/>
      <c r="H771" s="113"/>
      <c r="I771" s="113"/>
      <c r="J771" s="113"/>
      <c r="K771" s="113"/>
      <c r="L771" s="113"/>
      <c r="M771" s="113"/>
      <c r="N771" s="113"/>
      <c r="O771" s="124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</row>
    <row x14ac:dyDescent="0.25" r="772" customHeight="1" ht="15.75">
      <c r="A772" s="123"/>
      <c r="B772" s="123"/>
      <c r="C772" s="124"/>
      <c r="D772" s="124"/>
      <c r="E772" s="124"/>
      <c r="F772" s="113"/>
      <c r="G772" s="113"/>
      <c r="H772" s="113"/>
      <c r="I772" s="113"/>
      <c r="J772" s="113"/>
      <c r="K772" s="113"/>
      <c r="L772" s="113"/>
      <c r="M772" s="113"/>
      <c r="N772" s="113"/>
      <c r="O772" s="124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</row>
    <row x14ac:dyDescent="0.25" r="773" customHeight="1" ht="15.75">
      <c r="A773" s="123"/>
      <c r="B773" s="123"/>
      <c r="C773" s="124"/>
      <c r="D773" s="124"/>
      <c r="E773" s="124"/>
      <c r="F773" s="113"/>
      <c r="G773" s="113"/>
      <c r="H773" s="113"/>
      <c r="I773" s="113"/>
      <c r="J773" s="113"/>
      <c r="K773" s="113"/>
      <c r="L773" s="113"/>
      <c r="M773" s="113"/>
      <c r="N773" s="113"/>
      <c r="O773" s="124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</row>
    <row x14ac:dyDescent="0.25" r="774" customHeight="1" ht="15.75">
      <c r="A774" s="123"/>
      <c r="B774" s="123"/>
      <c r="C774" s="124"/>
      <c r="D774" s="124"/>
      <c r="E774" s="124"/>
      <c r="F774" s="113"/>
      <c r="G774" s="113"/>
      <c r="H774" s="113"/>
      <c r="I774" s="113"/>
      <c r="J774" s="113"/>
      <c r="K774" s="113"/>
      <c r="L774" s="113"/>
      <c r="M774" s="113"/>
      <c r="N774" s="113"/>
      <c r="O774" s="124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</row>
    <row x14ac:dyDescent="0.25" r="775" customHeight="1" ht="15.75">
      <c r="A775" s="123"/>
      <c r="B775" s="123"/>
      <c r="C775" s="124"/>
      <c r="D775" s="124"/>
      <c r="E775" s="124"/>
      <c r="F775" s="113"/>
      <c r="G775" s="113"/>
      <c r="H775" s="113"/>
      <c r="I775" s="113"/>
      <c r="J775" s="113"/>
      <c r="K775" s="113"/>
      <c r="L775" s="113"/>
      <c r="M775" s="113"/>
      <c r="N775" s="113"/>
      <c r="O775" s="124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</row>
    <row x14ac:dyDescent="0.25" r="776" customHeight="1" ht="15.75">
      <c r="A776" s="123"/>
      <c r="B776" s="123"/>
      <c r="C776" s="124"/>
      <c r="D776" s="124"/>
      <c r="E776" s="124"/>
      <c r="F776" s="113"/>
      <c r="G776" s="113"/>
      <c r="H776" s="113"/>
      <c r="I776" s="113"/>
      <c r="J776" s="113"/>
      <c r="K776" s="113"/>
      <c r="L776" s="113"/>
      <c r="M776" s="113"/>
      <c r="N776" s="113"/>
      <c r="O776" s="124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</row>
    <row x14ac:dyDescent="0.25" r="777" customHeight="1" ht="15.75">
      <c r="A777" s="123"/>
      <c r="B777" s="123"/>
      <c r="C777" s="124"/>
      <c r="D777" s="124"/>
      <c r="E777" s="124"/>
      <c r="F777" s="113"/>
      <c r="G777" s="113"/>
      <c r="H777" s="113"/>
      <c r="I777" s="113"/>
      <c r="J777" s="113"/>
      <c r="K777" s="113"/>
      <c r="L777" s="113"/>
      <c r="M777" s="113"/>
      <c r="N777" s="113"/>
      <c r="O777" s="124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</row>
    <row x14ac:dyDescent="0.25" r="778" customHeight="1" ht="15.75">
      <c r="A778" s="123"/>
      <c r="B778" s="123"/>
      <c r="C778" s="124"/>
      <c r="D778" s="124"/>
      <c r="E778" s="124"/>
      <c r="F778" s="113"/>
      <c r="G778" s="113"/>
      <c r="H778" s="113"/>
      <c r="I778" s="113"/>
      <c r="J778" s="113"/>
      <c r="K778" s="113"/>
      <c r="L778" s="113"/>
      <c r="M778" s="113"/>
      <c r="N778" s="113"/>
      <c r="O778" s="124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</row>
    <row x14ac:dyDescent="0.25" r="779" customHeight="1" ht="15.75">
      <c r="A779" s="123"/>
      <c r="B779" s="123"/>
      <c r="C779" s="124"/>
      <c r="D779" s="124"/>
      <c r="E779" s="124"/>
      <c r="F779" s="113"/>
      <c r="G779" s="113"/>
      <c r="H779" s="113"/>
      <c r="I779" s="113"/>
      <c r="J779" s="113"/>
      <c r="K779" s="113"/>
      <c r="L779" s="113"/>
      <c r="M779" s="113"/>
      <c r="N779" s="113"/>
      <c r="O779" s="124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</row>
    <row x14ac:dyDescent="0.25" r="780" customHeight="1" ht="15.75">
      <c r="A780" s="123"/>
      <c r="B780" s="123"/>
      <c r="C780" s="124"/>
      <c r="D780" s="124"/>
      <c r="E780" s="124"/>
      <c r="F780" s="113"/>
      <c r="G780" s="113"/>
      <c r="H780" s="113"/>
      <c r="I780" s="113"/>
      <c r="J780" s="113"/>
      <c r="K780" s="113"/>
      <c r="L780" s="113"/>
      <c r="M780" s="113"/>
      <c r="N780" s="113"/>
      <c r="O780" s="124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</row>
    <row x14ac:dyDescent="0.25" r="781" customHeight="1" ht="15.75">
      <c r="A781" s="123"/>
      <c r="B781" s="123"/>
      <c r="C781" s="124"/>
      <c r="D781" s="124"/>
      <c r="E781" s="124"/>
      <c r="F781" s="113"/>
      <c r="G781" s="113"/>
      <c r="H781" s="113"/>
      <c r="I781" s="113"/>
      <c r="J781" s="113"/>
      <c r="K781" s="113"/>
      <c r="L781" s="113"/>
      <c r="M781" s="113"/>
      <c r="N781" s="113"/>
      <c r="O781" s="124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</row>
    <row x14ac:dyDescent="0.25" r="782" customHeight="1" ht="15.75">
      <c r="A782" s="123"/>
      <c r="B782" s="123"/>
      <c r="C782" s="124"/>
      <c r="D782" s="124"/>
      <c r="E782" s="124"/>
      <c r="F782" s="113"/>
      <c r="G782" s="113"/>
      <c r="H782" s="113"/>
      <c r="I782" s="113"/>
      <c r="J782" s="113"/>
      <c r="K782" s="113"/>
      <c r="L782" s="113"/>
      <c r="M782" s="113"/>
      <c r="N782" s="113"/>
      <c r="O782" s="124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</row>
    <row x14ac:dyDescent="0.25" r="783" customHeight="1" ht="15.75">
      <c r="A783" s="123"/>
      <c r="B783" s="123"/>
      <c r="C783" s="124"/>
      <c r="D783" s="124"/>
      <c r="E783" s="124"/>
      <c r="F783" s="113"/>
      <c r="G783" s="113"/>
      <c r="H783" s="113"/>
      <c r="I783" s="113"/>
      <c r="J783" s="113"/>
      <c r="K783" s="113"/>
      <c r="L783" s="113"/>
      <c r="M783" s="113"/>
      <c r="N783" s="113"/>
      <c r="O783" s="124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</row>
    <row x14ac:dyDescent="0.25" r="784" customHeight="1" ht="15.75">
      <c r="A784" s="123"/>
      <c r="B784" s="123"/>
      <c r="C784" s="124"/>
      <c r="D784" s="124"/>
      <c r="E784" s="124"/>
      <c r="F784" s="113"/>
      <c r="G784" s="113"/>
      <c r="H784" s="113"/>
      <c r="I784" s="113"/>
      <c r="J784" s="113"/>
      <c r="K784" s="113"/>
      <c r="L784" s="113"/>
      <c r="M784" s="113"/>
      <c r="N784" s="113"/>
      <c r="O784" s="124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</row>
    <row x14ac:dyDescent="0.25" r="785" customHeight="1" ht="15.75">
      <c r="A785" s="123"/>
      <c r="B785" s="123"/>
      <c r="C785" s="124"/>
      <c r="D785" s="124"/>
      <c r="E785" s="124"/>
      <c r="F785" s="113"/>
      <c r="G785" s="113"/>
      <c r="H785" s="113"/>
      <c r="I785" s="113"/>
      <c r="J785" s="113"/>
      <c r="K785" s="113"/>
      <c r="L785" s="113"/>
      <c r="M785" s="113"/>
      <c r="N785" s="113"/>
      <c r="O785" s="124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</row>
    <row x14ac:dyDescent="0.25" r="786" customHeight="1" ht="15.75">
      <c r="A786" s="123"/>
      <c r="B786" s="123"/>
      <c r="C786" s="124"/>
      <c r="D786" s="124"/>
      <c r="E786" s="124"/>
      <c r="F786" s="113"/>
      <c r="G786" s="113"/>
      <c r="H786" s="113"/>
      <c r="I786" s="113"/>
      <c r="J786" s="113"/>
      <c r="K786" s="113"/>
      <c r="L786" s="113"/>
      <c r="M786" s="113"/>
      <c r="N786" s="113"/>
      <c r="O786" s="124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</row>
    <row x14ac:dyDescent="0.25" r="787" customHeight="1" ht="15.75">
      <c r="A787" s="123"/>
      <c r="B787" s="123"/>
      <c r="C787" s="124"/>
      <c r="D787" s="124"/>
      <c r="E787" s="124"/>
      <c r="F787" s="113"/>
      <c r="G787" s="113"/>
      <c r="H787" s="113"/>
      <c r="I787" s="113"/>
      <c r="J787" s="113"/>
      <c r="K787" s="113"/>
      <c r="L787" s="113"/>
      <c r="M787" s="113"/>
      <c r="N787" s="113"/>
      <c r="O787" s="124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</row>
    <row x14ac:dyDescent="0.25" r="788" customHeight="1" ht="15.75">
      <c r="A788" s="123"/>
      <c r="B788" s="123"/>
      <c r="C788" s="124"/>
      <c r="D788" s="124"/>
      <c r="E788" s="124"/>
      <c r="F788" s="113"/>
      <c r="G788" s="113"/>
      <c r="H788" s="113"/>
      <c r="I788" s="113"/>
      <c r="J788" s="113"/>
      <c r="K788" s="113"/>
      <c r="L788" s="113"/>
      <c r="M788" s="113"/>
      <c r="N788" s="113"/>
      <c r="O788" s="124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</row>
    <row x14ac:dyDescent="0.25" r="789" customHeight="1" ht="15.75">
      <c r="A789" s="123"/>
      <c r="B789" s="123"/>
      <c r="C789" s="124"/>
      <c r="D789" s="124"/>
      <c r="E789" s="124"/>
      <c r="F789" s="113"/>
      <c r="G789" s="113"/>
      <c r="H789" s="113"/>
      <c r="I789" s="113"/>
      <c r="J789" s="113"/>
      <c r="K789" s="113"/>
      <c r="L789" s="113"/>
      <c r="M789" s="113"/>
      <c r="N789" s="113"/>
      <c r="O789" s="124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</row>
    <row x14ac:dyDescent="0.25" r="790" customHeight="1" ht="15.75">
      <c r="A790" s="123"/>
      <c r="B790" s="123"/>
      <c r="C790" s="124"/>
      <c r="D790" s="124"/>
      <c r="E790" s="124"/>
      <c r="F790" s="113"/>
      <c r="G790" s="113"/>
      <c r="H790" s="113"/>
      <c r="I790" s="113"/>
      <c r="J790" s="113"/>
      <c r="K790" s="113"/>
      <c r="L790" s="113"/>
      <c r="M790" s="113"/>
      <c r="N790" s="113"/>
      <c r="O790" s="124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</row>
    <row x14ac:dyDescent="0.25" r="791" customHeight="1" ht="15.75">
      <c r="A791" s="123"/>
      <c r="B791" s="123"/>
      <c r="C791" s="124"/>
      <c r="D791" s="124"/>
      <c r="E791" s="124"/>
      <c r="F791" s="113"/>
      <c r="G791" s="113"/>
      <c r="H791" s="113"/>
      <c r="I791" s="113"/>
      <c r="J791" s="113"/>
      <c r="K791" s="113"/>
      <c r="L791" s="113"/>
      <c r="M791" s="113"/>
      <c r="N791" s="113"/>
      <c r="O791" s="124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</row>
    <row x14ac:dyDescent="0.25" r="792" customHeight="1" ht="15.75">
      <c r="A792" s="123"/>
      <c r="B792" s="123"/>
      <c r="C792" s="124"/>
      <c r="D792" s="124"/>
      <c r="E792" s="124"/>
      <c r="F792" s="113"/>
      <c r="G792" s="113"/>
      <c r="H792" s="113"/>
      <c r="I792" s="113"/>
      <c r="J792" s="113"/>
      <c r="K792" s="113"/>
      <c r="L792" s="113"/>
      <c r="M792" s="113"/>
      <c r="N792" s="113"/>
      <c r="O792" s="124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</row>
    <row x14ac:dyDescent="0.25" r="793" customHeight="1" ht="15.75">
      <c r="A793" s="123"/>
      <c r="B793" s="123"/>
      <c r="C793" s="124"/>
      <c r="D793" s="124"/>
      <c r="E793" s="124"/>
      <c r="F793" s="113"/>
      <c r="G793" s="113"/>
      <c r="H793" s="113"/>
      <c r="I793" s="113"/>
      <c r="J793" s="113"/>
      <c r="K793" s="113"/>
      <c r="L793" s="113"/>
      <c r="M793" s="113"/>
      <c r="N793" s="113"/>
      <c r="O793" s="124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</row>
    <row x14ac:dyDescent="0.25" r="794" customHeight="1" ht="15.75">
      <c r="A794" s="123"/>
      <c r="B794" s="123"/>
      <c r="C794" s="124"/>
      <c r="D794" s="124"/>
      <c r="E794" s="124"/>
      <c r="F794" s="113"/>
      <c r="G794" s="113"/>
      <c r="H794" s="113"/>
      <c r="I794" s="113"/>
      <c r="J794" s="113"/>
      <c r="K794" s="113"/>
      <c r="L794" s="113"/>
      <c r="M794" s="113"/>
      <c r="N794" s="113"/>
      <c r="O794" s="124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</row>
    <row x14ac:dyDescent="0.25" r="795" customHeight="1" ht="15.75">
      <c r="A795" s="123"/>
      <c r="B795" s="123"/>
      <c r="C795" s="124"/>
      <c r="D795" s="124"/>
      <c r="E795" s="124"/>
      <c r="F795" s="113"/>
      <c r="G795" s="113"/>
      <c r="H795" s="113"/>
      <c r="I795" s="113"/>
      <c r="J795" s="113"/>
      <c r="K795" s="113"/>
      <c r="L795" s="113"/>
      <c r="M795" s="113"/>
      <c r="N795" s="113"/>
      <c r="O795" s="124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</row>
    <row x14ac:dyDescent="0.25" r="796" customHeight="1" ht="15.75">
      <c r="A796" s="123"/>
      <c r="B796" s="123"/>
      <c r="C796" s="124"/>
      <c r="D796" s="124"/>
      <c r="E796" s="124"/>
      <c r="F796" s="113"/>
      <c r="G796" s="113"/>
      <c r="H796" s="113"/>
      <c r="I796" s="113"/>
      <c r="J796" s="113"/>
      <c r="K796" s="113"/>
      <c r="L796" s="113"/>
      <c r="M796" s="113"/>
      <c r="N796" s="113"/>
      <c r="O796" s="124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</row>
    <row x14ac:dyDescent="0.25" r="797" customHeight="1" ht="15.75">
      <c r="A797" s="123"/>
      <c r="B797" s="123"/>
      <c r="C797" s="124"/>
      <c r="D797" s="124"/>
      <c r="E797" s="124"/>
      <c r="F797" s="113"/>
      <c r="G797" s="113"/>
      <c r="H797" s="113"/>
      <c r="I797" s="113"/>
      <c r="J797" s="113"/>
      <c r="K797" s="113"/>
      <c r="L797" s="113"/>
      <c r="M797" s="113"/>
      <c r="N797" s="113"/>
      <c r="O797" s="124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</row>
    <row x14ac:dyDescent="0.25" r="798" customHeight="1" ht="15.75">
      <c r="A798" s="123"/>
      <c r="B798" s="123"/>
      <c r="C798" s="124"/>
      <c r="D798" s="124"/>
      <c r="E798" s="124"/>
      <c r="F798" s="113"/>
      <c r="G798" s="113"/>
      <c r="H798" s="113"/>
      <c r="I798" s="113"/>
      <c r="J798" s="113"/>
      <c r="K798" s="113"/>
      <c r="L798" s="113"/>
      <c r="M798" s="113"/>
      <c r="N798" s="113"/>
      <c r="O798" s="124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</row>
    <row x14ac:dyDescent="0.25" r="799" customHeight="1" ht="15.75">
      <c r="A799" s="123"/>
      <c r="B799" s="123"/>
      <c r="C799" s="124"/>
      <c r="D799" s="124"/>
      <c r="E799" s="124"/>
      <c r="F799" s="113"/>
      <c r="G799" s="113"/>
      <c r="H799" s="113"/>
      <c r="I799" s="113"/>
      <c r="J799" s="113"/>
      <c r="K799" s="113"/>
      <c r="L799" s="113"/>
      <c r="M799" s="113"/>
      <c r="N799" s="113"/>
      <c r="O799" s="124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</row>
    <row x14ac:dyDescent="0.25" r="800" customHeight="1" ht="15.75">
      <c r="A800" s="123"/>
      <c r="B800" s="123"/>
      <c r="C800" s="124"/>
      <c r="D800" s="124"/>
      <c r="E800" s="124"/>
      <c r="F800" s="113"/>
      <c r="G800" s="113"/>
      <c r="H800" s="113"/>
      <c r="I800" s="113"/>
      <c r="J800" s="113"/>
      <c r="K800" s="113"/>
      <c r="L800" s="113"/>
      <c r="M800" s="113"/>
      <c r="N800" s="113"/>
      <c r="O800" s="124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</row>
    <row x14ac:dyDescent="0.25" r="801" customHeight="1" ht="15.75">
      <c r="A801" s="123"/>
      <c r="B801" s="123"/>
      <c r="C801" s="124"/>
      <c r="D801" s="124"/>
      <c r="E801" s="124"/>
      <c r="F801" s="113"/>
      <c r="G801" s="113"/>
      <c r="H801" s="113"/>
      <c r="I801" s="113"/>
      <c r="J801" s="113"/>
      <c r="K801" s="113"/>
      <c r="L801" s="113"/>
      <c r="M801" s="113"/>
      <c r="N801" s="113"/>
      <c r="O801" s="124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</row>
    <row x14ac:dyDescent="0.25" r="802" customHeight="1" ht="15.75">
      <c r="A802" s="123"/>
      <c r="B802" s="123"/>
      <c r="C802" s="124"/>
      <c r="D802" s="124"/>
      <c r="E802" s="124"/>
      <c r="F802" s="113"/>
      <c r="G802" s="113"/>
      <c r="H802" s="113"/>
      <c r="I802" s="113"/>
      <c r="J802" s="113"/>
      <c r="K802" s="113"/>
      <c r="L802" s="113"/>
      <c r="M802" s="113"/>
      <c r="N802" s="113"/>
      <c r="O802" s="124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</row>
    <row x14ac:dyDescent="0.25" r="803" customHeight="1" ht="15.75">
      <c r="A803" s="123"/>
      <c r="B803" s="123"/>
      <c r="C803" s="124"/>
      <c r="D803" s="124"/>
      <c r="E803" s="124"/>
      <c r="F803" s="113"/>
      <c r="G803" s="113"/>
      <c r="H803" s="113"/>
      <c r="I803" s="113"/>
      <c r="J803" s="113"/>
      <c r="K803" s="113"/>
      <c r="L803" s="113"/>
      <c r="M803" s="113"/>
      <c r="N803" s="113"/>
      <c r="O803" s="124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</row>
    <row x14ac:dyDescent="0.25" r="804" customHeight="1" ht="15.75">
      <c r="A804" s="123"/>
      <c r="B804" s="123"/>
      <c r="C804" s="124"/>
      <c r="D804" s="124"/>
      <c r="E804" s="124"/>
      <c r="F804" s="113"/>
      <c r="G804" s="113"/>
      <c r="H804" s="113"/>
      <c r="I804" s="113"/>
      <c r="J804" s="113"/>
      <c r="K804" s="113"/>
      <c r="L804" s="113"/>
      <c r="M804" s="113"/>
      <c r="N804" s="113"/>
      <c r="O804" s="124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</row>
    <row x14ac:dyDescent="0.25" r="805" customHeight="1" ht="15.75">
      <c r="A805" s="123"/>
      <c r="B805" s="123"/>
      <c r="C805" s="124"/>
      <c r="D805" s="124"/>
      <c r="E805" s="124"/>
      <c r="F805" s="113"/>
      <c r="G805" s="113"/>
      <c r="H805" s="113"/>
      <c r="I805" s="113"/>
      <c r="J805" s="113"/>
      <c r="K805" s="113"/>
      <c r="L805" s="113"/>
      <c r="M805" s="113"/>
      <c r="N805" s="113"/>
      <c r="O805" s="124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</row>
    <row x14ac:dyDescent="0.25" r="806" customHeight="1" ht="15.75">
      <c r="A806" s="123"/>
      <c r="B806" s="123"/>
      <c r="C806" s="124"/>
      <c r="D806" s="124"/>
      <c r="E806" s="124"/>
      <c r="F806" s="113"/>
      <c r="G806" s="113"/>
      <c r="H806" s="113"/>
      <c r="I806" s="113"/>
      <c r="J806" s="113"/>
      <c r="K806" s="113"/>
      <c r="L806" s="113"/>
      <c r="M806" s="113"/>
      <c r="N806" s="113"/>
      <c r="O806" s="124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</row>
    <row x14ac:dyDescent="0.25" r="807" customHeight="1" ht="15.75">
      <c r="A807" s="123"/>
      <c r="B807" s="123"/>
      <c r="C807" s="124"/>
      <c r="D807" s="124"/>
      <c r="E807" s="124"/>
      <c r="F807" s="113"/>
      <c r="G807" s="113"/>
      <c r="H807" s="113"/>
      <c r="I807" s="113"/>
      <c r="J807" s="113"/>
      <c r="K807" s="113"/>
      <c r="L807" s="113"/>
      <c r="M807" s="113"/>
      <c r="N807" s="113"/>
      <c r="O807" s="124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</row>
    <row x14ac:dyDescent="0.25" r="808" customHeight="1" ht="15.75">
      <c r="A808" s="123"/>
      <c r="B808" s="123"/>
      <c r="C808" s="124"/>
      <c r="D808" s="124"/>
      <c r="E808" s="124"/>
      <c r="F808" s="113"/>
      <c r="G808" s="113"/>
      <c r="H808" s="113"/>
      <c r="I808" s="113"/>
      <c r="J808" s="113"/>
      <c r="K808" s="113"/>
      <c r="L808" s="113"/>
      <c r="M808" s="113"/>
      <c r="N808" s="113"/>
      <c r="O808" s="124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</row>
    <row x14ac:dyDescent="0.25" r="809" customHeight="1" ht="15.75">
      <c r="A809" s="123"/>
      <c r="B809" s="123"/>
      <c r="C809" s="124"/>
      <c r="D809" s="124"/>
      <c r="E809" s="124"/>
      <c r="F809" s="113"/>
      <c r="G809" s="113"/>
      <c r="H809" s="113"/>
      <c r="I809" s="113"/>
      <c r="J809" s="113"/>
      <c r="K809" s="113"/>
      <c r="L809" s="113"/>
      <c r="M809" s="113"/>
      <c r="N809" s="113"/>
      <c r="O809" s="124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</row>
    <row x14ac:dyDescent="0.25" r="810" customHeight="1" ht="15.75">
      <c r="A810" s="123"/>
      <c r="B810" s="123"/>
      <c r="C810" s="124"/>
      <c r="D810" s="124"/>
      <c r="E810" s="124"/>
      <c r="F810" s="113"/>
      <c r="G810" s="113"/>
      <c r="H810" s="113"/>
      <c r="I810" s="113"/>
      <c r="J810" s="113"/>
      <c r="K810" s="113"/>
      <c r="L810" s="113"/>
      <c r="M810" s="113"/>
      <c r="N810" s="113"/>
      <c r="O810" s="124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</row>
    <row x14ac:dyDescent="0.25" r="811" customHeight="1" ht="15.75">
      <c r="A811" s="123"/>
      <c r="B811" s="123"/>
      <c r="C811" s="124"/>
      <c r="D811" s="124"/>
      <c r="E811" s="124"/>
      <c r="F811" s="113"/>
      <c r="G811" s="113"/>
      <c r="H811" s="113"/>
      <c r="I811" s="113"/>
      <c r="J811" s="113"/>
      <c r="K811" s="113"/>
      <c r="L811" s="113"/>
      <c r="M811" s="113"/>
      <c r="N811" s="113"/>
      <c r="O811" s="124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</row>
    <row x14ac:dyDescent="0.25" r="812" customHeight="1" ht="15.75">
      <c r="A812" s="123"/>
      <c r="B812" s="123"/>
      <c r="C812" s="124"/>
      <c r="D812" s="124"/>
      <c r="E812" s="124"/>
      <c r="F812" s="113"/>
      <c r="G812" s="113"/>
      <c r="H812" s="113"/>
      <c r="I812" s="113"/>
      <c r="J812" s="113"/>
      <c r="K812" s="113"/>
      <c r="L812" s="113"/>
      <c r="M812" s="113"/>
      <c r="N812" s="113"/>
      <c r="O812" s="124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</row>
    <row x14ac:dyDescent="0.25" r="813" customHeight="1" ht="15.75">
      <c r="A813" s="123"/>
      <c r="B813" s="123"/>
      <c r="C813" s="124"/>
      <c r="D813" s="124"/>
      <c r="E813" s="124"/>
      <c r="F813" s="113"/>
      <c r="G813" s="113"/>
      <c r="H813" s="113"/>
      <c r="I813" s="113"/>
      <c r="J813" s="113"/>
      <c r="K813" s="113"/>
      <c r="L813" s="113"/>
      <c r="M813" s="113"/>
      <c r="N813" s="113"/>
      <c r="O813" s="124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</row>
    <row x14ac:dyDescent="0.25" r="814" customHeight="1" ht="15.75">
      <c r="A814" s="123"/>
      <c r="B814" s="123"/>
      <c r="C814" s="124"/>
      <c r="D814" s="124"/>
      <c r="E814" s="124"/>
      <c r="F814" s="113"/>
      <c r="G814" s="113"/>
      <c r="H814" s="113"/>
      <c r="I814" s="113"/>
      <c r="J814" s="113"/>
      <c r="K814" s="113"/>
      <c r="L814" s="113"/>
      <c r="M814" s="113"/>
      <c r="N814" s="113"/>
      <c r="O814" s="124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</row>
    <row x14ac:dyDescent="0.25" r="815" customHeight="1" ht="15.75">
      <c r="A815" s="123"/>
      <c r="B815" s="123"/>
      <c r="C815" s="124"/>
      <c r="D815" s="124"/>
      <c r="E815" s="124"/>
      <c r="F815" s="113"/>
      <c r="G815" s="113"/>
      <c r="H815" s="113"/>
      <c r="I815" s="113"/>
      <c r="J815" s="113"/>
      <c r="K815" s="113"/>
      <c r="L815" s="113"/>
      <c r="M815" s="113"/>
      <c r="N815" s="113"/>
      <c r="O815" s="124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</row>
    <row x14ac:dyDescent="0.25" r="816" customHeight="1" ht="15.75">
      <c r="A816" s="123"/>
      <c r="B816" s="123"/>
      <c r="C816" s="124"/>
      <c r="D816" s="124"/>
      <c r="E816" s="124"/>
      <c r="F816" s="113"/>
      <c r="G816" s="113"/>
      <c r="H816" s="113"/>
      <c r="I816" s="113"/>
      <c r="J816" s="113"/>
      <c r="K816" s="113"/>
      <c r="L816" s="113"/>
      <c r="M816" s="113"/>
      <c r="N816" s="113"/>
      <c r="O816" s="124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</row>
    <row x14ac:dyDescent="0.25" r="817" customHeight="1" ht="15.75">
      <c r="A817" s="123"/>
      <c r="B817" s="123"/>
      <c r="C817" s="124"/>
      <c r="D817" s="124"/>
      <c r="E817" s="124"/>
      <c r="F817" s="113"/>
      <c r="G817" s="113"/>
      <c r="H817" s="113"/>
      <c r="I817" s="113"/>
      <c r="J817" s="113"/>
      <c r="K817" s="113"/>
      <c r="L817" s="113"/>
      <c r="M817" s="113"/>
      <c r="N817" s="113"/>
      <c r="O817" s="124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</row>
    <row x14ac:dyDescent="0.25" r="818" customHeight="1" ht="15.75">
      <c r="A818" s="123"/>
      <c r="B818" s="123"/>
      <c r="C818" s="124"/>
      <c r="D818" s="124"/>
      <c r="E818" s="124"/>
      <c r="F818" s="113"/>
      <c r="G818" s="113"/>
      <c r="H818" s="113"/>
      <c r="I818" s="113"/>
      <c r="J818" s="113"/>
      <c r="K818" s="113"/>
      <c r="L818" s="113"/>
      <c r="M818" s="113"/>
      <c r="N818" s="113"/>
      <c r="O818" s="124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</row>
    <row x14ac:dyDescent="0.25" r="819" customHeight="1" ht="15.75">
      <c r="A819" s="123"/>
      <c r="B819" s="123"/>
      <c r="C819" s="124"/>
      <c r="D819" s="124"/>
      <c r="E819" s="124"/>
      <c r="F819" s="113"/>
      <c r="G819" s="113"/>
      <c r="H819" s="113"/>
      <c r="I819" s="113"/>
      <c r="J819" s="113"/>
      <c r="K819" s="113"/>
      <c r="L819" s="113"/>
      <c r="M819" s="113"/>
      <c r="N819" s="113"/>
      <c r="O819" s="124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</row>
    <row x14ac:dyDescent="0.25" r="820" customHeight="1" ht="15.75">
      <c r="A820" s="123"/>
      <c r="B820" s="123"/>
      <c r="C820" s="124"/>
      <c r="D820" s="124"/>
      <c r="E820" s="124"/>
      <c r="F820" s="113"/>
      <c r="G820" s="113"/>
      <c r="H820" s="113"/>
      <c r="I820" s="113"/>
      <c r="J820" s="113"/>
      <c r="K820" s="113"/>
      <c r="L820" s="113"/>
      <c r="M820" s="113"/>
      <c r="N820" s="113"/>
      <c r="O820" s="124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</row>
    <row x14ac:dyDescent="0.25" r="821" customHeight="1" ht="15.75">
      <c r="A821" s="123"/>
      <c r="B821" s="123"/>
      <c r="C821" s="124"/>
      <c r="D821" s="124"/>
      <c r="E821" s="124"/>
      <c r="F821" s="113"/>
      <c r="G821" s="113"/>
      <c r="H821" s="113"/>
      <c r="I821" s="113"/>
      <c r="J821" s="113"/>
      <c r="K821" s="113"/>
      <c r="L821" s="113"/>
      <c r="M821" s="113"/>
      <c r="N821" s="113"/>
      <c r="O821" s="124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</row>
    <row x14ac:dyDescent="0.25" r="822" customHeight="1" ht="15.75">
      <c r="A822" s="123"/>
      <c r="B822" s="123"/>
      <c r="C822" s="124"/>
      <c r="D822" s="124"/>
      <c r="E822" s="124"/>
      <c r="F822" s="113"/>
      <c r="G822" s="113"/>
      <c r="H822" s="113"/>
      <c r="I822" s="113"/>
      <c r="J822" s="113"/>
      <c r="K822" s="113"/>
      <c r="L822" s="113"/>
      <c r="M822" s="113"/>
      <c r="N822" s="113"/>
      <c r="O822" s="124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</row>
    <row x14ac:dyDescent="0.25" r="823" customHeight="1" ht="15.75">
      <c r="A823" s="123"/>
      <c r="B823" s="123"/>
      <c r="C823" s="124"/>
      <c r="D823" s="124"/>
      <c r="E823" s="124"/>
      <c r="F823" s="113"/>
      <c r="G823" s="113"/>
      <c r="H823" s="113"/>
      <c r="I823" s="113"/>
      <c r="J823" s="113"/>
      <c r="K823" s="113"/>
      <c r="L823" s="113"/>
      <c r="M823" s="113"/>
      <c r="N823" s="113"/>
      <c r="O823" s="124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</row>
    <row x14ac:dyDescent="0.25" r="824" customHeight="1" ht="15.75">
      <c r="A824" s="123"/>
      <c r="B824" s="123"/>
      <c r="C824" s="124"/>
      <c r="D824" s="124"/>
      <c r="E824" s="124"/>
      <c r="F824" s="113"/>
      <c r="G824" s="113"/>
      <c r="H824" s="113"/>
      <c r="I824" s="113"/>
      <c r="J824" s="113"/>
      <c r="K824" s="113"/>
      <c r="L824" s="113"/>
      <c r="M824" s="113"/>
      <c r="N824" s="113"/>
      <c r="O824" s="124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</row>
    <row x14ac:dyDescent="0.25" r="825" customHeight="1" ht="15.75">
      <c r="A825" s="123"/>
      <c r="B825" s="123"/>
      <c r="C825" s="124"/>
      <c r="D825" s="124"/>
      <c r="E825" s="124"/>
      <c r="F825" s="113"/>
      <c r="G825" s="113"/>
      <c r="H825" s="113"/>
      <c r="I825" s="113"/>
      <c r="J825" s="113"/>
      <c r="K825" s="113"/>
      <c r="L825" s="113"/>
      <c r="M825" s="113"/>
      <c r="N825" s="113"/>
      <c r="O825" s="124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</row>
    <row x14ac:dyDescent="0.25" r="826" customHeight="1" ht="15.75">
      <c r="A826" s="123"/>
      <c r="B826" s="123"/>
      <c r="C826" s="124"/>
      <c r="D826" s="124"/>
      <c r="E826" s="124"/>
      <c r="F826" s="113"/>
      <c r="G826" s="113"/>
      <c r="H826" s="113"/>
      <c r="I826" s="113"/>
      <c r="J826" s="113"/>
      <c r="K826" s="113"/>
      <c r="L826" s="113"/>
      <c r="M826" s="113"/>
      <c r="N826" s="113"/>
      <c r="O826" s="124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</row>
    <row x14ac:dyDescent="0.25" r="827" customHeight="1" ht="15.75">
      <c r="A827" s="123"/>
      <c r="B827" s="123"/>
      <c r="C827" s="124"/>
      <c r="D827" s="124"/>
      <c r="E827" s="124"/>
      <c r="F827" s="113"/>
      <c r="G827" s="113"/>
      <c r="H827" s="113"/>
      <c r="I827" s="113"/>
      <c r="J827" s="113"/>
      <c r="K827" s="113"/>
      <c r="L827" s="113"/>
      <c r="M827" s="113"/>
      <c r="N827" s="113"/>
      <c r="O827" s="124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</row>
    <row x14ac:dyDescent="0.25" r="828" customHeight="1" ht="15.75">
      <c r="A828" s="123"/>
      <c r="B828" s="123"/>
      <c r="C828" s="124"/>
      <c r="D828" s="124"/>
      <c r="E828" s="124"/>
      <c r="F828" s="113"/>
      <c r="G828" s="113"/>
      <c r="H828" s="113"/>
      <c r="I828" s="113"/>
      <c r="J828" s="113"/>
      <c r="K828" s="113"/>
      <c r="L828" s="113"/>
      <c r="M828" s="113"/>
      <c r="N828" s="113"/>
      <c r="O828" s="124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</row>
    <row x14ac:dyDescent="0.25" r="829" customHeight="1" ht="15.75">
      <c r="A829" s="123"/>
      <c r="B829" s="123"/>
      <c r="C829" s="124"/>
      <c r="D829" s="124"/>
      <c r="E829" s="124"/>
      <c r="F829" s="113"/>
      <c r="G829" s="113"/>
      <c r="H829" s="113"/>
      <c r="I829" s="113"/>
      <c r="J829" s="113"/>
      <c r="K829" s="113"/>
      <c r="L829" s="113"/>
      <c r="M829" s="113"/>
      <c r="N829" s="113"/>
      <c r="O829" s="124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</row>
    <row x14ac:dyDescent="0.25" r="830" customHeight="1" ht="15.75">
      <c r="A830" s="123"/>
      <c r="B830" s="123"/>
      <c r="C830" s="124"/>
      <c r="D830" s="124"/>
      <c r="E830" s="124"/>
      <c r="F830" s="113"/>
      <c r="G830" s="113"/>
      <c r="H830" s="113"/>
      <c r="I830" s="113"/>
      <c r="J830" s="113"/>
      <c r="K830" s="113"/>
      <c r="L830" s="113"/>
      <c r="M830" s="113"/>
      <c r="N830" s="113"/>
      <c r="O830" s="124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</row>
    <row x14ac:dyDescent="0.25" r="831" customHeight="1" ht="15.75">
      <c r="A831" s="123"/>
      <c r="B831" s="123"/>
      <c r="C831" s="124"/>
      <c r="D831" s="124"/>
      <c r="E831" s="124"/>
      <c r="F831" s="113"/>
      <c r="G831" s="113"/>
      <c r="H831" s="113"/>
      <c r="I831" s="113"/>
      <c r="J831" s="113"/>
      <c r="K831" s="113"/>
      <c r="L831" s="113"/>
      <c r="M831" s="113"/>
      <c r="N831" s="113"/>
      <c r="O831" s="124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</row>
    <row x14ac:dyDescent="0.25" r="832" customHeight="1" ht="15.75">
      <c r="A832" s="123"/>
      <c r="B832" s="123"/>
      <c r="C832" s="124"/>
      <c r="D832" s="124"/>
      <c r="E832" s="124"/>
      <c r="F832" s="113"/>
      <c r="G832" s="113"/>
      <c r="H832" s="113"/>
      <c r="I832" s="113"/>
      <c r="J832" s="113"/>
      <c r="K832" s="113"/>
      <c r="L832" s="113"/>
      <c r="M832" s="113"/>
      <c r="N832" s="113"/>
      <c r="O832" s="124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</row>
    <row x14ac:dyDescent="0.25" r="833" customHeight="1" ht="15.75">
      <c r="A833" s="123"/>
      <c r="B833" s="123"/>
      <c r="C833" s="124"/>
      <c r="D833" s="124"/>
      <c r="E833" s="124"/>
      <c r="F833" s="113"/>
      <c r="G833" s="113"/>
      <c r="H833" s="113"/>
      <c r="I833" s="113"/>
      <c r="J833" s="113"/>
      <c r="K833" s="113"/>
      <c r="L833" s="113"/>
      <c r="M833" s="113"/>
      <c r="N833" s="113"/>
      <c r="O833" s="124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</row>
    <row x14ac:dyDescent="0.25" r="834" customHeight="1" ht="15.75">
      <c r="A834" s="123"/>
      <c r="B834" s="123"/>
      <c r="C834" s="124"/>
      <c r="D834" s="124"/>
      <c r="E834" s="124"/>
      <c r="F834" s="113"/>
      <c r="G834" s="113"/>
      <c r="H834" s="113"/>
      <c r="I834" s="113"/>
      <c r="J834" s="113"/>
      <c r="K834" s="113"/>
      <c r="L834" s="113"/>
      <c r="M834" s="113"/>
      <c r="N834" s="113"/>
      <c r="O834" s="124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</row>
    <row x14ac:dyDescent="0.25" r="835" customHeight="1" ht="15.75">
      <c r="A835" s="123"/>
      <c r="B835" s="123"/>
      <c r="C835" s="124"/>
      <c r="D835" s="124"/>
      <c r="E835" s="124"/>
      <c r="F835" s="113"/>
      <c r="G835" s="113"/>
      <c r="H835" s="113"/>
      <c r="I835" s="113"/>
      <c r="J835" s="113"/>
      <c r="K835" s="113"/>
      <c r="L835" s="113"/>
      <c r="M835" s="113"/>
      <c r="N835" s="113"/>
      <c r="O835" s="124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</row>
    <row x14ac:dyDescent="0.25" r="836" customHeight="1" ht="15.75">
      <c r="A836" s="123"/>
      <c r="B836" s="123"/>
      <c r="C836" s="124"/>
      <c r="D836" s="124"/>
      <c r="E836" s="124"/>
      <c r="F836" s="113"/>
      <c r="G836" s="113"/>
      <c r="H836" s="113"/>
      <c r="I836" s="113"/>
      <c r="J836" s="113"/>
      <c r="K836" s="113"/>
      <c r="L836" s="113"/>
      <c r="M836" s="113"/>
      <c r="N836" s="113"/>
      <c r="O836" s="124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</row>
    <row x14ac:dyDescent="0.25" r="837" customHeight="1" ht="15.75">
      <c r="A837" s="123"/>
      <c r="B837" s="123"/>
      <c r="C837" s="124"/>
      <c r="D837" s="124"/>
      <c r="E837" s="124"/>
      <c r="F837" s="113"/>
      <c r="G837" s="113"/>
      <c r="H837" s="113"/>
      <c r="I837" s="113"/>
      <c r="J837" s="113"/>
      <c r="K837" s="113"/>
      <c r="L837" s="113"/>
      <c r="M837" s="113"/>
      <c r="N837" s="113"/>
      <c r="O837" s="124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</row>
    <row x14ac:dyDescent="0.25" r="838" customHeight="1" ht="15.75">
      <c r="A838" s="123"/>
      <c r="B838" s="123"/>
      <c r="C838" s="124"/>
      <c r="D838" s="124"/>
      <c r="E838" s="124"/>
      <c r="F838" s="113"/>
      <c r="G838" s="113"/>
      <c r="H838" s="113"/>
      <c r="I838" s="113"/>
      <c r="J838" s="113"/>
      <c r="K838" s="113"/>
      <c r="L838" s="113"/>
      <c r="M838" s="113"/>
      <c r="N838" s="113"/>
      <c r="O838" s="124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</row>
    <row x14ac:dyDescent="0.25" r="839" customHeight="1" ht="15.75">
      <c r="A839" s="123"/>
      <c r="B839" s="123"/>
      <c r="C839" s="124"/>
      <c r="D839" s="124"/>
      <c r="E839" s="124"/>
      <c r="F839" s="113"/>
      <c r="G839" s="113"/>
      <c r="H839" s="113"/>
      <c r="I839" s="113"/>
      <c r="J839" s="113"/>
      <c r="K839" s="113"/>
      <c r="L839" s="113"/>
      <c r="M839" s="113"/>
      <c r="N839" s="113"/>
      <c r="O839" s="124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</row>
    <row x14ac:dyDescent="0.25" r="840" customHeight="1" ht="15.75">
      <c r="A840" s="123"/>
      <c r="B840" s="123"/>
      <c r="C840" s="124"/>
      <c r="D840" s="124"/>
      <c r="E840" s="124"/>
      <c r="F840" s="113"/>
      <c r="G840" s="113"/>
      <c r="H840" s="113"/>
      <c r="I840" s="113"/>
      <c r="J840" s="113"/>
      <c r="K840" s="113"/>
      <c r="L840" s="113"/>
      <c r="M840" s="113"/>
      <c r="N840" s="113"/>
      <c r="O840" s="124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</row>
    <row x14ac:dyDescent="0.25" r="841" customHeight="1" ht="15.75">
      <c r="A841" s="123"/>
      <c r="B841" s="123"/>
      <c r="C841" s="124"/>
      <c r="D841" s="124"/>
      <c r="E841" s="124"/>
      <c r="F841" s="113"/>
      <c r="G841" s="113"/>
      <c r="H841" s="113"/>
      <c r="I841" s="113"/>
      <c r="J841" s="113"/>
      <c r="K841" s="113"/>
      <c r="L841" s="113"/>
      <c r="M841" s="113"/>
      <c r="N841" s="113"/>
      <c r="O841" s="124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</row>
    <row x14ac:dyDescent="0.25" r="842" customHeight="1" ht="15.75">
      <c r="A842" s="123"/>
      <c r="B842" s="123"/>
      <c r="C842" s="124"/>
      <c r="D842" s="124"/>
      <c r="E842" s="124"/>
      <c r="F842" s="113"/>
      <c r="G842" s="113"/>
      <c r="H842" s="113"/>
      <c r="I842" s="113"/>
      <c r="J842" s="113"/>
      <c r="K842" s="113"/>
      <c r="L842" s="113"/>
      <c r="M842" s="113"/>
      <c r="N842" s="113"/>
      <c r="O842" s="124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</row>
    <row x14ac:dyDescent="0.25" r="843" customHeight="1" ht="15.75">
      <c r="A843" s="123"/>
      <c r="B843" s="123"/>
      <c r="C843" s="124"/>
      <c r="D843" s="124"/>
      <c r="E843" s="124"/>
      <c r="F843" s="113"/>
      <c r="G843" s="113"/>
      <c r="H843" s="113"/>
      <c r="I843" s="113"/>
      <c r="J843" s="113"/>
      <c r="K843" s="113"/>
      <c r="L843" s="113"/>
      <c r="M843" s="113"/>
      <c r="N843" s="113"/>
      <c r="O843" s="124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</row>
    <row x14ac:dyDescent="0.25" r="844" customHeight="1" ht="15.75">
      <c r="A844" s="123"/>
      <c r="B844" s="123"/>
      <c r="C844" s="124"/>
      <c r="D844" s="124"/>
      <c r="E844" s="124"/>
      <c r="F844" s="113"/>
      <c r="G844" s="113"/>
      <c r="H844" s="113"/>
      <c r="I844" s="113"/>
      <c r="J844" s="113"/>
      <c r="K844" s="113"/>
      <c r="L844" s="113"/>
      <c r="M844" s="113"/>
      <c r="N844" s="113"/>
      <c r="O844" s="124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</row>
    <row x14ac:dyDescent="0.25" r="845" customHeight="1" ht="15.75">
      <c r="A845" s="123"/>
      <c r="B845" s="123"/>
      <c r="C845" s="124"/>
      <c r="D845" s="124"/>
      <c r="E845" s="124"/>
      <c r="F845" s="113"/>
      <c r="G845" s="113"/>
      <c r="H845" s="113"/>
      <c r="I845" s="113"/>
      <c r="J845" s="113"/>
      <c r="K845" s="113"/>
      <c r="L845" s="113"/>
      <c r="M845" s="113"/>
      <c r="N845" s="113"/>
      <c r="O845" s="124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</row>
    <row x14ac:dyDescent="0.25" r="846" customHeight="1" ht="15.75">
      <c r="A846" s="123"/>
      <c r="B846" s="123"/>
      <c r="C846" s="124"/>
      <c r="D846" s="124"/>
      <c r="E846" s="124"/>
      <c r="F846" s="113"/>
      <c r="G846" s="113"/>
      <c r="H846" s="113"/>
      <c r="I846" s="113"/>
      <c r="J846" s="113"/>
      <c r="K846" s="113"/>
      <c r="L846" s="113"/>
      <c r="M846" s="113"/>
      <c r="N846" s="113"/>
      <c r="O846" s="124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</row>
    <row x14ac:dyDescent="0.25" r="847" customHeight="1" ht="15.75">
      <c r="A847" s="123"/>
      <c r="B847" s="123"/>
      <c r="C847" s="124"/>
      <c r="D847" s="124"/>
      <c r="E847" s="124"/>
      <c r="F847" s="113"/>
      <c r="G847" s="113"/>
      <c r="H847" s="113"/>
      <c r="I847" s="113"/>
      <c r="J847" s="113"/>
      <c r="K847" s="113"/>
      <c r="L847" s="113"/>
      <c r="M847" s="113"/>
      <c r="N847" s="113"/>
      <c r="O847" s="124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</row>
    <row x14ac:dyDescent="0.25" r="848" customHeight="1" ht="15.75">
      <c r="A848" s="123"/>
      <c r="B848" s="123"/>
      <c r="C848" s="124"/>
      <c r="D848" s="124"/>
      <c r="E848" s="124"/>
      <c r="F848" s="113"/>
      <c r="G848" s="113"/>
      <c r="H848" s="113"/>
      <c r="I848" s="113"/>
      <c r="J848" s="113"/>
      <c r="K848" s="113"/>
      <c r="L848" s="113"/>
      <c r="M848" s="113"/>
      <c r="N848" s="113"/>
      <c r="O848" s="124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</row>
    <row x14ac:dyDescent="0.25" r="849" customHeight="1" ht="15.75">
      <c r="A849" s="123"/>
      <c r="B849" s="123"/>
      <c r="C849" s="124"/>
      <c r="D849" s="124"/>
      <c r="E849" s="124"/>
      <c r="F849" s="113"/>
      <c r="G849" s="113"/>
      <c r="H849" s="113"/>
      <c r="I849" s="113"/>
      <c r="J849" s="113"/>
      <c r="K849" s="113"/>
      <c r="L849" s="113"/>
      <c r="M849" s="113"/>
      <c r="N849" s="113"/>
      <c r="O849" s="124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</row>
    <row x14ac:dyDescent="0.25" r="850" customHeight="1" ht="15.75">
      <c r="A850" s="123"/>
      <c r="B850" s="123"/>
      <c r="C850" s="124"/>
      <c r="D850" s="124"/>
      <c r="E850" s="124"/>
      <c r="F850" s="113"/>
      <c r="G850" s="113"/>
      <c r="H850" s="113"/>
      <c r="I850" s="113"/>
      <c r="J850" s="113"/>
      <c r="K850" s="113"/>
      <c r="L850" s="113"/>
      <c r="M850" s="113"/>
      <c r="N850" s="113"/>
      <c r="O850" s="124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</row>
    <row x14ac:dyDescent="0.25" r="851" customHeight="1" ht="15.75">
      <c r="A851" s="123"/>
      <c r="B851" s="123"/>
      <c r="C851" s="124"/>
      <c r="D851" s="124"/>
      <c r="E851" s="124"/>
      <c r="F851" s="113"/>
      <c r="G851" s="113"/>
      <c r="H851" s="113"/>
      <c r="I851" s="113"/>
      <c r="J851" s="113"/>
      <c r="K851" s="113"/>
      <c r="L851" s="113"/>
      <c r="M851" s="113"/>
      <c r="N851" s="113"/>
      <c r="O851" s="124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</row>
    <row x14ac:dyDescent="0.25" r="852" customHeight="1" ht="15.75">
      <c r="A852" s="123"/>
      <c r="B852" s="123"/>
      <c r="C852" s="124"/>
      <c r="D852" s="124"/>
      <c r="E852" s="124"/>
      <c r="F852" s="113"/>
      <c r="G852" s="113"/>
      <c r="H852" s="113"/>
      <c r="I852" s="113"/>
      <c r="J852" s="113"/>
      <c r="K852" s="113"/>
      <c r="L852" s="113"/>
      <c r="M852" s="113"/>
      <c r="N852" s="113"/>
      <c r="O852" s="124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</row>
    <row x14ac:dyDescent="0.25" r="853" customHeight="1" ht="15.75">
      <c r="A853" s="123"/>
      <c r="B853" s="123"/>
      <c r="C853" s="124"/>
      <c r="D853" s="124"/>
      <c r="E853" s="124"/>
      <c r="F853" s="113"/>
      <c r="G853" s="113"/>
      <c r="H853" s="113"/>
      <c r="I853" s="113"/>
      <c r="J853" s="113"/>
      <c r="K853" s="113"/>
      <c r="L853" s="113"/>
      <c r="M853" s="113"/>
      <c r="N853" s="113"/>
      <c r="O853" s="124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</row>
    <row x14ac:dyDescent="0.25" r="854" customHeight="1" ht="15.75">
      <c r="A854" s="123"/>
      <c r="B854" s="123"/>
      <c r="C854" s="124"/>
      <c r="D854" s="124"/>
      <c r="E854" s="124"/>
      <c r="F854" s="113"/>
      <c r="G854" s="113"/>
      <c r="H854" s="113"/>
      <c r="I854" s="113"/>
      <c r="J854" s="113"/>
      <c r="K854" s="113"/>
      <c r="L854" s="113"/>
      <c r="M854" s="113"/>
      <c r="N854" s="113"/>
      <c r="O854" s="124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</row>
    <row x14ac:dyDescent="0.25" r="855" customHeight="1" ht="15.75">
      <c r="A855" s="123"/>
      <c r="B855" s="123"/>
      <c r="C855" s="124"/>
      <c r="D855" s="124"/>
      <c r="E855" s="124"/>
      <c r="F855" s="113"/>
      <c r="G855" s="113"/>
      <c r="H855" s="113"/>
      <c r="I855" s="113"/>
      <c r="J855" s="113"/>
      <c r="K855" s="113"/>
      <c r="L855" s="113"/>
      <c r="M855" s="113"/>
      <c r="N855" s="113"/>
      <c r="O855" s="124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</row>
    <row x14ac:dyDescent="0.25" r="856" customHeight="1" ht="15.75">
      <c r="A856" s="123"/>
      <c r="B856" s="123"/>
      <c r="C856" s="124"/>
      <c r="D856" s="124"/>
      <c r="E856" s="124"/>
      <c r="F856" s="113"/>
      <c r="G856" s="113"/>
      <c r="H856" s="113"/>
      <c r="I856" s="113"/>
      <c r="J856" s="113"/>
      <c r="K856" s="113"/>
      <c r="L856" s="113"/>
      <c r="M856" s="113"/>
      <c r="N856" s="113"/>
      <c r="O856" s="124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</row>
    <row x14ac:dyDescent="0.25" r="857" customHeight="1" ht="15.75">
      <c r="A857" s="123"/>
      <c r="B857" s="123"/>
      <c r="C857" s="124"/>
      <c r="D857" s="124"/>
      <c r="E857" s="124"/>
      <c r="F857" s="113"/>
      <c r="G857" s="113"/>
      <c r="H857" s="113"/>
      <c r="I857" s="113"/>
      <c r="J857" s="113"/>
      <c r="K857" s="113"/>
      <c r="L857" s="113"/>
      <c r="M857" s="113"/>
      <c r="N857" s="113"/>
      <c r="O857" s="124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</row>
    <row x14ac:dyDescent="0.25" r="858" customHeight="1" ht="15.75">
      <c r="A858" s="123"/>
      <c r="B858" s="123"/>
      <c r="C858" s="124"/>
      <c r="D858" s="124"/>
      <c r="E858" s="124"/>
      <c r="F858" s="113"/>
      <c r="G858" s="113"/>
      <c r="H858" s="113"/>
      <c r="I858" s="113"/>
      <c r="J858" s="113"/>
      <c r="K858" s="113"/>
      <c r="L858" s="113"/>
      <c r="M858" s="113"/>
      <c r="N858" s="113"/>
      <c r="O858" s="124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</row>
    <row x14ac:dyDescent="0.25" r="859" customHeight="1" ht="15.75">
      <c r="A859" s="123"/>
      <c r="B859" s="123"/>
      <c r="C859" s="124"/>
      <c r="D859" s="124"/>
      <c r="E859" s="124"/>
      <c r="F859" s="113"/>
      <c r="G859" s="113"/>
      <c r="H859" s="113"/>
      <c r="I859" s="113"/>
      <c r="J859" s="113"/>
      <c r="K859" s="113"/>
      <c r="L859" s="113"/>
      <c r="M859" s="113"/>
      <c r="N859" s="113"/>
      <c r="O859" s="124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</row>
    <row x14ac:dyDescent="0.25" r="860" customHeight="1" ht="15.75">
      <c r="A860" s="123"/>
      <c r="B860" s="123"/>
      <c r="C860" s="124"/>
      <c r="D860" s="124"/>
      <c r="E860" s="124"/>
      <c r="F860" s="113"/>
      <c r="G860" s="113"/>
      <c r="H860" s="113"/>
      <c r="I860" s="113"/>
      <c r="J860" s="113"/>
      <c r="K860" s="113"/>
      <c r="L860" s="113"/>
      <c r="M860" s="113"/>
      <c r="N860" s="113"/>
      <c r="O860" s="124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</row>
    <row x14ac:dyDescent="0.25" r="861" customHeight="1" ht="15.75">
      <c r="A861" s="123"/>
      <c r="B861" s="123"/>
      <c r="C861" s="124"/>
      <c r="D861" s="124"/>
      <c r="E861" s="124"/>
      <c r="F861" s="113"/>
      <c r="G861" s="113"/>
      <c r="H861" s="113"/>
      <c r="I861" s="113"/>
      <c r="J861" s="113"/>
      <c r="K861" s="113"/>
      <c r="L861" s="113"/>
      <c r="M861" s="113"/>
      <c r="N861" s="113"/>
      <c r="O861" s="124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</row>
    <row x14ac:dyDescent="0.25" r="862" customHeight="1" ht="15.75">
      <c r="A862" s="123"/>
      <c r="B862" s="123"/>
      <c r="C862" s="124"/>
      <c r="D862" s="124"/>
      <c r="E862" s="124"/>
      <c r="F862" s="113"/>
      <c r="G862" s="113"/>
      <c r="H862" s="113"/>
      <c r="I862" s="113"/>
      <c r="J862" s="113"/>
      <c r="K862" s="113"/>
      <c r="L862" s="113"/>
      <c r="M862" s="113"/>
      <c r="N862" s="113"/>
      <c r="O862" s="124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</row>
    <row x14ac:dyDescent="0.25" r="863" customHeight="1" ht="15.75">
      <c r="A863" s="123"/>
      <c r="B863" s="123"/>
      <c r="C863" s="124"/>
      <c r="D863" s="124"/>
      <c r="E863" s="124"/>
      <c r="F863" s="113"/>
      <c r="G863" s="113"/>
      <c r="H863" s="113"/>
      <c r="I863" s="113"/>
      <c r="J863" s="113"/>
      <c r="K863" s="113"/>
      <c r="L863" s="113"/>
      <c r="M863" s="113"/>
      <c r="N863" s="113"/>
      <c r="O863" s="124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</row>
    <row x14ac:dyDescent="0.25" r="864" customHeight="1" ht="15.75">
      <c r="A864" s="123"/>
      <c r="B864" s="123"/>
      <c r="C864" s="124"/>
      <c r="D864" s="124"/>
      <c r="E864" s="124"/>
      <c r="F864" s="113"/>
      <c r="G864" s="113"/>
      <c r="H864" s="113"/>
      <c r="I864" s="113"/>
      <c r="J864" s="113"/>
      <c r="K864" s="113"/>
      <c r="L864" s="113"/>
      <c r="M864" s="113"/>
      <c r="N864" s="113"/>
      <c r="O864" s="124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</row>
    <row x14ac:dyDescent="0.25" r="865" customHeight="1" ht="15.75">
      <c r="A865" s="123"/>
      <c r="B865" s="123"/>
      <c r="C865" s="124"/>
      <c r="D865" s="124"/>
      <c r="E865" s="124"/>
      <c r="F865" s="113"/>
      <c r="G865" s="113"/>
      <c r="H865" s="113"/>
      <c r="I865" s="113"/>
      <c r="J865" s="113"/>
      <c r="K865" s="113"/>
      <c r="L865" s="113"/>
      <c r="M865" s="113"/>
      <c r="N865" s="113"/>
      <c r="O865" s="124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</row>
    <row x14ac:dyDescent="0.25" r="866" customHeight="1" ht="15.75">
      <c r="A866" s="123"/>
      <c r="B866" s="123"/>
      <c r="C866" s="124"/>
      <c r="D866" s="124"/>
      <c r="E866" s="124"/>
      <c r="F866" s="113"/>
      <c r="G866" s="113"/>
      <c r="H866" s="113"/>
      <c r="I866" s="113"/>
      <c r="J866" s="113"/>
      <c r="K866" s="113"/>
      <c r="L866" s="113"/>
      <c r="M866" s="113"/>
      <c r="N866" s="113"/>
      <c r="O866" s="124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</row>
    <row x14ac:dyDescent="0.25" r="867" customHeight="1" ht="15.75">
      <c r="A867" s="123"/>
      <c r="B867" s="123"/>
      <c r="C867" s="124"/>
      <c r="D867" s="124"/>
      <c r="E867" s="124"/>
      <c r="F867" s="113"/>
      <c r="G867" s="113"/>
      <c r="H867" s="113"/>
      <c r="I867" s="113"/>
      <c r="J867" s="113"/>
      <c r="K867" s="113"/>
      <c r="L867" s="113"/>
      <c r="M867" s="113"/>
      <c r="N867" s="113"/>
      <c r="O867" s="124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</row>
    <row x14ac:dyDescent="0.25" r="868" customHeight="1" ht="15.75">
      <c r="A868" s="123"/>
      <c r="B868" s="123"/>
      <c r="C868" s="124"/>
      <c r="D868" s="124"/>
      <c r="E868" s="124"/>
      <c r="F868" s="113"/>
      <c r="G868" s="113"/>
      <c r="H868" s="113"/>
      <c r="I868" s="113"/>
      <c r="J868" s="113"/>
      <c r="K868" s="113"/>
      <c r="L868" s="113"/>
      <c r="M868" s="113"/>
      <c r="N868" s="113"/>
      <c r="O868" s="124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</row>
    <row x14ac:dyDescent="0.25" r="869" customHeight="1" ht="15.75">
      <c r="A869" s="123"/>
      <c r="B869" s="123"/>
      <c r="C869" s="124"/>
      <c r="D869" s="124"/>
      <c r="E869" s="124"/>
      <c r="F869" s="113"/>
      <c r="G869" s="113"/>
      <c r="H869" s="113"/>
      <c r="I869" s="113"/>
      <c r="J869" s="113"/>
      <c r="K869" s="113"/>
      <c r="L869" s="113"/>
      <c r="M869" s="113"/>
      <c r="N869" s="113"/>
      <c r="O869" s="124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</row>
    <row x14ac:dyDescent="0.25" r="870" customHeight="1" ht="15.75">
      <c r="A870" s="123"/>
      <c r="B870" s="123"/>
      <c r="C870" s="124"/>
      <c r="D870" s="124"/>
      <c r="E870" s="124"/>
      <c r="F870" s="113"/>
      <c r="G870" s="113"/>
      <c r="H870" s="113"/>
      <c r="I870" s="113"/>
      <c r="J870" s="113"/>
      <c r="K870" s="113"/>
      <c r="L870" s="113"/>
      <c r="M870" s="113"/>
      <c r="N870" s="113"/>
      <c r="O870" s="124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</row>
    <row x14ac:dyDescent="0.25" r="871" customHeight="1" ht="15.75">
      <c r="A871" s="123"/>
      <c r="B871" s="123"/>
      <c r="C871" s="124"/>
      <c r="D871" s="124"/>
      <c r="E871" s="124"/>
      <c r="F871" s="113"/>
      <c r="G871" s="113"/>
      <c r="H871" s="113"/>
      <c r="I871" s="113"/>
      <c r="J871" s="113"/>
      <c r="K871" s="113"/>
      <c r="L871" s="113"/>
      <c r="M871" s="113"/>
      <c r="N871" s="113"/>
      <c r="O871" s="124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</row>
    <row x14ac:dyDescent="0.25" r="872" customHeight="1" ht="15.75">
      <c r="A872" s="123"/>
      <c r="B872" s="123"/>
      <c r="C872" s="124"/>
      <c r="D872" s="124"/>
      <c r="E872" s="124"/>
      <c r="F872" s="113"/>
      <c r="G872" s="113"/>
      <c r="H872" s="113"/>
      <c r="I872" s="113"/>
      <c r="J872" s="113"/>
      <c r="K872" s="113"/>
      <c r="L872" s="113"/>
      <c r="M872" s="113"/>
      <c r="N872" s="113"/>
      <c r="O872" s="124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</row>
    <row x14ac:dyDescent="0.25" r="873" customHeight="1" ht="15.75">
      <c r="A873" s="123"/>
      <c r="B873" s="123"/>
      <c r="C873" s="124"/>
      <c r="D873" s="124"/>
      <c r="E873" s="124"/>
      <c r="F873" s="113"/>
      <c r="G873" s="113"/>
      <c r="H873" s="113"/>
      <c r="I873" s="113"/>
      <c r="J873" s="113"/>
      <c r="K873" s="113"/>
      <c r="L873" s="113"/>
      <c r="M873" s="113"/>
      <c r="N873" s="113"/>
      <c r="O873" s="124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</row>
    <row x14ac:dyDescent="0.25" r="874" customHeight="1" ht="15.75">
      <c r="A874" s="123"/>
      <c r="B874" s="123"/>
      <c r="C874" s="124"/>
      <c r="D874" s="124"/>
      <c r="E874" s="124"/>
      <c r="F874" s="113"/>
      <c r="G874" s="113"/>
      <c r="H874" s="113"/>
      <c r="I874" s="113"/>
      <c r="J874" s="113"/>
      <c r="K874" s="113"/>
      <c r="L874" s="113"/>
      <c r="M874" s="113"/>
      <c r="N874" s="113"/>
      <c r="O874" s="124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</row>
    <row x14ac:dyDescent="0.25" r="875" customHeight="1" ht="15.75">
      <c r="A875" s="123"/>
      <c r="B875" s="123"/>
      <c r="C875" s="124"/>
      <c r="D875" s="124"/>
      <c r="E875" s="124"/>
      <c r="F875" s="113"/>
      <c r="G875" s="113"/>
      <c r="H875" s="113"/>
      <c r="I875" s="113"/>
      <c r="J875" s="113"/>
      <c r="K875" s="113"/>
      <c r="L875" s="113"/>
      <c r="M875" s="113"/>
      <c r="N875" s="113"/>
      <c r="O875" s="124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</row>
    <row x14ac:dyDescent="0.25" r="876" customHeight="1" ht="15.75">
      <c r="A876" s="123"/>
      <c r="B876" s="123"/>
      <c r="C876" s="124"/>
      <c r="D876" s="124"/>
      <c r="E876" s="124"/>
      <c r="F876" s="113"/>
      <c r="G876" s="113"/>
      <c r="H876" s="113"/>
      <c r="I876" s="113"/>
      <c r="J876" s="113"/>
      <c r="K876" s="113"/>
      <c r="L876" s="113"/>
      <c r="M876" s="113"/>
      <c r="N876" s="113"/>
      <c r="O876" s="124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</row>
    <row x14ac:dyDescent="0.25" r="877" customHeight="1" ht="15.75">
      <c r="A877" s="123"/>
      <c r="B877" s="123"/>
      <c r="C877" s="124"/>
      <c r="D877" s="124"/>
      <c r="E877" s="124"/>
      <c r="F877" s="113"/>
      <c r="G877" s="113"/>
      <c r="H877" s="113"/>
      <c r="I877" s="113"/>
      <c r="J877" s="113"/>
      <c r="K877" s="113"/>
      <c r="L877" s="113"/>
      <c r="M877" s="113"/>
      <c r="N877" s="113"/>
      <c r="O877" s="124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</row>
    <row x14ac:dyDescent="0.25" r="878" customHeight="1" ht="15.75">
      <c r="A878" s="123"/>
      <c r="B878" s="123"/>
      <c r="C878" s="124"/>
      <c r="D878" s="124"/>
      <c r="E878" s="124"/>
      <c r="F878" s="113"/>
      <c r="G878" s="113"/>
      <c r="H878" s="113"/>
      <c r="I878" s="113"/>
      <c r="J878" s="113"/>
      <c r="K878" s="113"/>
      <c r="L878" s="113"/>
      <c r="M878" s="113"/>
      <c r="N878" s="113"/>
      <c r="O878" s="124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</row>
    <row x14ac:dyDescent="0.25" r="879" customHeight="1" ht="15.75">
      <c r="A879" s="123"/>
      <c r="B879" s="123"/>
      <c r="C879" s="124"/>
      <c r="D879" s="124"/>
      <c r="E879" s="124"/>
      <c r="F879" s="113"/>
      <c r="G879" s="113"/>
      <c r="H879" s="113"/>
      <c r="I879" s="113"/>
      <c r="J879" s="113"/>
      <c r="K879" s="113"/>
      <c r="L879" s="113"/>
      <c r="M879" s="113"/>
      <c r="N879" s="113"/>
      <c r="O879" s="124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</row>
    <row x14ac:dyDescent="0.25" r="880" customHeight="1" ht="15.75">
      <c r="A880" s="123"/>
      <c r="B880" s="123"/>
      <c r="C880" s="124"/>
      <c r="D880" s="124"/>
      <c r="E880" s="124"/>
      <c r="F880" s="113"/>
      <c r="G880" s="113"/>
      <c r="H880" s="113"/>
      <c r="I880" s="113"/>
      <c r="J880" s="113"/>
      <c r="K880" s="113"/>
      <c r="L880" s="113"/>
      <c r="M880" s="113"/>
      <c r="N880" s="113"/>
      <c r="O880" s="124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</row>
    <row x14ac:dyDescent="0.25" r="881" customHeight="1" ht="15.75">
      <c r="A881" s="123"/>
      <c r="B881" s="123"/>
      <c r="C881" s="124"/>
      <c r="D881" s="124"/>
      <c r="E881" s="124"/>
      <c r="F881" s="113"/>
      <c r="G881" s="113"/>
      <c r="H881" s="113"/>
      <c r="I881" s="113"/>
      <c r="J881" s="113"/>
      <c r="K881" s="113"/>
      <c r="L881" s="113"/>
      <c r="M881" s="113"/>
      <c r="N881" s="113"/>
      <c r="O881" s="124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</row>
    <row x14ac:dyDescent="0.25" r="882" customHeight="1" ht="15.75">
      <c r="A882" s="123"/>
      <c r="B882" s="123"/>
      <c r="C882" s="124"/>
      <c r="D882" s="124"/>
      <c r="E882" s="124"/>
      <c r="F882" s="113"/>
      <c r="G882" s="113"/>
      <c r="H882" s="113"/>
      <c r="I882" s="113"/>
      <c r="J882" s="113"/>
      <c r="K882" s="113"/>
      <c r="L882" s="113"/>
      <c r="M882" s="113"/>
      <c r="N882" s="113"/>
      <c r="O882" s="124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</row>
    <row x14ac:dyDescent="0.25" r="883" customHeight="1" ht="15.75">
      <c r="A883" s="123"/>
      <c r="B883" s="123"/>
      <c r="C883" s="124"/>
      <c r="D883" s="124"/>
      <c r="E883" s="124"/>
      <c r="F883" s="113"/>
      <c r="G883" s="113"/>
      <c r="H883" s="113"/>
      <c r="I883" s="113"/>
      <c r="J883" s="113"/>
      <c r="K883" s="113"/>
      <c r="L883" s="113"/>
      <c r="M883" s="113"/>
      <c r="N883" s="113"/>
      <c r="O883" s="124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</row>
    <row x14ac:dyDescent="0.25" r="884" customHeight="1" ht="15.75">
      <c r="A884" s="123"/>
      <c r="B884" s="123"/>
      <c r="C884" s="124"/>
      <c r="D884" s="124"/>
      <c r="E884" s="124"/>
      <c r="F884" s="113"/>
      <c r="G884" s="113"/>
      <c r="H884" s="113"/>
      <c r="I884" s="113"/>
      <c r="J884" s="113"/>
      <c r="K884" s="113"/>
      <c r="L884" s="113"/>
      <c r="M884" s="113"/>
      <c r="N884" s="113"/>
      <c r="O884" s="124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</row>
    <row x14ac:dyDescent="0.25" r="885" customHeight="1" ht="15.75">
      <c r="A885" s="123"/>
      <c r="B885" s="123"/>
      <c r="C885" s="124"/>
      <c r="D885" s="124"/>
      <c r="E885" s="124"/>
      <c r="F885" s="113"/>
      <c r="G885" s="113"/>
      <c r="H885" s="113"/>
      <c r="I885" s="113"/>
      <c r="J885" s="113"/>
      <c r="K885" s="113"/>
      <c r="L885" s="113"/>
      <c r="M885" s="113"/>
      <c r="N885" s="113"/>
      <c r="O885" s="124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</row>
    <row x14ac:dyDescent="0.25" r="886" customHeight="1" ht="15.75">
      <c r="A886" s="123"/>
      <c r="B886" s="123"/>
      <c r="C886" s="124"/>
      <c r="D886" s="124"/>
      <c r="E886" s="124"/>
      <c r="F886" s="113"/>
      <c r="G886" s="113"/>
      <c r="H886" s="113"/>
      <c r="I886" s="113"/>
      <c r="J886" s="113"/>
      <c r="K886" s="113"/>
      <c r="L886" s="113"/>
      <c r="M886" s="113"/>
      <c r="N886" s="113"/>
      <c r="O886" s="124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</row>
    <row x14ac:dyDescent="0.25" r="887" customHeight="1" ht="15.75">
      <c r="A887" s="123"/>
      <c r="B887" s="123"/>
      <c r="C887" s="124"/>
      <c r="D887" s="124"/>
      <c r="E887" s="124"/>
      <c r="F887" s="113"/>
      <c r="G887" s="113"/>
      <c r="H887" s="113"/>
      <c r="I887" s="113"/>
      <c r="J887" s="113"/>
      <c r="K887" s="113"/>
      <c r="L887" s="113"/>
      <c r="M887" s="113"/>
      <c r="N887" s="113"/>
      <c r="O887" s="124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</row>
    <row x14ac:dyDescent="0.25" r="888" customHeight="1" ht="15.75">
      <c r="A888" s="123"/>
      <c r="B888" s="123"/>
      <c r="C888" s="124"/>
      <c r="D888" s="124"/>
      <c r="E888" s="124"/>
      <c r="F888" s="113"/>
      <c r="G888" s="113"/>
      <c r="H888" s="113"/>
      <c r="I888" s="113"/>
      <c r="J888" s="113"/>
      <c r="K888" s="113"/>
      <c r="L888" s="113"/>
      <c r="M888" s="113"/>
      <c r="N888" s="113"/>
      <c r="O888" s="124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</row>
    <row x14ac:dyDescent="0.25" r="889" customHeight="1" ht="15.75">
      <c r="A889" s="123"/>
      <c r="B889" s="123"/>
      <c r="C889" s="124"/>
      <c r="D889" s="124"/>
      <c r="E889" s="124"/>
      <c r="F889" s="113"/>
      <c r="G889" s="113"/>
      <c r="H889" s="113"/>
      <c r="I889" s="113"/>
      <c r="J889" s="113"/>
      <c r="K889" s="113"/>
      <c r="L889" s="113"/>
      <c r="M889" s="113"/>
      <c r="N889" s="113"/>
      <c r="O889" s="124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</row>
    <row x14ac:dyDescent="0.25" r="890" customHeight="1" ht="15.75">
      <c r="A890" s="123"/>
      <c r="B890" s="123"/>
      <c r="C890" s="124"/>
      <c r="D890" s="124"/>
      <c r="E890" s="124"/>
      <c r="F890" s="113"/>
      <c r="G890" s="113"/>
      <c r="H890" s="113"/>
      <c r="I890" s="113"/>
      <c r="J890" s="113"/>
      <c r="K890" s="113"/>
      <c r="L890" s="113"/>
      <c r="M890" s="113"/>
      <c r="N890" s="113"/>
      <c r="O890" s="124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</row>
    <row x14ac:dyDescent="0.25" r="891" customHeight="1" ht="15.75">
      <c r="A891" s="123"/>
      <c r="B891" s="123"/>
      <c r="C891" s="124"/>
      <c r="D891" s="124"/>
      <c r="E891" s="124"/>
      <c r="F891" s="113"/>
      <c r="G891" s="113"/>
      <c r="H891" s="113"/>
      <c r="I891" s="113"/>
      <c r="J891" s="113"/>
      <c r="K891" s="113"/>
      <c r="L891" s="113"/>
      <c r="M891" s="113"/>
      <c r="N891" s="113"/>
      <c r="O891" s="124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</row>
    <row x14ac:dyDescent="0.25" r="892" customHeight="1" ht="15.75">
      <c r="A892" s="123"/>
      <c r="B892" s="123"/>
      <c r="C892" s="124"/>
      <c r="D892" s="124"/>
      <c r="E892" s="124"/>
      <c r="F892" s="113"/>
      <c r="G892" s="113"/>
      <c r="H892" s="113"/>
      <c r="I892" s="113"/>
      <c r="J892" s="113"/>
      <c r="K892" s="113"/>
      <c r="L892" s="113"/>
      <c r="M892" s="113"/>
      <c r="N892" s="113"/>
      <c r="O892" s="124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</row>
    <row x14ac:dyDescent="0.25" r="893" customHeight="1" ht="15.75">
      <c r="A893" s="123"/>
      <c r="B893" s="123"/>
      <c r="C893" s="124"/>
      <c r="D893" s="124"/>
      <c r="E893" s="124"/>
      <c r="F893" s="113"/>
      <c r="G893" s="113"/>
      <c r="H893" s="113"/>
      <c r="I893" s="113"/>
      <c r="J893" s="113"/>
      <c r="K893" s="113"/>
      <c r="L893" s="113"/>
      <c r="M893" s="113"/>
      <c r="N893" s="113"/>
      <c r="O893" s="124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</row>
    <row x14ac:dyDescent="0.25" r="894" customHeight="1" ht="15.75">
      <c r="A894" s="123"/>
      <c r="B894" s="123"/>
      <c r="C894" s="124"/>
      <c r="D894" s="124"/>
      <c r="E894" s="124"/>
      <c r="F894" s="113"/>
      <c r="G894" s="113"/>
      <c r="H894" s="113"/>
      <c r="I894" s="113"/>
      <c r="J894" s="113"/>
      <c r="K894" s="113"/>
      <c r="L894" s="113"/>
      <c r="M894" s="113"/>
      <c r="N894" s="113"/>
      <c r="O894" s="124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</row>
    <row x14ac:dyDescent="0.25" r="895" customHeight="1" ht="15.75">
      <c r="A895" s="123"/>
      <c r="B895" s="123"/>
      <c r="C895" s="124"/>
      <c r="D895" s="124"/>
      <c r="E895" s="124"/>
      <c r="F895" s="113"/>
      <c r="G895" s="113"/>
      <c r="H895" s="113"/>
      <c r="I895" s="113"/>
      <c r="J895" s="113"/>
      <c r="K895" s="113"/>
      <c r="L895" s="113"/>
      <c r="M895" s="113"/>
      <c r="N895" s="113"/>
      <c r="O895" s="124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</row>
    <row x14ac:dyDescent="0.25" r="896" customHeight="1" ht="15.75">
      <c r="A896" s="123"/>
      <c r="B896" s="123"/>
      <c r="C896" s="124"/>
      <c r="D896" s="124"/>
      <c r="E896" s="124"/>
      <c r="F896" s="113"/>
      <c r="G896" s="113"/>
      <c r="H896" s="113"/>
      <c r="I896" s="113"/>
      <c r="J896" s="113"/>
      <c r="K896" s="113"/>
      <c r="L896" s="113"/>
      <c r="M896" s="113"/>
      <c r="N896" s="113"/>
      <c r="O896" s="124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</row>
    <row x14ac:dyDescent="0.25" r="897" customHeight="1" ht="15.75">
      <c r="A897" s="123"/>
      <c r="B897" s="123"/>
      <c r="C897" s="124"/>
      <c r="D897" s="124"/>
      <c r="E897" s="124"/>
      <c r="F897" s="113"/>
      <c r="G897" s="113"/>
      <c r="H897" s="113"/>
      <c r="I897" s="113"/>
      <c r="J897" s="113"/>
      <c r="K897" s="113"/>
      <c r="L897" s="113"/>
      <c r="M897" s="113"/>
      <c r="N897" s="113"/>
      <c r="O897" s="124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</row>
    <row x14ac:dyDescent="0.25" r="898" customHeight="1" ht="15.75">
      <c r="A898" s="123"/>
      <c r="B898" s="123"/>
      <c r="C898" s="124"/>
      <c r="D898" s="124"/>
      <c r="E898" s="124"/>
      <c r="F898" s="113"/>
      <c r="G898" s="113"/>
      <c r="H898" s="113"/>
      <c r="I898" s="113"/>
      <c r="J898" s="113"/>
      <c r="K898" s="113"/>
      <c r="L898" s="113"/>
      <c r="M898" s="113"/>
      <c r="N898" s="113"/>
      <c r="O898" s="124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</row>
    <row x14ac:dyDescent="0.25" r="899" customHeight="1" ht="15.75">
      <c r="A899" s="123"/>
      <c r="B899" s="123"/>
      <c r="C899" s="124"/>
      <c r="D899" s="124"/>
      <c r="E899" s="124"/>
      <c r="F899" s="113"/>
      <c r="G899" s="113"/>
      <c r="H899" s="113"/>
      <c r="I899" s="113"/>
      <c r="J899" s="113"/>
      <c r="K899" s="113"/>
      <c r="L899" s="113"/>
      <c r="M899" s="113"/>
      <c r="N899" s="113"/>
      <c r="O899" s="124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</row>
    <row x14ac:dyDescent="0.25" r="900" customHeight="1" ht="15.75">
      <c r="A900" s="123"/>
      <c r="B900" s="123"/>
      <c r="C900" s="124"/>
      <c r="D900" s="124"/>
      <c r="E900" s="124"/>
      <c r="F900" s="113"/>
      <c r="G900" s="113"/>
      <c r="H900" s="113"/>
      <c r="I900" s="113"/>
      <c r="J900" s="113"/>
      <c r="K900" s="113"/>
      <c r="L900" s="113"/>
      <c r="M900" s="113"/>
      <c r="N900" s="113"/>
      <c r="O900" s="124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</row>
    <row x14ac:dyDescent="0.25" r="901" customHeight="1" ht="15.75">
      <c r="A901" s="123"/>
      <c r="B901" s="123"/>
      <c r="C901" s="124"/>
      <c r="D901" s="124"/>
      <c r="E901" s="124"/>
      <c r="F901" s="113"/>
      <c r="G901" s="113"/>
      <c r="H901" s="113"/>
      <c r="I901" s="113"/>
      <c r="J901" s="113"/>
      <c r="K901" s="113"/>
      <c r="L901" s="113"/>
      <c r="M901" s="113"/>
      <c r="N901" s="113"/>
      <c r="O901" s="124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</row>
    <row x14ac:dyDescent="0.25" r="902" customHeight="1" ht="15.75">
      <c r="A902" s="123"/>
      <c r="B902" s="123"/>
      <c r="C902" s="124"/>
      <c r="D902" s="124"/>
      <c r="E902" s="124"/>
      <c r="F902" s="113"/>
      <c r="G902" s="113"/>
      <c r="H902" s="113"/>
      <c r="I902" s="113"/>
      <c r="J902" s="113"/>
      <c r="K902" s="113"/>
      <c r="L902" s="113"/>
      <c r="M902" s="113"/>
      <c r="N902" s="113"/>
      <c r="O902" s="124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</row>
    <row x14ac:dyDescent="0.25" r="903" customHeight="1" ht="15.75">
      <c r="A903" s="123"/>
      <c r="B903" s="123"/>
      <c r="C903" s="124"/>
      <c r="D903" s="124"/>
      <c r="E903" s="124"/>
      <c r="F903" s="113"/>
      <c r="G903" s="113"/>
      <c r="H903" s="113"/>
      <c r="I903" s="113"/>
      <c r="J903" s="113"/>
      <c r="K903" s="113"/>
      <c r="L903" s="113"/>
      <c r="M903" s="113"/>
      <c r="N903" s="113"/>
      <c r="O903" s="124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</row>
    <row x14ac:dyDescent="0.25" r="904" customHeight="1" ht="15.75">
      <c r="A904" s="123"/>
      <c r="B904" s="123"/>
      <c r="C904" s="124"/>
      <c r="D904" s="124"/>
      <c r="E904" s="124"/>
      <c r="F904" s="113"/>
      <c r="G904" s="113"/>
      <c r="H904" s="113"/>
      <c r="I904" s="113"/>
      <c r="J904" s="113"/>
      <c r="K904" s="113"/>
      <c r="L904" s="113"/>
      <c r="M904" s="113"/>
      <c r="N904" s="113"/>
      <c r="O904" s="124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</row>
    <row x14ac:dyDescent="0.25" r="905" customHeight="1" ht="15.75">
      <c r="A905" s="123"/>
      <c r="B905" s="123"/>
      <c r="C905" s="124"/>
      <c r="D905" s="124"/>
      <c r="E905" s="124"/>
      <c r="F905" s="113"/>
      <c r="G905" s="113"/>
      <c r="H905" s="113"/>
      <c r="I905" s="113"/>
      <c r="J905" s="113"/>
      <c r="K905" s="113"/>
      <c r="L905" s="113"/>
      <c r="M905" s="113"/>
      <c r="N905" s="113"/>
      <c r="O905" s="124"/>
      <c r="P905" s="113"/>
      <c r="Q905" s="113"/>
      <c r="R905" s="113"/>
      <c r="S905" s="113"/>
      <c r="T905" s="113"/>
      <c r="U905" s="113"/>
      <c r="V905" s="113"/>
      <c r="W905" s="113"/>
      <c r="X905" s="113"/>
      <c r="Y905" s="113"/>
      <c r="Z905" s="113"/>
    </row>
    <row x14ac:dyDescent="0.25" r="906" customHeight="1" ht="15.75">
      <c r="A906" s="123"/>
      <c r="B906" s="123"/>
      <c r="C906" s="124"/>
      <c r="D906" s="124"/>
      <c r="E906" s="124"/>
      <c r="F906" s="113"/>
      <c r="G906" s="113"/>
      <c r="H906" s="113"/>
      <c r="I906" s="113"/>
      <c r="J906" s="113"/>
      <c r="K906" s="113"/>
      <c r="L906" s="113"/>
      <c r="M906" s="113"/>
      <c r="N906" s="113"/>
      <c r="O906" s="124"/>
      <c r="P906" s="113"/>
      <c r="Q906" s="113"/>
      <c r="R906" s="113"/>
      <c r="S906" s="113"/>
      <c r="T906" s="113"/>
      <c r="U906" s="113"/>
      <c r="V906" s="113"/>
      <c r="W906" s="113"/>
      <c r="X906" s="113"/>
      <c r="Y906" s="113"/>
      <c r="Z906" s="113"/>
    </row>
    <row x14ac:dyDescent="0.25" r="907" customHeight="1" ht="15.75">
      <c r="A907" s="123"/>
      <c r="B907" s="123"/>
      <c r="C907" s="124"/>
      <c r="D907" s="124"/>
      <c r="E907" s="124"/>
      <c r="F907" s="113"/>
      <c r="G907" s="113"/>
      <c r="H907" s="113"/>
      <c r="I907" s="113"/>
      <c r="J907" s="113"/>
      <c r="K907" s="113"/>
      <c r="L907" s="113"/>
      <c r="M907" s="113"/>
      <c r="N907" s="113"/>
      <c r="O907" s="124"/>
      <c r="P907" s="113"/>
      <c r="Q907" s="113"/>
      <c r="R907" s="113"/>
      <c r="S907" s="113"/>
      <c r="T907" s="113"/>
      <c r="U907" s="113"/>
      <c r="V907" s="113"/>
      <c r="W907" s="113"/>
      <c r="X907" s="113"/>
      <c r="Y907" s="113"/>
      <c r="Z907" s="113"/>
    </row>
    <row x14ac:dyDescent="0.25" r="908" customHeight="1" ht="15.75">
      <c r="A908" s="123"/>
      <c r="B908" s="123"/>
      <c r="C908" s="124"/>
      <c r="D908" s="124"/>
      <c r="E908" s="124"/>
      <c r="F908" s="113"/>
      <c r="G908" s="113"/>
      <c r="H908" s="113"/>
      <c r="I908" s="113"/>
      <c r="J908" s="113"/>
      <c r="K908" s="113"/>
      <c r="L908" s="113"/>
      <c r="M908" s="113"/>
      <c r="N908" s="113"/>
      <c r="O908" s="124"/>
      <c r="P908" s="113"/>
      <c r="Q908" s="113"/>
      <c r="R908" s="113"/>
      <c r="S908" s="113"/>
      <c r="T908" s="113"/>
      <c r="U908" s="113"/>
      <c r="V908" s="113"/>
      <c r="W908" s="113"/>
      <c r="X908" s="113"/>
      <c r="Y908" s="113"/>
      <c r="Z908" s="113"/>
    </row>
    <row x14ac:dyDescent="0.25" r="909" customHeight="1" ht="15.75">
      <c r="A909" s="123"/>
      <c r="B909" s="123"/>
      <c r="C909" s="124"/>
      <c r="D909" s="124"/>
      <c r="E909" s="124"/>
      <c r="F909" s="113"/>
      <c r="G909" s="113"/>
      <c r="H909" s="113"/>
      <c r="I909" s="113"/>
      <c r="J909" s="113"/>
      <c r="K909" s="113"/>
      <c r="L909" s="113"/>
      <c r="M909" s="113"/>
      <c r="N909" s="113"/>
      <c r="O909" s="124"/>
      <c r="P909" s="113"/>
      <c r="Q909" s="113"/>
      <c r="R909" s="113"/>
      <c r="S909" s="113"/>
      <c r="T909" s="113"/>
      <c r="U909" s="113"/>
      <c r="V909" s="113"/>
      <c r="W909" s="113"/>
      <c r="X909" s="113"/>
      <c r="Y909" s="113"/>
      <c r="Z909" s="113"/>
    </row>
    <row x14ac:dyDescent="0.25" r="910" customHeight="1" ht="15.75">
      <c r="A910" s="123"/>
      <c r="B910" s="123"/>
      <c r="C910" s="124"/>
      <c r="D910" s="124"/>
      <c r="E910" s="124"/>
      <c r="F910" s="113"/>
      <c r="G910" s="113"/>
      <c r="H910" s="113"/>
      <c r="I910" s="113"/>
      <c r="J910" s="113"/>
      <c r="K910" s="113"/>
      <c r="L910" s="113"/>
      <c r="M910" s="113"/>
      <c r="N910" s="113"/>
      <c r="O910" s="124"/>
      <c r="P910" s="113"/>
      <c r="Q910" s="113"/>
      <c r="R910" s="113"/>
      <c r="S910" s="113"/>
      <c r="T910" s="113"/>
      <c r="U910" s="113"/>
      <c r="V910" s="113"/>
      <c r="W910" s="113"/>
      <c r="X910" s="113"/>
      <c r="Y910" s="113"/>
      <c r="Z910" s="113"/>
    </row>
    <row x14ac:dyDescent="0.25" r="911" customHeight="1" ht="15.75">
      <c r="A911" s="123"/>
      <c r="B911" s="123"/>
      <c r="C911" s="124"/>
      <c r="D911" s="124"/>
      <c r="E911" s="124"/>
      <c r="F911" s="113"/>
      <c r="G911" s="113"/>
      <c r="H911" s="113"/>
      <c r="I911" s="113"/>
      <c r="J911" s="113"/>
      <c r="K911" s="113"/>
      <c r="L911" s="113"/>
      <c r="M911" s="113"/>
      <c r="N911" s="113"/>
      <c r="O911" s="124"/>
      <c r="P911" s="113"/>
      <c r="Q911" s="113"/>
      <c r="R911" s="113"/>
      <c r="S911" s="113"/>
      <c r="T911" s="113"/>
      <c r="U911" s="113"/>
      <c r="V911" s="113"/>
      <c r="W911" s="113"/>
      <c r="X911" s="113"/>
      <c r="Y911" s="113"/>
      <c r="Z911" s="113"/>
    </row>
    <row x14ac:dyDescent="0.25" r="912" customHeight="1" ht="15.75">
      <c r="A912" s="123"/>
      <c r="B912" s="123"/>
      <c r="C912" s="124"/>
      <c r="D912" s="124"/>
      <c r="E912" s="124"/>
      <c r="F912" s="113"/>
      <c r="G912" s="113"/>
      <c r="H912" s="113"/>
      <c r="I912" s="113"/>
      <c r="J912" s="113"/>
      <c r="K912" s="113"/>
      <c r="L912" s="113"/>
      <c r="M912" s="113"/>
      <c r="N912" s="113"/>
      <c r="O912" s="124"/>
      <c r="P912" s="113"/>
      <c r="Q912" s="113"/>
      <c r="R912" s="113"/>
      <c r="S912" s="113"/>
      <c r="T912" s="113"/>
      <c r="U912" s="113"/>
      <c r="V912" s="113"/>
      <c r="W912" s="113"/>
      <c r="X912" s="113"/>
      <c r="Y912" s="113"/>
      <c r="Z912" s="113"/>
    </row>
    <row x14ac:dyDescent="0.25" r="913" customHeight="1" ht="15.75">
      <c r="A913" s="123"/>
      <c r="B913" s="123"/>
      <c r="C913" s="124"/>
      <c r="D913" s="124"/>
      <c r="E913" s="124"/>
      <c r="F913" s="113"/>
      <c r="G913" s="113"/>
      <c r="H913" s="113"/>
      <c r="I913" s="113"/>
      <c r="J913" s="113"/>
      <c r="K913" s="113"/>
      <c r="L913" s="113"/>
      <c r="M913" s="113"/>
      <c r="N913" s="113"/>
      <c r="O913" s="124"/>
      <c r="P913" s="113"/>
      <c r="Q913" s="113"/>
      <c r="R913" s="113"/>
      <c r="S913" s="113"/>
      <c r="T913" s="113"/>
      <c r="U913" s="113"/>
      <c r="V913" s="113"/>
      <c r="W913" s="113"/>
      <c r="X913" s="113"/>
      <c r="Y913" s="113"/>
      <c r="Z913" s="113"/>
    </row>
    <row x14ac:dyDescent="0.25" r="914" customHeight="1" ht="15.75">
      <c r="A914" s="123"/>
      <c r="B914" s="123"/>
      <c r="C914" s="124"/>
      <c r="D914" s="124"/>
      <c r="E914" s="124"/>
      <c r="F914" s="113"/>
      <c r="G914" s="113"/>
      <c r="H914" s="113"/>
      <c r="I914" s="113"/>
      <c r="J914" s="113"/>
      <c r="K914" s="113"/>
      <c r="L914" s="113"/>
      <c r="M914" s="113"/>
      <c r="N914" s="113"/>
      <c r="O914" s="124"/>
      <c r="P914" s="113"/>
      <c r="Q914" s="113"/>
      <c r="R914" s="113"/>
      <c r="S914" s="113"/>
      <c r="T914" s="113"/>
      <c r="U914" s="113"/>
      <c r="V914" s="113"/>
      <c r="W914" s="113"/>
      <c r="X914" s="113"/>
      <c r="Y914" s="113"/>
      <c r="Z914" s="113"/>
    </row>
    <row x14ac:dyDescent="0.25" r="915" customHeight="1" ht="15.75">
      <c r="A915" s="123"/>
      <c r="B915" s="123"/>
      <c r="C915" s="124"/>
      <c r="D915" s="124"/>
      <c r="E915" s="124"/>
      <c r="F915" s="113"/>
      <c r="G915" s="113"/>
      <c r="H915" s="113"/>
      <c r="I915" s="113"/>
      <c r="J915" s="113"/>
      <c r="K915" s="113"/>
      <c r="L915" s="113"/>
      <c r="M915" s="113"/>
      <c r="N915" s="113"/>
      <c r="O915" s="124"/>
      <c r="P915" s="113"/>
      <c r="Q915" s="113"/>
      <c r="R915" s="113"/>
      <c r="S915" s="113"/>
      <c r="T915" s="113"/>
      <c r="U915" s="113"/>
      <c r="V915" s="113"/>
      <c r="W915" s="113"/>
      <c r="X915" s="113"/>
      <c r="Y915" s="113"/>
      <c r="Z915" s="113"/>
    </row>
    <row x14ac:dyDescent="0.25" r="916" customHeight="1" ht="15.75">
      <c r="A916" s="123"/>
      <c r="B916" s="123"/>
      <c r="C916" s="124"/>
      <c r="D916" s="124"/>
      <c r="E916" s="124"/>
      <c r="F916" s="113"/>
      <c r="G916" s="113"/>
      <c r="H916" s="113"/>
      <c r="I916" s="113"/>
      <c r="J916" s="113"/>
      <c r="K916" s="113"/>
      <c r="L916" s="113"/>
      <c r="M916" s="113"/>
      <c r="N916" s="113"/>
      <c r="O916" s="124"/>
      <c r="P916" s="113"/>
      <c r="Q916" s="113"/>
      <c r="R916" s="113"/>
      <c r="S916" s="113"/>
      <c r="T916" s="113"/>
      <c r="U916" s="113"/>
      <c r="V916" s="113"/>
      <c r="W916" s="113"/>
      <c r="X916" s="113"/>
      <c r="Y916" s="113"/>
      <c r="Z916" s="113"/>
    </row>
    <row x14ac:dyDescent="0.25" r="917" customHeight="1" ht="15.75">
      <c r="A917" s="123"/>
      <c r="B917" s="123"/>
      <c r="C917" s="124"/>
      <c r="D917" s="124"/>
      <c r="E917" s="124"/>
      <c r="F917" s="113"/>
      <c r="G917" s="113"/>
      <c r="H917" s="113"/>
      <c r="I917" s="113"/>
      <c r="J917" s="113"/>
      <c r="K917" s="113"/>
      <c r="L917" s="113"/>
      <c r="M917" s="113"/>
      <c r="N917" s="113"/>
      <c r="O917" s="124"/>
      <c r="P917" s="113"/>
      <c r="Q917" s="113"/>
      <c r="R917" s="113"/>
      <c r="S917" s="113"/>
      <c r="T917" s="113"/>
      <c r="U917" s="113"/>
      <c r="V917" s="113"/>
      <c r="W917" s="113"/>
      <c r="X917" s="113"/>
      <c r="Y917" s="113"/>
      <c r="Z917" s="113"/>
    </row>
    <row x14ac:dyDescent="0.25" r="918" customHeight="1" ht="15.75">
      <c r="A918" s="123"/>
      <c r="B918" s="123"/>
      <c r="C918" s="124"/>
      <c r="D918" s="124"/>
      <c r="E918" s="124"/>
      <c r="F918" s="113"/>
      <c r="G918" s="113"/>
      <c r="H918" s="113"/>
      <c r="I918" s="113"/>
      <c r="J918" s="113"/>
      <c r="K918" s="113"/>
      <c r="L918" s="113"/>
      <c r="M918" s="113"/>
      <c r="N918" s="113"/>
      <c r="O918" s="124"/>
      <c r="P918" s="113"/>
      <c r="Q918" s="113"/>
      <c r="R918" s="113"/>
      <c r="S918" s="113"/>
      <c r="T918" s="113"/>
      <c r="U918" s="113"/>
      <c r="V918" s="113"/>
      <c r="W918" s="113"/>
      <c r="X918" s="113"/>
      <c r="Y918" s="113"/>
      <c r="Z918" s="113"/>
    </row>
    <row x14ac:dyDescent="0.25" r="919" customHeight="1" ht="15.75">
      <c r="A919" s="123"/>
      <c r="B919" s="123"/>
      <c r="C919" s="124"/>
      <c r="D919" s="124"/>
      <c r="E919" s="124"/>
      <c r="F919" s="113"/>
      <c r="G919" s="113"/>
      <c r="H919" s="113"/>
      <c r="I919" s="113"/>
      <c r="J919" s="113"/>
      <c r="K919" s="113"/>
      <c r="L919" s="113"/>
      <c r="M919" s="113"/>
      <c r="N919" s="113"/>
      <c r="O919" s="124"/>
      <c r="P919" s="113"/>
      <c r="Q919" s="113"/>
      <c r="R919" s="113"/>
      <c r="S919" s="113"/>
      <c r="T919" s="113"/>
      <c r="U919" s="113"/>
      <c r="V919" s="113"/>
      <c r="W919" s="113"/>
      <c r="X919" s="113"/>
      <c r="Y919" s="113"/>
      <c r="Z919" s="113"/>
    </row>
    <row x14ac:dyDescent="0.25" r="920" customHeight="1" ht="15.75">
      <c r="A920" s="123"/>
      <c r="B920" s="123"/>
      <c r="C920" s="124"/>
      <c r="D920" s="124"/>
      <c r="E920" s="124"/>
      <c r="F920" s="113"/>
      <c r="G920" s="113"/>
      <c r="H920" s="113"/>
      <c r="I920" s="113"/>
      <c r="J920" s="113"/>
      <c r="K920" s="113"/>
      <c r="L920" s="113"/>
      <c r="M920" s="113"/>
      <c r="N920" s="113"/>
      <c r="O920" s="124"/>
      <c r="P920" s="113"/>
      <c r="Q920" s="113"/>
      <c r="R920" s="113"/>
      <c r="S920" s="113"/>
      <c r="T920" s="113"/>
      <c r="U920" s="113"/>
      <c r="V920" s="113"/>
      <c r="W920" s="113"/>
      <c r="X920" s="113"/>
      <c r="Y920" s="113"/>
      <c r="Z920" s="113"/>
    </row>
    <row x14ac:dyDescent="0.25" r="921" customHeight="1" ht="15.75">
      <c r="A921" s="123"/>
      <c r="B921" s="123"/>
      <c r="C921" s="124"/>
      <c r="D921" s="124"/>
      <c r="E921" s="124"/>
      <c r="F921" s="113"/>
      <c r="G921" s="113"/>
      <c r="H921" s="113"/>
      <c r="I921" s="113"/>
      <c r="J921" s="113"/>
      <c r="K921" s="113"/>
      <c r="L921" s="113"/>
      <c r="M921" s="113"/>
      <c r="N921" s="113"/>
      <c r="O921" s="124"/>
      <c r="P921" s="113"/>
      <c r="Q921" s="113"/>
      <c r="R921" s="113"/>
      <c r="S921" s="113"/>
      <c r="T921" s="113"/>
      <c r="U921" s="113"/>
      <c r="V921" s="113"/>
      <c r="W921" s="113"/>
      <c r="X921" s="113"/>
      <c r="Y921" s="113"/>
      <c r="Z921" s="113"/>
    </row>
    <row x14ac:dyDescent="0.25" r="922" customHeight="1" ht="15.75">
      <c r="A922" s="123"/>
      <c r="B922" s="123"/>
      <c r="C922" s="124"/>
      <c r="D922" s="124"/>
      <c r="E922" s="124"/>
      <c r="F922" s="113"/>
      <c r="G922" s="113"/>
      <c r="H922" s="113"/>
      <c r="I922" s="113"/>
      <c r="J922" s="113"/>
      <c r="K922" s="113"/>
      <c r="L922" s="113"/>
      <c r="M922" s="113"/>
      <c r="N922" s="113"/>
      <c r="O922" s="124"/>
      <c r="P922" s="113"/>
      <c r="Q922" s="113"/>
      <c r="R922" s="113"/>
      <c r="S922" s="113"/>
      <c r="T922" s="113"/>
      <c r="U922" s="113"/>
      <c r="V922" s="113"/>
      <c r="W922" s="113"/>
      <c r="X922" s="113"/>
      <c r="Y922" s="113"/>
      <c r="Z922" s="113"/>
    </row>
    <row x14ac:dyDescent="0.25" r="923" customHeight="1" ht="15.75">
      <c r="A923" s="123"/>
      <c r="B923" s="123"/>
      <c r="C923" s="124"/>
      <c r="D923" s="124"/>
      <c r="E923" s="124"/>
      <c r="F923" s="113"/>
      <c r="G923" s="113"/>
      <c r="H923" s="113"/>
      <c r="I923" s="113"/>
      <c r="J923" s="113"/>
      <c r="K923" s="113"/>
      <c r="L923" s="113"/>
      <c r="M923" s="113"/>
      <c r="N923" s="113"/>
      <c r="O923" s="124"/>
      <c r="P923" s="113"/>
      <c r="Q923" s="113"/>
      <c r="R923" s="113"/>
      <c r="S923" s="113"/>
      <c r="T923" s="113"/>
      <c r="U923" s="113"/>
      <c r="V923" s="113"/>
      <c r="W923" s="113"/>
      <c r="X923" s="113"/>
      <c r="Y923" s="113"/>
      <c r="Z923" s="113"/>
    </row>
    <row x14ac:dyDescent="0.25" r="924" customHeight="1" ht="15.75">
      <c r="A924" s="123"/>
      <c r="B924" s="123"/>
      <c r="C924" s="124"/>
      <c r="D924" s="124"/>
      <c r="E924" s="124"/>
      <c r="F924" s="113"/>
      <c r="G924" s="113"/>
      <c r="H924" s="113"/>
      <c r="I924" s="113"/>
      <c r="J924" s="113"/>
      <c r="K924" s="113"/>
      <c r="L924" s="113"/>
      <c r="M924" s="113"/>
      <c r="N924" s="113"/>
      <c r="O924" s="124"/>
      <c r="P924" s="113"/>
      <c r="Q924" s="113"/>
      <c r="R924" s="113"/>
      <c r="S924" s="113"/>
      <c r="T924" s="113"/>
      <c r="U924" s="113"/>
      <c r="V924" s="113"/>
      <c r="W924" s="113"/>
      <c r="X924" s="113"/>
      <c r="Y924" s="113"/>
      <c r="Z924" s="113"/>
    </row>
    <row x14ac:dyDescent="0.25" r="925" customHeight="1" ht="15.75">
      <c r="A925" s="123"/>
      <c r="B925" s="123"/>
      <c r="C925" s="124"/>
      <c r="D925" s="124"/>
      <c r="E925" s="124"/>
      <c r="F925" s="113"/>
      <c r="G925" s="113"/>
      <c r="H925" s="113"/>
      <c r="I925" s="113"/>
      <c r="J925" s="113"/>
      <c r="K925" s="113"/>
      <c r="L925" s="113"/>
      <c r="M925" s="113"/>
      <c r="N925" s="113"/>
      <c r="O925" s="124"/>
      <c r="P925" s="113"/>
      <c r="Q925" s="113"/>
      <c r="R925" s="113"/>
      <c r="S925" s="113"/>
      <c r="T925" s="113"/>
      <c r="U925" s="113"/>
      <c r="V925" s="113"/>
      <c r="W925" s="113"/>
      <c r="X925" s="113"/>
      <c r="Y925" s="113"/>
      <c r="Z925" s="113"/>
    </row>
    <row x14ac:dyDescent="0.25" r="926" customHeight="1" ht="15.75">
      <c r="A926" s="123"/>
      <c r="B926" s="123"/>
      <c r="C926" s="124"/>
      <c r="D926" s="124"/>
      <c r="E926" s="124"/>
      <c r="F926" s="113"/>
      <c r="G926" s="113"/>
      <c r="H926" s="113"/>
      <c r="I926" s="113"/>
      <c r="J926" s="113"/>
      <c r="K926" s="113"/>
      <c r="L926" s="113"/>
      <c r="M926" s="113"/>
      <c r="N926" s="113"/>
      <c r="O926" s="124"/>
      <c r="P926" s="113"/>
      <c r="Q926" s="113"/>
      <c r="R926" s="113"/>
      <c r="S926" s="113"/>
      <c r="T926" s="113"/>
      <c r="U926" s="113"/>
      <c r="V926" s="113"/>
      <c r="W926" s="113"/>
      <c r="X926" s="113"/>
      <c r="Y926" s="113"/>
      <c r="Z926" s="113"/>
    </row>
    <row x14ac:dyDescent="0.25" r="927" customHeight="1" ht="15.75">
      <c r="A927" s="123"/>
      <c r="B927" s="123"/>
      <c r="C927" s="124"/>
      <c r="D927" s="124"/>
      <c r="E927" s="124"/>
      <c r="F927" s="113"/>
      <c r="G927" s="113"/>
      <c r="H927" s="113"/>
      <c r="I927" s="113"/>
      <c r="J927" s="113"/>
      <c r="K927" s="113"/>
      <c r="L927" s="113"/>
      <c r="M927" s="113"/>
      <c r="N927" s="113"/>
      <c r="O927" s="124"/>
      <c r="P927" s="113"/>
      <c r="Q927" s="113"/>
      <c r="R927" s="113"/>
      <c r="S927" s="113"/>
      <c r="T927" s="113"/>
      <c r="U927" s="113"/>
      <c r="V927" s="113"/>
      <c r="W927" s="113"/>
      <c r="X927" s="113"/>
      <c r="Y927" s="113"/>
      <c r="Z927" s="113"/>
    </row>
    <row x14ac:dyDescent="0.25" r="928" customHeight="1" ht="15.75">
      <c r="A928" s="123"/>
      <c r="B928" s="123"/>
      <c r="C928" s="124"/>
      <c r="D928" s="124"/>
      <c r="E928" s="124"/>
      <c r="F928" s="113"/>
      <c r="G928" s="113"/>
      <c r="H928" s="113"/>
      <c r="I928" s="113"/>
      <c r="J928" s="113"/>
      <c r="K928" s="113"/>
      <c r="L928" s="113"/>
      <c r="M928" s="113"/>
      <c r="N928" s="113"/>
      <c r="O928" s="124"/>
      <c r="P928" s="113"/>
      <c r="Q928" s="113"/>
      <c r="R928" s="113"/>
      <c r="S928" s="113"/>
      <c r="T928" s="113"/>
      <c r="U928" s="113"/>
      <c r="V928" s="113"/>
      <c r="W928" s="113"/>
      <c r="X928" s="113"/>
      <c r="Y928" s="113"/>
      <c r="Z928" s="113"/>
    </row>
    <row x14ac:dyDescent="0.25" r="929" customHeight="1" ht="15.75">
      <c r="A929" s="123"/>
      <c r="B929" s="123"/>
      <c r="C929" s="124"/>
      <c r="D929" s="124"/>
      <c r="E929" s="124"/>
      <c r="F929" s="113"/>
      <c r="G929" s="113"/>
      <c r="H929" s="113"/>
      <c r="I929" s="113"/>
      <c r="J929" s="113"/>
      <c r="K929" s="113"/>
      <c r="L929" s="113"/>
      <c r="M929" s="113"/>
      <c r="N929" s="113"/>
      <c r="O929" s="124"/>
      <c r="P929" s="113"/>
      <c r="Q929" s="113"/>
      <c r="R929" s="113"/>
      <c r="S929" s="113"/>
      <c r="T929" s="113"/>
      <c r="U929" s="113"/>
      <c r="V929" s="113"/>
      <c r="W929" s="113"/>
      <c r="X929" s="113"/>
      <c r="Y929" s="113"/>
      <c r="Z929" s="113"/>
    </row>
    <row x14ac:dyDescent="0.25" r="930" customHeight="1" ht="15.75">
      <c r="A930" s="123"/>
      <c r="B930" s="123"/>
      <c r="C930" s="124"/>
      <c r="D930" s="124"/>
      <c r="E930" s="124"/>
      <c r="F930" s="113"/>
      <c r="G930" s="113"/>
      <c r="H930" s="113"/>
      <c r="I930" s="113"/>
      <c r="J930" s="113"/>
      <c r="K930" s="113"/>
      <c r="L930" s="113"/>
      <c r="M930" s="113"/>
      <c r="N930" s="113"/>
      <c r="O930" s="124"/>
      <c r="P930" s="113"/>
      <c r="Q930" s="113"/>
      <c r="R930" s="113"/>
      <c r="S930" s="113"/>
      <c r="T930" s="113"/>
      <c r="U930" s="113"/>
      <c r="V930" s="113"/>
      <c r="W930" s="113"/>
      <c r="X930" s="113"/>
      <c r="Y930" s="113"/>
      <c r="Z930" s="113"/>
    </row>
    <row x14ac:dyDescent="0.25" r="931" customHeight="1" ht="15.75">
      <c r="A931" s="123"/>
      <c r="B931" s="123"/>
      <c r="C931" s="124"/>
      <c r="D931" s="124"/>
      <c r="E931" s="124"/>
      <c r="F931" s="113"/>
      <c r="G931" s="113"/>
      <c r="H931" s="113"/>
      <c r="I931" s="113"/>
      <c r="J931" s="113"/>
      <c r="K931" s="113"/>
      <c r="L931" s="113"/>
      <c r="M931" s="113"/>
      <c r="N931" s="113"/>
      <c r="O931" s="124"/>
      <c r="P931" s="113"/>
      <c r="Q931" s="113"/>
      <c r="R931" s="113"/>
      <c r="S931" s="113"/>
      <c r="T931" s="113"/>
      <c r="U931" s="113"/>
      <c r="V931" s="113"/>
      <c r="W931" s="113"/>
      <c r="X931" s="113"/>
      <c r="Y931" s="113"/>
      <c r="Z931" s="113"/>
    </row>
    <row x14ac:dyDescent="0.25" r="932" customHeight="1" ht="15.75">
      <c r="A932" s="123"/>
      <c r="B932" s="123"/>
      <c r="C932" s="124"/>
      <c r="D932" s="124"/>
      <c r="E932" s="124"/>
      <c r="F932" s="113"/>
      <c r="G932" s="113"/>
      <c r="H932" s="113"/>
      <c r="I932" s="113"/>
      <c r="J932" s="113"/>
      <c r="K932" s="113"/>
      <c r="L932" s="113"/>
      <c r="M932" s="113"/>
      <c r="N932" s="113"/>
      <c r="O932" s="124"/>
      <c r="P932" s="113"/>
      <c r="Q932" s="113"/>
      <c r="R932" s="113"/>
      <c r="S932" s="113"/>
      <c r="T932" s="113"/>
      <c r="U932" s="113"/>
      <c r="V932" s="113"/>
      <c r="W932" s="113"/>
      <c r="X932" s="113"/>
      <c r="Y932" s="113"/>
      <c r="Z932" s="113"/>
    </row>
    <row x14ac:dyDescent="0.25" r="933" customHeight="1" ht="15.75">
      <c r="A933" s="123"/>
      <c r="B933" s="123"/>
      <c r="C933" s="124"/>
      <c r="D933" s="124"/>
      <c r="E933" s="124"/>
      <c r="F933" s="113"/>
      <c r="G933" s="113"/>
      <c r="H933" s="113"/>
      <c r="I933" s="113"/>
      <c r="J933" s="113"/>
      <c r="K933" s="113"/>
      <c r="L933" s="113"/>
      <c r="M933" s="113"/>
      <c r="N933" s="113"/>
      <c r="O933" s="124"/>
      <c r="P933" s="113"/>
      <c r="Q933" s="113"/>
      <c r="R933" s="113"/>
      <c r="S933" s="113"/>
      <c r="T933" s="113"/>
      <c r="U933" s="113"/>
      <c r="V933" s="113"/>
      <c r="W933" s="113"/>
      <c r="X933" s="113"/>
      <c r="Y933" s="113"/>
      <c r="Z933" s="113"/>
    </row>
    <row x14ac:dyDescent="0.25" r="934" customHeight="1" ht="15.75">
      <c r="A934" s="123"/>
      <c r="B934" s="123"/>
      <c r="C934" s="124"/>
      <c r="D934" s="124"/>
      <c r="E934" s="124"/>
      <c r="F934" s="113"/>
      <c r="G934" s="113"/>
      <c r="H934" s="113"/>
      <c r="I934" s="113"/>
      <c r="J934" s="113"/>
      <c r="K934" s="113"/>
      <c r="L934" s="113"/>
      <c r="M934" s="113"/>
      <c r="N934" s="113"/>
      <c r="O934" s="124"/>
      <c r="P934" s="113"/>
      <c r="Q934" s="113"/>
      <c r="R934" s="113"/>
      <c r="S934" s="113"/>
      <c r="T934" s="113"/>
      <c r="U934" s="113"/>
      <c r="V934" s="113"/>
      <c r="W934" s="113"/>
      <c r="X934" s="113"/>
      <c r="Y934" s="113"/>
      <c r="Z934" s="113"/>
    </row>
    <row x14ac:dyDescent="0.25" r="935" customHeight="1" ht="15.75">
      <c r="A935" s="123"/>
      <c r="B935" s="123"/>
      <c r="C935" s="124"/>
      <c r="D935" s="124"/>
      <c r="E935" s="124"/>
      <c r="F935" s="113"/>
      <c r="G935" s="113"/>
      <c r="H935" s="113"/>
      <c r="I935" s="113"/>
      <c r="J935" s="113"/>
      <c r="K935" s="113"/>
      <c r="L935" s="113"/>
      <c r="M935" s="113"/>
      <c r="N935" s="113"/>
      <c r="O935" s="124"/>
      <c r="P935" s="113"/>
      <c r="Q935" s="113"/>
      <c r="R935" s="113"/>
      <c r="S935" s="113"/>
      <c r="T935" s="113"/>
      <c r="U935" s="113"/>
      <c r="V935" s="113"/>
      <c r="W935" s="113"/>
      <c r="X935" s="113"/>
      <c r="Y935" s="113"/>
      <c r="Z935" s="113"/>
    </row>
    <row x14ac:dyDescent="0.25" r="936" customHeight="1" ht="15.75">
      <c r="A936" s="123"/>
      <c r="B936" s="123"/>
      <c r="C936" s="124"/>
      <c r="D936" s="124"/>
      <c r="E936" s="124"/>
      <c r="F936" s="113"/>
      <c r="G936" s="113"/>
      <c r="H936" s="113"/>
      <c r="I936" s="113"/>
      <c r="J936" s="113"/>
      <c r="K936" s="113"/>
      <c r="L936" s="113"/>
      <c r="M936" s="113"/>
      <c r="N936" s="113"/>
      <c r="O936" s="124"/>
      <c r="P936" s="113"/>
      <c r="Q936" s="113"/>
      <c r="R936" s="113"/>
      <c r="S936" s="113"/>
      <c r="T936" s="113"/>
      <c r="U936" s="113"/>
      <c r="V936" s="113"/>
      <c r="W936" s="113"/>
      <c r="X936" s="113"/>
      <c r="Y936" s="113"/>
      <c r="Z936" s="113"/>
    </row>
    <row x14ac:dyDescent="0.25" r="937" customHeight="1" ht="15.75">
      <c r="A937" s="123"/>
      <c r="B937" s="123"/>
      <c r="C937" s="124"/>
      <c r="D937" s="124"/>
      <c r="E937" s="124"/>
      <c r="F937" s="113"/>
      <c r="G937" s="113"/>
      <c r="H937" s="113"/>
      <c r="I937" s="113"/>
      <c r="J937" s="113"/>
      <c r="K937" s="113"/>
      <c r="L937" s="113"/>
      <c r="M937" s="113"/>
      <c r="N937" s="113"/>
      <c r="O937" s="124"/>
      <c r="P937" s="113"/>
      <c r="Q937" s="113"/>
      <c r="R937" s="113"/>
      <c r="S937" s="113"/>
      <c r="T937" s="113"/>
      <c r="U937" s="113"/>
      <c r="V937" s="113"/>
      <c r="W937" s="113"/>
      <c r="X937" s="113"/>
      <c r="Y937" s="113"/>
      <c r="Z937" s="113"/>
    </row>
    <row x14ac:dyDescent="0.25" r="938" customHeight="1" ht="15.75">
      <c r="A938" s="123"/>
      <c r="B938" s="123"/>
      <c r="C938" s="124"/>
      <c r="D938" s="124"/>
      <c r="E938" s="124"/>
      <c r="F938" s="113"/>
      <c r="G938" s="113"/>
      <c r="H938" s="113"/>
      <c r="I938" s="113"/>
      <c r="J938" s="113"/>
      <c r="K938" s="113"/>
      <c r="L938" s="113"/>
      <c r="M938" s="113"/>
      <c r="N938" s="113"/>
      <c r="O938" s="124"/>
      <c r="P938" s="113"/>
      <c r="Q938" s="113"/>
      <c r="R938" s="113"/>
      <c r="S938" s="113"/>
      <c r="T938" s="113"/>
      <c r="U938" s="113"/>
      <c r="V938" s="113"/>
      <c r="W938" s="113"/>
      <c r="X938" s="113"/>
      <c r="Y938" s="113"/>
      <c r="Z938" s="113"/>
    </row>
    <row x14ac:dyDescent="0.25" r="939" customHeight="1" ht="15.75">
      <c r="A939" s="123"/>
      <c r="B939" s="123"/>
      <c r="C939" s="124"/>
      <c r="D939" s="124"/>
      <c r="E939" s="124"/>
      <c r="F939" s="113"/>
      <c r="G939" s="113"/>
      <c r="H939" s="113"/>
      <c r="I939" s="113"/>
      <c r="J939" s="113"/>
      <c r="K939" s="113"/>
      <c r="L939" s="113"/>
      <c r="M939" s="113"/>
      <c r="N939" s="113"/>
      <c r="O939" s="124"/>
      <c r="P939" s="113"/>
      <c r="Q939" s="113"/>
      <c r="R939" s="113"/>
      <c r="S939" s="113"/>
      <c r="T939" s="113"/>
      <c r="U939" s="113"/>
      <c r="V939" s="113"/>
      <c r="W939" s="113"/>
      <c r="X939" s="113"/>
      <c r="Y939" s="113"/>
      <c r="Z939" s="113"/>
    </row>
    <row x14ac:dyDescent="0.25" r="940" customHeight="1" ht="15.75">
      <c r="A940" s="123"/>
      <c r="B940" s="123"/>
      <c r="C940" s="124"/>
      <c r="D940" s="124"/>
      <c r="E940" s="124"/>
      <c r="F940" s="113"/>
      <c r="G940" s="113"/>
      <c r="H940" s="113"/>
      <c r="I940" s="113"/>
      <c r="J940" s="113"/>
      <c r="K940" s="113"/>
      <c r="L940" s="113"/>
      <c r="M940" s="113"/>
      <c r="N940" s="113"/>
      <c r="O940" s="124"/>
      <c r="P940" s="113"/>
      <c r="Q940" s="113"/>
      <c r="R940" s="113"/>
      <c r="S940" s="113"/>
      <c r="T940" s="113"/>
      <c r="U940" s="113"/>
      <c r="V940" s="113"/>
      <c r="W940" s="113"/>
      <c r="X940" s="113"/>
      <c r="Y940" s="113"/>
      <c r="Z940" s="113"/>
    </row>
    <row x14ac:dyDescent="0.25" r="941" customHeight="1" ht="15.75">
      <c r="A941" s="123"/>
      <c r="B941" s="123"/>
      <c r="C941" s="124"/>
      <c r="D941" s="124"/>
      <c r="E941" s="124"/>
      <c r="F941" s="113"/>
      <c r="G941" s="113"/>
      <c r="H941" s="113"/>
      <c r="I941" s="113"/>
      <c r="J941" s="113"/>
      <c r="K941" s="113"/>
      <c r="L941" s="113"/>
      <c r="M941" s="113"/>
      <c r="N941" s="113"/>
      <c r="O941" s="124"/>
      <c r="P941" s="113"/>
      <c r="Q941" s="113"/>
      <c r="R941" s="113"/>
      <c r="S941" s="113"/>
      <c r="T941" s="113"/>
      <c r="U941" s="113"/>
      <c r="V941" s="113"/>
      <c r="W941" s="113"/>
      <c r="X941" s="113"/>
      <c r="Y941" s="113"/>
      <c r="Z941" s="113"/>
    </row>
    <row x14ac:dyDescent="0.25" r="942" customHeight="1" ht="15.75">
      <c r="A942" s="123"/>
      <c r="B942" s="123"/>
      <c r="C942" s="124"/>
      <c r="D942" s="124"/>
      <c r="E942" s="124"/>
      <c r="F942" s="113"/>
      <c r="G942" s="113"/>
      <c r="H942" s="113"/>
      <c r="I942" s="113"/>
      <c r="J942" s="113"/>
      <c r="K942" s="113"/>
      <c r="L942" s="113"/>
      <c r="M942" s="113"/>
      <c r="N942" s="113"/>
      <c r="O942" s="124"/>
      <c r="P942" s="113"/>
      <c r="Q942" s="113"/>
      <c r="R942" s="113"/>
      <c r="S942" s="113"/>
      <c r="T942" s="113"/>
      <c r="U942" s="113"/>
      <c r="V942" s="113"/>
      <c r="W942" s="113"/>
      <c r="X942" s="113"/>
      <c r="Y942" s="113"/>
      <c r="Z942" s="113"/>
    </row>
    <row x14ac:dyDescent="0.25" r="943" customHeight="1" ht="15.75">
      <c r="A943" s="123"/>
      <c r="B943" s="123"/>
      <c r="C943" s="124"/>
      <c r="D943" s="124"/>
      <c r="E943" s="124"/>
      <c r="F943" s="113"/>
      <c r="G943" s="113"/>
      <c r="H943" s="113"/>
      <c r="I943" s="113"/>
      <c r="J943" s="113"/>
      <c r="K943" s="113"/>
      <c r="L943" s="113"/>
      <c r="M943" s="113"/>
      <c r="N943" s="113"/>
      <c r="O943" s="124"/>
      <c r="P943" s="113"/>
      <c r="Q943" s="113"/>
      <c r="R943" s="113"/>
      <c r="S943" s="113"/>
      <c r="T943" s="113"/>
      <c r="U943" s="113"/>
      <c r="V943" s="113"/>
      <c r="W943" s="113"/>
      <c r="X943" s="113"/>
      <c r="Y943" s="113"/>
      <c r="Z943" s="113"/>
    </row>
    <row x14ac:dyDescent="0.25" r="944" customHeight="1" ht="15.75">
      <c r="A944" s="123"/>
      <c r="B944" s="123"/>
      <c r="C944" s="124"/>
      <c r="D944" s="124"/>
      <c r="E944" s="124"/>
      <c r="F944" s="113"/>
      <c r="G944" s="113"/>
      <c r="H944" s="113"/>
      <c r="I944" s="113"/>
      <c r="J944" s="113"/>
      <c r="K944" s="113"/>
      <c r="L944" s="113"/>
      <c r="M944" s="113"/>
      <c r="N944" s="113"/>
      <c r="O944" s="124"/>
      <c r="P944" s="113"/>
      <c r="Q944" s="113"/>
      <c r="R944" s="113"/>
      <c r="S944" s="113"/>
      <c r="T944" s="113"/>
      <c r="U944" s="113"/>
      <c r="V944" s="113"/>
      <c r="W944" s="113"/>
      <c r="X944" s="113"/>
      <c r="Y944" s="113"/>
      <c r="Z944" s="113"/>
    </row>
    <row x14ac:dyDescent="0.25" r="945" customHeight="1" ht="15.75">
      <c r="A945" s="123"/>
      <c r="B945" s="123"/>
      <c r="C945" s="124"/>
      <c r="D945" s="124"/>
      <c r="E945" s="124"/>
      <c r="F945" s="113"/>
      <c r="G945" s="113"/>
      <c r="H945" s="113"/>
      <c r="I945" s="113"/>
      <c r="J945" s="113"/>
      <c r="K945" s="113"/>
      <c r="L945" s="113"/>
      <c r="M945" s="113"/>
      <c r="N945" s="113"/>
      <c r="O945" s="124"/>
      <c r="P945" s="113"/>
      <c r="Q945" s="113"/>
      <c r="R945" s="113"/>
      <c r="S945" s="113"/>
      <c r="T945" s="113"/>
      <c r="U945" s="113"/>
      <c r="V945" s="113"/>
      <c r="W945" s="113"/>
      <c r="X945" s="113"/>
      <c r="Y945" s="113"/>
      <c r="Z945" s="113"/>
    </row>
    <row x14ac:dyDescent="0.25" r="946" customHeight="1" ht="15.75">
      <c r="A946" s="123"/>
      <c r="B946" s="123"/>
      <c r="C946" s="124"/>
      <c r="D946" s="124"/>
      <c r="E946" s="124"/>
      <c r="F946" s="113"/>
      <c r="G946" s="113"/>
      <c r="H946" s="113"/>
      <c r="I946" s="113"/>
      <c r="J946" s="113"/>
      <c r="K946" s="113"/>
      <c r="L946" s="113"/>
      <c r="M946" s="113"/>
      <c r="N946" s="113"/>
      <c r="O946" s="124"/>
      <c r="P946" s="113"/>
      <c r="Q946" s="113"/>
      <c r="R946" s="113"/>
      <c r="S946" s="113"/>
      <c r="T946" s="113"/>
      <c r="U946" s="113"/>
      <c r="V946" s="113"/>
      <c r="W946" s="113"/>
      <c r="X946" s="113"/>
      <c r="Y946" s="113"/>
      <c r="Z946" s="113"/>
    </row>
    <row x14ac:dyDescent="0.25" r="947" customHeight="1" ht="15.75">
      <c r="A947" s="123"/>
      <c r="B947" s="123"/>
      <c r="C947" s="124"/>
      <c r="D947" s="124"/>
      <c r="E947" s="124"/>
      <c r="F947" s="113"/>
      <c r="G947" s="113"/>
      <c r="H947" s="113"/>
      <c r="I947" s="113"/>
      <c r="J947" s="113"/>
      <c r="K947" s="113"/>
      <c r="L947" s="113"/>
      <c r="M947" s="113"/>
      <c r="N947" s="113"/>
      <c r="O947" s="124"/>
      <c r="P947" s="113"/>
      <c r="Q947" s="113"/>
      <c r="R947" s="113"/>
      <c r="S947" s="113"/>
      <c r="T947" s="113"/>
      <c r="U947" s="113"/>
      <c r="V947" s="113"/>
      <c r="W947" s="113"/>
      <c r="X947" s="113"/>
      <c r="Y947" s="113"/>
      <c r="Z947" s="113"/>
    </row>
    <row x14ac:dyDescent="0.25" r="948" customHeight="1" ht="15.75">
      <c r="A948" s="123"/>
      <c r="B948" s="123"/>
      <c r="C948" s="124"/>
      <c r="D948" s="124"/>
      <c r="E948" s="124"/>
      <c r="F948" s="113"/>
      <c r="G948" s="113"/>
      <c r="H948" s="113"/>
      <c r="I948" s="113"/>
      <c r="J948" s="113"/>
      <c r="K948" s="113"/>
      <c r="L948" s="113"/>
      <c r="M948" s="113"/>
      <c r="N948" s="113"/>
      <c r="O948" s="124"/>
      <c r="P948" s="113"/>
      <c r="Q948" s="113"/>
      <c r="R948" s="113"/>
      <c r="S948" s="113"/>
      <c r="T948" s="113"/>
      <c r="U948" s="113"/>
      <c r="V948" s="113"/>
      <c r="W948" s="113"/>
      <c r="X948" s="113"/>
      <c r="Y948" s="113"/>
      <c r="Z948" s="113"/>
    </row>
    <row x14ac:dyDescent="0.25" r="949" customHeight="1" ht="15.75">
      <c r="A949" s="123"/>
      <c r="B949" s="123"/>
      <c r="C949" s="124"/>
      <c r="D949" s="124"/>
      <c r="E949" s="124"/>
      <c r="F949" s="113"/>
      <c r="G949" s="113"/>
      <c r="H949" s="113"/>
      <c r="I949" s="113"/>
      <c r="J949" s="113"/>
      <c r="K949" s="113"/>
      <c r="L949" s="113"/>
      <c r="M949" s="113"/>
      <c r="N949" s="113"/>
      <c r="O949" s="124"/>
      <c r="P949" s="113"/>
      <c r="Q949" s="113"/>
      <c r="R949" s="113"/>
      <c r="S949" s="113"/>
      <c r="T949" s="113"/>
      <c r="U949" s="113"/>
      <c r="V949" s="113"/>
      <c r="W949" s="113"/>
      <c r="X949" s="113"/>
      <c r="Y949" s="113"/>
      <c r="Z949" s="113"/>
    </row>
    <row x14ac:dyDescent="0.25" r="950" customHeight="1" ht="15.75">
      <c r="A950" s="123"/>
      <c r="B950" s="123"/>
      <c r="C950" s="124"/>
      <c r="D950" s="124"/>
      <c r="E950" s="124"/>
      <c r="F950" s="113"/>
      <c r="G950" s="113"/>
      <c r="H950" s="113"/>
      <c r="I950" s="113"/>
      <c r="J950" s="113"/>
      <c r="K950" s="113"/>
      <c r="L950" s="113"/>
      <c r="M950" s="113"/>
      <c r="N950" s="113"/>
      <c r="O950" s="124"/>
      <c r="P950" s="113"/>
      <c r="Q950" s="113"/>
      <c r="R950" s="113"/>
      <c r="S950" s="113"/>
      <c r="T950" s="113"/>
      <c r="U950" s="113"/>
      <c r="V950" s="113"/>
      <c r="W950" s="113"/>
      <c r="X950" s="113"/>
      <c r="Y950" s="113"/>
      <c r="Z950" s="113"/>
    </row>
    <row x14ac:dyDescent="0.25" r="951" customHeight="1" ht="15.75">
      <c r="A951" s="123"/>
      <c r="B951" s="123"/>
      <c r="C951" s="124"/>
      <c r="D951" s="124"/>
      <c r="E951" s="124"/>
      <c r="F951" s="113"/>
      <c r="G951" s="113"/>
      <c r="H951" s="113"/>
      <c r="I951" s="113"/>
      <c r="J951" s="113"/>
      <c r="K951" s="113"/>
      <c r="L951" s="113"/>
      <c r="M951" s="113"/>
      <c r="N951" s="113"/>
      <c r="O951" s="124"/>
      <c r="P951" s="113"/>
      <c r="Q951" s="113"/>
      <c r="R951" s="113"/>
      <c r="S951" s="113"/>
      <c r="T951" s="113"/>
      <c r="U951" s="113"/>
      <c r="V951" s="113"/>
      <c r="W951" s="113"/>
      <c r="X951" s="113"/>
      <c r="Y951" s="113"/>
      <c r="Z951" s="113"/>
    </row>
    <row x14ac:dyDescent="0.25" r="952" customHeight="1" ht="15.75">
      <c r="A952" s="123"/>
      <c r="B952" s="123"/>
      <c r="C952" s="124"/>
      <c r="D952" s="124"/>
      <c r="E952" s="124"/>
      <c r="F952" s="113"/>
      <c r="G952" s="113"/>
      <c r="H952" s="113"/>
      <c r="I952" s="113"/>
      <c r="J952" s="113"/>
      <c r="K952" s="113"/>
      <c r="L952" s="113"/>
      <c r="M952" s="113"/>
      <c r="N952" s="113"/>
      <c r="O952" s="124"/>
      <c r="P952" s="113"/>
      <c r="Q952" s="113"/>
      <c r="R952" s="113"/>
      <c r="S952" s="113"/>
      <c r="T952" s="113"/>
      <c r="U952" s="113"/>
      <c r="V952" s="113"/>
      <c r="W952" s="113"/>
      <c r="X952" s="113"/>
      <c r="Y952" s="113"/>
      <c r="Z952" s="113"/>
    </row>
    <row x14ac:dyDescent="0.25" r="953" customHeight="1" ht="15.75">
      <c r="A953" s="123"/>
      <c r="B953" s="123"/>
      <c r="C953" s="124"/>
      <c r="D953" s="124"/>
      <c r="E953" s="124"/>
      <c r="F953" s="113"/>
      <c r="G953" s="113"/>
      <c r="H953" s="113"/>
      <c r="I953" s="113"/>
      <c r="J953" s="113"/>
      <c r="K953" s="113"/>
      <c r="L953" s="113"/>
      <c r="M953" s="113"/>
      <c r="N953" s="113"/>
      <c r="O953" s="124"/>
      <c r="P953" s="113"/>
      <c r="Q953" s="113"/>
      <c r="R953" s="113"/>
      <c r="S953" s="113"/>
      <c r="T953" s="113"/>
      <c r="U953" s="113"/>
      <c r="V953" s="113"/>
      <c r="W953" s="113"/>
      <c r="X953" s="113"/>
      <c r="Y953" s="113"/>
      <c r="Z953" s="113"/>
    </row>
    <row x14ac:dyDescent="0.25" r="954" customHeight="1" ht="15.75">
      <c r="A954" s="123"/>
      <c r="B954" s="123"/>
      <c r="C954" s="124"/>
      <c r="D954" s="124"/>
      <c r="E954" s="124"/>
      <c r="F954" s="113"/>
      <c r="G954" s="113"/>
      <c r="H954" s="113"/>
      <c r="I954" s="113"/>
      <c r="J954" s="113"/>
      <c r="K954" s="113"/>
      <c r="L954" s="113"/>
      <c r="M954" s="113"/>
      <c r="N954" s="113"/>
      <c r="O954" s="124"/>
      <c r="P954" s="113"/>
      <c r="Q954" s="113"/>
      <c r="R954" s="113"/>
      <c r="S954" s="113"/>
      <c r="T954" s="113"/>
      <c r="U954" s="113"/>
      <c r="V954" s="113"/>
      <c r="W954" s="113"/>
      <c r="X954" s="113"/>
      <c r="Y954" s="113"/>
      <c r="Z954" s="113"/>
    </row>
    <row x14ac:dyDescent="0.25" r="955" customHeight="1" ht="15.75">
      <c r="A955" s="123"/>
      <c r="B955" s="123"/>
      <c r="C955" s="124"/>
      <c r="D955" s="124"/>
      <c r="E955" s="124"/>
      <c r="F955" s="113"/>
      <c r="G955" s="113"/>
      <c r="H955" s="113"/>
      <c r="I955" s="113"/>
      <c r="J955" s="113"/>
      <c r="K955" s="113"/>
      <c r="L955" s="113"/>
      <c r="M955" s="113"/>
      <c r="N955" s="113"/>
      <c r="O955" s="124"/>
      <c r="P955" s="113"/>
      <c r="Q955" s="113"/>
      <c r="R955" s="113"/>
      <c r="S955" s="113"/>
      <c r="T955" s="113"/>
      <c r="U955" s="113"/>
      <c r="V955" s="113"/>
      <c r="W955" s="113"/>
      <c r="X955" s="113"/>
      <c r="Y955" s="113"/>
      <c r="Z955" s="113"/>
    </row>
    <row x14ac:dyDescent="0.25" r="956" customHeight="1" ht="15.75">
      <c r="A956" s="123"/>
      <c r="B956" s="123"/>
      <c r="C956" s="124"/>
      <c r="D956" s="124"/>
      <c r="E956" s="124"/>
      <c r="F956" s="113"/>
      <c r="G956" s="113"/>
      <c r="H956" s="113"/>
      <c r="I956" s="113"/>
      <c r="J956" s="113"/>
      <c r="K956" s="113"/>
      <c r="L956" s="113"/>
      <c r="M956" s="113"/>
      <c r="N956" s="113"/>
      <c r="O956" s="124"/>
      <c r="P956" s="113"/>
      <c r="Q956" s="113"/>
      <c r="R956" s="113"/>
      <c r="S956" s="113"/>
      <c r="T956" s="113"/>
      <c r="U956" s="113"/>
      <c r="V956" s="113"/>
      <c r="W956" s="113"/>
      <c r="X956" s="113"/>
      <c r="Y956" s="113"/>
      <c r="Z956" s="113"/>
    </row>
    <row x14ac:dyDescent="0.25" r="957" customHeight="1" ht="15.75">
      <c r="A957" s="123"/>
      <c r="B957" s="123"/>
      <c r="C957" s="124"/>
      <c r="D957" s="124"/>
      <c r="E957" s="124"/>
      <c r="F957" s="113"/>
      <c r="G957" s="113"/>
      <c r="H957" s="113"/>
      <c r="I957" s="113"/>
      <c r="J957" s="113"/>
      <c r="K957" s="113"/>
      <c r="L957" s="113"/>
      <c r="M957" s="113"/>
      <c r="N957" s="113"/>
      <c r="O957" s="124"/>
      <c r="P957" s="113"/>
      <c r="Q957" s="113"/>
      <c r="R957" s="113"/>
      <c r="S957" s="113"/>
      <c r="T957" s="113"/>
      <c r="U957" s="113"/>
      <c r="V957" s="113"/>
      <c r="W957" s="113"/>
      <c r="X957" s="113"/>
      <c r="Y957" s="113"/>
      <c r="Z957" s="113"/>
    </row>
    <row x14ac:dyDescent="0.25" r="958" customHeight="1" ht="15.75">
      <c r="A958" s="123"/>
      <c r="B958" s="123"/>
      <c r="C958" s="124"/>
      <c r="D958" s="124"/>
      <c r="E958" s="124"/>
      <c r="F958" s="113"/>
      <c r="G958" s="113"/>
      <c r="H958" s="113"/>
      <c r="I958" s="113"/>
      <c r="J958" s="113"/>
      <c r="K958" s="113"/>
      <c r="L958" s="113"/>
      <c r="M958" s="113"/>
      <c r="N958" s="113"/>
      <c r="O958" s="124"/>
      <c r="P958" s="113"/>
      <c r="Q958" s="113"/>
      <c r="R958" s="113"/>
      <c r="S958" s="113"/>
      <c r="T958" s="113"/>
      <c r="U958" s="113"/>
      <c r="V958" s="113"/>
      <c r="W958" s="113"/>
      <c r="X958" s="113"/>
      <c r="Y958" s="113"/>
      <c r="Z958" s="113"/>
    </row>
    <row x14ac:dyDescent="0.25" r="959" customHeight="1" ht="15.75">
      <c r="A959" s="123"/>
      <c r="B959" s="123"/>
      <c r="C959" s="124"/>
      <c r="D959" s="124"/>
      <c r="E959" s="124"/>
      <c r="F959" s="113"/>
      <c r="G959" s="113"/>
      <c r="H959" s="113"/>
      <c r="I959" s="113"/>
      <c r="J959" s="113"/>
      <c r="K959" s="113"/>
      <c r="L959" s="113"/>
      <c r="M959" s="113"/>
      <c r="N959" s="113"/>
      <c r="O959" s="124"/>
      <c r="P959" s="113"/>
      <c r="Q959" s="113"/>
      <c r="R959" s="113"/>
      <c r="S959" s="113"/>
      <c r="T959" s="113"/>
      <c r="U959" s="113"/>
      <c r="V959" s="113"/>
      <c r="W959" s="113"/>
      <c r="X959" s="113"/>
      <c r="Y959" s="113"/>
      <c r="Z959" s="113"/>
    </row>
    <row x14ac:dyDescent="0.25" r="960" customHeight="1" ht="15.75">
      <c r="A960" s="123"/>
      <c r="B960" s="123"/>
      <c r="C960" s="124"/>
      <c r="D960" s="124"/>
      <c r="E960" s="124"/>
      <c r="F960" s="113"/>
      <c r="G960" s="113"/>
      <c r="H960" s="113"/>
      <c r="I960" s="113"/>
      <c r="J960" s="113"/>
      <c r="K960" s="113"/>
      <c r="L960" s="113"/>
      <c r="M960" s="113"/>
      <c r="N960" s="113"/>
      <c r="O960" s="124"/>
      <c r="P960" s="113"/>
      <c r="Q960" s="113"/>
      <c r="R960" s="113"/>
      <c r="S960" s="113"/>
      <c r="T960" s="113"/>
      <c r="U960" s="113"/>
      <c r="V960" s="113"/>
      <c r="W960" s="113"/>
      <c r="X960" s="113"/>
      <c r="Y960" s="113"/>
      <c r="Z960" s="113"/>
    </row>
    <row x14ac:dyDescent="0.25" r="961" customHeight="1" ht="15.75">
      <c r="A961" s="123"/>
      <c r="B961" s="123"/>
      <c r="C961" s="124"/>
      <c r="D961" s="124"/>
      <c r="E961" s="124"/>
      <c r="F961" s="113"/>
      <c r="G961" s="113"/>
      <c r="H961" s="113"/>
      <c r="I961" s="113"/>
      <c r="J961" s="113"/>
      <c r="K961" s="113"/>
      <c r="L961" s="113"/>
      <c r="M961" s="113"/>
      <c r="N961" s="113"/>
      <c r="O961" s="124"/>
      <c r="P961" s="113"/>
      <c r="Q961" s="113"/>
      <c r="R961" s="113"/>
      <c r="S961" s="113"/>
      <c r="T961" s="113"/>
      <c r="U961" s="113"/>
      <c r="V961" s="113"/>
      <c r="W961" s="113"/>
      <c r="X961" s="113"/>
      <c r="Y961" s="113"/>
      <c r="Z961" s="113"/>
    </row>
    <row x14ac:dyDescent="0.25" r="962" customHeight="1" ht="15.75">
      <c r="A962" s="123"/>
      <c r="B962" s="123"/>
      <c r="C962" s="124"/>
      <c r="D962" s="124"/>
      <c r="E962" s="124"/>
      <c r="F962" s="113"/>
      <c r="G962" s="113"/>
      <c r="H962" s="113"/>
      <c r="I962" s="113"/>
      <c r="J962" s="113"/>
      <c r="K962" s="113"/>
      <c r="L962" s="113"/>
      <c r="M962" s="113"/>
      <c r="N962" s="113"/>
      <c r="O962" s="124"/>
      <c r="P962" s="113"/>
      <c r="Q962" s="113"/>
      <c r="R962" s="113"/>
      <c r="S962" s="113"/>
      <c r="T962" s="113"/>
      <c r="U962" s="113"/>
      <c r="V962" s="113"/>
      <c r="W962" s="113"/>
      <c r="X962" s="113"/>
      <c r="Y962" s="113"/>
      <c r="Z962" s="113"/>
    </row>
    <row x14ac:dyDescent="0.25" r="963" customHeight="1" ht="15.75">
      <c r="A963" s="123"/>
      <c r="B963" s="123"/>
      <c r="C963" s="124"/>
      <c r="D963" s="124"/>
      <c r="E963" s="124"/>
      <c r="F963" s="113"/>
      <c r="G963" s="113"/>
      <c r="H963" s="113"/>
      <c r="I963" s="113"/>
      <c r="J963" s="113"/>
      <c r="K963" s="113"/>
      <c r="L963" s="113"/>
      <c r="M963" s="113"/>
      <c r="N963" s="113"/>
      <c r="O963" s="124"/>
      <c r="P963" s="113"/>
      <c r="Q963" s="113"/>
      <c r="R963" s="113"/>
      <c r="S963" s="113"/>
      <c r="T963" s="113"/>
      <c r="U963" s="113"/>
      <c r="V963" s="113"/>
      <c r="W963" s="113"/>
      <c r="X963" s="113"/>
      <c r="Y963" s="113"/>
      <c r="Z963" s="113"/>
    </row>
    <row x14ac:dyDescent="0.25" r="964" customHeight="1" ht="15.75">
      <c r="A964" s="123"/>
      <c r="B964" s="123"/>
      <c r="C964" s="124"/>
      <c r="D964" s="124"/>
      <c r="E964" s="124"/>
      <c r="F964" s="113"/>
      <c r="G964" s="113"/>
      <c r="H964" s="113"/>
      <c r="I964" s="113"/>
      <c r="J964" s="113"/>
      <c r="K964" s="113"/>
      <c r="L964" s="113"/>
      <c r="M964" s="113"/>
      <c r="N964" s="113"/>
      <c r="O964" s="124"/>
      <c r="P964" s="113"/>
      <c r="Q964" s="113"/>
      <c r="R964" s="113"/>
      <c r="S964" s="113"/>
      <c r="T964" s="113"/>
      <c r="U964" s="113"/>
      <c r="V964" s="113"/>
      <c r="W964" s="113"/>
      <c r="X964" s="113"/>
      <c r="Y964" s="113"/>
      <c r="Z964" s="113"/>
    </row>
    <row x14ac:dyDescent="0.25" r="965" customHeight="1" ht="15.75">
      <c r="A965" s="123"/>
      <c r="B965" s="123"/>
      <c r="C965" s="124"/>
      <c r="D965" s="124"/>
      <c r="E965" s="124"/>
      <c r="F965" s="113"/>
      <c r="G965" s="113"/>
      <c r="H965" s="113"/>
      <c r="I965" s="113"/>
      <c r="J965" s="113"/>
      <c r="K965" s="113"/>
      <c r="L965" s="113"/>
      <c r="M965" s="113"/>
      <c r="N965" s="113"/>
      <c r="O965" s="124"/>
      <c r="P965" s="113"/>
      <c r="Q965" s="113"/>
      <c r="R965" s="113"/>
      <c r="S965" s="113"/>
      <c r="T965" s="113"/>
      <c r="U965" s="113"/>
      <c r="V965" s="113"/>
      <c r="W965" s="113"/>
      <c r="X965" s="113"/>
      <c r="Y965" s="113"/>
      <c r="Z965" s="113"/>
    </row>
    <row x14ac:dyDescent="0.25" r="966" customHeight="1" ht="15.75">
      <c r="A966" s="123"/>
      <c r="B966" s="123"/>
      <c r="C966" s="124"/>
      <c r="D966" s="124"/>
      <c r="E966" s="124"/>
      <c r="F966" s="113"/>
      <c r="G966" s="113"/>
      <c r="H966" s="113"/>
      <c r="I966" s="113"/>
      <c r="J966" s="113"/>
      <c r="K966" s="113"/>
      <c r="L966" s="113"/>
      <c r="M966" s="113"/>
      <c r="N966" s="113"/>
      <c r="O966" s="124"/>
      <c r="P966" s="113"/>
      <c r="Q966" s="113"/>
      <c r="R966" s="113"/>
      <c r="S966" s="113"/>
      <c r="T966" s="113"/>
      <c r="U966" s="113"/>
      <c r="V966" s="113"/>
      <c r="W966" s="113"/>
      <c r="X966" s="113"/>
      <c r="Y966" s="113"/>
      <c r="Z966" s="113"/>
    </row>
    <row x14ac:dyDescent="0.25" r="967" customHeight="1" ht="15.75">
      <c r="A967" s="123"/>
      <c r="B967" s="123"/>
      <c r="C967" s="124"/>
      <c r="D967" s="124"/>
      <c r="E967" s="124"/>
      <c r="F967" s="113"/>
      <c r="G967" s="113"/>
      <c r="H967" s="113"/>
      <c r="I967" s="113"/>
      <c r="J967" s="113"/>
      <c r="K967" s="113"/>
      <c r="L967" s="113"/>
      <c r="M967" s="113"/>
      <c r="N967" s="113"/>
      <c r="O967" s="124"/>
      <c r="P967" s="113"/>
      <c r="Q967" s="113"/>
      <c r="R967" s="113"/>
      <c r="S967" s="113"/>
      <c r="T967" s="113"/>
      <c r="U967" s="113"/>
      <c r="V967" s="113"/>
      <c r="W967" s="113"/>
      <c r="X967" s="113"/>
      <c r="Y967" s="113"/>
      <c r="Z967" s="113"/>
    </row>
    <row x14ac:dyDescent="0.25" r="968" customHeight="1" ht="15.75">
      <c r="A968" s="123"/>
      <c r="B968" s="123"/>
      <c r="C968" s="124"/>
      <c r="D968" s="124"/>
      <c r="E968" s="124"/>
      <c r="F968" s="113"/>
      <c r="G968" s="113"/>
      <c r="H968" s="113"/>
      <c r="I968" s="113"/>
      <c r="J968" s="113"/>
      <c r="K968" s="113"/>
      <c r="L968" s="113"/>
      <c r="M968" s="113"/>
      <c r="N968" s="113"/>
      <c r="O968" s="124"/>
      <c r="P968" s="113"/>
      <c r="Q968" s="113"/>
      <c r="R968" s="113"/>
      <c r="S968" s="113"/>
      <c r="T968" s="113"/>
      <c r="U968" s="113"/>
      <c r="V968" s="113"/>
      <c r="W968" s="113"/>
      <c r="X968" s="113"/>
      <c r="Y968" s="113"/>
      <c r="Z968" s="113"/>
    </row>
    <row x14ac:dyDescent="0.25" r="969" customHeight="1" ht="15.75">
      <c r="A969" s="123"/>
      <c r="B969" s="123"/>
      <c r="C969" s="124"/>
      <c r="D969" s="124"/>
      <c r="E969" s="124"/>
      <c r="F969" s="113"/>
      <c r="G969" s="113"/>
      <c r="H969" s="113"/>
      <c r="I969" s="113"/>
      <c r="J969" s="113"/>
      <c r="K969" s="113"/>
      <c r="L969" s="113"/>
      <c r="M969" s="113"/>
      <c r="N969" s="113"/>
      <c r="O969" s="124"/>
      <c r="P969" s="113"/>
      <c r="Q969" s="113"/>
      <c r="R969" s="113"/>
      <c r="S969" s="113"/>
      <c r="T969" s="113"/>
      <c r="U969" s="113"/>
      <c r="V969" s="113"/>
      <c r="W969" s="113"/>
      <c r="X969" s="113"/>
      <c r="Y969" s="113"/>
      <c r="Z969" s="113"/>
    </row>
    <row x14ac:dyDescent="0.25" r="970" customHeight="1" ht="15.75">
      <c r="A970" s="123"/>
      <c r="B970" s="123"/>
      <c r="C970" s="124"/>
      <c r="D970" s="124"/>
      <c r="E970" s="124"/>
      <c r="F970" s="113"/>
      <c r="G970" s="113"/>
      <c r="H970" s="113"/>
      <c r="I970" s="113"/>
      <c r="J970" s="113"/>
      <c r="K970" s="113"/>
      <c r="L970" s="113"/>
      <c r="M970" s="113"/>
      <c r="N970" s="113"/>
      <c r="O970" s="124"/>
      <c r="P970" s="113"/>
      <c r="Q970" s="113"/>
      <c r="R970" s="113"/>
      <c r="S970" s="113"/>
      <c r="T970" s="113"/>
      <c r="U970" s="113"/>
      <c r="V970" s="113"/>
      <c r="W970" s="113"/>
      <c r="X970" s="113"/>
      <c r="Y970" s="113"/>
      <c r="Z970" s="113"/>
    </row>
    <row x14ac:dyDescent="0.25" r="971" customHeight="1" ht="15.75">
      <c r="A971" s="123"/>
      <c r="B971" s="123"/>
      <c r="C971" s="124"/>
      <c r="D971" s="124"/>
      <c r="E971" s="124"/>
      <c r="F971" s="113"/>
      <c r="G971" s="113"/>
      <c r="H971" s="113"/>
      <c r="I971" s="113"/>
      <c r="J971" s="113"/>
      <c r="K971" s="113"/>
      <c r="L971" s="113"/>
      <c r="M971" s="113"/>
      <c r="N971" s="113"/>
      <c r="O971" s="124"/>
      <c r="P971" s="113"/>
      <c r="Q971" s="113"/>
      <c r="R971" s="113"/>
      <c r="S971" s="113"/>
      <c r="T971" s="113"/>
      <c r="U971" s="113"/>
      <c r="V971" s="113"/>
      <c r="W971" s="113"/>
      <c r="X971" s="113"/>
      <c r="Y971" s="113"/>
      <c r="Z971" s="113"/>
    </row>
    <row x14ac:dyDescent="0.25" r="972" customHeight="1" ht="15.75">
      <c r="A972" s="123"/>
      <c r="B972" s="123"/>
      <c r="C972" s="124"/>
      <c r="D972" s="124"/>
      <c r="E972" s="124"/>
      <c r="F972" s="113"/>
      <c r="G972" s="113"/>
      <c r="H972" s="113"/>
      <c r="I972" s="113"/>
      <c r="J972" s="113"/>
      <c r="K972" s="113"/>
      <c r="L972" s="113"/>
      <c r="M972" s="113"/>
      <c r="N972" s="113"/>
      <c r="O972" s="124"/>
      <c r="P972" s="113"/>
      <c r="Q972" s="113"/>
      <c r="R972" s="113"/>
      <c r="S972" s="113"/>
      <c r="T972" s="113"/>
      <c r="U972" s="113"/>
      <c r="V972" s="113"/>
      <c r="W972" s="113"/>
      <c r="X972" s="113"/>
      <c r="Y972" s="113"/>
      <c r="Z972" s="113"/>
    </row>
    <row x14ac:dyDescent="0.25" r="973" customHeight="1" ht="15.75">
      <c r="A973" s="123"/>
      <c r="B973" s="123"/>
      <c r="C973" s="124"/>
      <c r="D973" s="124"/>
      <c r="E973" s="124"/>
      <c r="F973" s="113"/>
      <c r="G973" s="113"/>
      <c r="H973" s="113"/>
      <c r="I973" s="113"/>
      <c r="J973" s="113"/>
      <c r="K973" s="113"/>
      <c r="L973" s="113"/>
      <c r="M973" s="113"/>
      <c r="N973" s="113"/>
      <c r="O973" s="124"/>
      <c r="P973" s="113"/>
      <c r="Q973" s="113"/>
      <c r="R973" s="113"/>
      <c r="S973" s="113"/>
      <c r="T973" s="113"/>
      <c r="U973" s="113"/>
      <c r="V973" s="113"/>
      <c r="W973" s="113"/>
      <c r="X973" s="113"/>
      <c r="Y973" s="113"/>
      <c r="Z973" s="113"/>
    </row>
    <row x14ac:dyDescent="0.25" r="974" customHeight="1" ht="15.75">
      <c r="A974" s="123"/>
      <c r="B974" s="123"/>
      <c r="C974" s="124"/>
      <c r="D974" s="124"/>
      <c r="E974" s="124"/>
      <c r="F974" s="113"/>
      <c r="G974" s="113"/>
      <c r="H974" s="113"/>
      <c r="I974" s="113"/>
      <c r="J974" s="113"/>
      <c r="K974" s="113"/>
      <c r="L974" s="113"/>
      <c r="M974" s="113"/>
      <c r="N974" s="113"/>
      <c r="O974" s="124"/>
      <c r="P974" s="113"/>
      <c r="Q974" s="113"/>
      <c r="R974" s="113"/>
      <c r="S974" s="113"/>
      <c r="T974" s="113"/>
      <c r="U974" s="113"/>
      <c r="V974" s="113"/>
      <c r="W974" s="113"/>
      <c r="X974" s="113"/>
      <c r="Y974" s="113"/>
      <c r="Z974" s="113"/>
    </row>
    <row x14ac:dyDescent="0.25" r="975" customHeight="1" ht="15.75">
      <c r="A975" s="123"/>
      <c r="B975" s="123"/>
      <c r="C975" s="124"/>
      <c r="D975" s="124"/>
      <c r="E975" s="124"/>
      <c r="F975" s="113"/>
      <c r="G975" s="113"/>
      <c r="H975" s="113"/>
      <c r="I975" s="113"/>
      <c r="J975" s="113"/>
      <c r="K975" s="113"/>
      <c r="L975" s="113"/>
      <c r="M975" s="113"/>
      <c r="N975" s="113"/>
      <c r="O975" s="124"/>
      <c r="P975" s="113"/>
      <c r="Q975" s="113"/>
      <c r="R975" s="113"/>
      <c r="S975" s="113"/>
      <c r="T975" s="113"/>
      <c r="U975" s="113"/>
      <c r="V975" s="113"/>
      <c r="W975" s="113"/>
      <c r="X975" s="113"/>
      <c r="Y975" s="113"/>
      <c r="Z975" s="113"/>
    </row>
    <row x14ac:dyDescent="0.25" r="976" customHeight="1" ht="15.75">
      <c r="A976" s="123"/>
      <c r="B976" s="123"/>
      <c r="C976" s="124"/>
      <c r="D976" s="124"/>
      <c r="E976" s="124"/>
      <c r="F976" s="113"/>
      <c r="G976" s="113"/>
      <c r="H976" s="113"/>
      <c r="I976" s="113"/>
      <c r="J976" s="113"/>
      <c r="K976" s="113"/>
      <c r="L976" s="113"/>
      <c r="M976" s="113"/>
      <c r="N976" s="113"/>
      <c r="O976" s="124"/>
      <c r="P976" s="113"/>
      <c r="Q976" s="113"/>
      <c r="R976" s="113"/>
      <c r="S976" s="113"/>
      <c r="T976" s="113"/>
      <c r="U976" s="113"/>
      <c r="V976" s="113"/>
      <c r="W976" s="113"/>
      <c r="X976" s="113"/>
      <c r="Y976" s="113"/>
      <c r="Z976" s="113"/>
    </row>
    <row x14ac:dyDescent="0.25" r="977" customHeight="1" ht="15.75">
      <c r="A977" s="123"/>
      <c r="B977" s="123"/>
      <c r="C977" s="124"/>
      <c r="D977" s="124"/>
      <c r="E977" s="124"/>
      <c r="F977" s="113"/>
      <c r="G977" s="113"/>
      <c r="H977" s="113"/>
      <c r="I977" s="113"/>
      <c r="J977" s="113"/>
      <c r="K977" s="113"/>
      <c r="L977" s="113"/>
      <c r="M977" s="113"/>
      <c r="N977" s="113"/>
      <c r="O977" s="124"/>
      <c r="P977" s="113"/>
      <c r="Q977" s="113"/>
      <c r="R977" s="113"/>
      <c r="S977" s="113"/>
      <c r="T977" s="113"/>
      <c r="U977" s="113"/>
      <c r="V977" s="113"/>
      <c r="W977" s="113"/>
      <c r="X977" s="113"/>
      <c r="Y977" s="113"/>
      <c r="Z977" s="113"/>
    </row>
    <row x14ac:dyDescent="0.25" r="978" customHeight="1" ht="15.75">
      <c r="A978" s="123"/>
      <c r="B978" s="123"/>
      <c r="C978" s="124"/>
      <c r="D978" s="124"/>
      <c r="E978" s="124"/>
      <c r="F978" s="113"/>
      <c r="G978" s="113"/>
      <c r="H978" s="113"/>
      <c r="I978" s="113"/>
      <c r="J978" s="113"/>
      <c r="K978" s="113"/>
      <c r="L978" s="113"/>
      <c r="M978" s="113"/>
      <c r="N978" s="113"/>
      <c r="O978" s="124"/>
      <c r="P978" s="113"/>
      <c r="Q978" s="113"/>
      <c r="R978" s="113"/>
      <c r="S978" s="113"/>
      <c r="T978" s="113"/>
      <c r="U978" s="113"/>
      <c r="V978" s="113"/>
      <c r="W978" s="113"/>
      <c r="X978" s="113"/>
      <c r="Y978" s="113"/>
      <c r="Z978" s="113"/>
    </row>
    <row x14ac:dyDescent="0.25" r="979" customHeight="1" ht="15.75">
      <c r="A979" s="123"/>
      <c r="B979" s="123"/>
      <c r="C979" s="124"/>
      <c r="D979" s="124"/>
      <c r="E979" s="124"/>
      <c r="F979" s="113"/>
      <c r="G979" s="113"/>
      <c r="H979" s="113"/>
      <c r="I979" s="113"/>
      <c r="J979" s="113"/>
      <c r="K979" s="113"/>
      <c r="L979" s="113"/>
      <c r="M979" s="113"/>
      <c r="N979" s="113"/>
      <c r="O979" s="124"/>
      <c r="P979" s="113"/>
      <c r="Q979" s="113"/>
      <c r="R979" s="113"/>
      <c r="S979" s="113"/>
      <c r="T979" s="113"/>
      <c r="U979" s="113"/>
      <c r="V979" s="113"/>
      <c r="W979" s="113"/>
      <c r="X979" s="113"/>
      <c r="Y979" s="113"/>
      <c r="Z979" s="113"/>
    </row>
    <row x14ac:dyDescent="0.25" r="980" customHeight="1" ht="15.75">
      <c r="A980" s="123"/>
      <c r="B980" s="123"/>
      <c r="C980" s="124"/>
      <c r="D980" s="124"/>
      <c r="E980" s="124"/>
      <c r="F980" s="113"/>
      <c r="G980" s="113"/>
      <c r="H980" s="113"/>
      <c r="I980" s="113"/>
      <c r="J980" s="113"/>
      <c r="K980" s="113"/>
      <c r="L980" s="113"/>
      <c r="M980" s="113"/>
      <c r="N980" s="113"/>
      <c r="O980" s="124"/>
      <c r="P980" s="113"/>
      <c r="Q980" s="113"/>
      <c r="R980" s="113"/>
      <c r="S980" s="113"/>
      <c r="T980" s="113"/>
      <c r="U980" s="113"/>
      <c r="V980" s="113"/>
      <c r="W980" s="113"/>
      <c r="X980" s="113"/>
      <c r="Y980" s="113"/>
      <c r="Z980" s="113"/>
    </row>
    <row x14ac:dyDescent="0.25" r="981" customHeight="1" ht="15.75">
      <c r="A981" s="123"/>
      <c r="B981" s="123"/>
      <c r="C981" s="124"/>
      <c r="D981" s="124"/>
      <c r="E981" s="124"/>
      <c r="F981" s="113"/>
      <c r="G981" s="113"/>
      <c r="H981" s="113"/>
      <c r="I981" s="113"/>
      <c r="J981" s="113"/>
      <c r="K981" s="113"/>
      <c r="L981" s="113"/>
      <c r="M981" s="113"/>
      <c r="N981" s="113"/>
      <c r="O981" s="124"/>
      <c r="P981" s="113"/>
      <c r="Q981" s="113"/>
      <c r="R981" s="113"/>
      <c r="S981" s="113"/>
      <c r="T981" s="113"/>
      <c r="U981" s="113"/>
      <c r="V981" s="113"/>
      <c r="W981" s="113"/>
      <c r="X981" s="113"/>
      <c r="Y981" s="113"/>
      <c r="Z981" s="113"/>
    </row>
    <row x14ac:dyDescent="0.25" r="982" customHeight="1" ht="15.75">
      <c r="A982" s="123"/>
      <c r="B982" s="123"/>
      <c r="C982" s="124"/>
      <c r="D982" s="124"/>
      <c r="E982" s="124"/>
      <c r="F982" s="113"/>
      <c r="G982" s="113"/>
      <c r="H982" s="113"/>
      <c r="I982" s="113"/>
      <c r="J982" s="113"/>
      <c r="K982" s="113"/>
      <c r="L982" s="113"/>
      <c r="M982" s="113"/>
      <c r="N982" s="113"/>
      <c r="O982" s="124"/>
      <c r="P982" s="113"/>
      <c r="Q982" s="113"/>
      <c r="R982" s="113"/>
      <c r="S982" s="113"/>
      <c r="T982" s="113"/>
      <c r="U982" s="113"/>
      <c r="V982" s="113"/>
      <c r="W982" s="113"/>
      <c r="X982" s="113"/>
      <c r="Y982" s="113"/>
      <c r="Z982" s="113"/>
    </row>
    <row x14ac:dyDescent="0.25" r="983" customHeight="1" ht="15.75">
      <c r="A983" s="123"/>
      <c r="B983" s="123"/>
      <c r="C983" s="124"/>
      <c r="D983" s="124"/>
      <c r="E983" s="124"/>
      <c r="F983" s="113"/>
      <c r="G983" s="113"/>
      <c r="H983" s="113"/>
      <c r="I983" s="113"/>
      <c r="J983" s="113"/>
      <c r="K983" s="113"/>
      <c r="L983" s="113"/>
      <c r="M983" s="113"/>
      <c r="N983" s="113"/>
      <c r="O983" s="124"/>
      <c r="P983" s="113"/>
      <c r="Q983" s="113"/>
      <c r="R983" s="113"/>
      <c r="S983" s="113"/>
      <c r="T983" s="113"/>
      <c r="U983" s="113"/>
      <c r="V983" s="113"/>
      <c r="W983" s="113"/>
      <c r="X983" s="113"/>
      <c r="Y983" s="113"/>
      <c r="Z983" s="113"/>
    </row>
    <row x14ac:dyDescent="0.25" r="984" customHeight="1" ht="15.75">
      <c r="A984" s="123"/>
      <c r="B984" s="123"/>
      <c r="C984" s="124"/>
      <c r="D984" s="124"/>
      <c r="E984" s="124"/>
      <c r="F984" s="113"/>
      <c r="G984" s="113"/>
      <c r="H984" s="113"/>
      <c r="I984" s="113"/>
      <c r="J984" s="113"/>
      <c r="K984" s="113"/>
      <c r="L984" s="113"/>
      <c r="M984" s="113"/>
      <c r="N984" s="113"/>
      <c r="O984" s="124"/>
      <c r="P984" s="113"/>
      <c r="Q984" s="113"/>
      <c r="R984" s="113"/>
      <c r="S984" s="113"/>
      <c r="T984" s="113"/>
      <c r="U984" s="113"/>
      <c r="V984" s="113"/>
      <c r="W984" s="113"/>
      <c r="X984" s="113"/>
      <c r="Y984" s="113"/>
      <c r="Z984" s="113"/>
    </row>
    <row x14ac:dyDescent="0.25" r="985" customHeight="1" ht="15.75">
      <c r="A985" s="123"/>
      <c r="B985" s="123"/>
      <c r="C985" s="124"/>
      <c r="D985" s="124"/>
      <c r="E985" s="124"/>
      <c r="F985" s="113"/>
      <c r="G985" s="113"/>
      <c r="H985" s="113"/>
      <c r="I985" s="113"/>
      <c r="J985" s="113"/>
      <c r="K985" s="113"/>
      <c r="L985" s="113"/>
      <c r="M985" s="113"/>
      <c r="N985" s="113"/>
      <c r="O985" s="124"/>
      <c r="P985" s="113"/>
      <c r="Q985" s="113"/>
      <c r="R985" s="113"/>
      <c r="S985" s="113"/>
      <c r="T985" s="113"/>
      <c r="U985" s="113"/>
      <c r="V985" s="113"/>
      <c r="W985" s="113"/>
      <c r="X985" s="113"/>
      <c r="Y985" s="113"/>
      <c r="Z985" s="113"/>
    </row>
    <row x14ac:dyDescent="0.25" r="986" customHeight="1" ht="15.75">
      <c r="A986" s="123"/>
      <c r="B986" s="123"/>
      <c r="C986" s="124"/>
      <c r="D986" s="124"/>
      <c r="E986" s="124"/>
      <c r="F986" s="113"/>
      <c r="G986" s="113"/>
      <c r="H986" s="113"/>
      <c r="I986" s="113"/>
      <c r="J986" s="113"/>
      <c r="K986" s="113"/>
      <c r="L986" s="113"/>
      <c r="M986" s="113"/>
      <c r="N986" s="113"/>
      <c r="O986" s="124"/>
      <c r="P986" s="113"/>
      <c r="Q986" s="113"/>
      <c r="R986" s="113"/>
      <c r="S986" s="113"/>
      <c r="T986" s="113"/>
      <c r="U986" s="113"/>
      <c r="V986" s="113"/>
      <c r="W986" s="113"/>
      <c r="X986" s="113"/>
      <c r="Y986" s="113"/>
      <c r="Z986" s="113"/>
    </row>
    <row x14ac:dyDescent="0.25" r="987" customHeight="1" ht="15.75">
      <c r="A987" s="123"/>
      <c r="B987" s="123"/>
      <c r="C987" s="124"/>
      <c r="D987" s="124"/>
      <c r="E987" s="124"/>
      <c r="F987" s="113"/>
      <c r="G987" s="113"/>
      <c r="H987" s="113"/>
      <c r="I987" s="113"/>
      <c r="J987" s="113"/>
      <c r="K987" s="113"/>
      <c r="L987" s="113"/>
      <c r="M987" s="113"/>
      <c r="N987" s="113"/>
      <c r="O987" s="124"/>
      <c r="P987" s="113"/>
      <c r="Q987" s="113"/>
      <c r="R987" s="113"/>
      <c r="S987" s="113"/>
      <c r="T987" s="113"/>
      <c r="U987" s="113"/>
      <c r="V987" s="113"/>
      <c r="W987" s="113"/>
      <c r="X987" s="113"/>
      <c r="Y987" s="113"/>
      <c r="Z987" s="113"/>
    </row>
    <row x14ac:dyDescent="0.25" r="988" customHeight="1" ht="15.75">
      <c r="A988" s="123"/>
      <c r="B988" s="123"/>
      <c r="C988" s="124"/>
      <c r="D988" s="124"/>
      <c r="E988" s="124"/>
      <c r="F988" s="113"/>
      <c r="G988" s="113"/>
      <c r="H988" s="113"/>
      <c r="I988" s="113"/>
      <c r="J988" s="113"/>
      <c r="K988" s="113"/>
      <c r="L988" s="113"/>
      <c r="M988" s="113"/>
      <c r="N988" s="113"/>
      <c r="O988" s="124"/>
      <c r="P988" s="113"/>
      <c r="Q988" s="113"/>
      <c r="R988" s="113"/>
      <c r="S988" s="113"/>
      <c r="T988" s="113"/>
      <c r="U988" s="113"/>
      <c r="V988" s="113"/>
      <c r="W988" s="113"/>
      <c r="X988" s="113"/>
      <c r="Y988" s="113"/>
      <c r="Z988" s="113"/>
    </row>
    <row x14ac:dyDescent="0.25" r="989" customHeight="1" ht="15.75">
      <c r="A989" s="123"/>
      <c r="B989" s="123"/>
      <c r="C989" s="124"/>
      <c r="D989" s="124"/>
      <c r="E989" s="124"/>
      <c r="F989" s="113"/>
      <c r="G989" s="113"/>
      <c r="H989" s="113"/>
      <c r="I989" s="113"/>
      <c r="J989" s="113"/>
      <c r="K989" s="113"/>
      <c r="L989" s="113"/>
      <c r="M989" s="113"/>
      <c r="N989" s="113"/>
      <c r="O989" s="124"/>
      <c r="P989" s="113"/>
      <c r="Q989" s="113"/>
      <c r="R989" s="113"/>
      <c r="S989" s="113"/>
      <c r="T989" s="113"/>
      <c r="U989" s="113"/>
      <c r="V989" s="113"/>
      <c r="W989" s="113"/>
      <c r="X989" s="113"/>
      <c r="Y989" s="113"/>
      <c r="Z989" s="113"/>
    </row>
    <row x14ac:dyDescent="0.25" r="990" customHeight="1" ht="15.75">
      <c r="A990" s="123"/>
      <c r="B990" s="123"/>
      <c r="C990" s="124"/>
      <c r="D990" s="124"/>
      <c r="E990" s="124"/>
      <c r="F990" s="113"/>
      <c r="G990" s="113"/>
      <c r="H990" s="113"/>
      <c r="I990" s="113"/>
      <c r="J990" s="113"/>
      <c r="K990" s="113"/>
      <c r="L990" s="113"/>
      <c r="M990" s="113"/>
      <c r="N990" s="113"/>
      <c r="O990" s="124"/>
      <c r="P990" s="113"/>
      <c r="Q990" s="113"/>
      <c r="R990" s="113"/>
      <c r="S990" s="113"/>
      <c r="T990" s="113"/>
      <c r="U990" s="113"/>
      <c r="V990" s="113"/>
      <c r="W990" s="113"/>
      <c r="X990" s="113"/>
      <c r="Y990" s="113"/>
      <c r="Z990" s="113"/>
    </row>
    <row x14ac:dyDescent="0.25" r="991" customHeight="1" ht="15.75">
      <c r="A991" s="123"/>
      <c r="B991" s="123"/>
      <c r="C991" s="124"/>
      <c r="D991" s="124"/>
      <c r="E991" s="124"/>
      <c r="F991" s="113"/>
      <c r="G991" s="113"/>
      <c r="H991" s="113"/>
      <c r="I991" s="113"/>
      <c r="J991" s="113"/>
      <c r="K991" s="113"/>
      <c r="L991" s="113"/>
      <c r="M991" s="113"/>
      <c r="N991" s="113"/>
      <c r="O991" s="124"/>
      <c r="P991" s="113"/>
      <c r="Q991" s="113"/>
      <c r="R991" s="113"/>
      <c r="S991" s="113"/>
      <c r="T991" s="113"/>
      <c r="U991" s="113"/>
      <c r="V991" s="113"/>
      <c r="W991" s="113"/>
      <c r="X991" s="113"/>
      <c r="Y991" s="113"/>
      <c r="Z991" s="113"/>
    </row>
    <row x14ac:dyDescent="0.25" r="992" customHeight="1" ht="15.75">
      <c r="A992" s="123"/>
      <c r="B992" s="123"/>
      <c r="C992" s="124"/>
      <c r="D992" s="124"/>
      <c r="E992" s="124"/>
      <c r="F992" s="113"/>
      <c r="G992" s="113"/>
      <c r="H992" s="113"/>
      <c r="I992" s="113"/>
      <c r="J992" s="113"/>
      <c r="K992" s="113"/>
      <c r="L992" s="113"/>
      <c r="M992" s="113"/>
      <c r="N992" s="113"/>
      <c r="O992" s="124"/>
      <c r="P992" s="113"/>
      <c r="Q992" s="113"/>
      <c r="R992" s="113"/>
      <c r="S992" s="113"/>
      <c r="T992" s="113"/>
      <c r="U992" s="113"/>
      <c r="V992" s="113"/>
      <c r="W992" s="113"/>
      <c r="X992" s="113"/>
      <c r="Y992" s="113"/>
      <c r="Z992" s="113"/>
    </row>
    <row x14ac:dyDescent="0.25" r="993" customHeight="1" ht="15.75">
      <c r="A993" s="123"/>
      <c r="B993" s="123"/>
      <c r="C993" s="124"/>
      <c r="D993" s="124"/>
      <c r="E993" s="124"/>
      <c r="F993" s="113"/>
      <c r="G993" s="113"/>
      <c r="H993" s="113"/>
      <c r="I993" s="113"/>
      <c r="J993" s="113"/>
      <c r="K993" s="113"/>
      <c r="L993" s="113"/>
      <c r="M993" s="113"/>
      <c r="N993" s="113"/>
      <c r="O993" s="124"/>
      <c r="P993" s="113"/>
      <c r="Q993" s="113"/>
      <c r="R993" s="113"/>
      <c r="S993" s="113"/>
      <c r="T993" s="113"/>
      <c r="U993" s="113"/>
      <c r="V993" s="113"/>
      <c r="W993" s="113"/>
      <c r="X993" s="113"/>
      <c r="Y993" s="113"/>
      <c r="Z993" s="113"/>
    </row>
    <row x14ac:dyDescent="0.25" r="994" customHeight="1" ht="15.75">
      <c r="A994" s="123"/>
      <c r="B994" s="123"/>
      <c r="C994" s="124"/>
      <c r="D994" s="124"/>
      <c r="E994" s="124"/>
      <c r="F994" s="113"/>
      <c r="G994" s="113"/>
      <c r="H994" s="113"/>
      <c r="I994" s="113"/>
      <c r="J994" s="113"/>
      <c r="K994" s="113"/>
      <c r="L994" s="113"/>
      <c r="M994" s="113"/>
      <c r="N994" s="113"/>
      <c r="O994" s="124"/>
      <c r="P994" s="113"/>
      <c r="Q994" s="113"/>
      <c r="R994" s="113"/>
      <c r="S994" s="113"/>
      <c r="T994" s="113"/>
      <c r="U994" s="113"/>
      <c r="V994" s="113"/>
      <c r="W994" s="113"/>
      <c r="X994" s="113"/>
      <c r="Y994" s="113"/>
      <c r="Z994" s="113"/>
    </row>
    <row x14ac:dyDescent="0.25" r="995" customHeight="1" ht="15.75">
      <c r="A995" s="123"/>
      <c r="B995" s="123"/>
      <c r="C995" s="124"/>
      <c r="D995" s="124"/>
      <c r="E995" s="124"/>
      <c r="F995" s="113"/>
      <c r="G995" s="113"/>
      <c r="H995" s="113"/>
      <c r="I995" s="113"/>
      <c r="J995" s="113"/>
      <c r="K995" s="113"/>
      <c r="L995" s="113"/>
      <c r="M995" s="113"/>
      <c r="N995" s="113"/>
      <c r="O995" s="124"/>
      <c r="P995" s="113"/>
      <c r="Q995" s="113"/>
      <c r="R995" s="113"/>
      <c r="S995" s="113"/>
      <c r="T995" s="113"/>
      <c r="U995" s="113"/>
      <c r="V995" s="113"/>
      <c r="W995" s="113"/>
      <c r="X995" s="113"/>
      <c r="Y995" s="113"/>
      <c r="Z995" s="113"/>
    </row>
    <row x14ac:dyDescent="0.25" r="996" customHeight="1" ht="15.75">
      <c r="A996" s="123"/>
      <c r="B996" s="123"/>
      <c r="C996" s="124"/>
      <c r="D996" s="124"/>
      <c r="E996" s="124"/>
      <c r="F996" s="113"/>
      <c r="G996" s="113"/>
      <c r="H996" s="113"/>
      <c r="I996" s="113"/>
      <c r="J996" s="113"/>
      <c r="K996" s="113"/>
      <c r="L996" s="113"/>
      <c r="M996" s="113"/>
      <c r="N996" s="113"/>
      <c r="O996" s="124"/>
      <c r="P996" s="113"/>
      <c r="Q996" s="113"/>
      <c r="R996" s="113"/>
      <c r="S996" s="113"/>
      <c r="T996" s="113"/>
      <c r="U996" s="113"/>
      <c r="V996" s="113"/>
      <c r="W996" s="113"/>
      <c r="X996" s="113"/>
      <c r="Y996" s="113"/>
      <c r="Z996" s="113"/>
    </row>
    <row x14ac:dyDescent="0.25" r="997" customHeight="1" ht="15.75">
      <c r="A997" s="123"/>
      <c r="B997" s="123"/>
      <c r="C997" s="124"/>
      <c r="D997" s="124"/>
      <c r="E997" s="124"/>
      <c r="F997" s="113"/>
      <c r="G997" s="113"/>
      <c r="H997" s="113"/>
      <c r="I997" s="113"/>
      <c r="J997" s="113"/>
      <c r="K997" s="113"/>
      <c r="L997" s="113"/>
      <c r="M997" s="113"/>
      <c r="N997" s="113"/>
      <c r="O997" s="124"/>
      <c r="P997" s="113"/>
      <c r="Q997" s="113"/>
      <c r="R997" s="113"/>
      <c r="S997" s="113"/>
      <c r="T997" s="113"/>
      <c r="U997" s="113"/>
      <c r="V997" s="113"/>
      <c r="W997" s="113"/>
      <c r="X997" s="113"/>
      <c r="Y997" s="113"/>
      <c r="Z997" s="113"/>
    </row>
    <row x14ac:dyDescent="0.25" r="998" customHeight="1" ht="15.75">
      <c r="A998" s="123"/>
      <c r="B998" s="123"/>
      <c r="C998" s="124"/>
      <c r="D998" s="124"/>
      <c r="E998" s="124"/>
      <c r="F998" s="113"/>
      <c r="G998" s="113"/>
      <c r="H998" s="113"/>
      <c r="I998" s="113"/>
      <c r="J998" s="113"/>
      <c r="K998" s="113"/>
      <c r="L998" s="113"/>
      <c r="M998" s="113"/>
      <c r="N998" s="113"/>
      <c r="O998" s="124"/>
      <c r="P998" s="113"/>
      <c r="Q998" s="113"/>
      <c r="R998" s="113"/>
      <c r="S998" s="113"/>
      <c r="T998" s="113"/>
      <c r="U998" s="113"/>
      <c r="V998" s="113"/>
      <c r="W998" s="113"/>
      <c r="X998" s="113"/>
      <c r="Y998" s="113"/>
      <c r="Z998" s="113"/>
    </row>
    <row x14ac:dyDescent="0.25" r="999" customHeight="1" ht="15.75">
      <c r="A999" s="123"/>
      <c r="B999" s="123"/>
      <c r="C999" s="124"/>
      <c r="D999" s="124"/>
      <c r="E999" s="124"/>
      <c r="F999" s="113"/>
      <c r="G999" s="113"/>
      <c r="H999" s="113"/>
      <c r="I999" s="113"/>
      <c r="J999" s="113"/>
      <c r="K999" s="113"/>
      <c r="L999" s="113"/>
      <c r="M999" s="113"/>
      <c r="N999" s="113"/>
      <c r="O999" s="124"/>
      <c r="P999" s="113"/>
      <c r="Q999" s="113"/>
      <c r="R999" s="113"/>
      <c r="S999" s="113"/>
      <c r="T999" s="113"/>
      <c r="U999" s="113"/>
      <c r="V999" s="113"/>
      <c r="W999" s="113"/>
      <c r="X999" s="113"/>
      <c r="Y999" s="113"/>
      <c r="Z999" s="113"/>
    </row>
    <row x14ac:dyDescent="0.25" r="1000" customHeight="1" ht="15.75">
      <c r="A1000" s="123"/>
      <c r="B1000" s="123"/>
      <c r="C1000" s="124"/>
      <c r="D1000" s="124"/>
      <c r="E1000" s="124"/>
      <c r="F1000" s="113"/>
      <c r="G1000" s="113"/>
      <c r="H1000" s="113"/>
      <c r="I1000" s="113"/>
      <c r="J1000" s="113"/>
      <c r="K1000" s="113"/>
      <c r="L1000" s="113"/>
      <c r="M1000" s="113"/>
      <c r="N1000" s="113"/>
      <c r="O1000" s="124"/>
      <c r="P1000" s="113"/>
      <c r="Q1000" s="113"/>
      <c r="R1000" s="113"/>
      <c r="S1000" s="113"/>
      <c r="T1000" s="113"/>
      <c r="U1000" s="113"/>
      <c r="V1000" s="113"/>
      <c r="W1000" s="113"/>
      <c r="X1000" s="113"/>
      <c r="Y1000" s="113"/>
      <c r="Z1000" s="113"/>
    </row>
  </sheetData>
  <mergeCells count="7">
    <mergeCell ref="A1:O1"/>
    <mergeCell ref="A3:B3"/>
    <mergeCell ref="A4:A11"/>
    <mergeCell ref="A13:B13"/>
    <mergeCell ref="A14:A21"/>
    <mergeCell ref="A23:B23"/>
    <mergeCell ref="A24:A2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Z1000"/>
  <sheetViews>
    <sheetView workbookViewId="0"/>
  </sheetViews>
  <sheetFormatPr defaultRowHeight="15" x14ac:dyDescent="0.25"/>
  <cols>
    <col min="1" max="1" style="80" width="32.29071428571429" customWidth="1" bestFit="1"/>
    <col min="2" max="2" style="80" width="56.71928571428572" customWidth="1" bestFit="1"/>
    <col min="3" max="3" style="62" width="15.290714285714287" customWidth="1" bestFit="1"/>
    <col min="4" max="4" style="62" width="15.290714285714287" customWidth="1" bestFit="1"/>
    <col min="5" max="5" style="62" width="15.290714285714287" customWidth="1" bestFit="1"/>
    <col min="6" max="6" style="61" width="15.290714285714287" customWidth="1" bestFit="1"/>
    <col min="7" max="7" style="61" width="15.290714285714287" customWidth="1" bestFit="1"/>
    <col min="8" max="8" style="61" width="15.290714285714287" customWidth="1" bestFit="1"/>
    <col min="9" max="9" style="61" width="15.290714285714287" customWidth="1" bestFit="1"/>
    <col min="10" max="10" style="61" width="15.290714285714287" customWidth="1" bestFit="1"/>
    <col min="11" max="11" style="61" width="15.290714285714287" customWidth="1" bestFit="1"/>
    <col min="12" max="12" style="61" width="15.290714285714287" customWidth="1" bestFit="1"/>
    <col min="13" max="13" style="61" width="15.290714285714287" customWidth="1" bestFit="1"/>
    <col min="14" max="14" style="61" width="15.290714285714287" customWidth="1" bestFit="1"/>
    <col min="15" max="15" style="61" width="21.290714285714284" customWidth="1" bestFit="1"/>
    <col min="16" max="16" style="61" width="8.862142857142858" customWidth="1" bestFit="1"/>
    <col min="17" max="17" style="61" width="8.862142857142858" customWidth="1" bestFit="1"/>
    <col min="18" max="18" style="61" width="8.862142857142858" customWidth="1" bestFit="1"/>
    <col min="19" max="19" style="61" width="8.862142857142858" customWidth="1" bestFit="1"/>
    <col min="20" max="20" style="61" width="8.862142857142858" customWidth="1" bestFit="1"/>
    <col min="21" max="21" style="61" width="8.862142857142858" customWidth="1" bestFit="1"/>
    <col min="22" max="22" style="61" width="8.862142857142858" customWidth="1" bestFit="1"/>
    <col min="23" max="23" style="61" width="8.862142857142858" customWidth="1" bestFit="1"/>
    <col min="24" max="24" style="61" width="8.862142857142858" customWidth="1" bestFit="1"/>
    <col min="25" max="25" style="61" width="8.862142857142858" customWidth="1" bestFit="1"/>
    <col min="26" max="26" style="61" width="8.862142857142858" customWidth="1" bestFit="1"/>
  </cols>
  <sheetData>
    <row x14ac:dyDescent="0.25" r="1" customHeight="1" ht="61.5">
      <c r="A1" s="109"/>
      <c r="B1" s="110"/>
      <c r="C1" s="111"/>
      <c r="D1" s="111"/>
      <c r="E1" s="111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</row>
    <row x14ac:dyDescent="0.25" r="2" customHeight="1" ht="18.75">
      <c r="A2" s="114" t="s">
        <v>3183</v>
      </c>
      <c r="B2" s="114"/>
      <c r="C2" s="115"/>
      <c r="D2" s="115"/>
      <c r="E2" s="115"/>
      <c r="F2" s="116"/>
      <c r="G2" s="116"/>
      <c r="H2" s="116"/>
      <c r="I2" s="116"/>
      <c r="J2" s="116"/>
      <c r="K2" s="116"/>
      <c r="L2" s="116"/>
      <c r="M2" s="116"/>
      <c r="N2" s="116"/>
      <c r="O2" s="116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</row>
    <row x14ac:dyDescent="0.25" r="3" customHeight="1" ht="18.75">
      <c r="A3" s="114"/>
      <c r="B3" s="117"/>
      <c r="C3" s="115" t="s">
        <v>3127</v>
      </c>
      <c r="D3" s="115" t="s">
        <v>3128</v>
      </c>
      <c r="E3" s="115" t="s">
        <v>3129</v>
      </c>
      <c r="F3" s="116" t="s">
        <v>3130</v>
      </c>
      <c r="G3" s="116" t="s">
        <v>3131</v>
      </c>
      <c r="H3" s="116" t="s">
        <v>3132</v>
      </c>
      <c r="I3" s="116" t="s">
        <v>3133</v>
      </c>
      <c r="J3" s="116" t="s">
        <v>3134</v>
      </c>
      <c r="K3" s="116" t="s">
        <v>3135</v>
      </c>
      <c r="L3" s="116" t="s">
        <v>3136</v>
      </c>
      <c r="M3" s="116" t="s">
        <v>3137</v>
      </c>
      <c r="N3" s="116" t="s">
        <v>3138</v>
      </c>
      <c r="O3" s="116" t="s">
        <v>3139</v>
      </c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</row>
    <row x14ac:dyDescent="0.25" r="4" customHeight="1" ht="18.75">
      <c r="A4" s="118" t="s">
        <v>3184</v>
      </c>
      <c r="B4" s="119" t="s">
        <v>3185</v>
      </c>
      <c r="C4" s="120">
        <v>3512</v>
      </c>
      <c r="D4" s="120">
        <v>795</v>
      </c>
      <c r="E4" s="120"/>
      <c r="F4" s="121"/>
      <c r="G4" s="121"/>
      <c r="H4" s="121"/>
      <c r="I4" s="121"/>
      <c r="J4" s="121"/>
      <c r="K4" s="121"/>
      <c r="L4" s="121"/>
      <c r="M4" s="121"/>
      <c r="N4" s="121"/>
      <c r="O4" s="120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</row>
    <row x14ac:dyDescent="0.25" r="5" customHeight="1" ht="18.75">
      <c r="A5" s="117"/>
      <c r="B5" s="119" t="s">
        <v>3186</v>
      </c>
      <c r="C5" s="120">
        <v>294</v>
      </c>
      <c r="D5" s="120">
        <v>457</v>
      </c>
      <c r="E5" s="120"/>
      <c r="F5" s="121"/>
      <c r="G5" s="121"/>
      <c r="H5" s="121"/>
      <c r="I5" s="121"/>
      <c r="J5" s="121"/>
      <c r="K5" s="121"/>
      <c r="L5" s="121"/>
      <c r="M5" s="121"/>
      <c r="N5" s="121"/>
      <c r="O5" s="120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</row>
    <row x14ac:dyDescent="0.25" r="6" customHeight="1" ht="18.75">
      <c r="A6" s="117"/>
      <c r="B6" s="119" t="s">
        <v>656</v>
      </c>
      <c r="C6" s="120">
        <v>41</v>
      </c>
      <c r="D6" s="120">
        <v>214</v>
      </c>
      <c r="E6" s="120"/>
      <c r="F6" s="121"/>
      <c r="G6" s="121"/>
      <c r="H6" s="121"/>
      <c r="I6" s="121"/>
      <c r="J6" s="121"/>
      <c r="K6" s="121"/>
      <c r="L6" s="121"/>
      <c r="M6" s="121"/>
      <c r="N6" s="121"/>
      <c r="O6" s="120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</row>
    <row x14ac:dyDescent="0.25" r="7" customHeight="1" ht="18.75">
      <c r="A7" s="117"/>
      <c r="B7" s="122" t="s">
        <v>3187</v>
      </c>
      <c r="C7" s="120">
        <v>0</v>
      </c>
      <c r="D7" s="120">
        <v>1</v>
      </c>
      <c r="E7" s="120"/>
      <c r="F7" s="121"/>
      <c r="G7" s="121"/>
      <c r="H7" s="121"/>
      <c r="I7" s="121"/>
      <c r="J7" s="121"/>
      <c r="K7" s="121"/>
      <c r="L7" s="121"/>
      <c r="M7" s="121"/>
      <c r="N7" s="121"/>
      <c r="O7" s="120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</row>
    <row x14ac:dyDescent="0.25" r="8" customHeight="1" ht="18.75">
      <c r="A8" s="123"/>
      <c r="B8" s="123"/>
      <c r="C8" s="124"/>
      <c r="D8" s="124"/>
      <c r="E8" s="124"/>
      <c r="F8" s="113"/>
      <c r="G8" s="113"/>
      <c r="H8" s="113"/>
      <c r="I8" s="113"/>
      <c r="J8" s="113"/>
      <c r="K8" s="113"/>
      <c r="L8" s="113"/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</row>
    <row x14ac:dyDescent="0.25" r="9" customHeight="1" ht="18.75">
      <c r="A9" s="114"/>
      <c r="B9" s="117"/>
      <c r="C9" s="115" t="s">
        <v>3127</v>
      </c>
      <c r="D9" s="115" t="s">
        <v>3128</v>
      </c>
      <c r="E9" s="115" t="s">
        <v>3129</v>
      </c>
      <c r="F9" s="116" t="s">
        <v>3130</v>
      </c>
      <c r="G9" s="116" t="s">
        <v>3131</v>
      </c>
      <c r="H9" s="116" t="s">
        <v>3132</v>
      </c>
      <c r="I9" s="116" t="s">
        <v>3133</v>
      </c>
      <c r="J9" s="116" t="s">
        <v>3134</v>
      </c>
      <c r="K9" s="116" t="s">
        <v>3135</v>
      </c>
      <c r="L9" s="116" t="s">
        <v>3136</v>
      </c>
      <c r="M9" s="116" t="s">
        <v>3137</v>
      </c>
      <c r="N9" s="116" t="s">
        <v>3138</v>
      </c>
      <c r="O9" s="116" t="s">
        <v>3139</v>
      </c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</row>
    <row x14ac:dyDescent="0.25" r="10" customHeight="1" ht="18.75">
      <c r="A10" s="118" t="s">
        <v>3188</v>
      </c>
      <c r="B10" s="119" t="s">
        <v>3185</v>
      </c>
      <c r="C10" s="120">
        <v>421</v>
      </c>
      <c r="D10" s="120">
        <v>396</v>
      </c>
      <c r="E10" s="120"/>
      <c r="F10" s="121"/>
      <c r="G10" s="121"/>
      <c r="H10" s="121"/>
      <c r="I10" s="121"/>
      <c r="J10" s="121"/>
      <c r="K10" s="121"/>
      <c r="L10" s="121"/>
      <c r="M10" s="121"/>
      <c r="N10" s="121"/>
      <c r="O10" s="120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</row>
    <row x14ac:dyDescent="0.25" r="11" customHeight="1" ht="18.75">
      <c r="A11" s="117"/>
      <c r="B11" s="119" t="s">
        <v>3186</v>
      </c>
      <c r="C11" s="120">
        <v>179</v>
      </c>
      <c r="D11" s="120">
        <v>149</v>
      </c>
      <c r="E11" s="120"/>
      <c r="F11" s="121"/>
      <c r="G11" s="121"/>
      <c r="H11" s="121"/>
      <c r="I11" s="121"/>
      <c r="J11" s="121"/>
      <c r="K11" s="121"/>
      <c r="L11" s="121"/>
      <c r="M11" s="121"/>
      <c r="N11" s="121"/>
      <c r="O11" s="120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</row>
    <row x14ac:dyDescent="0.25" r="12" customHeight="1" ht="18.75">
      <c r="A12" s="117"/>
      <c r="B12" s="119" t="s">
        <v>656</v>
      </c>
      <c r="C12" s="120">
        <v>163</v>
      </c>
      <c r="D12" s="120">
        <v>148</v>
      </c>
      <c r="E12" s="120"/>
      <c r="F12" s="121"/>
      <c r="G12" s="121"/>
      <c r="H12" s="121"/>
      <c r="I12" s="121"/>
      <c r="J12" s="121"/>
      <c r="K12" s="121"/>
      <c r="L12" s="121"/>
      <c r="M12" s="121"/>
      <c r="N12" s="121"/>
      <c r="O12" s="120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</row>
    <row x14ac:dyDescent="0.25" r="13" customHeight="1" ht="18.75">
      <c r="A13" s="117"/>
      <c r="B13" s="122" t="s">
        <v>3187</v>
      </c>
      <c r="C13" s="120">
        <v>0</v>
      </c>
      <c r="D13" s="120">
        <v>8</v>
      </c>
      <c r="E13" s="120"/>
      <c r="F13" s="121"/>
      <c r="G13" s="121"/>
      <c r="H13" s="121"/>
      <c r="I13" s="121"/>
      <c r="J13" s="121"/>
      <c r="K13" s="121"/>
      <c r="L13" s="121"/>
      <c r="M13" s="121"/>
      <c r="N13" s="121"/>
      <c r="O13" s="120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</row>
    <row x14ac:dyDescent="0.25" r="14" customHeight="1" ht="18.75">
      <c r="A14" s="123"/>
      <c r="B14" s="123"/>
      <c r="C14" s="124"/>
      <c r="D14" s="124"/>
      <c r="E14" s="124"/>
      <c r="F14" s="113"/>
      <c r="G14" s="113"/>
      <c r="H14" s="113"/>
      <c r="I14" s="113"/>
      <c r="J14" s="113"/>
      <c r="K14" s="113"/>
      <c r="L14" s="113"/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</row>
    <row x14ac:dyDescent="0.25" r="15" customHeight="1" ht="18.75">
      <c r="A15" s="114"/>
      <c r="B15" s="117"/>
      <c r="C15" s="115" t="s">
        <v>3127</v>
      </c>
      <c r="D15" s="115" t="s">
        <v>3128</v>
      </c>
      <c r="E15" s="115" t="s">
        <v>3129</v>
      </c>
      <c r="F15" s="116" t="s">
        <v>3130</v>
      </c>
      <c r="G15" s="116" t="s">
        <v>3131</v>
      </c>
      <c r="H15" s="116" t="s">
        <v>3132</v>
      </c>
      <c r="I15" s="116" t="s">
        <v>3133</v>
      </c>
      <c r="J15" s="116" t="s">
        <v>3134</v>
      </c>
      <c r="K15" s="116" t="s">
        <v>3135</v>
      </c>
      <c r="L15" s="116" t="s">
        <v>3136</v>
      </c>
      <c r="M15" s="116" t="s">
        <v>3137</v>
      </c>
      <c r="N15" s="116" t="s">
        <v>3138</v>
      </c>
      <c r="O15" s="116" t="s">
        <v>3139</v>
      </c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</row>
    <row x14ac:dyDescent="0.25" r="16" customHeight="1" ht="18.75">
      <c r="A16" s="125" t="s">
        <v>3189</v>
      </c>
      <c r="B16" s="119" t="s">
        <v>3190</v>
      </c>
      <c r="C16" s="120">
        <v>1090</v>
      </c>
      <c r="D16" s="120">
        <v>897</v>
      </c>
      <c r="E16" s="120">
        <v>990</v>
      </c>
      <c r="F16" s="121"/>
      <c r="G16" s="121"/>
      <c r="H16" s="121"/>
      <c r="I16" s="121"/>
      <c r="J16" s="121"/>
      <c r="K16" s="121"/>
      <c r="L16" s="121"/>
      <c r="M16" s="121"/>
      <c r="N16" s="121"/>
      <c r="O16" s="120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</row>
    <row x14ac:dyDescent="0.25" r="17" customHeight="1" ht="18.75">
      <c r="A17" s="123"/>
      <c r="B17" s="123"/>
      <c r="C17" s="124"/>
      <c r="D17" s="124"/>
      <c r="E17" s="124"/>
      <c r="F17" s="113"/>
      <c r="G17" s="113"/>
      <c r="H17" s="113"/>
      <c r="I17" s="113"/>
      <c r="J17" s="113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</row>
    <row x14ac:dyDescent="0.25" r="18" customHeight="1" ht="18.75">
      <c r="A18" s="123"/>
      <c r="B18" s="123"/>
      <c r="C18" s="124"/>
      <c r="D18" s="124"/>
      <c r="E18" s="124"/>
      <c r="F18" s="113"/>
      <c r="G18" s="113"/>
      <c r="H18" s="113"/>
      <c r="I18" s="113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</row>
    <row x14ac:dyDescent="0.25" r="19" customHeight="1" ht="18.75">
      <c r="A19" s="123"/>
      <c r="B19" s="123"/>
      <c r="C19" s="124"/>
      <c r="D19" s="124"/>
      <c r="E19" s="124"/>
      <c r="F19" s="113"/>
      <c r="G19" s="113"/>
      <c r="H19" s="113"/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</row>
    <row x14ac:dyDescent="0.25" r="20" customHeight="1" ht="18.75">
      <c r="A20" s="123"/>
      <c r="B20" s="123"/>
      <c r="C20" s="124"/>
      <c r="D20" s="124"/>
      <c r="E20" s="124"/>
      <c r="F20" s="113"/>
      <c r="G20" s="113"/>
      <c r="H20" s="113"/>
      <c r="I20" s="113"/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</row>
    <row x14ac:dyDescent="0.25" r="21" customHeight="1" ht="15.75">
      <c r="A21" s="123"/>
      <c r="B21" s="123"/>
      <c r="C21" s="124"/>
      <c r="D21" s="124"/>
      <c r="E21" s="124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</row>
    <row x14ac:dyDescent="0.25" r="22" customHeight="1" ht="15.75">
      <c r="A22" s="123"/>
      <c r="B22" s="123"/>
      <c r="C22" s="124"/>
      <c r="D22" s="124"/>
      <c r="E22" s="124"/>
      <c r="F22" s="113"/>
      <c r="G22" s="113"/>
      <c r="H22" s="113"/>
      <c r="I22" s="113"/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</row>
    <row x14ac:dyDescent="0.25" r="23" customHeight="1" ht="15.75">
      <c r="A23" s="123"/>
      <c r="B23" s="123"/>
      <c r="C23" s="124"/>
      <c r="D23" s="124"/>
      <c r="E23" s="124"/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</row>
    <row x14ac:dyDescent="0.25" r="24" customHeight="1" ht="15.75">
      <c r="A24" s="123"/>
      <c r="B24" s="123"/>
      <c r="C24" s="124"/>
      <c r="D24" s="124"/>
      <c r="E24" s="124"/>
      <c r="F24" s="113"/>
      <c r="G24" s="113"/>
      <c r="H24" s="113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</row>
    <row x14ac:dyDescent="0.25" r="25" customHeight="1" ht="15.75">
      <c r="A25" s="123"/>
      <c r="B25" s="123"/>
      <c r="C25" s="124"/>
      <c r="D25" s="124"/>
      <c r="E25" s="124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</row>
    <row x14ac:dyDescent="0.25" r="26" customHeight="1" ht="15.75">
      <c r="A26" s="123"/>
      <c r="B26" s="123"/>
      <c r="C26" s="124"/>
      <c r="D26" s="124"/>
      <c r="E26" s="124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</row>
    <row x14ac:dyDescent="0.25" r="27" customHeight="1" ht="15.75">
      <c r="A27" s="123"/>
      <c r="B27" s="123"/>
      <c r="C27" s="124"/>
      <c r="D27" s="124"/>
      <c r="E27" s="124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</row>
    <row x14ac:dyDescent="0.25" r="28" customHeight="1" ht="15.75">
      <c r="A28" s="123"/>
      <c r="B28" s="123"/>
      <c r="C28" s="124"/>
      <c r="D28" s="124"/>
      <c r="E28" s="124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</row>
    <row x14ac:dyDescent="0.25" r="29" customHeight="1" ht="15.75">
      <c r="A29" s="123"/>
      <c r="B29" s="123"/>
      <c r="C29" s="124"/>
      <c r="D29" s="124"/>
      <c r="E29" s="124"/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</row>
    <row x14ac:dyDescent="0.25" r="30" customHeight="1" ht="15.75">
      <c r="A30" s="123"/>
      <c r="B30" s="123"/>
      <c r="C30" s="124"/>
      <c r="D30" s="124"/>
      <c r="E30" s="124"/>
      <c r="F30" s="113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</row>
    <row x14ac:dyDescent="0.25" r="31" customHeight="1" ht="15.75">
      <c r="A31" s="123"/>
      <c r="B31" s="123"/>
      <c r="C31" s="124"/>
      <c r="D31" s="124"/>
      <c r="E31" s="124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</row>
    <row x14ac:dyDescent="0.25" r="32" customHeight="1" ht="15.75">
      <c r="A32" s="123"/>
      <c r="B32" s="123"/>
      <c r="C32" s="124"/>
      <c r="D32" s="124"/>
      <c r="E32" s="124"/>
      <c r="F32" s="113"/>
      <c r="G32" s="113"/>
      <c r="H32" s="113"/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</row>
    <row x14ac:dyDescent="0.25" r="33" customHeight="1" ht="15.75">
      <c r="A33" s="123"/>
      <c r="B33" s="123"/>
      <c r="C33" s="124"/>
      <c r="D33" s="124"/>
      <c r="E33" s="124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</row>
    <row x14ac:dyDescent="0.25" r="34" customHeight="1" ht="15.75">
      <c r="A34" s="123"/>
      <c r="B34" s="123"/>
      <c r="C34" s="124"/>
      <c r="D34" s="124"/>
      <c r="E34" s="124"/>
      <c r="F34" s="113"/>
      <c r="G34" s="113"/>
      <c r="H34" s="113"/>
      <c r="I34" s="11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</row>
    <row x14ac:dyDescent="0.25" r="35" customHeight="1" ht="15.75">
      <c r="A35" s="123"/>
      <c r="B35" s="123"/>
      <c r="C35" s="124"/>
      <c r="D35" s="124"/>
      <c r="E35" s="124"/>
      <c r="F35" s="113"/>
      <c r="G35" s="113"/>
      <c r="H35" s="113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</row>
    <row x14ac:dyDescent="0.25" r="36" customHeight="1" ht="15.75">
      <c r="A36" s="123"/>
      <c r="B36" s="123"/>
      <c r="C36" s="124"/>
      <c r="D36" s="124"/>
      <c r="E36" s="124"/>
      <c r="F36" s="113"/>
      <c r="G36" s="113"/>
      <c r="H36" s="113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</row>
    <row x14ac:dyDescent="0.25" r="37" customHeight="1" ht="15.75">
      <c r="A37" s="123"/>
      <c r="B37" s="123"/>
      <c r="C37" s="124"/>
      <c r="D37" s="124"/>
      <c r="E37" s="124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</row>
    <row x14ac:dyDescent="0.25" r="38" customHeight="1" ht="15.75">
      <c r="A38" s="123"/>
      <c r="B38" s="123"/>
      <c r="C38" s="124"/>
      <c r="D38" s="124"/>
      <c r="E38" s="124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</row>
    <row x14ac:dyDescent="0.25" r="39" customHeight="1" ht="15.75">
      <c r="A39" s="123"/>
      <c r="B39" s="123"/>
      <c r="C39" s="124"/>
      <c r="D39" s="124"/>
      <c r="E39" s="124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</row>
    <row x14ac:dyDescent="0.25" r="40" customHeight="1" ht="15.75">
      <c r="A40" s="123"/>
      <c r="B40" s="123"/>
      <c r="C40" s="124"/>
      <c r="D40" s="124"/>
      <c r="E40" s="124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</row>
    <row x14ac:dyDescent="0.25" r="41" customHeight="1" ht="15.75">
      <c r="A41" s="123"/>
      <c r="B41" s="123"/>
      <c r="C41" s="124"/>
      <c r="D41" s="124"/>
      <c r="E41" s="124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</row>
    <row x14ac:dyDescent="0.25" r="42" customHeight="1" ht="15.75">
      <c r="A42" s="123"/>
      <c r="B42" s="123"/>
      <c r="C42" s="124"/>
      <c r="D42" s="124"/>
      <c r="E42" s="124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</row>
    <row x14ac:dyDescent="0.25" r="43" customHeight="1" ht="15.75">
      <c r="A43" s="123"/>
      <c r="B43" s="123"/>
      <c r="C43" s="124"/>
      <c r="D43" s="124"/>
      <c r="E43" s="124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</row>
    <row x14ac:dyDescent="0.25" r="44" customHeight="1" ht="15.75">
      <c r="A44" s="123"/>
      <c r="B44" s="123"/>
      <c r="C44" s="124"/>
      <c r="D44" s="124"/>
      <c r="E44" s="124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</row>
    <row x14ac:dyDescent="0.25" r="45" customHeight="1" ht="15.75">
      <c r="A45" s="123"/>
      <c r="B45" s="123"/>
      <c r="C45" s="124"/>
      <c r="D45" s="124"/>
      <c r="E45" s="124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</row>
    <row x14ac:dyDescent="0.25" r="46" customHeight="1" ht="15.75">
      <c r="A46" s="123"/>
      <c r="B46" s="123"/>
      <c r="C46" s="124"/>
      <c r="D46" s="124"/>
      <c r="E46" s="124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</row>
    <row x14ac:dyDescent="0.25" r="47" customHeight="1" ht="15.75">
      <c r="A47" s="123"/>
      <c r="B47" s="123"/>
      <c r="C47" s="124"/>
      <c r="D47" s="124"/>
      <c r="E47" s="124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</row>
    <row x14ac:dyDescent="0.25" r="48" customHeight="1" ht="15.75">
      <c r="A48" s="123"/>
      <c r="B48" s="123"/>
      <c r="C48" s="124"/>
      <c r="D48" s="124"/>
      <c r="E48" s="124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</row>
    <row x14ac:dyDescent="0.25" r="49" customHeight="1" ht="15.75">
      <c r="A49" s="123"/>
      <c r="B49" s="123"/>
      <c r="C49" s="124"/>
      <c r="D49" s="124"/>
      <c r="E49" s="124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</row>
    <row x14ac:dyDescent="0.25" r="50" customHeight="1" ht="15.75">
      <c r="A50" s="123"/>
      <c r="B50" s="123"/>
      <c r="C50" s="124"/>
      <c r="D50" s="124"/>
      <c r="E50" s="124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</row>
    <row x14ac:dyDescent="0.25" r="51" customHeight="1" ht="15.75">
      <c r="A51" s="123"/>
      <c r="B51" s="123"/>
      <c r="C51" s="124"/>
      <c r="D51" s="124"/>
      <c r="E51" s="124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</row>
    <row x14ac:dyDescent="0.25" r="52" customHeight="1" ht="15.75">
      <c r="A52" s="123"/>
      <c r="B52" s="123"/>
      <c r="C52" s="124"/>
      <c r="D52" s="124"/>
      <c r="E52" s="124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</row>
    <row x14ac:dyDescent="0.25" r="53" customHeight="1" ht="15.75">
      <c r="A53" s="123"/>
      <c r="B53" s="123"/>
      <c r="C53" s="124"/>
      <c r="D53" s="124"/>
      <c r="E53" s="124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</row>
    <row x14ac:dyDescent="0.25" r="54" customHeight="1" ht="15.75">
      <c r="A54" s="123"/>
      <c r="B54" s="123"/>
      <c r="C54" s="124"/>
      <c r="D54" s="124"/>
      <c r="E54" s="124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</row>
    <row x14ac:dyDescent="0.25" r="55" customHeight="1" ht="15.75">
      <c r="A55" s="123"/>
      <c r="B55" s="123"/>
      <c r="C55" s="124"/>
      <c r="D55" s="124"/>
      <c r="E55" s="124"/>
      <c r="F55" s="113"/>
      <c r="G55" s="113"/>
      <c r="H55" s="113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</row>
    <row x14ac:dyDescent="0.25" r="56" customHeight="1" ht="15.75">
      <c r="A56" s="123"/>
      <c r="B56" s="123"/>
      <c r="C56" s="124"/>
      <c r="D56" s="124"/>
      <c r="E56" s="124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</row>
    <row x14ac:dyDescent="0.25" r="57" customHeight="1" ht="15.75">
      <c r="A57" s="123"/>
      <c r="B57" s="123"/>
      <c r="C57" s="124"/>
      <c r="D57" s="124"/>
      <c r="E57" s="124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</row>
    <row x14ac:dyDescent="0.25" r="58" customHeight="1" ht="15.75">
      <c r="A58" s="123"/>
      <c r="B58" s="123"/>
      <c r="C58" s="124"/>
      <c r="D58" s="124"/>
      <c r="E58" s="124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</row>
    <row x14ac:dyDescent="0.25" r="59" customHeight="1" ht="15.75">
      <c r="A59" s="123"/>
      <c r="B59" s="123"/>
      <c r="C59" s="124"/>
      <c r="D59" s="124"/>
      <c r="E59" s="124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</row>
    <row x14ac:dyDescent="0.25" r="60" customHeight="1" ht="15.75">
      <c r="A60" s="123"/>
      <c r="B60" s="123"/>
      <c r="C60" s="124"/>
      <c r="D60" s="124"/>
      <c r="E60" s="124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</row>
    <row x14ac:dyDescent="0.25" r="61" customHeight="1" ht="15.75">
      <c r="A61" s="123"/>
      <c r="B61" s="123"/>
      <c r="C61" s="124"/>
      <c r="D61" s="124"/>
      <c r="E61" s="124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</row>
    <row x14ac:dyDescent="0.25" r="62" customHeight="1" ht="15.75">
      <c r="A62" s="123"/>
      <c r="B62" s="123"/>
      <c r="C62" s="124"/>
      <c r="D62" s="124"/>
      <c r="E62" s="124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</row>
    <row x14ac:dyDescent="0.25" r="63" customHeight="1" ht="15.75">
      <c r="A63" s="123"/>
      <c r="B63" s="123"/>
      <c r="C63" s="124"/>
      <c r="D63" s="124"/>
      <c r="E63" s="124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</row>
    <row x14ac:dyDescent="0.25" r="64" customHeight="1" ht="15.75">
      <c r="A64" s="123"/>
      <c r="B64" s="123"/>
      <c r="C64" s="124"/>
      <c r="D64" s="124"/>
      <c r="E64" s="124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</row>
    <row x14ac:dyDescent="0.25" r="65" customHeight="1" ht="15.75">
      <c r="A65" s="123"/>
      <c r="B65" s="123"/>
      <c r="C65" s="124"/>
      <c r="D65" s="124"/>
      <c r="E65" s="124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</row>
    <row x14ac:dyDescent="0.25" r="66" customHeight="1" ht="15.75">
      <c r="A66" s="123"/>
      <c r="B66" s="123"/>
      <c r="C66" s="124"/>
      <c r="D66" s="124"/>
      <c r="E66" s="124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</row>
    <row x14ac:dyDescent="0.25" r="67" customHeight="1" ht="15.75">
      <c r="A67" s="123"/>
      <c r="B67" s="123"/>
      <c r="C67" s="124"/>
      <c r="D67" s="124"/>
      <c r="E67" s="124"/>
      <c r="F67" s="113"/>
      <c r="G67" s="113"/>
      <c r="H67" s="113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</row>
    <row x14ac:dyDescent="0.25" r="68" customHeight="1" ht="15.75">
      <c r="A68" s="123"/>
      <c r="B68" s="123"/>
      <c r="C68" s="124"/>
      <c r="D68" s="124"/>
      <c r="E68" s="124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</row>
    <row x14ac:dyDescent="0.25" r="69" customHeight="1" ht="15.75">
      <c r="A69" s="123"/>
      <c r="B69" s="123"/>
      <c r="C69" s="124"/>
      <c r="D69" s="124"/>
      <c r="E69" s="124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</row>
    <row x14ac:dyDescent="0.25" r="70" customHeight="1" ht="15.75">
      <c r="A70" s="123"/>
      <c r="B70" s="123"/>
      <c r="C70" s="124"/>
      <c r="D70" s="124"/>
      <c r="E70" s="124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</row>
    <row x14ac:dyDescent="0.25" r="71" customHeight="1" ht="15.75">
      <c r="A71" s="123"/>
      <c r="B71" s="123"/>
      <c r="C71" s="124"/>
      <c r="D71" s="124"/>
      <c r="E71" s="124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</row>
    <row x14ac:dyDescent="0.25" r="72" customHeight="1" ht="15.75">
      <c r="A72" s="123"/>
      <c r="B72" s="123"/>
      <c r="C72" s="124"/>
      <c r="D72" s="124"/>
      <c r="E72" s="124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</row>
    <row x14ac:dyDescent="0.25" r="73" customHeight="1" ht="15.75">
      <c r="A73" s="123"/>
      <c r="B73" s="123"/>
      <c r="C73" s="124"/>
      <c r="D73" s="124"/>
      <c r="E73" s="124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</row>
    <row x14ac:dyDescent="0.25" r="74" customHeight="1" ht="15.75">
      <c r="A74" s="123"/>
      <c r="B74" s="123"/>
      <c r="C74" s="124"/>
      <c r="D74" s="124"/>
      <c r="E74" s="124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</row>
    <row x14ac:dyDescent="0.25" r="75" customHeight="1" ht="15.75">
      <c r="A75" s="123"/>
      <c r="B75" s="123"/>
      <c r="C75" s="124"/>
      <c r="D75" s="124"/>
      <c r="E75" s="124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</row>
    <row x14ac:dyDescent="0.25" r="76" customHeight="1" ht="15.75">
      <c r="A76" s="123"/>
      <c r="B76" s="123"/>
      <c r="C76" s="124"/>
      <c r="D76" s="124"/>
      <c r="E76" s="124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</row>
    <row x14ac:dyDescent="0.25" r="77" customHeight="1" ht="15.75">
      <c r="A77" s="123"/>
      <c r="B77" s="123"/>
      <c r="C77" s="124"/>
      <c r="D77" s="124"/>
      <c r="E77" s="124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</row>
    <row x14ac:dyDescent="0.25" r="78" customHeight="1" ht="15.75">
      <c r="A78" s="123"/>
      <c r="B78" s="123"/>
      <c r="C78" s="124"/>
      <c r="D78" s="124"/>
      <c r="E78" s="124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</row>
    <row x14ac:dyDescent="0.25" r="79" customHeight="1" ht="15.75">
      <c r="A79" s="123"/>
      <c r="B79" s="123"/>
      <c r="C79" s="124"/>
      <c r="D79" s="124"/>
      <c r="E79" s="124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</row>
    <row x14ac:dyDescent="0.25" r="80" customHeight="1" ht="15.75">
      <c r="A80" s="123"/>
      <c r="B80" s="123"/>
      <c r="C80" s="124"/>
      <c r="D80" s="124"/>
      <c r="E80" s="124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</row>
    <row x14ac:dyDescent="0.25" r="81" customHeight="1" ht="15.75">
      <c r="A81" s="123"/>
      <c r="B81" s="123"/>
      <c r="C81" s="124"/>
      <c r="D81" s="124"/>
      <c r="E81" s="124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</row>
    <row x14ac:dyDescent="0.25" r="82" customHeight="1" ht="15.75">
      <c r="A82" s="123"/>
      <c r="B82" s="123"/>
      <c r="C82" s="124"/>
      <c r="D82" s="124"/>
      <c r="E82" s="124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</row>
    <row x14ac:dyDescent="0.25" r="83" customHeight="1" ht="15.75">
      <c r="A83" s="123"/>
      <c r="B83" s="123"/>
      <c r="C83" s="124"/>
      <c r="D83" s="124"/>
      <c r="E83" s="124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</row>
    <row x14ac:dyDescent="0.25" r="84" customHeight="1" ht="15.75">
      <c r="A84" s="123"/>
      <c r="B84" s="123"/>
      <c r="C84" s="124"/>
      <c r="D84" s="124"/>
      <c r="E84" s="124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</row>
    <row x14ac:dyDescent="0.25" r="85" customHeight="1" ht="15.75">
      <c r="A85" s="123"/>
      <c r="B85" s="123"/>
      <c r="C85" s="124"/>
      <c r="D85" s="124"/>
      <c r="E85" s="124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</row>
    <row x14ac:dyDescent="0.25" r="86" customHeight="1" ht="15.75">
      <c r="A86" s="123"/>
      <c r="B86" s="123"/>
      <c r="C86" s="124"/>
      <c r="D86" s="124"/>
      <c r="E86" s="124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</row>
    <row x14ac:dyDescent="0.25" r="87" customHeight="1" ht="15.75">
      <c r="A87" s="123"/>
      <c r="B87" s="123"/>
      <c r="C87" s="124"/>
      <c r="D87" s="124"/>
      <c r="E87" s="124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</row>
    <row x14ac:dyDescent="0.25" r="88" customHeight="1" ht="15.75">
      <c r="A88" s="123"/>
      <c r="B88" s="123"/>
      <c r="C88" s="124"/>
      <c r="D88" s="124"/>
      <c r="E88" s="124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</row>
    <row x14ac:dyDescent="0.25" r="89" customHeight="1" ht="15.75">
      <c r="A89" s="123"/>
      <c r="B89" s="123"/>
      <c r="C89" s="124"/>
      <c r="D89" s="124"/>
      <c r="E89" s="124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</row>
    <row x14ac:dyDescent="0.25" r="90" customHeight="1" ht="15.75">
      <c r="A90" s="123"/>
      <c r="B90" s="123"/>
      <c r="C90" s="124"/>
      <c r="D90" s="124"/>
      <c r="E90" s="124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</row>
    <row x14ac:dyDescent="0.25" r="91" customHeight="1" ht="15.75">
      <c r="A91" s="123"/>
      <c r="B91" s="123"/>
      <c r="C91" s="124"/>
      <c r="D91" s="124"/>
      <c r="E91" s="124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</row>
    <row x14ac:dyDescent="0.25" r="92" customHeight="1" ht="15.75">
      <c r="A92" s="123"/>
      <c r="B92" s="123"/>
      <c r="C92" s="124"/>
      <c r="D92" s="124"/>
      <c r="E92" s="124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</row>
    <row x14ac:dyDescent="0.25" r="93" customHeight="1" ht="15.75">
      <c r="A93" s="123"/>
      <c r="B93" s="123"/>
      <c r="C93" s="124"/>
      <c r="D93" s="124"/>
      <c r="E93" s="124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</row>
    <row x14ac:dyDescent="0.25" r="94" customHeight="1" ht="15.75">
      <c r="A94" s="123"/>
      <c r="B94" s="123"/>
      <c r="C94" s="124"/>
      <c r="D94" s="124"/>
      <c r="E94" s="124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</row>
    <row x14ac:dyDescent="0.25" r="95" customHeight="1" ht="15.75">
      <c r="A95" s="123"/>
      <c r="B95" s="123"/>
      <c r="C95" s="124"/>
      <c r="D95" s="124"/>
      <c r="E95" s="124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</row>
    <row x14ac:dyDescent="0.25" r="96" customHeight="1" ht="15.75">
      <c r="A96" s="123"/>
      <c r="B96" s="123"/>
      <c r="C96" s="124"/>
      <c r="D96" s="124"/>
      <c r="E96" s="124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</row>
    <row x14ac:dyDescent="0.25" r="97" customHeight="1" ht="15.75">
      <c r="A97" s="123"/>
      <c r="B97" s="123"/>
      <c r="C97" s="124"/>
      <c r="D97" s="124"/>
      <c r="E97" s="124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</row>
    <row x14ac:dyDescent="0.25" r="98" customHeight="1" ht="15.75">
      <c r="A98" s="123"/>
      <c r="B98" s="123"/>
      <c r="C98" s="124"/>
      <c r="D98" s="124"/>
      <c r="E98" s="124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</row>
    <row x14ac:dyDescent="0.25" r="99" customHeight="1" ht="15.75">
      <c r="A99" s="123"/>
      <c r="B99" s="123"/>
      <c r="C99" s="124"/>
      <c r="D99" s="124"/>
      <c r="E99" s="124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</row>
    <row x14ac:dyDescent="0.25" r="100" customHeight="1" ht="15.75">
      <c r="A100" s="123"/>
      <c r="B100" s="123"/>
      <c r="C100" s="124"/>
      <c r="D100" s="124"/>
      <c r="E100" s="124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</row>
    <row x14ac:dyDescent="0.25" r="101" customHeight="1" ht="15.75">
      <c r="A101" s="123"/>
      <c r="B101" s="123"/>
      <c r="C101" s="124"/>
      <c r="D101" s="124"/>
      <c r="E101" s="124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</row>
    <row x14ac:dyDescent="0.25" r="102" customHeight="1" ht="15.75">
      <c r="A102" s="123"/>
      <c r="B102" s="123"/>
      <c r="C102" s="124"/>
      <c r="D102" s="124"/>
      <c r="E102" s="124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</row>
    <row x14ac:dyDescent="0.25" r="103" customHeight="1" ht="15.75">
      <c r="A103" s="123"/>
      <c r="B103" s="123"/>
      <c r="C103" s="124"/>
      <c r="D103" s="124"/>
      <c r="E103" s="124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</row>
    <row x14ac:dyDescent="0.25" r="104" customHeight="1" ht="15.75">
      <c r="A104" s="123"/>
      <c r="B104" s="123"/>
      <c r="C104" s="124"/>
      <c r="D104" s="124"/>
      <c r="E104" s="124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</row>
    <row x14ac:dyDescent="0.25" r="105" customHeight="1" ht="15.75">
      <c r="A105" s="123"/>
      <c r="B105" s="123"/>
      <c r="C105" s="124"/>
      <c r="D105" s="124"/>
      <c r="E105" s="124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</row>
    <row x14ac:dyDescent="0.25" r="106" customHeight="1" ht="15.75">
      <c r="A106" s="123"/>
      <c r="B106" s="123"/>
      <c r="C106" s="124"/>
      <c r="D106" s="124"/>
      <c r="E106" s="124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</row>
    <row x14ac:dyDescent="0.25" r="107" customHeight="1" ht="15.75">
      <c r="A107" s="123"/>
      <c r="B107" s="123"/>
      <c r="C107" s="124"/>
      <c r="D107" s="124"/>
      <c r="E107" s="124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</row>
    <row x14ac:dyDescent="0.25" r="108" customHeight="1" ht="15.75">
      <c r="A108" s="123"/>
      <c r="B108" s="123"/>
      <c r="C108" s="124"/>
      <c r="D108" s="124"/>
      <c r="E108" s="124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</row>
    <row x14ac:dyDescent="0.25" r="109" customHeight="1" ht="15.75">
      <c r="A109" s="123"/>
      <c r="B109" s="123"/>
      <c r="C109" s="124"/>
      <c r="D109" s="124"/>
      <c r="E109" s="124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</row>
    <row x14ac:dyDescent="0.25" r="110" customHeight="1" ht="15.75">
      <c r="A110" s="123"/>
      <c r="B110" s="123"/>
      <c r="C110" s="124"/>
      <c r="D110" s="124"/>
      <c r="E110" s="124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</row>
    <row x14ac:dyDescent="0.25" r="111" customHeight="1" ht="15.75">
      <c r="A111" s="123"/>
      <c r="B111" s="123"/>
      <c r="C111" s="124"/>
      <c r="D111" s="124"/>
      <c r="E111" s="124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</row>
    <row x14ac:dyDescent="0.25" r="112" customHeight="1" ht="15.75">
      <c r="A112" s="123"/>
      <c r="B112" s="123"/>
      <c r="C112" s="124"/>
      <c r="D112" s="124"/>
      <c r="E112" s="124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</row>
    <row x14ac:dyDescent="0.25" r="113" customHeight="1" ht="15.75">
      <c r="A113" s="123"/>
      <c r="B113" s="123"/>
      <c r="C113" s="124"/>
      <c r="D113" s="124"/>
      <c r="E113" s="124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</row>
    <row x14ac:dyDescent="0.25" r="114" customHeight="1" ht="15.75">
      <c r="A114" s="123"/>
      <c r="B114" s="123"/>
      <c r="C114" s="124"/>
      <c r="D114" s="124"/>
      <c r="E114" s="124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</row>
    <row x14ac:dyDescent="0.25" r="115" customHeight="1" ht="15.75">
      <c r="A115" s="123"/>
      <c r="B115" s="123"/>
      <c r="C115" s="124"/>
      <c r="D115" s="124"/>
      <c r="E115" s="124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</row>
    <row x14ac:dyDescent="0.25" r="116" customHeight="1" ht="15.75">
      <c r="A116" s="123"/>
      <c r="B116" s="123"/>
      <c r="C116" s="124"/>
      <c r="D116" s="124"/>
      <c r="E116" s="124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</row>
    <row x14ac:dyDescent="0.25" r="117" customHeight="1" ht="15.75">
      <c r="A117" s="123"/>
      <c r="B117" s="123"/>
      <c r="C117" s="124"/>
      <c r="D117" s="124"/>
      <c r="E117" s="124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</row>
    <row x14ac:dyDescent="0.25" r="118" customHeight="1" ht="15.75">
      <c r="A118" s="123"/>
      <c r="B118" s="123"/>
      <c r="C118" s="124"/>
      <c r="D118" s="124"/>
      <c r="E118" s="124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</row>
    <row x14ac:dyDescent="0.25" r="119" customHeight="1" ht="15.75">
      <c r="A119" s="123"/>
      <c r="B119" s="123"/>
      <c r="C119" s="124"/>
      <c r="D119" s="124"/>
      <c r="E119" s="124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</row>
    <row x14ac:dyDescent="0.25" r="120" customHeight="1" ht="15.75">
      <c r="A120" s="123"/>
      <c r="B120" s="123"/>
      <c r="C120" s="124"/>
      <c r="D120" s="124"/>
      <c r="E120" s="124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</row>
    <row x14ac:dyDescent="0.25" r="121" customHeight="1" ht="15.75">
      <c r="A121" s="123"/>
      <c r="B121" s="123"/>
      <c r="C121" s="124"/>
      <c r="D121" s="124"/>
      <c r="E121" s="124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</row>
    <row x14ac:dyDescent="0.25" r="122" customHeight="1" ht="15.75">
      <c r="A122" s="123"/>
      <c r="B122" s="123"/>
      <c r="C122" s="124"/>
      <c r="D122" s="124"/>
      <c r="E122" s="124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</row>
    <row x14ac:dyDescent="0.25" r="123" customHeight="1" ht="15.75">
      <c r="A123" s="123"/>
      <c r="B123" s="123"/>
      <c r="C123" s="124"/>
      <c r="D123" s="124"/>
      <c r="E123" s="124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</row>
    <row x14ac:dyDescent="0.25" r="124" customHeight="1" ht="15.75">
      <c r="A124" s="123"/>
      <c r="B124" s="123"/>
      <c r="C124" s="124"/>
      <c r="D124" s="124"/>
      <c r="E124" s="124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</row>
    <row x14ac:dyDescent="0.25" r="125" customHeight="1" ht="15.75">
      <c r="A125" s="123"/>
      <c r="B125" s="123"/>
      <c r="C125" s="124"/>
      <c r="D125" s="124"/>
      <c r="E125" s="124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</row>
    <row x14ac:dyDescent="0.25" r="126" customHeight="1" ht="15.75">
      <c r="A126" s="123"/>
      <c r="B126" s="123"/>
      <c r="C126" s="124"/>
      <c r="D126" s="124"/>
      <c r="E126" s="124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</row>
    <row x14ac:dyDescent="0.25" r="127" customHeight="1" ht="15.75">
      <c r="A127" s="123"/>
      <c r="B127" s="123"/>
      <c r="C127" s="124"/>
      <c r="D127" s="124"/>
      <c r="E127" s="124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</row>
    <row x14ac:dyDescent="0.25" r="128" customHeight="1" ht="15.75">
      <c r="A128" s="123"/>
      <c r="B128" s="123"/>
      <c r="C128" s="124"/>
      <c r="D128" s="124"/>
      <c r="E128" s="124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</row>
    <row x14ac:dyDescent="0.25" r="129" customHeight="1" ht="15.75">
      <c r="A129" s="123"/>
      <c r="B129" s="123"/>
      <c r="C129" s="124"/>
      <c r="D129" s="124"/>
      <c r="E129" s="124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</row>
    <row x14ac:dyDescent="0.25" r="130" customHeight="1" ht="15.75">
      <c r="A130" s="123"/>
      <c r="B130" s="123"/>
      <c r="C130" s="124"/>
      <c r="D130" s="124"/>
      <c r="E130" s="124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</row>
    <row x14ac:dyDescent="0.25" r="131" customHeight="1" ht="15.75">
      <c r="A131" s="123"/>
      <c r="B131" s="123"/>
      <c r="C131" s="124"/>
      <c r="D131" s="124"/>
      <c r="E131" s="124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</row>
    <row x14ac:dyDescent="0.25" r="132" customHeight="1" ht="15.75">
      <c r="A132" s="123"/>
      <c r="B132" s="123"/>
      <c r="C132" s="124"/>
      <c r="D132" s="124"/>
      <c r="E132" s="124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</row>
    <row x14ac:dyDescent="0.25" r="133" customHeight="1" ht="15.75">
      <c r="A133" s="123"/>
      <c r="B133" s="123"/>
      <c r="C133" s="124"/>
      <c r="D133" s="124"/>
      <c r="E133" s="124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</row>
    <row x14ac:dyDescent="0.25" r="134" customHeight="1" ht="15.75">
      <c r="A134" s="123"/>
      <c r="B134" s="123"/>
      <c r="C134" s="124"/>
      <c r="D134" s="124"/>
      <c r="E134" s="124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</row>
    <row x14ac:dyDescent="0.25" r="135" customHeight="1" ht="15.75">
      <c r="A135" s="123"/>
      <c r="B135" s="123"/>
      <c r="C135" s="124"/>
      <c r="D135" s="124"/>
      <c r="E135" s="124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</row>
    <row x14ac:dyDescent="0.25" r="136" customHeight="1" ht="15.75">
      <c r="A136" s="123"/>
      <c r="B136" s="123"/>
      <c r="C136" s="124"/>
      <c r="D136" s="124"/>
      <c r="E136" s="124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</row>
    <row x14ac:dyDescent="0.25" r="137" customHeight="1" ht="15.75">
      <c r="A137" s="123"/>
      <c r="B137" s="123"/>
      <c r="C137" s="124"/>
      <c r="D137" s="124"/>
      <c r="E137" s="124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</row>
    <row x14ac:dyDescent="0.25" r="138" customHeight="1" ht="15.75">
      <c r="A138" s="123"/>
      <c r="B138" s="123"/>
      <c r="C138" s="124"/>
      <c r="D138" s="124"/>
      <c r="E138" s="124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</row>
    <row x14ac:dyDescent="0.25" r="139" customHeight="1" ht="15.75">
      <c r="A139" s="123"/>
      <c r="B139" s="123"/>
      <c r="C139" s="124"/>
      <c r="D139" s="124"/>
      <c r="E139" s="124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</row>
    <row x14ac:dyDescent="0.25" r="140" customHeight="1" ht="15.75">
      <c r="A140" s="123"/>
      <c r="B140" s="123"/>
      <c r="C140" s="124"/>
      <c r="D140" s="124"/>
      <c r="E140" s="124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</row>
    <row x14ac:dyDescent="0.25" r="141" customHeight="1" ht="15.75">
      <c r="A141" s="123"/>
      <c r="B141" s="123"/>
      <c r="C141" s="124"/>
      <c r="D141" s="124"/>
      <c r="E141" s="124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</row>
    <row x14ac:dyDescent="0.25" r="142" customHeight="1" ht="15.75">
      <c r="A142" s="123"/>
      <c r="B142" s="123"/>
      <c r="C142" s="124"/>
      <c r="D142" s="124"/>
      <c r="E142" s="124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</row>
    <row x14ac:dyDescent="0.25" r="143" customHeight="1" ht="15.75">
      <c r="A143" s="123"/>
      <c r="B143" s="123"/>
      <c r="C143" s="124"/>
      <c r="D143" s="124"/>
      <c r="E143" s="124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</row>
    <row x14ac:dyDescent="0.25" r="144" customHeight="1" ht="15.75">
      <c r="A144" s="123"/>
      <c r="B144" s="123"/>
      <c r="C144" s="124"/>
      <c r="D144" s="124"/>
      <c r="E144" s="124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</row>
    <row x14ac:dyDescent="0.25" r="145" customHeight="1" ht="15.75">
      <c r="A145" s="123"/>
      <c r="B145" s="123"/>
      <c r="C145" s="124"/>
      <c r="D145" s="124"/>
      <c r="E145" s="124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</row>
    <row x14ac:dyDescent="0.25" r="146" customHeight="1" ht="15.75">
      <c r="A146" s="123"/>
      <c r="B146" s="123"/>
      <c r="C146" s="124"/>
      <c r="D146" s="124"/>
      <c r="E146" s="124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</row>
    <row x14ac:dyDescent="0.25" r="147" customHeight="1" ht="15.75">
      <c r="A147" s="123"/>
      <c r="B147" s="123"/>
      <c r="C147" s="124"/>
      <c r="D147" s="124"/>
      <c r="E147" s="124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</row>
    <row x14ac:dyDescent="0.25" r="148" customHeight="1" ht="15.75">
      <c r="A148" s="123"/>
      <c r="B148" s="123"/>
      <c r="C148" s="124"/>
      <c r="D148" s="124"/>
      <c r="E148" s="124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</row>
    <row x14ac:dyDescent="0.25" r="149" customHeight="1" ht="15.75">
      <c r="A149" s="123"/>
      <c r="B149" s="123"/>
      <c r="C149" s="124"/>
      <c r="D149" s="124"/>
      <c r="E149" s="124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</row>
    <row x14ac:dyDescent="0.25" r="150" customHeight="1" ht="15.75">
      <c r="A150" s="123"/>
      <c r="B150" s="123"/>
      <c r="C150" s="124"/>
      <c r="D150" s="124"/>
      <c r="E150" s="124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</row>
    <row x14ac:dyDescent="0.25" r="151" customHeight="1" ht="15.75">
      <c r="A151" s="123"/>
      <c r="B151" s="123"/>
      <c r="C151" s="124"/>
      <c r="D151" s="124"/>
      <c r="E151" s="124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</row>
    <row x14ac:dyDescent="0.25" r="152" customHeight="1" ht="15.75">
      <c r="A152" s="123"/>
      <c r="B152" s="123"/>
      <c r="C152" s="124"/>
      <c r="D152" s="124"/>
      <c r="E152" s="124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</row>
    <row x14ac:dyDescent="0.25" r="153" customHeight="1" ht="15.75">
      <c r="A153" s="123"/>
      <c r="B153" s="123"/>
      <c r="C153" s="124"/>
      <c r="D153" s="124"/>
      <c r="E153" s="124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</row>
    <row x14ac:dyDescent="0.25" r="154" customHeight="1" ht="15.75">
      <c r="A154" s="123"/>
      <c r="B154" s="123"/>
      <c r="C154" s="124"/>
      <c r="D154" s="124"/>
      <c r="E154" s="124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</row>
    <row x14ac:dyDescent="0.25" r="155" customHeight="1" ht="15.75">
      <c r="A155" s="123"/>
      <c r="B155" s="123"/>
      <c r="C155" s="124"/>
      <c r="D155" s="124"/>
      <c r="E155" s="124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</row>
    <row x14ac:dyDescent="0.25" r="156" customHeight="1" ht="15.75">
      <c r="A156" s="123"/>
      <c r="B156" s="123"/>
      <c r="C156" s="124"/>
      <c r="D156" s="124"/>
      <c r="E156" s="124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</row>
    <row x14ac:dyDescent="0.25" r="157" customHeight="1" ht="15.75">
      <c r="A157" s="123"/>
      <c r="B157" s="123"/>
      <c r="C157" s="124"/>
      <c r="D157" s="124"/>
      <c r="E157" s="124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</row>
    <row x14ac:dyDescent="0.25" r="158" customHeight="1" ht="15.75">
      <c r="A158" s="123"/>
      <c r="B158" s="123"/>
      <c r="C158" s="124"/>
      <c r="D158" s="124"/>
      <c r="E158" s="124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</row>
    <row x14ac:dyDescent="0.25" r="159" customHeight="1" ht="15.75">
      <c r="A159" s="123"/>
      <c r="B159" s="123"/>
      <c r="C159" s="124"/>
      <c r="D159" s="124"/>
      <c r="E159" s="124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</row>
    <row x14ac:dyDescent="0.25" r="160" customHeight="1" ht="15.75">
      <c r="A160" s="123"/>
      <c r="B160" s="123"/>
      <c r="C160" s="124"/>
      <c r="D160" s="124"/>
      <c r="E160" s="124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</row>
    <row x14ac:dyDescent="0.25" r="161" customHeight="1" ht="15.75">
      <c r="A161" s="123"/>
      <c r="B161" s="123"/>
      <c r="C161" s="124"/>
      <c r="D161" s="124"/>
      <c r="E161" s="124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</row>
    <row x14ac:dyDescent="0.25" r="162" customHeight="1" ht="15.75">
      <c r="A162" s="123"/>
      <c r="B162" s="123"/>
      <c r="C162" s="124"/>
      <c r="D162" s="124"/>
      <c r="E162" s="124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</row>
    <row x14ac:dyDescent="0.25" r="163" customHeight="1" ht="15.75">
      <c r="A163" s="123"/>
      <c r="B163" s="123"/>
      <c r="C163" s="124"/>
      <c r="D163" s="124"/>
      <c r="E163" s="124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</row>
    <row x14ac:dyDescent="0.25" r="164" customHeight="1" ht="15.75">
      <c r="A164" s="123"/>
      <c r="B164" s="123"/>
      <c r="C164" s="124"/>
      <c r="D164" s="124"/>
      <c r="E164" s="124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</row>
    <row x14ac:dyDescent="0.25" r="165" customHeight="1" ht="15.75">
      <c r="A165" s="123"/>
      <c r="B165" s="123"/>
      <c r="C165" s="124"/>
      <c r="D165" s="124"/>
      <c r="E165" s="124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</row>
    <row x14ac:dyDescent="0.25" r="166" customHeight="1" ht="15.75">
      <c r="A166" s="123"/>
      <c r="B166" s="123"/>
      <c r="C166" s="124"/>
      <c r="D166" s="124"/>
      <c r="E166" s="124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</row>
    <row x14ac:dyDescent="0.25" r="167" customHeight="1" ht="15.75">
      <c r="A167" s="123"/>
      <c r="B167" s="123"/>
      <c r="C167" s="124"/>
      <c r="D167" s="124"/>
      <c r="E167" s="124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</row>
    <row x14ac:dyDescent="0.25" r="168" customHeight="1" ht="15.75">
      <c r="A168" s="123"/>
      <c r="B168" s="123"/>
      <c r="C168" s="124"/>
      <c r="D168" s="124"/>
      <c r="E168" s="124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</row>
    <row x14ac:dyDescent="0.25" r="169" customHeight="1" ht="15.75">
      <c r="A169" s="123"/>
      <c r="B169" s="123"/>
      <c r="C169" s="124"/>
      <c r="D169" s="124"/>
      <c r="E169" s="124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</row>
    <row x14ac:dyDescent="0.25" r="170" customHeight="1" ht="15.75">
      <c r="A170" s="123"/>
      <c r="B170" s="123"/>
      <c r="C170" s="124"/>
      <c r="D170" s="124"/>
      <c r="E170" s="124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</row>
    <row x14ac:dyDescent="0.25" r="171" customHeight="1" ht="15.75">
      <c r="A171" s="123"/>
      <c r="B171" s="123"/>
      <c r="C171" s="124"/>
      <c r="D171" s="124"/>
      <c r="E171" s="124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</row>
    <row x14ac:dyDescent="0.25" r="172" customHeight="1" ht="15.75">
      <c r="A172" s="123"/>
      <c r="B172" s="123"/>
      <c r="C172" s="124"/>
      <c r="D172" s="124"/>
      <c r="E172" s="124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</row>
    <row x14ac:dyDescent="0.25" r="173" customHeight="1" ht="15.75">
      <c r="A173" s="123"/>
      <c r="B173" s="123"/>
      <c r="C173" s="124"/>
      <c r="D173" s="124"/>
      <c r="E173" s="124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</row>
    <row x14ac:dyDescent="0.25" r="174" customHeight="1" ht="15.75">
      <c r="A174" s="123"/>
      <c r="B174" s="123"/>
      <c r="C174" s="124"/>
      <c r="D174" s="124"/>
      <c r="E174" s="124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</row>
    <row x14ac:dyDescent="0.25" r="175" customHeight="1" ht="15.75">
      <c r="A175" s="123"/>
      <c r="B175" s="123"/>
      <c r="C175" s="124"/>
      <c r="D175" s="124"/>
      <c r="E175" s="124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</row>
    <row x14ac:dyDescent="0.25" r="176" customHeight="1" ht="15.75">
      <c r="A176" s="123"/>
      <c r="B176" s="123"/>
      <c r="C176" s="124"/>
      <c r="D176" s="124"/>
      <c r="E176" s="124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</row>
    <row x14ac:dyDescent="0.25" r="177" customHeight="1" ht="15.75">
      <c r="A177" s="123"/>
      <c r="B177" s="123"/>
      <c r="C177" s="124"/>
      <c r="D177" s="124"/>
      <c r="E177" s="124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</row>
    <row x14ac:dyDescent="0.25" r="178" customHeight="1" ht="15.75">
      <c r="A178" s="123"/>
      <c r="B178" s="123"/>
      <c r="C178" s="124"/>
      <c r="D178" s="124"/>
      <c r="E178" s="124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</row>
    <row x14ac:dyDescent="0.25" r="179" customHeight="1" ht="15.75">
      <c r="A179" s="123"/>
      <c r="B179" s="123"/>
      <c r="C179" s="124"/>
      <c r="D179" s="124"/>
      <c r="E179" s="124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</row>
    <row x14ac:dyDescent="0.25" r="180" customHeight="1" ht="15.75">
      <c r="A180" s="123"/>
      <c r="B180" s="123"/>
      <c r="C180" s="124"/>
      <c r="D180" s="124"/>
      <c r="E180" s="124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</row>
    <row x14ac:dyDescent="0.25" r="181" customHeight="1" ht="15.75">
      <c r="A181" s="123"/>
      <c r="B181" s="123"/>
      <c r="C181" s="124"/>
      <c r="D181" s="124"/>
      <c r="E181" s="124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</row>
    <row x14ac:dyDescent="0.25" r="182" customHeight="1" ht="15.75">
      <c r="A182" s="123"/>
      <c r="B182" s="123"/>
      <c r="C182" s="124"/>
      <c r="D182" s="124"/>
      <c r="E182" s="124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</row>
    <row x14ac:dyDescent="0.25" r="183" customHeight="1" ht="15.75">
      <c r="A183" s="123"/>
      <c r="B183" s="123"/>
      <c r="C183" s="124"/>
      <c r="D183" s="124"/>
      <c r="E183" s="124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</row>
    <row x14ac:dyDescent="0.25" r="184" customHeight="1" ht="15.75">
      <c r="A184" s="123"/>
      <c r="B184" s="123"/>
      <c r="C184" s="124"/>
      <c r="D184" s="124"/>
      <c r="E184" s="124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</row>
    <row x14ac:dyDescent="0.25" r="185" customHeight="1" ht="15.75">
      <c r="A185" s="123"/>
      <c r="B185" s="123"/>
      <c r="C185" s="124"/>
      <c r="D185" s="124"/>
      <c r="E185" s="124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</row>
    <row x14ac:dyDescent="0.25" r="186" customHeight="1" ht="15.75">
      <c r="A186" s="123"/>
      <c r="B186" s="123"/>
      <c r="C186" s="124"/>
      <c r="D186" s="124"/>
      <c r="E186" s="124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</row>
    <row x14ac:dyDescent="0.25" r="187" customHeight="1" ht="15.75">
      <c r="A187" s="123"/>
      <c r="B187" s="123"/>
      <c r="C187" s="124"/>
      <c r="D187" s="124"/>
      <c r="E187" s="124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</row>
    <row x14ac:dyDescent="0.25" r="188" customHeight="1" ht="15.75">
      <c r="A188" s="123"/>
      <c r="B188" s="123"/>
      <c r="C188" s="124"/>
      <c r="D188" s="124"/>
      <c r="E188" s="124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</row>
    <row x14ac:dyDescent="0.25" r="189" customHeight="1" ht="15.75">
      <c r="A189" s="123"/>
      <c r="B189" s="123"/>
      <c r="C189" s="124"/>
      <c r="D189" s="124"/>
      <c r="E189" s="124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</row>
    <row x14ac:dyDescent="0.25" r="190" customHeight="1" ht="15.75">
      <c r="A190" s="123"/>
      <c r="B190" s="123"/>
      <c r="C190" s="124"/>
      <c r="D190" s="124"/>
      <c r="E190" s="124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</row>
    <row x14ac:dyDescent="0.25" r="191" customHeight="1" ht="15.75">
      <c r="A191" s="123"/>
      <c r="B191" s="123"/>
      <c r="C191" s="124"/>
      <c r="D191" s="124"/>
      <c r="E191" s="124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</row>
    <row x14ac:dyDescent="0.25" r="192" customHeight="1" ht="15.75">
      <c r="A192" s="123"/>
      <c r="B192" s="123"/>
      <c r="C192" s="124"/>
      <c r="D192" s="124"/>
      <c r="E192" s="124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</row>
    <row x14ac:dyDescent="0.25" r="193" customHeight="1" ht="15.75">
      <c r="A193" s="123"/>
      <c r="B193" s="123"/>
      <c r="C193" s="124"/>
      <c r="D193" s="124"/>
      <c r="E193" s="124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</row>
    <row x14ac:dyDescent="0.25" r="194" customHeight="1" ht="15.75">
      <c r="A194" s="123"/>
      <c r="B194" s="123"/>
      <c r="C194" s="124"/>
      <c r="D194" s="124"/>
      <c r="E194" s="124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</row>
    <row x14ac:dyDescent="0.25" r="195" customHeight="1" ht="15.75">
      <c r="A195" s="123"/>
      <c r="B195" s="123"/>
      <c r="C195" s="124"/>
      <c r="D195" s="124"/>
      <c r="E195" s="124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</row>
    <row x14ac:dyDescent="0.25" r="196" customHeight="1" ht="15.75">
      <c r="A196" s="123"/>
      <c r="B196" s="123"/>
      <c r="C196" s="124"/>
      <c r="D196" s="124"/>
      <c r="E196" s="124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</row>
    <row x14ac:dyDescent="0.25" r="197" customHeight="1" ht="15.75">
      <c r="A197" s="123"/>
      <c r="B197" s="123"/>
      <c r="C197" s="124"/>
      <c r="D197" s="124"/>
      <c r="E197" s="124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</row>
    <row x14ac:dyDescent="0.25" r="198" customHeight="1" ht="15.75">
      <c r="A198" s="123"/>
      <c r="B198" s="123"/>
      <c r="C198" s="124"/>
      <c r="D198" s="124"/>
      <c r="E198" s="124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</row>
    <row x14ac:dyDescent="0.25" r="199" customHeight="1" ht="15.75">
      <c r="A199" s="123"/>
      <c r="B199" s="123"/>
      <c r="C199" s="124"/>
      <c r="D199" s="124"/>
      <c r="E199" s="124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</row>
    <row x14ac:dyDescent="0.25" r="200" customHeight="1" ht="15.75">
      <c r="A200" s="123"/>
      <c r="B200" s="123"/>
      <c r="C200" s="124"/>
      <c r="D200" s="124"/>
      <c r="E200" s="124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</row>
    <row x14ac:dyDescent="0.25" r="201" customHeight="1" ht="15.75">
      <c r="A201" s="123"/>
      <c r="B201" s="123"/>
      <c r="C201" s="124"/>
      <c r="D201" s="124"/>
      <c r="E201" s="124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</row>
    <row x14ac:dyDescent="0.25" r="202" customHeight="1" ht="15.75">
      <c r="A202" s="123"/>
      <c r="B202" s="123"/>
      <c r="C202" s="124"/>
      <c r="D202" s="124"/>
      <c r="E202" s="124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</row>
    <row x14ac:dyDescent="0.25" r="203" customHeight="1" ht="15.75">
      <c r="A203" s="123"/>
      <c r="B203" s="123"/>
      <c r="C203" s="124"/>
      <c r="D203" s="124"/>
      <c r="E203" s="124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</row>
    <row x14ac:dyDescent="0.25" r="204" customHeight="1" ht="15.75">
      <c r="A204" s="123"/>
      <c r="B204" s="123"/>
      <c r="C204" s="124"/>
      <c r="D204" s="124"/>
      <c r="E204" s="124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</row>
    <row x14ac:dyDescent="0.25" r="205" customHeight="1" ht="15.75">
      <c r="A205" s="123"/>
      <c r="B205" s="123"/>
      <c r="C205" s="124"/>
      <c r="D205" s="124"/>
      <c r="E205" s="124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</row>
    <row x14ac:dyDescent="0.25" r="206" customHeight="1" ht="15.75">
      <c r="A206" s="123"/>
      <c r="B206" s="123"/>
      <c r="C206" s="124"/>
      <c r="D206" s="124"/>
      <c r="E206" s="124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</row>
    <row x14ac:dyDescent="0.25" r="207" customHeight="1" ht="15.75">
      <c r="A207" s="123"/>
      <c r="B207" s="123"/>
      <c r="C207" s="124"/>
      <c r="D207" s="124"/>
      <c r="E207" s="124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</row>
    <row x14ac:dyDescent="0.25" r="208" customHeight="1" ht="15.75">
      <c r="A208" s="123"/>
      <c r="B208" s="123"/>
      <c r="C208" s="124"/>
      <c r="D208" s="124"/>
      <c r="E208" s="124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</row>
    <row x14ac:dyDescent="0.25" r="209" customHeight="1" ht="15.75">
      <c r="A209" s="123"/>
      <c r="B209" s="123"/>
      <c r="C209" s="124"/>
      <c r="D209" s="124"/>
      <c r="E209" s="124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</row>
    <row x14ac:dyDescent="0.25" r="210" customHeight="1" ht="15.75">
      <c r="A210" s="123"/>
      <c r="B210" s="123"/>
      <c r="C210" s="124"/>
      <c r="D210" s="124"/>
      <c r="E210" s="124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</row>
    <row x14ac:dyDescent="0.25" r="211" customHeight="1" ht="15.75">
      <c r="A211" s="123"/>
      <c r="B211" s="123"/>
      <c r="C211" s="124"/>
      <c r="D211" s="124"/>
      <c r="E211" s="124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</row>
    <row x14ac:dyDescent="0.25" r="212" customHeight="1" ht="15.75">
      <c r="A212" s="123"/>
      <c r="B212" s="123"/>
      <c r="C212" s="124"/>
      <c r="D212" s="124"/>
      <c r="E212" s="124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</row>
    <row x14ac:dyDescent="0.25" r="213" customHeight="1" ht="15.75">
      <c r="A213" s="123"/>
      <c r="B213" s="123"/>
      <c r="C213" s="124"/>
      <c r="D213" s="124"/>
      <c r="E213" s="124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</row>
    <row x14ac:dyDescent="0.25" r="214" customHeight="1" ht="15.75">
      <c r="A214" s="123"/>
      <c r="B214" s="123"/>
      <c r="C214" s="124"/>
      <c r="D214" s="124"/>
      <c r="E214" s="124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</row>
    <row x14ac:dyDescent="0.25" r="215" customHeight="1" ht="15.75">
      <c r="A215" s="123"/>
      <c r="B215" s="123"/>
      <c r="C215" s="124"/>
      <c r="D215" s="124"/>
      <c r="E215" s="124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</row>
    <row x14ac:dyDescent="0.25" r="216" customHeight="1" ht="15.75">
      <c r="A216" s="123"/>
      <c r="B216" s="123"/>
      <c r="C216" s="124"/>
      <c r="D216" s="124"/>
      <c r="E216" s="124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</row>
    <row x14ac:dyDescent="0.25" r="217" customHeight="1" ht="15.75">
      <c r="A217" s="123"/>
      <c r="B217" s="123"/>
      <c r="C217" s="124"/>
      <c r="D217" s="124"/>
      <c r="E217" s="124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</row>
    <row x14ac:dyDescent="0.25" r="218" customHeight="1" ht="15.75">
      <c r="A218" s="123"/>
      <c r="B218" s="123"/>
      <c r="C218" s="124"/>
      <c r="D218" s="124"/>
      <c r="E218" s="124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</row>
    <row x14ac:dyDescent="0.25" r="219" customHeight="1" ht="15.75">
      <c r="A219" s="123"/>
      <c r="B219" s="123"/>
      <c r="C219" s="124"/>
      <c r="D219" s="124"/>
      <c r="E219" s="124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</row>
    <row x14ac:dyDescent="0.25" r="220" customHeight="1" ht="15.75">
      <c r="A220" s="123"/>
      <c r="B220" s="123"/>
      <c r="C220" s="124"/>
      <c r="D220" s="124"/>
      <c r="E220" s="124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</row>
    <row x14ac:dyDescent="0.25" r="221" customHeight="1" ht="15.75">
      <c r="A221" s="123"/>
      <c r="B221" s="123"/>
      <c r="C221" s="124"/>
      <c r="D221" s="124"/>
      <c r="E221" s="124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</row>
    <row x14ac:dyDescent="0.25" r="222" customHeight="1" ht="15.75">
      <c r="A222" s="123"/>
      <c r="B222" s="123"/>
      <c r="C222" s="124"/>
      <c r="D222" s="124"/>
      <c r="E222" s="124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</row>
    <row x14ac:dyDescent="0.25" r="223" customHeight="1" ht="15.75">
      <c r="A223" s="123"/>
      <c r="B223" s="123"/>
      <c r="C223" s="124"/>
      <c r="D223" s="124"/>
      <c r="E223" s="124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</row>
    <row x14ac:dyDescent="0.25" r="224" customHeight="1" ht="15.75">
      <c r="A224" s="123"/>
      <c r="B224" s="123"/>
      <c r="C224" s="124"/>
      <c r="D224" s="124"/>
      <c r="E224" s="124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</row>
    <row x14ac:dyDescent="0.25" r="225" customHeight="1" ht="15.75">
      <c r="A225" s="123"/>
      <c r="B225" s="123"/>
      <c r="C225" s="124"/>
      <c r="D225" s="124"/>
      <c r="E225" s="124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</row>
    <row x14ac:dyDescent="0.25" r="226" customHeight="1" ht="15.75">
      <c r="A226" s="123"/>
      <c r="B226" s="123"/>
      <c r="C226" s="124"/>
      <c r="D226" s="124"/>
      <c r="E226" s="124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</row>
    <row x14ac:dyDescent="0.25" r="227" customHeight="1" ht="15.75">
      <c r="A227" s="123"/>
      <c r="B227" s="123"/>
      <c r="C227" s="124"/>
      <c r="D227" s="124"/>
      <c r="E227" s="124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</row>
    <row x14ac:dyDescent="0.25" r="228" customHeight="1" ht="15.75">
      <c r="A228" s="123"/>
      <c r="B228" s="123"/>
      <c r="C228" s="124"/>
      <c r="D228" s="124"/>
      <c r="E228" s="124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</row>
    <row x14ac:dyDescent="0.25" r="229" customHeight="1" ht="15.75">
      <c r="A229" s="123"/>
      <c r="B229" s="123"/>
      <c r="C229" s="124"/>
      <c r="D229" s="124"/>
      <c r="E229" s="124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</row>
    <row x14ac:dyDescent="0.25" r="230" customHeight="1" ht="15.75">
      <c r="A230" s="123"/>
      <c r="B230" s="123"/>
      <c r="C230" s="124"/>
      <c r="D230" s="124"/>
      <c r="E230" s="124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</row>
    <row x14ac:dyDescent="0.25" r="231" customHeight="1" ht="15.75">
      <c r="A231" s="123"/>
      <c r="B231" s="123"/>
      <c r="C231" s="124"/>
      <c r="D231" s="124"/>
      <c r="E231" s="124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</row>
    <row x14ac:dyDescent="0.25" r="232" customHeight="1" ht="15.75">
      <c r="A232" s="123"/>
      <c r="B232" s="123"/>
      <c r="C232" s="124"/>
      <c r="D232" s="124"/>
      <c r="E232" s="124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</row>
    <row x14ac:dyDescent="0.25" r="233" customHeight="1" ht="15.75">
      <c r="A233" s="123"/>
      <c r="B233" s="123"/>
      <c r="C233" s="124"/>
      <c r="D233" s="124"/>
      <c r="E233" s="124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</row>
    <row x14ac:dyDescent="0.25" r="234" customHeight="1" ht="15.75">
      <c r="A234" s="123"/>
      <c r="B234" s="123"/>
      <c r="C234" s="124"/>
      <c r="D234" s="124"/>
      <c r="E234" s="124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</row>
    <row x14ac:dyDescent="0.25" r="235" customHeight="1" ht="15.75">
      <c r="A235" s="123"/>
      <c r="B235" s="123"/>
      <c r="C235" s="124"/>
      <c r="D235" s="124"/>
      <c r="E235" s="124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</row>
    <row x14ac:dyDescent="0.25" r="236" customHeight="1" ht="15.75">
      <c r="A236" s="123"/>
      <c r="B236" s="123"/>
      <c r="C236" s="124"/>
      <c r="D236" s="124"/>
      <c r="E236" s="124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</row>
    <row x14ac:dyDescent="0.25" r="237" customHeight="1" ht="15.75">
      <c r="A237" s="123"/>
      <c r="B237" s="123"/>
      <c r="C237" s="124"/>
      <c r="D237" s="124"/>
      <c r="E237" s="124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</row>
    <row x14ac:dyDescent="0.25" r="238" customHeight="1" ht="15.75">
      <c r="A238" s="123"/>
      <c r="B238" s="123"/>
      <c r="C238" s="124"/>
      <c r="D238" s="124"/>
      <c r="E238" s="124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</row>
    <row x14ac:dyDescent="0.25" r="239" customHeight="1" ht="15.75">
      <c r="A239" s="123"/>
      <c r="B239" s="123"/>
      <c r="C239" s="124"/>
      <c r="D239" s="124"/>
      <c r="E239" s="124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</row>
    <row x14ac:dyDescent="0.25" r="240" customHeight="1" ht="15.75">
      <c r="A240" s="123"/>
      <c r="B240" s="123"/>
      <c r="C240" s="124"/>
      <c r="D240" s="124"/>
      <c r="E240" s="124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</row>
    <row x14ac:dyDescent="0.25" r="241" customHeight="1" ht="15.75">
      <c r="A241" s="123"/>
      <c r="B241" s="123"/>
      <c r="C241" s="124"/>
      <c r="D241" s="124"/>
      <c r="E241" s="124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</row>
    <row x14ac:dyDescent="0.25" r="242" customHeight="1" ht="15.75">
      <c r="A242" s="123"/>
      <c r="B242" s="123"/>
      <c r="C242" s="124"/>
      <c r="D242" s="124"/>
      <c r="E242" s="124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</row>
    <row x14ac:dyDescent="0.25" r="243" customHeight="1" ht="15.75">
      <c r="A243" s="123"/>
      <c r="B243" s="123"/>
      <c r="C243" s="124"/>
      <c r="D243" s="124"/>
      <c r="E243" s="124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</row>
    <row x14ac:dyDescent="0.25" r="244" customHeight="1" ht="15.75">
      <c r="A244" s="123"/>
      <c r="B244" s="123"/>
      <c r="C244" s="124"/>
      <c r="D244" s="124"/>
      <c r="E244" s="124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</row>
    <row x14ac:dyDescent="0.25" r="245" customHeight="1" ht="15.75">
      <c r="A245" s="123"/>
      <c r="B245" s="123"/>
      <c r="C245" s="124"/>
      <c r="D245" s="124"/>
      <c r="E245" s="124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</row>
    <row x14ac:dyDescent="0.25" r="246" customHeight="1" ht="15.75">
      <c r="A246" s="123"/>
      <c r="B246" s="123"/>
      <c r="C246" s="124"/>
      <c r="D246" s="124"/>
      <c r="E246" s="124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</row>
    <row x14ac:dyDescent="0.25" r="247" customHeight="1" ht="15.75">
      <c r="A247" s="123"/>
      <c r="B247" s="123"/>
      <c r="C247" s="124"/>
      <c r="D247" s="124"/>
      <c r="E247" s="124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</row>
    <row x14ac:dyDescent="0.25" r="248" customHeight="1" ht="15.75">
      <c r="A248" s="123"/>
      <c r="B248" s="123"/>
      <c r="C248" s="124"/>
      <c r="D248" s="124"/>
      <c r="E248" s="124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</row>
    <row x14ac:dyDescent="0.25" r="249" customHeight="1" ht="15.75">
      <c r="A249" s="123"/>
      <c r="B249" s="123"/>
      <c r="C249" s="124"/>
      <c r="D249" s="124"/>
      <c r="E249" s="124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</row>
    <row x14ac:dyDescent="0.25" r="250" customHeight="1" ht="15.75">
      <c r="A250" s="123"/>
      <c r="B250" s="123"/>
      <c r="C250" s="124"/>
      <c r="D250" s="124"/>
      <c r="E250" s="124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</row>
    <row x14ac:dyDescent="0.25" r="251" customHeight="1" ht="15.75">
      <c r="A251" s="123"/>
      <c r="B251" s="123"/>
      <c r="C251" s="124"/>
      <c r="D251" s="124"/>
      <c r="E251" s="124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</row>
    <row x14ac:dyDescent="0.25" r="252" customHeight="1" ht="15.75">
      <c r="A252" s="123"/>
      <c r="B252" s="123"/>
      <c r="C252" s="124"/>
      <c r="D252" s="124"/>
      <c r="E252" s="124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</row>
    <row x14ac:dyDescent="0.25" r="253" customHeight="1" ht="15.75">
      <c r="A253" s="123"/>
      <c r="B253" s="123"/>
      <c r="C253" s="124"/>
      <c r="D253" s="124"/>
      <c r="E253" s="124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</row>
    <row x14ac:dyDescent="0.25" r="254" customHeight="1" ht="15.75">
      <c r="A254" s="123"/>
      <c r="B254" s="123"/>
      <c r="C254" s="124"/>
      <c r="D254" s="124"/>
      <c r="E254" s="124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</row>
    <row x14ac:dyDescent="0.25" r="255" customHeight="1" ht="15.75">
      <c r="A255" s="123"/>
      <c r="B255" s="123"/>
      <c r="C255" s="124"/>
      <c r="D255" s="124"/>
      <c r="E255" s="124"/>
      <c r="F255" s="113"/>
      <c r="G255" s="113"/>
      <c r="H255" s="113"/>
      <c r="I255" s="113"/>
      <c r="J255" s="113"/>
      <c r="K255" s="113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</row>
    <row x14ac:dyDescent="0.25" r="256" customHeight="1" ht="15.75">
      <c r="A256" s="123"/>
      <c r="B256" s="123"/>
      <c r="C256" s="124"/>
      <c r="D256" s="124"/>
      <c r="E256" s="124"/>
      <c r="F256" s="113"/>
      <c r="G256" s="113"/>
      <c r="H256" s="113"/>
      <c r="I256" s="113"/>
      <c r="J256" s="113"/>
      <c r="K256" s="113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</row>
    <row x14ac:dyDescent="0.25" r="257" customHeight="1" ht="15.75">
      <c r="A257" s="123"/>
      <c r="B257" s="123"/>
      <c r="C257" s="124"/>
      <c r="D257" s="124"/>
      <c r="E257" s="124"/>
      <c r="F257" s="113"/>
      <c r="G257" s="113"/>
      <c r="H257" s="113"/>
      <c r="I257" s="113"/>
      <c r="J257" s="113"/>
      <c r="K257" s="113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</row>
    <row x14ac:dyDescent="0.25" r="258" customHeight="1" ht="15.75">
      <c r="A258" s="123"/>
      <c r="B258" s="123"/>
      <c r="C258" s="124"/>
      <c r="D258" s="124"/>
      <c r="E258" s="124"/>
      <c r="F258" s="113"/>
      <c r="G258" s="113"/>
      <c r="H258" s="113"/>
      <c r="I258" s="113"/>
      <c r="J258" s="113"/>
      <c r="K258" s="113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</row>
    <row x14ac:dyDescent="0.25" r="259" customHeight="1" ht="15.75">
      <c r="A259" s="123"/>
      <c r="B259" s="123"/>
      <c r="C259" s="124"/>
      <c r="D259" s="124"/>
      <c r="E259" s="124"/>
      <c r="F259" s="113"/>
      <c r="G259" s="113"/>
      <c r="H259" s="113"/>
      <c r="I259" s="113"/>
      <c r="J259" s="113"/>
      <c r="K259" s="113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</row>
    <row x14ac:dyDescent="0.25" r="260" customHeight="1" ht="15.75">
      <c r="A260" s="123"/>
      <c r="B260" s="123"/>
      <c r="C260" s="124"/>
      <c r="D260" s="124"/>
      <c r="E260" s="124"/>
      <c r="F260" s="113"/>
      <c r="G260" s="113"/>
      <c r="H260" s="113"/>
      <c r="I260" s="113"/>
      <c r="J260" s="113"/>
      <c r="K260" s="113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</row>
    <row x14ac:dyDescent="0.25" r="261" customHeight="1" ht="15.75">
      <c r="A261" s="123"/>
      <c r="B261" s="123"/>
      <c r="C261" s="124"/>
      <c r="D261" s="124"/>
      <c r="E261" s="124"/>
      <c r="F261" s="113"/>
      <c r="G261" s="113"/>
      <c r="H261" s="113"/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</row>
    <row x14ac:dyDescent="0.25" r="262" customHeight="1" ht="15.75">
      <c r="A262" s="123"/>
      <c r="B262" s="123"/>
      <c r="C262" s="124"/>
      <c r="D262" s="124"/>
      <c r="E262" s="124"/>
      <c r="F262" s="113"/>
      <c r="G262" s="113"/>
      <c r="H262" s="113"/>
      <c r="I262" s="113"/>
      <c r="J262" s="113"/>
      <c r="K262" s="113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</row>
    <row x14ac:dyDescent="0.25" r="263" customHeight="1" ht="15.75">
      <c r="A263" s="123"/>
      <c r="B263" s="123"/>
      <c r="C263" s="124"/>
      <c r="D263" s="124"/>
      <c r="E263" s="124"/>
      <c r="F263" s="113"/>
      <c r="G263" s="113"/>
      <c r="H263" s="113"/>
      <c r="I263" s="113"/>
      <c r="J263" s="113"/>
      <c r="K263" s="113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</row>
    <row x14ac:dyDescent="0.25" r="264" customHeight="1" ht="15.75">
      <c r="A264" s="123"/>
      <c r="B264" s="123"/>
      <c r="C264" s="124"/>
      <c r="D264" s="124"/>
      <c r="E264" s="124"/>
      <c r="F264" s="113"/>
      <c r="G264" s="113"/>
      <c r="H264" s="113"/>
      <c r="I264" s="113"/>
      <c r="J264" s="113"/>
      <c r="K264" s="113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</row>
    <row x14ac:dyDescent="0.25" r="265" customHeight="1" ht="15.75">
      <c r="A265" s="123"/>
      <c r="B265" s="123"/>
      <c r="C265" s="124"/>
      <c r="D265" s="124"/>
      <c r="E265" s="124"/>
      <c r="F265" s="113"/>
      <c r="G265" s="113"/>
      <c r="H265" s="113"/>
      <c r="I265" s="113"/>
      <c r="J265" s="113"/>
      <c r="K265" s="113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</row>
    <row x14ac:dyDescent="0.25" r="266" customHeight="1" ht="15.75">
      <c r="A266" s="123"/>
      <c r="B266" s="123"/>
      <c r="C266" s="124"/>
      <c r="D266" s="124"/>
      <c r="E266" s="124"/>
      <c r="F266" s="113"/>
      <c r="G266" s="113"/>
      <c r="H266" s="113"/>
      <c r="I266" s="113"/>
      <c r="J266" s="113"/>
      <c r="K266" s="113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</row>
    <row x14ac:dyDescent="0.25" r="267" customHeight="1" ht="15.75">
      <c r="A267" s="123"/>
      <c r="B267" s="123"/>
      <c r="C267" s="124"/>
      <c r="D267" s="124"/>
      <c r="E267" s="124"/>
      <c r="F267" s="113"/>
      <c r="G267" s="113"/>
      <c r="H267" s="113"/>
      <c r="I267" s="113"/>
      <c r="J267" s="113"/>
      <c r="K267" s="113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</row>
    <row x14ac:dyDescent="0.25" r="268" customHeight="1" ht="15.75">
      <c r="A268" s="123"/>
      <c r="B268" s="123"/>
      <c r="C268" s="124"/>
      <c r="D268" s="124"/>
      <c r="E268" s="124"/>
      <c r="F268" s="113"/>
      <c r="G268" s="113"/>
      <c r="H268" s="113"/>
      <c r="I268" s="113"/>
      <c r="J268" s="113"/>
      <c r="K268" s="113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</row>
    <row x14ac:dyDescent="0.25" r="269" customHeight="1" ht="15.75">
      <c r="A269" s="123"/>
      <c r="B269" s="123"/>
      <c r="C269" s="124"/>
      <c r="D269" s="124"/>
      <c r="E269" s="124"/>
      <c r="F269" s="113"/>
      <c r="G269" s="113"/>
      <c r="H269" s="113"/>
      <c r="I269" s="113"/>
      <c r="J269" s="113"/>
      <c r="K269" s="113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</row>
    <row x14ac:dyDescent="0.25" r="270" customHeight="1" ht="15.75">
      <c r="A270" s="123"/>
      <c r="B270" s="123"/>
      <c r="C270" s="124"/>
      <c r="D270" s="124"/>
      <c r="E270" s="124"/>
      <c r="F270" s="113"/>
      <c r="G270" s="113"/>
      <c r="H270" s="113"/>
      <c r="I270" s="113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</row>
    <row x14ac:dyDescent="0.25" r="271" customHeight="1" ht="15.75">
      <c r="A271" s="123"/>
      <c r="B271" s="123"/>
      <c r="C271" s="124"/>
      <c r="D271" s="124"/>
      <c r="E271" s="124"/>
      <c r="F271" s="113"/>
      <c r="G271" s="113"/>
      <c r="H271" s="113"/>
      <c r="I271" s="113"/>
      <c r="J271" s="113"/>
      <c r="K271" s="113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</row>
    <row x14ac:dyDescent="0.25" r="272" customHeight="1" ht="15.75">
      <c r="A272" s="123"/>
      <c r="B272" s="123"/>
      <c r="C272" s="124"/>
      <c r="D272" s="124"/>
      <c r="E272" s="124"/>
      <c r="F272" s="113"/>
      <c r="G272" s="113"/>
      <c r="H272" s="113"/>
      <c r="I272" s="113"/>
      <c r="J272" s="113"/>
      <c r="K272" s="113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</row>
    <row x14ac:dyDescent="0.25" r="273" customHeight="1" ht="15.75">
      <c r="A273" s="123"/>
      <c r="B273" s="123"/>
      <c r="C273" s="124"/>
      <c r="D273" s="124"/>
      <c r="E273" s="124"/>
      <c r="F273" s="113"/>
      <c r="G273" s="113"/>
      <c r="H273" s="113"/>
      <c r="I273" s="113"/>
      <c r="J273" s="113"/>
      <c r="K273" s="113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</row>
    <row x14ac:dyDescent="0.25" r="274" customHeight="1" ht="15.75">
      <c r="A274" s="123"/>
      <c r="B274" s="123"/>
      <c r="C274" s="124"/>
      <c r="D274" s="124"/>
      <c r="E274" s="124"/>
      <c r="F274" s="113"/>
      <c r="G274" s="113"/>
      <c r="H274" s="113"/>
      <c r="I274" s="113"/>
      <c r="J274" s="113"/>
      <c r="K274" s="113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</row>
    <row x14ac:dyDescent="0.25" r="275" customHeight="1" ht="15.75">
      <c r="A275" s="123"/>
      <c r="B275" s="123"/>
      <c r="C275" s="124"/>
      <c r="D275" s="124"/>
      <c r="E275" s="124"/>
      <c r="F275" s="113"/>
      <c r="G275" s="113"/>
      <c r="H275" s="113"/>
      <c r="I275" s="113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</row>
    <row x14ac:dyDescent="0.25" r="276" customHeight="1" ht="15.75">
      <c r="A276" s="123"/>
      <c r="B276" s="123"/>
      <c r="C276" s="124"/>
      <c r="D276" s="124"/>
      <c r="E276" s="124"/>
      <c r="F276" s="113"/>
      <c r="G276" s="113"/>
      <c r="H276" s="113"/>
      <c r="I276" s="113"/>
      <c r="J276" s="113"/>
      <c r="K276" s="113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</row>
    <row x14ac:dyDescent="0.25" r="277" customHeight="1" ht="15.75">
      <c r="A277" s="123"/>
      <c r="B277" s="123"/>
      <c r="C277" s="124"/>
      <c r="D277" s="124"/>
      <c r="E277" s="124"/>
      <c r="F277" s="113"/>
      <c r="G277" s="113"/>
      <c r="H277" s="113"/>
      <c r="I277" s="113"/>
      <c r="J277" s="113"/>
      <c r="K277" s="113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</row>
    <row x14ac:dyDescent="0.25" r="278" customHeight="1" ht="15.75">
      <c r="A278" s="123"/>
      <c r="B278" s="123"/>
      <c r="C278" s="124"/>
      <c r="D278" s="124"/>
      <c r="E278" s="124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</row>
    <row x14ac:dyDescent="0.25" r="279" customHeight="1" ht="15.75">
      <c r="A279" s="123"/>
      <c r="B279" s="123"/>
      <c r="C279" s="124"/>
      <c r="D279" s="124"/>
      <c r="E279" s="124"/>
      <c r="F279" s="113"/>
      <c r="G279" s="113"/>
      <c r="H279" s="113"/>
      <c r="I279" s="113"/>
      <c r="J279" s="113"/>
      <c r="K279" s="113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</row>
    <row x14ac:dyDescent="0.25" r="280" customHeight="1" ht="15.75">
      <c r="A280" s="123"/>
      <c r="B280" s="123"/>
      <c r="C280" s="124"/>
      <c r="D280" s="124"/>
      <c r="E280" s="124"/>
      <c r="F280" s="113"/>
      <c r="G280" s="113"/>
      <c r="H280" s="113"/>
      <c r="I280" s="113"/>
      <c r="J280" s="113"/>
      <c r="K280" s="113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</row>
    <row x14ac:dyDescent="0.25" r="281" customHeight="1" ht="15.75">
      <c r="A281" s="123"/>
      <c r="B281" s="123"/>
      <c r="C281" s="124"/>
      <c r="D281" s="124"/>
      <c r="E281" s="124"/>
      <c r="F281" s="113"/>
      <c r="G281" s="113"/>
      <c r="H281" s="113"/>
      <c r="I281" s="113"/>
      <c r="J281" s="113"/>
      <c r="K281" s="113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</row>
    <row x14ac:dyDescent="0.25" r="282" customHeight="1" ht="15.75">
      <c r="A282" s="123"/>
      <c r="B282" s="123"/>
      <c r="C282" s="124"/>
      <c r="D282" s="124"/>
      <c r="E282" s="124"/>
      <c r="F282" s="113"/>
      <c r="G282" s="113"/>
      <c r="H282" s="113"/>
      <c r="I282" s="113"/>
      <c r="J282" s="113"/>
      <c r="K282" s="113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</row>
    <row x14ac:dyDescent="0.25" r="283" customHeight="1" ht="15.75">
      <c r="A283" s="123"/>
      <c r="B283" s="123"/>
      <c r="C283" s="124"/>
      <c r="D283" s="124"/>
      <c r="E283" s="124"/>
      <c r="F283" s="113"/>
      <c r="G283" s="113"/>
      <c r="H283" s="113"/>
      <c r="I283" s="113"/>
      <c r="J283" s="113"/>
      <c r="K283" s="113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</row>
    <row x14ac:dyDescent="0.25" r="284" customHeight="1" ht="15.75">
      <c r="A284" s="123"/>
      <c r="B284" s="123"/>
      <c r="C284" s="124"/>
      <c r="D284" s="124"/>
      <c r="E284" s="124"/>
      <c r="F284" s="113"/>
      <c r="G284" s="113"/>
      <c r="H284" s="113"/>
      <c r="I284" s="113"/>
      <c r="J284" s="113"/>
      <c r="K284" s="113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</row>
    <row x14ac:dyDescent="0.25" r="285" customHeight="1" ht="15.75">
      <c r="A285" s="123"/>
      <c r="B285" s="123"/>
      <c r="C285" s="124"/>
      <c r="D285" s="124"/>
      <c r="E285" s="124"/>
      <c r="F285" s="113"/>
      <c r="G285" s="113"/>
      <c r="H285" s="113"/>
      <c r="I285" s="113"/>
      <c r="J285" s="113"/>
      <c r="K285" s="113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</row>
    <row x14ac:dyDescent="0.25" r="286" customHeight="1" ht="15.75">
      <c r="A286" s="123"/>
      <c r="B286" s="123"/>
      <c r="C286" s="124"/>
      <c r="D286" s="124"/>
      <c r="E286" s="124"/>
      <c r="F286" s="113"/>
      <c r="G286" s="113"/>
      <c r="H286" s="113"/>
      <c r="I286" s="113"/>
      <c r="J286" s="113"/>
      <c r="K286" s="113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</row>
    <row x14ac:dyDescent="0.25" r="287" customHeight="1" ht="15.75">
      <c r="A287" s="123"/>
      <c r="B287" s="123"/>
      <c r="C287" s="124"/>
      <c r="D287" s="124"/>
      <c r="E287" s="124"/>
      <c r="F287" s="113"/>
      <c r="G287" s="113"/>
      <c r="H287" s="113"/>
      <c r="I287" s="113"/>
      <c r="J287" s="113"/>
      <c r="K287" s="113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</row>
    <row x14ac:dyDescent="0.25" r="288" customHeight="1" ht="15.75">
      <c r="A288" s="123"/>
      <c r="B288" s="123"/>
      <c r="C288" s="124"/>
      <c r="D288" s="124"/>
      <c r="E288" s="124"/>
      <c r="F288" s="113"/>
      <c r="G288" s="113"/>
      <c r="H288" s="113"/>
      <c r="I288" s="113"/>
      <c r="J288" s="113"/>
      <c r="K288" s="113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</row>
    <row x14ac:dyDescent="0.25" r="289" customHeight="1" ht="15.75">
      <c r="A289" s="123"/>
      <c r="B289" s="123"/>
      <c r="C289" s="124"/>
      <c r="D289" s="124"/>
      <c r="E289" s="124"/>
      <c r="F289" s="113"/>
      <c r="G289" s="113"/>
      <c r="H289" s="113"/>
      <c r="I289" s="113"/>
      <c r="J289" s="113"/>
      <c r="K289" s="113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</row>
    <row x14ac:dyDescent="0.25" r="290" customHeight="1" ht="15.75">
      <c r="A290" s="123"/>
      <c r="B290" s="123"/>
      <c r="C290" s="124"/>
      <c r="D290" s="124"/>
      <c r="E290" s="124"/>
      <c r="F290" s="113"/>
      <c r="G290" s="113"/>
      <c r="H290" s="113"/>
      <c r="I290" s="113"/>
      <c r="J290" s="113"/>
      <c r="K290" s="113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</row>
    <row x14ac:dyDescent="0.25" r="291" customHeight="1" ht="15.75">
      <c r="A291" s="123"/>
      <c r="B291" s="123"/>
      <c r="C291" s="124"/>
      <c r="D291" s="124"/>
      <c r="E291" s="124"/>
      <c r="F291" s="113"/>
      <c r="G291" s="113"/>
      <c r="H291" s="113"/>
      <c r="I291" s="113"/>
      <c r="J291" s="113"/>
      <c r="K291" s="113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</row>
    <row x14ac:dyDescent="0.25" r="292" customHeight="1" ht="15.75">
      <c r="A292" s="123"/>
      <c r="B292" s="123"/>
      <c r="C292" s="124"/>
      <c r="D292" s="124"/>
      <c r="E292" s="124"/>
      <c r="F292" s="113"/>
      <c r="G292" s="113"/>
      <c r="H292" s="113"/>
      <c r="I292" s="113"/>
      <c r="J292" s="113"/>
      <c r="K292" s="113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</row>
    <row x14ac:dyDescent="0.25" r="293" customHeight="1" ht="15.75">
      <c r="A293" s="123"/>
      <c r="B293" s="123"/>
      <c r="C293" s="124"/>
      <c r="D293" s="124"/>
      <c r="E293" s="124"/>
      <c r="F293" s="113"/>
      <c r="G293" s="113"/>
      <c r="H293" s="113"/>
      <c r="I293" s="113"/>
      <c r="J293" s="113"/>
      <c r="K293" s="113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</row>
    <row x14ac:dyDescent="0.25" r="294" customHeight="1" ht="15.75">
      <c r="A294" s="123"/>
      <c r="B294" s="123"/>
      <c r="C294" s="124"/>
      <c r="D294" s="124"/>
      <c r="E294" s="124"/>
      <c r="F294" s="113"/>
      <c r="G294" s="113"/>
      <c r="H294" s="113"/>
      <c r="I294" s="113"/>
      <c r="J294" s="113"/>
      <c r="K294" s="113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</row>
    <row x14ac:dyDescent="0.25" r="295" customHeight="1" ht="15.75">
      <c r="A295" s="123"/>
      <c r="B295" s="123"/>
      <c r="C295" s="124"/>
      <c r="D295" s="124"/>
      <c r="E295" s="124"/>
      <c r="F295" s="113"/>
      <c r="G295" s="113"/>
      <c r="H295" s="113"/>
      <c r="I295" s="113"/>
      <c r="J295" s="113"/>
      <c r="K295" s="113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</row>
    <row x14ac:dyDescent="0.25" r="296" customHeight="1" ht="15.75">
      <c r="A296" s="123"/>
      <c r="B296" s="123"/>
      <c r="C296" s="124"/>
      <c r="D296" s="124"/>
      <c r="E296" s="124"/>
      <c r="F296" s="113"/>
      <c r="G296" s="113"/>
      <c r="H296" s="113"/>
      <c r="I296" s="113"/>
      <c r="J296" s="113"/>
      <c r="K296" s="113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</row>
    <row x14ac:dyDescent="0.25" r="297" customHeight="1" ht="15.75">
      <c r="A297" s="123"/>
      <c r="B297" s="123"/>
      <c r="C297" s="124"/>
      <c r="D297" s="124"/>
      <c r="E297" s="124"/>
      <c r="F297" s="113"/>
      <c r="G297" s="113"/>
      <c r="H297" s="113"/>
      <c r="I297" s="113"/>
      <c r="J297" s="113"/>
      <c r="K297" s="113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</row>
    <row x14ac:dyDescent="0.25" r="298" customHeight="1" ht="15.75">
      <c r="A298" s="123"/>
      <c r="B298" s="123"/>
      <c r="C298" s="124"/>
      <c r="D298" s="124"/>
      <c r="E298" s="124"/>
      <c r="F298" s="113"/>
      <c r="G298" s="113"/>
      <c r="H298" s="113"/>
      <c r="I298" s="113"/>
      <c r="J298" s="113"/>
      <c r="K298" s="113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</row>
    <row x14ac:dyDescent="0.25" r="299" customHeight="1" ht="15.75">
      <c r="A299" s="123"/>
      <c r="B299" s="123"/>
      <c r="C299" s="124"/>
      <c r="D299" s="124"/>
      <c r="E299" s="124"/>
      <c r="F299" s="113"/>
      <c r="G299" s="113"/>
      <c r="H299" s="113"/>
      <c r="I299" s="113"/>
      <c r="J299" s="113"/>
      <c r="K299" s="113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</row>
    <row x14ac:dyDescent="0.25" r="300" customHeight="1" ht="15.75">
      <c r="A300" s="123"/>
      <c r="B300" s="123"/>
      <c r="C300" s="124"/>
      <c r="D300" s="124"/>
      <c r="E300" s="124"/>
      <c r="F300" s="113"/>
      <c r="G300" s="113"/>
      <c r="H300" s="113"/>
      <c r="I300" s="113"/>
      <c r="J300" s="113"/>
      <c r="K300" s="113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</row>
    <row x14ac:dyDescent="0.25" r="301" customHeight="1" ht="15.75">
      <c r="A301" s="123"/>
      <c r="B301" s="123"/>
      <c r="C301" s="124"/>
      <c r="D301" s="124"/>
      <c r="E301" s="124"/>
      <c r="F301" s="113"/>
      <c r="G301" s="113"/>
      <c r="H301" s="113"/>
      <c r="I301" s="113"/>
      <c r="J301" s="113"/>
      <c r="K301" s="113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</row>
    <row x14ac:dyDescent="0.25" r="302" customHeight="1" ht="15.75">
      <c r="A302" s="123"/>
      <c r="B302" s="123"/>
      <c r="C302" s="124"/>
      <c r="D302" s="124"/>
      <c r="E302" s="124"/>
      <c r="F302" s="113"/>
      <c r="G302" s="113"/>
      <c r="H302" s="113"/>
      <c r="I302" s="113"/>
      <c r="J302" s="113"/>
      <c r="K302" s="113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</row>
    <row x14ac:dyDescent="0.25" r="303" customHeight="1" ht="15.75">
      <c r="A303" s="123"/>
      <c r="B303" s="123"/>
      <c r="C303" s="124"/>
      <c r="D303" s="124"/>
      <c r="E303" s="124"/>
      <c r="F303" s="113"/>
      <c r="G303" s="113"/>
      <c r="H303" s="113"/>
      <c r="I303" s="113"/>
      <c r="J303" s="113"/>
      <c r="K303" s="113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</row>
    <row x14ac:dyDescent="0.25" r="304" customHeight="1" ht="15.75">
      <c r="A304" s="123"/>
      <c r="B304" s="123"/>
      <c r="C304" s="124"/>
      <c r="D304" s="124"/>
      <c r="E304" s="124"/>
      <c r="F304" s="113"/>
      <c r="G304" s="113"/>
      <c r="H304" s="113"/>
      <c r="I304" s="113"/>
      <c r="J304" s="113"/>
      <c r="K304" s="113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</row>
    <row x14ac:dyDescent="0.25" r="305" customHeight="1" ht="15.75">
      <c r="A305" s="123"/>
      <c r="B305" s="123"/>
      <c r="C305" s="124"/>
      <c r="D305" s="124"/>
      <c r="E305" s="124"/>
      <c r="F305" s="113"/>
      <c r="G305" s="113"/>
      <c r="H305" s="113"/>
      <c r="I305" s="113"/>
      <c r="J305" s="113"/>
      <c r="K305" s="113"/>
      <c r="L305" s="113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</row>
    <row x14ac:dyDescent="0.25" r="306" customHeight="1" ht="15.75">
      <c r="A306" s="123"/>
      <c r="B306" s="123"/>
      <c r="C306" s="124"/>
      <c r="D306" s="124"/>
      <c r="E306" s="124"/>
      <c r="F306" s="113"/>
      <c r="G306" s="113"/>
      <c r="H306" s="113"/>
      <c r="I306" s="113"/>
      <c r="J306" s="113"/>
      <c r="K306" s="113"/>
      <c r="L306" s="113"/>
      <c r="M306" s="113"/>
      <c r="N306" s="113"/>
      <c r="O306" s="113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</row>
    <row x14ac:dyDescent="0.25" r="307" customHeight="1" ht="15.75">
      <c r="A307" s="123"/>
      <c r="B307" s="123"/>
      <c r="C307" s="124"/>
      <c r="D307" s="124"/>
      <c r="E307" s="124"/>
      <c r="F307" s="113"/>
      <c r="G307" s="113"/>
      <c r="H307" s="113"/>
      <c r="I307" s="113"/>
      <c r="J307" s="113"/>
      <c r="K307" s="113"/>
      <c r="L307" s="113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</row>
    <row x14ac:dyDescent="0.25" r="308" customHeight="1" ht="15.75">
      <c r="A308" s="123"/>
      <c r="B308" s="123"/>
      <c r="C308" s="124"/>
      <c r="D308" s="124"/>
      <c r="E308" s="124"/>
      <c r="F308" s="113"/>
      <c r="G308" s="113"/>
      <c r="H308" s="113"/>
      <c r="I308" s="113"/>
      <c r="J308" s="113"/>
      <c r="K308" s="113"/>
      <c r="L308" s="113"/>
      <c r="M308" s="113"/>
      <c r="N308" s="113"/>
      <c r="O308" s="113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</row>
    <row x14ac:dyDescent="0.25" r="309" customHeight="1" ht="15.75">
      <c r="A309" s="123"/>
      <c r="B309" s="123"/>
      <c r="C309" s="124"/>
      <c r="D309" s="124"/>
      <c r="E309" s="124"/>
      <c r="F309" s="113"/>
      <c r="G309" s="113"/>
      <c r="H309" s="113"/>
      <c r="I309" s="113"/>
      <c r="J309" s="113"/>
      <c r="K309" s="113"/>
      <c r="L309" s="113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</row>
    <row x14ac:dyDescent="0.25" r="310" customHeight="1" ht="15.75">
      <c r="A310" s="123"/>
      <c r="B310" s="123"/>
      <c r="C310" s="124"/>
      <c r="D310" s="124"/>
      <c r="E310" s="124"/>
      <c r="F310" s="113"/>
      <c r="G310" s="113"/>
      <c r="H310" s="113"/>
      <c r="I310" s="113"/>
      <c r="J310" s="113"/>
      <c r="K310" s="113"/>
      <c r="L310" s="113"/>
      <c r="M310" s="113"/>
      <c r="N310" s="113"/>
      <c r="O310" s="113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</row>
    <row x14ac:dyDescent="0.25" r="311" customHeight="1" ht="15.75">
      <c r="A311" s="123"/>
      <c r="B311" s="123"/>
      <c r="C311" s="124"/>
      <c r="D311" s="124"/>
      <c r="E311" s="124"/>
      <c r="F311" s="113"/>
      <c r="G311" s="113"/>
      <c r="H311" s="113"/>
      <c r="I311" s="113"/>
      <c r="J311" s="113"/>
      <c r="K311" s="113"/>
      <c r="L311" s="113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</row>
    <row x14ac:dyDescent="0.25" r="312" customHeight="1" ht="15.75">
      <c r="A312" s="123"/>
      <c r="B312" s="123"/>
      <c r="C312" s="124"/>
      <c r="D312" s="124"/>
      <c r="E312" s="124"/>
      <c r="F312" s="113"/>
      <c r="G312" s="113"/>
      <c r="H312" s="113"/>
      <c r="I312" s="113"/>
      <c r="J312" s="113"/>
      <c r="K312" s="113"/>
      <c r="L312" s="113"/>
      <c r="M312" s="113"/>
      <c r="N312" s="113"/>
      <c r="O312" s="113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</row>
    <row x14ac:dyDescent="0.25" r="313" customHeight="1" ht="15.75">
      <c r="A313" s="123"/>
      <c r="B313" s="123"/>
      <c r="C313" s="124"/>
      <c r="D313" s="124"/>
      <c r="E313" s="124"/>
      <c r="F313" s="113"/>
      <c r="G313" s="113"/>
      <c r="H313" s="113"/>
      <c r="I313" s="113"/>
      <c r="J313" s="113"/>
      <c r="K313" s="113"/>
      <c r="L313" s="113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</row>
    <row x14ac:dyDescent="0.25" r="314" customHeight="1" ht="15.75">
      <c r="A314" s="123"/>
      <c r="B314" s="123"/>
      <c r="C314" s="124"/>
      <c r="D314" s="124"/>
      <c r="E314" s="124"/>
      <c r="F314" s="113"/>
      <c r="G314" s="113"/>
      <c r="H314" s="113"/>
      <c r="I314" s="113"/>
      <c r="J314" s="113"/>
      <c r="K314" s="113"/>
      <c r="L314" s="113"/>
      <c r="M314" s="113"/>
      <c r="N314" s="113"/>
      <c r="O314" s="113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</row>
    <row x14ac:dyDescent="0.25" r="315" customHeight="1" ht="15.75">
      <c r="A315" s="123"/>
      <c r="B315" s="123"/>
      <c r="C315" s="124"/>
      <c r="D315" s="124"/>
      <c r="E315" s="124"/>
      <c r="F315" s="113"/>
      <c r="G315" s="113"/>
      <c r="H315" s="113"/>
      <c r="I315" s="113"/>
      <c r="J315" s="113"/>
      <c r="K315" s="113"/>
      <c r="L315" s="113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</row>
    <row x14ac:dyDescent="0.25" r="316" customHeight="1" ht="15.75">
      <c r="A316" s="123"/>
      <c r="B316" s="123"/>
      <c r="C316" s="124"/>
      <c r="D316" s="124"/>
      <c r="E316" s="124"/>
      <c r="F316" s="113"/>
      <c r="G316" s="113"/>
      <c r="H316" s="113"/>
      <c r="I316" s="113"/>
      <c r="J316" s="113"/>
      <c r="K316" s="113"/>
      <c r="L316" s="113"/>
      <c r="M316" s="113"/>
      <c r="N316" s="113"/>
      <c r="O316" s="113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</row>
    <row x14ac:dyDescent="0.25" r="317" customHeight="1" ht="15.75">
      <c r="A317" s="123"/>
      <c r="B317" s="123"/>
      <c r="C317" s="124"/>
      <c r="D317" s="124"/>
      <c r="E317" s="124"/>
      <c r="F317" s="113"/>
      <c r="G317" s="113"/>
      <c r="H317" s="113"/>
      <c r="I317" s="113"/>
      <c r="J317" s="113"/>
      <c r="K317" s="113"/>
      <c r="L317" s="113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</row>
    <row x14ac:dyDescent="0.25" r="318" customHeight="1" ht="15.75">
      <c r="A318" s="123"/>
      <c r="B318" s="123"/>
      <c r="C318" s="124"/>
      <c r="D318" s="124"/>
      <c r="E318" s="124"/>
      <c r="F318" s="113"/>
      <c r="G318" s="113"/>
      <c r="H318" s="113"/>
      <c r="I318" s="113"/>
      <c r="J318" s="113"/>
      <c r="K318" s="113"/>
      <c r="L318" s="113"/>
      <c r="M318" s="113"/>
      <c r="N318" s="113"/>
      <c r="O318" s="113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</row>
    <row x14ac:dyDescent="0.25" r="319" customHeight="1" ht="15.75">
      <c r="A319" s="123"/>
      <c r="B319" s="123"/>
      <c r="C319" s="124"/>
      <c r="D319" s="124"/>
      <c r="E319" s="124"/>
      <c r="F319" s="113"/>
      <c r="G319" s="113"/>
      <c r="H319" s="113"/>
      <c r="I319" s="113"/>
      <c r="J319" s="113"/>
      <c r="K319" s="113"/>
      <c r="L319" s="113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</row>
    <row x14ac:dyDescent="0.25" r="320" customHeight="1" ht="15.75">
      <c r="A320" s="123"/>
      <c r="B320" s="123"/>
      <c r="C320" s="124"/>
      <c r="D320" s="124"/>
      <c r="E320" s="124"/>
      <c r="F320" s="113"/>
      <c r="G320" s="113"/>
      <c r="H320" s="113"/>
      <c r="I320" s="113"/>
      <c r="J320" s="113"/>
      <c r="K320" s="113"/>
      <c r="L320" s="113"/>
      <c r="M320" s="113"/>
      <c r="N320" s="113"/>
      <c r="O320" s="113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</row>
    <row x14ac:dyDescent="0.25" r="321" customHeight="1" ht="15.75">
      <c r="A321" s="123"/>
      <c r="B321" s="123"/>
      <c r="C321" s="124"/>
      <c r="D321" s="124"/>
      <c r="E321" s="124"/>
      <c r="F321" s="113"/>
      <c r="G321" s="113"/>
      <c r="H321" s="113"/>
      <c r="I321" s="113"/>
      <c r="J321" s="113"/>
      <c r="K321" s="113"/>
      <c r="L321" s="113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</row>
    <row x14ac:dyDescent="0.25" r="322" customHeight="1" ht="15.75">
      <c r="A322" s="123"/>
      <c r="B322" s="123"/>
      <c r="C322" s="124"/>
      <c r="D322" s="124"/>
      <c r="E322" s="124"/>
      <c r="F322" s="113"/>
      <c r="G322" s="113"/>
      <c r="H322" s="113"/>
      <c r="I322" s="113"/>
      <c r="J322" s="113"/>
      <c r="K322" s="113"/>
      <c r="L322" s="113"/>
      <c r="M322" s="113"/>
      <c r="N322" s="113"/>
      <c r="O322" s="113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</row>
    <row x14ac:dyDescent="0.25" r="323" customHeight="1" ht="15.75">
      <c r="A323" s="123"/>
      <c r="B323" s="123"/>
      <c r="C323" s="124"/>
      <c r="D323" s="124"/>
      <c r="E323" s="124"/>
      <c r="F323" s="113"/>
      <c r="G323" s="113"/>
      <c r="H323" s="113"/>
      <c r="I323" s="113"/>
      <c r="J323" s="113"/>
      <c r="K323" s="113"/>
      <c r="L323" s="113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</row>
    <row x14ac:dyDescent="0.25" r="324" customHeight="1" ht="15.75">
      <c r="A324" s="123"/>
      <c r="B324" s="123"/>
      <c r="C324" s="124"/>
      <c r="D324" s="124"/>
      <c r="E324" s="124"/>
      <c r="F324" s="113"/>
      <c r="G324" s="113"/>
      <c r="H324" s="113"/>
      <c r="I324" s="113"/>
      <c r="J324" s="113"/>
      <c r="K324" s="113"/>
      <c r="L324" s="113"/>
      <c r="M324" s="113"/>
      <c r="N324" s="113"/>
      <c r="O324" s="113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</row>
    <row x14ac:dyDescent="0.25" r="325" customHeight="1" ht="15.75">
      <c r="A325" s="123"/>
      <c r="B325" s="123"/>
      <c r="C325" s="124"/>
      <c r="D325" s="124"/>
      <c r="E325" s="124"/>
      <c r="F325" s="113"/>
      <c r="G325" s="113"/>
      <c r="H325" s="113"/>
      <c r="I325" s="113"/>
      <c r="J325" s="113"/>
      <c r="K325" s="113"/>
      <c r="L325" s="113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</row>
    <row x14ac:dyDescent="0.25" r="326" customHeight="1" ht="15.75">
      <c r="A326" s="123"/>
      <c r="B326" s="123"/>
      <c r="C326" s="124"/>
      <c r="D326" s="124"/>
      <c r="E326" s="124"/>
      <c r="F326" s="113"/>
      <c r="G326" s="113"/>
      <c r="H326" s="113"/>
      <c r="I326" s="113"/>
      <c r="J326" s="113"/>
      <c r="K326" s="113"/>
      <c r="L326" s="113"/>
      <c r="M326" s="113"/>
      <c r="N326" s="113"/>
      <c r="O326" s="113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</row>
    <row x14ac:dyDescent="0.25" r="327" customHeight="1" ht="15.75">
      <c r="A327" s="123"/>
      <c r="B327" s="123"/>
      <c r="C327" s="124"/>
      <c r="D327" s="124"/>
      <c r="E327" s="124"/>
      <c r="F327" s="113"/>
      <c r="G327" s="113"/>
      <c r="H327" s="113"/>
      <c r="I327" s="113"/>
      <c r="J327" s="113"/>
      <c r="K327" s="113"/>
      <c r="L327" s="113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</row>
    <row x14ac:dyDescent="0.25" r="328" customHeight="1" ht="15.75">
      <c r="A328" s="123"/>
      <c r="B328" s="123"/>
      <c r="C328" s="124"/>
      <c r="D328" s="124"/>
      <c r="E328" s="124"/>
      <c r="F328" s="113"/>
      <c r="G328" s="113"/>
      <c r="H328" s="113"/>
      <c r="I328" s="113"/>
      <c r="J328" s="113"/>
      <c r="K328" s="113"/>
      <c r="L328" s="113"/>
      <c r="M328" s="113"/>
      <c r="N328" s="113"/>
      <c r="O328" s="113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</row>
    <row x14ac:dyDescent="0.25" r="329" customHeight="1" ht="15.75">
      <c r="A329" s="123"/>
      <c r="B329" s="123"/>
      <c r="C329" s="124"/>
      <c r="D329" s="124"/>
      <c r="E329" s="124"/>
      <c r="F329" s="113"/>
      <c r="G329" s="113"/>
      <c r="H329" s="113"/>
      <c r="I329" s="113"/>
      <c r="J329" s="113"/>
      <c r="K329" s="113"/>
      <c r="L329" s="113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</row>
    <row x14ac:dyDescent="0.25" r="330" customHeight="1" ht="15.75">
      <c r="A330" s="123"/>
      <c r="B330" s="123"/>
      <c r="C330" s="124"/>
      <c r="D330" s="124"/>
      <c r="E330" s="124"/>
      <c r="F330" s="113"/>
      <c r="G330" s="113"/>
      <c r="H330" s="113"/>
      <c r="I330" s="113"/>
      <c r="J330" s="113"/>
      <c r="K330" s="113"/>
      <c r="L330" s="113"/>
      <c r="M330" s="113"/>
      <c r="N330" s="113"/>
      <c r="O330" s="113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</row>
    <row x14ac:dyDescent="0.25" r="331" customHeight="1" ht="15.75">
      <c r="A331" s="123"/>
      <c r="B331" s="123"/>
      <c r="C331" s="124"/>
      <c r="D331" s="124"/>
      <c r="E331" s="124"/>
      <c r="F331" s="113"/>
      <c r="G331" s="113"/>
      <c r="H331" s="113"/>
      <c r="I331" s="113"/>
      <c r="J331" s="113"/>
      <c r="K331" s="113"/>
      <c r="L331" s="113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</row>
    <row x14ac:dyDescent="0.25" r="332" customHeight="1" ht="15.75">
      <c r="A332" s="123"/>
      <c r="B332" s="123"/>
      <c r="C332" s="124"/>
      <c r="D332" s="124"/>
      <c r="E332" s="124"/>
      <c r="F332" s="113"/>
      <c r="G332" s="113"/>
      <c r="H332" s="113"/>
      <c r="I332" s="113"/>
      <c r="J332" s="113"/>
      <c r="K332" s="113"/>
      <c r="L332" s="113"/>
      <c r="M332" s="113"/>
      <c r="N332" s="113"/>
      <c r="O332" s="113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</row>
    <row x14ac:dyDescent="0.25" r="333" customHeight="1" ht="15.75">
      <c r="A333" s="123"/>
      <c r="B333" s="123"/>
      <c r="C333" s="124"/>
      <c r="D333" s="124"/>
      <c r="E333" s="124"/>
      <c r="F333" s="113"/>
      <c r="G333" s="113"/>
      <c r="H333" s="113"/>
      <c r="I333" s="113"/>
      <c r="J333" s="113"/>
      <c r="K333" s="113"/>
      <c r="L333" s="113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</row>
    <row x14ac:dyDescent="0.25" r="334" customHeight="1" ht="15.75">
      <c r="A334" s="123"/>
      <c r="B334" s="123"/>
      <c r="C334" s="124"/>
      <c r="D334" s="124"/>
      <c r="E334" s="124"/>
      <c r="F334" s="113"/>
      <c r="G334" s="113"/>
      <c r="H334" s="113"/>
      <c r="I334" s="113"/>
      <c r="J334" s="113"/>
      <c r="K334" s="113"/>
      <c r="L334" s="113"/>
      <c r="M334" s="113"/>
      <c r="N334" s="113"/>
      <c r="O334" s="113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</row>
    <row x14ac:dyDescent="0.25" r="335" customHeight="1" ht="15.75">
      <c r="A335" s="123"/>
      <c r="B335" s="123"/>
      <c r="C335" s="124"/>
      <c r="D335" s="124"/>
      <c r="E335" s="124"/>
      <c r="F335" s="113"/>
      <c r="G335" s="113"/>
      <c r="H335" s="113"/>
      <c r="I335" s="113"/>
      <c r="J335" s="113"/>
      <c r="K335" s="113"/>
      <c r="L335" s="113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</row>
    <row x14ac:dyDescent="0.25" r="336" customHeight="1" ht="15.75">
      <c r="A336" s="123"/>
      <c r="B336" s="123"/>
      <c r="C336" s="124"/>
      <c r="D336" s="124"/>
      <c r="E336" s="124"/>
      <c r="F336" s="113"/>
      <c r="G336" s="113"/>
      <c r="H336" s="113"/>
      <c r="I336" s="113"/>
      <c r="J336" s="113"/>
      <c r="K336" s="113"/>
      <c r="L336" s="113"/>
      <c r="M336" s="113"/>
      <c r="N336" s="113"/>
      <c r="O336" s="113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</row>
    <row x14ac:dyDescent="0.25" r="337" customHeight="1" ht="15.75">
      <c r="A337" s="123"/>
      <c r="B337" s="123"/>
      <c r="C337" s="124"/>
      <c r="D337" s="124"/>
      <c r="E337" s="124"/>
      <c r="F337" s="113"/>
      <c r="G337" s="113"/>
      <c r="H337" s="113"/>
      <c r="I337" s="113"/>
      <c r="J337" s="113"/>
      <c r="K337" s="113"/>
      <c r="L337" s="113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</row>
    <row x14ac:dyDescent="0.25" r="338" customHeight="1" ht="15.75">
      <c r="A338" s="123"/>
      <c r="B338" s="123"/>
      <c r="C338" s="124"/>
      <c r="D338" s="124"/>
      <c r="E338" s="124"/>
      <c r="F338" s="113"/>
      <c r="G338" s="113"/>
      <c r="H338" s="113"/>
      <c r="I338" s="113"/>
      <c r="J338" s="113"/>
      <c r="K338" s="113"/>
      <c r="L338" s="113"/>
      <c r="M338" s="113"/>
      <c r="N338" s="113"/>
      <c r="O338" s="113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</row>
    <row x14ac:dyDescent="0.25" r="339" customHeight="1" ht="15.75">
      <c r="A339" s="123"/>
      <c r="B339" s="123"/>
      <c r="C339" s="124"/>
      <c r="D339" s="124"/>
      <c r="E339" s="124"/>
      <c r="F339" s="113"/>
      <c r="G339" s="113"/>
      <c r="H339" s="113"/>
      <c r="I339" s="113"/>
      <c r="J339" s="113"/>
      <c r="K339" s="113"/>
      <c r="L339" s="113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</row>
    <row x14ac:dyDescent="0.25" r="340" customHeight="1" ht="15.75">
      <c r="A340" s="123"/>
      <c r="B340" s="123"/>
      <c r="C340" s="124"/>
      <c r="D340" s="124"/>
      <c r="E340" s="124"/>
      <c r="F340" s="113"/>
      <c r="G340" s="113"/>
      <c r="H340" s="113"/>
      <c r="I340" s="113"/>
      <c r="J340" s="113"/>
      <c r="K340" s="113"/>
      <c r="L340" s="113"/>
      <c r="M340" s="113"/>
      <c r="N340" s="113"/>
      <c r="O340" s="113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</row>
    <row x14ac:dyDescent="0.25" r="341" customHeight="1" ht="15.75">
      <c r="A341" s="123"/>
      <c r="B341" s="123"/>
      <c r="C341" s="124"/>
      <c r="D341" s="124"/>
      <c r="E341" s="124"/>
      <c r="F341" s="113"/>
      <c r="G341" s="113"/>
      <c r="H341" s="113"/>
      <c r="I341" s="113"/>
      <c r="J341" s="113"/>
      <c r="K341" s="113"/>
      <c r="L341" s="113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</row>
    <row x14ac:dyDescent="0.25" r="342" customHeight="1" ht="15.75">
      <c r="A342" s="123"/>
      <c r="B342" s="123"/>
      <c r="C342" s="124"/>
      <c r="D342" s="124"/>
      <c r="E342" s="124"/>
      <c r="F342" s="113"/>
      <c r="G342" s="113"/>
      <c r="H342" s="113"/>
      <c r="I342" s="113"/>
      <c r="J342" s="113"/>
      <c r="K342" s="113"/>
      <c r="L342" s="113"/>
      <c r="M342" s="113"/>
      <c r="N342" s="113"/>
      <c r="O342" s="113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</row>
    <row x14ac:dyDescent="0.25" r="343" customHeight="1" ht="15.75">
      <c r="A343" s="123"/>
      <c r="B343" s="123"/>
      <c r="C343" s="124"/>
      <c r="D343" s="124"/>
      <c r="E343" s="124"/>
      <c r="F343" s="113"/>
      <c r="G343" s="113"/>
      <c r="H343" s="113"/>
      <c r="I343" s="113"/>
      <c r="J343" s="113"/>
      <c r="K343" s="113"/>
      <c r="L343" s="113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</row>
    <row x14ac:dyDescent="0.25" r="344" customHeight="1" ht="15.75">
      <c r="A344" s="123"/>
      <c r="B344" s="123"/>
      <c r="C344" s="124"/>
      <c r="D344" s="124"/>
      <c r="E344" s="124"/>
      <c r="F344" s="113"/>
      <c r="G344" s="113"/>
      <c r="H344" s="113"/>
      <c r="I344" s="113"/>
      <c r="J344" s="113"/>
      <c r="K344" s="113"/>
      <c r="L344" s="113"/>
      <c r="M344" s="113"/>
      <c r="N344" s="113"/>
      <c r="O344" s="113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</row>
    <row x14ac:dyDescent="0.25" r="345" customHeight="1" ht="15.75">
      <c r="A345" s="123"/>
      <c r="B345" s="123"/>
      <c r="C345" s="124"/>
      <c r="D345" s="124"/>
      <c r="E345" s="124"/>
      <c r="F345" s="113"/>
      <c r="G345" s="113"/>
      <c r="H345" s="113"/>
      <c r="I345" s="113"/>
      <c r="J345" s="113"/>
      <c r="K345" s="113"/>
      <c r="L345" s="113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</row>
    <row x14ac:dyDescent="0.25" r="346" customHeight="1" ht="15.75">
      <c r="A346" s="123"/>
      <c r="B346" s="123"/>
      <c r="C346" s="124"/>
      <c r="D346" s="124"/>
      <c r="E346" s="124"/>
      <c r="F346" s="113"/>
      <c r="G346" s="113"/>
      <c r="H346" s="113"/>
      <c r="I346" s="113"/>
      <c r="J346" s="113"/>
      <c r="K346" s="113"/>
      <c r="L346" s="113"/>
      <c r="M346" s="113"/>
      <c r="N346" s="113"/>
      <c r="O346" s="113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</row>
    <row x14ac:dyDescent="0.25" r="347" customHeight="1" ht="15.75">
      <c r="A347" s="123"/>
      <c r="B347" s="123"/>
      <c r="C347" s="124"/>
      <c r="D347" s="124"/>
      <c r="E347" s="124"/>
      <c r="F347" s="113"/>
      <c r="G347" s="113"/>
      <c r="H347" s="113"/>
      <c r="I347" s="113"/>
      <c r="J347" s="113"/>
      <c r="K347" s="113"/>
      <c r="L347" s="113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</row>
    <row x14ac:dyDescent="0.25" r="348" customHeight="1" ht="15.75">
      <c r="A348" s="123"/>
      <c r="B348" s="123"/>
      <c r="C348" s="124"/>
      <c r="D348" s="124"/>
      <c r="E348" s="124"/>
      <c r="F348" s="113"/>
      <c r="G348" s="113"/>
      <c r="H348" s="113"/>
      <c r="I348" s="113"/>
      <c r="J348" s="113"/>
      <c r="K348" s="113"/>
      <c r="L348" s="113"/>
      <c r="M348" s="113"/>
      <c r="N348" s="113"/>
      <c r="O348" s="113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</row>
    <row x14ac:dyDescent="0.25" r="349" customHeight="1" ht="15.75">
      <c r="A349" s="123"/>
      <c r="B349" s="123"/>
      <c r="C349" s="124"/>
      <c r="D349" s="124"/>
      <c r="E349" s="124"/>
      <c r="F349" s="113"/>
      <c r="G349" s="113"/>
      <c r="H349" s="113"/>
      <c r="I349" s="113"/>
      <c r="J349" s="113"/>
      <c r="K349" s="113"/>
      <c r="L349" s="113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</row>
    <row x14ac:dyDescent="0.25" r="350" customHeight="1" ht="15.75">
      <c r="A350" s="123"/>
      <c r="B350" s="123"/>
      <c r="C350" s="124"/>
      <c r="D350" s="124"/>
      <c r="E350" s="124"/>
      <c r="F350" s="113"/>
      <c r="G350" s="113"/>
      <c r="H350" s="113"/>
      <c r="I350" s="113"/>
      <c r="J350" s="113"/>
      <c r="K350" s="113"/>
      <c r="L350" s="113"/>
      <c r="M350" s="113"/>
      <c r="N350" s="113"/>
      <c r="O350" s="113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</row>
    <row x14ac:dyDescent="0.25" r="351" customHeight="1" ht="15.75">
      <c r="A351" s="123"/>
      <c r="B351" s="123"/>
      <c r="C351" s="124"/>
      <c r="D351" s="124"/>
      <c r="E351" s="124"/>
      <c r="F351" s="113"/>
      <c r="G351" s="113"/>
      <c r="H351" s="113"/>
      <c r="I351" s="113"/>
      <c r="J351" s="113"/>
      <c r="K351" s="113"/>
      <c r="L351" s="113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</row>
    <row x14ac:dyDescent="0.25" r="352" customHeight="1" ht="15.75">
      <c r="A352" s="123"/>
      <c r="B352" s="123"/>
      <c r="C352" s="124"/>
      <c r="D352" s="124"/>
      <c r="E352" s="124"/>
      <c r="F352" s="113"/>
      <c r="G352" s="113"/>
      <c r="H352" s="113"/>
      <c r="I352" s="113"/>
      <c r="J352" s="113"/>
      <c r="K352" s="113"/>
      <c r="L352" s="113"/>
      <c r="M352" s="113"/>
      <c r="N352" s="113"/>
      <c r="O352" s="113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</row>
    <row x14ac:dyDescent="0.25" r="353" customHeight="1" ht="15.75">
      <c r="A353" s="123"/>
      <c r="B353" s="123"/>
      <c r="C353" s="124"/>
      <c r="D353" s="124"/>
      <c r="E353" s="124"/>
      <c r="F353" s="113"/>
      <c r="G353" s="113"/>
      <c r="H353" s="113"/>
      <c r="I353" s="113"/>
      <c r="J353" s="113"/>
      <c r="K353" s="113"/>
      <c r="L353" s="113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</row>
    <row x14ac:dyDescent="0.25" r="354" customHeight="1" ht="15.75">
      <c r="A354" s="123"/>
      <c r="B354" s="123"/>
      <c r="C354" s="124"/>
      <c r="D354" s="124"/>
      <c r="E354" s="124"/>
      <c r="F354" s="113"/>
      <c r="G354" s="113"/>
      <c r="H354" s="113"/>
      <c r="I354" s="113"/>
      <c r="J354" s="113"/>
      <c r="K354" s="113"/>
      <c r="L354" s="113"/>
      <c r="M354" s="113"/>
      <c r="N354" s="113"/>
      <c r="O354" s="113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</row>
    <row x14ac:dyDescent="0.25" r="355" customHeight="1" ht="15.75">
      <c r="A355" s="123"/>
      <c r="B355" s="123"/>
      <c r="C355" s="124"/>
      <c r="D355" s="124"/>
      <c r="E355" s="124"/>
      <c r="F355" s="113"/>
      <c r="G355" s="113"/>
      <c r="H355" s="113"/>
      <c r="I355" s="113"/>
      <c r="J355" s="113"/>
      <c r="K355" s="113"/>
      <c r="L355" s="113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</row>
    <row x14ac:dyDescent="0.25" r="356" customHeight="1" ht="15.75">
      <c r="A356" s="123"/>
      <c r="B356" s="123"/>
      <c r="C356" s="124"/>
      <c r="D356" s="124"/>
      <c r="E356" s="124"/>
      <c r="F356" s="113"/>
      <c r="G356" s="113"/>
      <c r="H356" s="113"/>
      <c r="I356" s="113"/>
      <c r="J356" s="113"/>
      <c r="K356" s="113"/>
      <c r="L356" s="113"/>
      <c r="M356" s="113"/>
      <c r="N356" s="113"/>
      <c r="O356" s="113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</row>
    <row x14ac:dyDescent="0.25" r="357" customHeight="1" ht="15.75">
      <c r="A357" s="123"/>
      <c r="B357" s="123"/>
      <c r="C357" s="124"/>
      <c r="D357" s="124"/>
      <c r="E357" s="124"/>
      <c r="F357" s="113"/>
      <c r="G357" s="113"/>
      <c r="H357" s="113"/>
      <c r="I357" s="113"/>
      <c r="J357" s="113"/>
      <c r="K357" s="113"/>
      <c r="L357" s="113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</row>
    <row x14ac:dyDescent="0.25" r="358" customHeight="1" ht="15.75">
      <c r="A358" s="123"/>
      <c r="B358" s="123"/>
      <c r="C358" s="124"/>
      <c r="D358" s="124"/>
      <c r="E358" s="124"/>
      <c r="F358" s="113"/>
      <c r="G358" s="113"/>
      <c r="H358" s="113"/>
      <c r="I358" s="113"/>
      <c r="J358" s="113"/>
      <c r="K358" s="113"/>
      <c r="L358" s="113"/>
      <c r="M358" s="113"/>
      <c r="N358" s="113"/>
      <c r="O358" s="113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</row>
    <row x14ac:dyDescent="0.25" r="359" customHeight="1" ht="15.75">
      <c r="A359" s="123"/>
      <c r="B359" s="123"/>
      <c r="C359" s="124"/>
      <c r="D359" s="124"/>
      <c r="E359" s="124"/>
      <c r="F359" s="113"/>
      <c r="G359" s="113"/>
      <c r="H359" s="113"/>
      <c r="I359" s="113"/>
      <c r="J359" s="113"/>
      <c r="K359" s="113"/>
      <c r="L359" s="113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</row>
    <row x14ac:dyDescent="0.25" r="360" customHeight="1" ht="15.75">
      <c r="A360" s="123"/>
      <c r="B360" s="123"/>
      <c r="C360" s="124"/>
      <c r="D360" s="124"/>
      <c r="E360" s="124"/>
      <c r="F360" s="113"/>
      <c r="G360" s="113"/>
      <c r="H360" s="113"/>
      <c r="I360" s="113"/>
      <c r="J360" s="113"/>
      <c r="K360" s="113"/>
      <c r="L360" s="113"/>
      <c r="M360" s="113"/>
      <c r="N360" s="113"/>
      <c r="O360" s="113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</row>
    <row x14ac:dyDescent="0.25" r="361" customHeight="1" ht="15.75">
      <c r="A361" s="123"/>
      <c r="B361" s="123"/>
      <c r="C361" s="124"/>
      <c r="D361" s="124"/>
      <c r="E361" s="124"/>
      <c r="F361" s="113"/>
      <c r="G361" s="113"/>
      <c r="H361" s="113"/>
      <c r="I361" s="113"/>
      <c r="J361" s="113"/>
      <c r="K361" s="113"/>
      <c r="L361" s="113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</row>
    <row x14ac:dyDescent="0.25" r="362" customHeight="1" ht="15.75">
      <c r="A362" s="123"/>
      <c r="B362" s="123"/>
      <c r="C362" s="124"/>
      <c r="D362" s="124"/>
      <c r="E362" s="124"/>
      <c r="F362" s="113"/>
      <c r="G362" s="113"/>
      <c r="H362" s="113"/>
      <c r="I362" s="113"/>
      <c r="J362" s="113"/>
      <c r="K362" s="113"/>
      <c r="L362" s="113"/>
      <c r="M362" s="113"/>
      <c r="N362" s="113"/>
      <c r="O362" s="113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</row>
    <row x14ac:dyDescent="0.25" r="363" customHeight="1" ht="15.75">
      <c r="A363" s="123"/>
      <c r="B363" s="123"/>
      <c r="C363" s="124"/>
      <c r="D363" s="124"/>
      <c r="E363" s="124"/>
      <c r="F363" s="113"/>
      <c r="G363" s="113"/>
      <c r="H363" s="113"/>
      <c r="I363" s="113"/>
      <c r="J363" s="113"/>
      <c r="K363" s="113"/>
      <c r="L363" s="113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</row>
    <row x14ac:dyDescent="0.25" r="364" customHeight="1" ht="15.75">
      <c r="A364" s="123"/>
      <c r="B364" s="123"/>
      <c r="C364" s="124"/>
      <c r="D364" s="124"/>
      <c r="E364" s="124"/>
      <c r="F364" s="113"/>
      <c r="G364" s="113"/>
      <c r="H364" s="113"/>
      <c r="I364" s="113"/>
      <c r="J364" s="113"/>
      <c r="K364" s="113"/>
      <c r="L364" s="113"/>
      <c r="M364" s="113"/>
      <c r="N364" s="113"/>
      <c r="O364" s="113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</row>
    <row x14ac:dyDescent="0.25" r="365" customHeight="1" ht="15.75">
      <c r="A365" s="123"/>
      <c r="B365" s="123"/>
      <c r="C365" s="124"/>
      <c r="D365" s="124"/>
      <c r="E365" s="124"/>
      <c r="F365" s="113"/>
      <c r="G365" s="113"/>
      <c r="H365" s="113"/>
      <c r="I365" s="113"/>
      <c r="J365" s="113"/>
      <c r="K365" s="113"/>
      <c r="L365" s="113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</row>
    <row x14ac:dyDescent="0.25" r="366" customHeight="1" ht="15.75">
      <c r="A366" s="123"/>
      <c r="B366" s="123"/>
      <c r="C366" s="124"/>
      <c r="D366" s="124"/>
      <c r="E366" s="124"/>
      <c r="F366" s="113"/>
      <c r="G366" s="113"/>
      <c r="H366" s="113"/>
      <c r="I366" s="113"/>
      <c r="J366" s="113"/>
      <c r="K366" s="113"/>
      <c r="L366" s="113"/>
      <c r="M366" s="113"/>
      <c r="N366" s="113"/>
      <c r="O366" s="113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</row>
    <row x14ac:dyDescent="0.25" r="367" customHeight="1" ht="15.75">
      <c r="A367" s="123"/>
      <c r="B367" s="123"/>
      <c r="C367" s="124"/>
      <c r="D367" s="124"/>
      <c r="E367" s="124"/>
      <c r="F367" s="113"/>
      <c r="G367" s="113"/>
      <c r="H367" s="113"/>
      <c r="I367" s="113"/>
      <c r="J367" s="113"/>
      <c r="K367" s="113"/>
      <c r="L367" s="113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</row>
    <row x14ac:dyDescent="0.25" r="368" customHeight="1" ht="15.75">
      <c r="A368" s="123"/>
      <c r="B368" s="123"/>
      <c r="C368" s="124"/>
      <c r="D368" s="124"/>
      <c r="E368" s="124"/>
      <c r="F368" s="113"/>
      <c r="G368" s="113"/>
      <c r="H368" s="113"/>
      <c r="I368" s="113"/>
      <c r="J368" s="113"/>
      <c r="K368" s="113"/>
      <c r="L368" s="113"/>
      <c r="M368" s="113"/>
      <c r="N368" s="113"/>
      <c r="O368" s="113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</row>
    <row x14ac:dyDescent="0.25" r="369" customHeight="1" ht="15.75">
      <c r="A369" s="123"/>
      <c r="B369" s="123"/>
      <c r="C369" s="124"/>
      <c r="D369" s="124"/>
      <c r="E369" s="124"/>
      <c r="F369" s="113"/>
      <c r="G369" s="113"/>
      <c r="H369" s="113"/>
      <c r="I369" s="113"/>
      <c r="J369" s="113"/>
      <c r="K369" s="113"/>
      <c r="L369" s="113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</row>
    <row x14ac:dyDescent="0.25" r="370" customHeight="1" ht="15.75">
      <c r="A370" s="123"/>
      <c r="B370" s="123"/>
      <c r="C370" s="124"/>
      <c r="D370" s="124"/>
      <c r="E370" s="124"/>
      <c r="F370" s="113"/>
      <c r="G370" s="113"/>
      <c r="H370" s="113"/>
      <c r="I370" s="113"/>
      <c r="J370" s="113"/>
      <c r="K370" s="113"/>
      <c r="L370" s="113"/>
      <c r="M370" s="113"/>
      <c r="N370" s="113"/>
      <c r="O370" s="113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</row>
    <row x14ac:dyDescent="0.25" r="371" customHeight="1" ht="15.75">
      <c r="A371" s="123"/>
      <c r="B371" s="123"/>
      <c r="C371" s="124"/>
      <c r="D371" s="124"/>
      <c r="E371" s="124"/>
      <c r="F371" s="113"/>
      <c r="G371" s="113"/>
      <c r="H371" s="113"/>
      <c r="I371" s="113"/>
      <c r="J371" s="113"/>
      <c r="K371" s="113"/>
      <c r="L371" s="113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</row>
    <row x14ac:dyDescent="0.25" r="372" customHeight="1" ht="15.75">
      <c r="A372" s="123"/>
      <c r="B372" s="123"/>
      <c r="C372" s="124"/>
      <c r="D372" s="124"/>
      <c r="E372" s="124"/>
      <c r="F372" s="113"/>
      <c r="G372" s="113"/>
      <c r="H372" s="113"/>
      <c r="I372" s="113"/>
      <c r="J372" s="113"/>
      <c r="K372" s="113"/>
      <c r="L372" s="113"/>
      <c r="M372" s="113"/>
      <c r="N372" s="113"/>
      <c r="O372" s="113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</row>
    <row x14ac:dyDescent="0.25" r="373" customHeight="1" ht="15.75">
      <c r="A373" s="123"/>
      <c r="B373" s="123"/>
      <c r="C373" s="124"/>
      <c r="D373" s="124"/>
      <c r="E373" s="124"/>
      <c r="F373" s="113"/>
      <c r="G373" s="113"/>
      <c r="H373" s="113"/>
      <c r="I373" s="113"/>
      <c r="J373" s="113"/>
      <c r="K373" s="113"/>
      <c r="L373" s="113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</row>
    <row x14ac:dyDescent="0.25" r="374" customHeight="1" ht="15.75">
      <c r="A374" s="123"/>
      <c r="B374" s="123"/>
      <c r="C374" s="124"/>
      <c r="D374" s="124"/>
      <c r="E374" s="124"/>
      <c r="F374" s="113"/>
      <c r="G374" s="113"/>
      <c r="H374" s="113"/>
      <c r="I374" s="113"/>
      <c r="J374" s="113"/>
      <c r="K374" s="113"/>
      <c r="L374" s="113"/>
      <c r="M374" s="113"/>
      <c r="N374" s="113"/>
      <c r="O374" s="113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</row>
    <row x14ac:dyDescent="0.25" r="375" customHeight="1" ht="15.75">
      <c r="A375" s="123"/>
      <c r="B375" s="123"/>
      <c r="C375" s="124"/>
      <c r="D375" s="124"/>
      <c r="E375" s="124"/>
      <c r="F375" s="113"/>
      <c r="G375" s="113"/>
      <c r="H375" s="113"/>
      <c r="I375" s="113"/>
      <c r="J375" s="113"/>
      <c r="K375" s="113"/>
      <c r="L375" s="113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</row>
    <row x14ac:dyDescent="0.25" r="376" customHeight="1" ht="15.75">
      <c r="A376" s="123"/>
      <c r="B376" s="123"/>
      <c r="C376" s="124"/>
      <c r="D376" s="124"/>
      <c r="E376" s="124"/>
      <c r="F376" s="113"/>
      <c r="G376" s="113"/>
      <c r="H376" s="113"/>
      <c r="I376" s="113"/>
      <c r="J376" s="113"/>
      <c r="K376" s="113"/>
      <c r="L376" s="113"/>
      <c r="M376" s="113"/>
      <c r="N376" s="113"/>
      <c r="O376" s="113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</row>
    <row x14ac:dyDescent="0.25" r="377" customHeight="1" ht="15.75">
      <c r="A377" s="123"/>
      <c r="B377" s="123"/>
      <c r="C377" s="124"/>
      <c r="D377" s="124"/>
      <c r="E377" s="124"/>
      <c r="F377" s="113"/>
      <c r="G377" s="113"/>
      <c r="H377" s="113"/>
      <c r="I377" s="113"/>
      <c r="J377" s="113"/>
      <c r="K377" s="113"/>
      <c r="L377" s="113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</row>
    <row x14ac:dyDescent="0.25" r="378" customHeight="1" ht="15.75">
      <c r="A378" s="123"/>
      <c r="B378" s="123"/>
      <c r="C378" s="124"/>
      <c r="D378" s="124"/>
      <c r="E378" s="124"/>
      <c r="F378" s="113"/>
      <c r="G378" s="113"/>
      <c r="H378" s="113"/>
      <c r="I378" s="113"/>
      <c r="J378" s="113"/>
      <c r="K378" s="113"/>
      <c r="L378" s="113"/>
      <c r="M378" s="113"/>
      <c r="N378" s="113"/>
      <c r="O378" s="113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</row>
    <row x14ac:dyDescent="0.25" r="379" customHeight="1" ht="15.75">
      <c r="A379" s="123"/>
      <c r="B379" s="123"/>
      <c r="C379" s="124"/>
      <c r="D379" s="124"/>
      <c r="E379" s="124"/>
      <c r="F379" s="113"/>
      <c r="G379" s="113"/>
      <c r="H379" s="113"/>
      <c r="I379" s="113"/>
      <c r="J379" s="113"/>
      <c r="K379" s="113"/>
      <c r="L379" s="113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</row>
    <row x14ac:dyDescent="0.25" r="380" customHeight="1" ht="15.75">
      <c r="A380" s="123"/>
      <c r="B380" s="123"/>
      <c r="C380" s="124"/>
      <c r="D380" s="124"/>
      <c r="E380" s="124"/>
      <c r="F380" s="113"/>
      <c r="G380" s="113"/>
      <c r="H380" s="113"/>
      <c r="I380" s="113"/>
      <c r="J380" s="113"/>
      <c r="K380" s="113"/>
      <c r="L380" s="113"/>
      <c r="M380" s="113"/>
      <c r="N380" s="113"/>
      <c r="O380" s="113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</row>
    <row x14ac:dyDescent="0.25" r="381" customHeight="1" ht="15.75">
      <c r="A381" s="123"/>
      <c r="B381" s="123"/>
      <c r="C381" s="124"/>
      <c r="D381" s="124"/>
      <c r="E381" s="124"/>
      <c r="F381" s="113"/>
      <c r="G381" s="113"/>
      <c r="H381" s="113"/>
      <c r="I381" s="113"/>
      <c r="J381" s="113"/>
      <c r="K381" s="113"/>
      <c r="L381" s="113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</row>
    <row x14ac:dyDescent="0.25" r="382" customHeight="1" ht="15.75">
      <c r="A382" s="123"/>
      <c r="B382" s="123"/>
      <c r="C382" s="124"/>
      <c r="D382" s="124"/>
      <c r="E382" s="124"/>
      <c r="F382" s="113"/>
      <c r="G382" s="113"/>
      <c r="H382" s="113"/>
      <c r="I382" s="113"/>
      <c r="J382" s="113"/>
      <c r="K382" s="113"/>
      <c r="L382" s="113"/>
      <c r="M382" s="113"/>
      <c r="N382" s="113"/>
      <c r="O382" s="113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</row>
    <row x14ac:dyDescent="0.25" r="383" customHeight="1" ht="15.75">
      <c r="A383" s="123"/>
      <c r="B383" s="123"/>
      <c r="C383" s="124"/>
      <c r="D383" s="124"/>
      <c r="E383" s="124"/>
      <c r="F383" s="113"/>
      <c r="G383" s="113"/>
      <c r="H383" s="113"/>
      <c r="I383" s="113"/>
      <c r="J383" s="113"/>
      <c r="K383" s="113"/>
      <c r="L383" s="113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</row>
    <row x14ac:dyDescent="0.25" r="384" customHeight="1" ht="15.75">
      <c r="A384" s="123"/>
      <c r="B384" s="123"/>
      <c r="C384" s="124"/>
      <c r="D384" s="124"/>
      <c r="E384" s="124"/>
      <c r="F384" s="113"/>
      <c r="G384" s="113"/>
      <c r="H384" s="113"/>
      <c r="I384" s="113"/>
      <c r="J384" s="113"/>
      <c r="K384" s="113"/>
      <c r="L384" s="113"/>
      <c r="M384" s="113"/>
      <c r="N384" s="113"/>
      <c r="O384" s="113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</row>
    <row x14ac:dyDescent="0.25" r="385" customHeight="1" ht="15.75">
      <c r="A385" s="123"/>
      <c r="B385" s="123"/>
      <c r="C385" s="124"/>
      <c r="D385" s="124"/>
      <c r="E385" s="124"/>
      <c r="F385" s="113"/>
      <c r="G385" s="113"/>
      <c r="H385" s="113"/>
      <c r="I385" s="113"/>
      <c r="J385" s="113"/>
      <c r="K385" s="113"/>
      <c r="L385" s="113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</row>
    <row x14ac:dyDescent="0.25" r="386" customHeight="1" ht="15.75">
      <c r="A386" s="123"/>
      <c r="B386" s="123"/>
      <c r="C386" s="124"/>
      <c r="D386" s="124"/>
      <c r="E386" s="124"/>
      <c r="F386" s="113"/>
      <c r="G386" s="113"/>
      <c r="H386" s="113"/>
      <c r="I386" s="113"/>
      <c r="J386" s="113"/>
      <c r="K386" s="113"/>
      <c r="L386" s="113"/>
      <c r="M386" s="113"/>
      <c r="N386" s="113"/>
      <c r="O386" s="113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</row>
    <row x14ac:dyDescent="0.25" r="387" customHeight="1" ht="15.75">
      <c r="A387" s="123"/>
      <c r="B387" s="123"/>
      <c r="C387" s="124"/>
      <c r="D387" s="124"/>
      <c r="E387" s="124"/>
      <c r="F387" s="113"/>
      <c r="G387" s="113"/>
      <c r="H387" s="113"/>
      <c r="I387" s="113"/>
      <c r="J387" s="113"/>
      <c r="K387" s="113"/>
      <c r="L387" s="113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</row>
    <row x14ac:dyDescent="0.25" r="388" customHeight="1" ht="15.75">
      <c r="A388" s="123"/>
      <c r="B388" s="123"/>
      <c r="C388" s="124"/>
      <c r="D388" s="124"/>
      <c r="E388" s="124"/>
      <c r="F388" s="113"/>
      <c r="G388" s="113"/>
      <c r="H388" s="113"/>
      <c r="I388" s="113"/>
      <c r="J388" s="113"/>
      <c r="K388" s="113"/>
      <c r="L388" s="113"/>
      <c r="M388" s="113"/>
      <c r="N388" s="113"/>
      <c r="O388" s="113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</row>
    <row x14ac:dyDescent="0.25" r="389" customHeight="1" ht="15.75">
      <c r="A389" s="123"/>
      <c r="B389" s="123"/>
      <c r="C389" s="124"/>
      <c r="D389" s="124"/>
      <c r="E389" s="124"/>
      <c r="F389" s="113"/>
      <c r="G389" s="113"/>
      <c r="H389" s="113"/>
      <c r="I389" s="113"/>
      <c r="J389" s="113"/>
      <c r="K389" s="113"/>
      <c r="L389" s="113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</row>
    <row x14ac:dyDescent="0.25" r="390" customHeight="1" ht="15.75">
      <c r="A390" s="123"/>
      <c r="B390" s="123"/>
      <c r="C390" s="124"/>
      <c r="D390" s="124"/>
      <c r="E390" s="124"/>
      <c r="F390" s="113"/>
      <c r="G390" s="113"/>
      <c r="H390" s="113"/>
      <c r="I390" s="113"/>
      <c r="J390" s="113"/>
      <c r="K390" s="113"/>
      <c r="L390" s="113"/>
      <c r="M390" s="113"/>
      <c r="N390" s="113"/>
      <c r="O390" s="113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</row>
    <row x14ac:dyDescent="0.25" r="391" customHeight="1" ht="15.75">
      <c r="A391" s="123"/>
      <c r="B391" s="123"/>
      <c r="C391" s="124"/>
      <c r="D391" s="124"/>
      <c r="E391" s="124"/>
      <c r="F391" s="113"/>
      <c r="G391" s="113"/>
      <c r="H391" s="113"/>
      <c r="I391" s="113"/>
      <c r="J391" s="113"/>
      <c r="K391" s="113"/>
      <c r="L391" s="113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</row>
    <row x14ac:dyDescent="0.25" r="392" customHeight="1" ht="15.75">
      <c r="A392" s="123"/>
      <c r="B392" s="123"/>
      <c r="C392" s="124"/>
      <c r="D392" s="124"/>
      <c r="E392" s="124"/>
      <c r="F392" s="113"/>
      <c r="G392" s="113"/>
      <c r="H392" s="113"/>
      <c r="I392" s="113"/>
      <c r="J392" s="113"/>
      <c r="K392" s="113"/>
      <c r="L392" s="113"/>
      <c r="M392" s="113"/>
      <c r="N392" s="113"/>
      <c r="O392" s="113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</row>
    <row x14ac:dyDescent="0.25" r="393" customHeight="1" ht="15.75">
      <c r="A393" s="123"/>
      <c r="B393" s="123"/>
      <c r="C393" s="124"/>
      <c r="D393" s="124"/>
      <c r="E393" s="124"/>
      <c r="F393" s="113"/>
      <c r="G393" s="113"/>
      <c r="H393" s="113"/>
      <c r="I393" s="113"/>
      <c r="J393" s="113"/>
      <c r="K393" s="113"/>
      <c r="L393" s="113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</row>
    <row x14ac:dyDescent="0.25" r="394" customHeight="1" ht="15.75">
      <c r="A394" s="123"/>
      <c r="B394" s="123"/>
      <c r="C394" s="124"/>
      <c r="D394" s="124"/>
      <c r="E394" s="124"/>
      <c r="F394" s="113"/>
      <c r="G394" s="113"/>
      <c r="H394" s="113"/>
      <c r="I394" s="113"/>
      <c r="J394" s="113"/>
      <c r="K394" s="113"/>
      <c r="L394" s="113"/>
      <c r="M394" s="113"/>
      <c r="N394" s="113"/>
      <c r="O394" s="113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</row>
    <row x14ac:dyDescent="0.25" r="395" customHeight="1" ht="15.75">
      <c r="A395" s="123"/>
      <c r="B395" s="123"/>
      <c r="C395" s="124"/>
      <c r="D395" s="124"/>
      <c r="E395" s="124"/>
      <c r="F395" s="113"/>
      <c r="G395" s="113"/>
      <c r="H395" s="113"/>
      <c r="I395" s="113"/>
      <c r="J395" s="113"/>
      <c r="K395" s="113"/>
      <c r="L395" s="113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</row>
    <row x14ac:dyDescent="0.25" r="396" customHeight="1" ht="15.75">
      <c r="A396" s="123"/>
      <c r="B396" s="123"/>
      <c r="C396" s="124"/>
      <c r="D396" s="124"/>
      <c r="E396" s="124"/>
      <c r="F396" s="113"/>
      <c r="G396" s="113"/>
      <c r="H396" s="113"/>
      <c r="I396" s="113"/>
      <c r="J396" s="113"/>
      <c r="K396" s="113"/>
      <c r="L396" s="113"/>
      <c r="M396" s="113"/>
      <c r="N396" s="113"/>
      <c r="O396" s="113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</row>
    <row x14ac:dyDescent="0.25" r="397" customHeight="1" ht="15.75">
      <c r="A397" s="123"/>
      <c r="B397" s="123"/>
      <c r="C397" s="124"/>
      <c r="D397" s="124"/>
      <c r="E397" s="124"/>
      <c r="F397" s="113"/>
      <c r="G397" s="113"/>
      <c r="H397" s="113"/>
      <c r="I397" s="113"/>
      <c r="J397" s="113"/>
      <c r="K397" s="113"/>
      <c r="L397" s="113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</row>
    <row x14ac:dyDescent="0.25" r="398" customHeight="1" ht="15.75">
      <c r="A398" s="123"/>
      <c r="B398" s="123"/>
      <c r="C398" s="124"/>
      <c r="D398" s="124"/>
      <c r="E398" s="124"/>
      <c r="F398" s="113"/>
      <c r="G398" s="113"/>
      <c r="H398" s="113"/>
      <c r="I398" s="113"/>
      <c r="J398" s="113"/>
      <c r="K398" s="113"/>
      <c r="L398" s="113"/>
      <c r="M398" s="113"/>
      <c r="N398" s="113"/>
      <c r="O398" s="113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</row>
    <row x14ac:dyDescent="0.25" r="399" customHeight="1" ht="15.75">
      <c r="A399" s="123"/>
      <c r="B399" s="123"/>
      <c r="C399" s="124"/>
      <c r="D399" s="124"/>
      <c r="E399" s="124"/>
      <c r="F399" s="113"/>
      <c r="G399" s="113"/>
      <c r="H399" s="113"/>
      <c r="I399" s="113"/>
      <c r="J399" s="113"/>
      <c r="K399" s="113"/>
      <c r="L399" s="113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</row>
    <row x14ac:dyDescent="0.25" r="400" customHeight="1" ht="15.75">
      <c r="A400" s="123"/>
      <c r="B400" s="123"/>
      <c r="C400" s="124"/>
      <c r="D400" s="124"/>
      <c r="E400" s="124"/>
      <c r="F400" s="113"/>
      <c r="G400" s="113"/>
      <c r="H400" s="113"/>
      <c r="I400" s="113"/>
      <c r="J400" s="113"/>
      <c r="K400" s="113"/>
      <c r="L400" s="113"/>
      <c r="M400" s="113"/>
      <c r="N400" s="113"/>
      <c r="O400" s="113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</row>
    <row x14ac:dyDescent="0.25" r="401" customHeight="1" ht="15.75">
      <c r="A401" s="123"/>
      <c r="B401" s="123"/>
      <c r="C401" s="124"/>
      <c r="D401" s="124"/>
      <c r="E401" s="124"/>
      <c r="F401" s="113"/>
      <c r="G401" s="113"/>
      <c r="H401" s="113"/>
      <c r="I401" s="113"/>
      <c r="J401" s="113"/>
      <c r="K401" s="113"/>
      <c r="L401" s="113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</row>
    <row x14ac:dyDescent="0.25" r="402" customHeight="1" ht="15.75">
      <c r="A402" s="123"/>
      <c r="B402" s="123"/>
      <c r="C402" s="124"/>
      <c r="D402" s="124"/>
      <c r="E402" s="124"/>
      <c r="F402" s="113"/>
      <c r="G402" s="113"/>
      <c r="H402" s="113"/>
      <c r="I402" s="113"/>
      <c r="J402" s="113"/>
      <c r="K402" s="113"/>
      <c r="L402" s="113"/>
      <c r="M402" s="113"/>
      <c r="N402" s="113"/>
      <c r="O402" s="113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</row>
    <row x14ac:dyDescent="0.25" r="403" customHeight="1" ht="15.75">
      <c r="A403" s="123"/>
      <c r="B403" s="123"/>
      <c r="C403" s="124"/>
      <c r="D403" s="124"/>
      <c r="E403" s="124"/>
      <c r="F403" s="113"/>
      <c r="G403" s="113"/>
      <c r="H403" s="113"/>
      <c r="I403" s="113"/>
      <c r="J403" s="113"/>
      <c r="K403" s="113"/>
      <c r="L403" s="113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</row>
    <row x14ac:dyDescent="0.25" r="404" customHeight="1" ht="15.75">
      <c r="A404" s="123"/>
      <c r="B404" s="123"/>
      <c r="C404" s="124"/>
      <c r="D404" s="124"/>
      <c r="E404" s="124"/>
      <c r="F404" s="113"/>
      <c r="G404" s="113"/>
      <c r="H404" s="113"/>
      <c r="I404" s="113"/>
      <c r="J404" s="113"/>
      <c r="K404" s="113"/>
      <c r="L404" s="113"/>
      <c r="M404" s="113"/>
      <c r="N404" s="113"/>
      <c r="O404" s="113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</row>
    <row x14ac:dyDescent="0.25" r="405" customHeight="1" ht="15.75">
      <c r="A405" s="123"/>
      <c r="B405" s="123"/>
      <c r="C405" s="124"/>
      <c r="D405" s="124"/>
      <c r="E405" s="124"/>
      <c r="F405" s="113"/>
      <c r="G405" s="113"/>
      <c r="H405" s="113"/>
      <c r="I405" s="113"/>
      <c r="J405" s="113"/>
      <c r="K405" s="113"/>
      <c r="L405" s="113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</row>
    <row x14ac:dyDescent="0.25" r="406" customHeight="1" ht="15.75">
      <c r="A406" s="123"/>
      <c r="B406" s="123"/>
      <c r="C406" s="124"/>
      <c r="D406" s="124"/>
      <c r="E406" s="124"/>
      <c r="F406" s="113"/>
      <c r="G406" s="113"/>
      <c r="H406" s="113"/>
      <c r="I406" s="113"/>
      <c r="J406" s="113"/>
      <c r="K406" s="113"/>
      <c r="L406" s="113"/>
      <c r="M406" s="113"/>
      <c r="N406" s="113"/>
      <c r="O406" s="113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</row>
    <row x14ac:dyDescent="0.25" r="407" customHeight="1" ht="15.75">
      <c r="A407" s="123"/>
      <c r="B407" s="123"/>
      <c r="C407" s="124"/>
      <c r="D407" s="124"/>
      <c r="E407" s="124"/>
      <c r="F407" s="113"/>
      <c r="G407" s="113"/>
      <c r="H407" s="113"/>
      <c r="I407" s="113"/>
      <c r="J407" s="113"/>
      <c r="K407" s="113"/>
      <c r="L407" s="113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</row>
    <row x14ac:dyDescent="0.25" r="408" customHeight="1" ht="15.75">
      <c r="A408" s="123"/>
      <c r="B408" s="123"/>
      <c r="C408" s="124"/>
      <c r="D408" s="124"/>
      <c r="E408" s="124"/>
      <c r="F408" s="113"/>
      <c r="G408" s="113"/>
      <c r="H408" s="113"/>
      <c r="I408" s="113"/>
      <c r="J408" s="113"/>
      <c r="K408" s="113"/>
      <c r="L408" s="113"/>
      <c r="M408" s="113"/>
      <c r="N408" s="113"/>
      <c r="O408" s="113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</row>
    <row x14ac:dyDescent="0.25" r="409" customHeight="1" ht="15.75">
      <c r="A409" s="123"/>
      <c r="B409" s="123"/>
      <c r="C409" s="124"/>
      <c r="D409" s="124"/>
      <c r="E409" s="124"/>
      <c r="F409" s="113"/>
      <c r="G409" s="113"/>
      <c r="H409" s="113"/>
      <c r="I409" s="113"/>
      <c r="J409" s="113"/>
      <c r="K409" s="113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</row>
    <row x14ac:dyDescent="0.25" r="410" customHeight="1" ht="15.75">
      <c r="A410" s="123"/>
      <c r="B410" s="123"/>
      <c r="C410" s="124"/>
      <c r="D410" s="124"/>
      <c r="E410" s="124"/>
      <c r="F410" s="113"/>
      <c r="G410" s="113"/>
      <c r="H410" s="113"/>
      <c r="I410" s="113"/>
      <c r="J410" s="113"/>
      <c r="K410" s="113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</row>
    <row x14ac:dyDescent="0.25" r="411" customHeight="1" ht="15.75">
      <c r="A411" s="123"/>
      <c r="B411" s="123"/>
      <c r="C411" s="124"/>
      <c r="D411" s="124"/>
      <c r="E411" s="124"/>
      <c r="F411" s="113"/>
      <c r="G411" s="113"/>
      <c r="H411" s="113"/>
      <c r="I411" s="113"/>
      <c r="J411" s="113"/>
      <c r="K411" s="113"/>
      <c r="L411" s="113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</row>
    <row x14ac:dyDescent="0.25" r="412" customHeight="1" ht="15.75">
      <c r="A412" s="123"/>
      <c r="B412" s="123"/>
      <c r="C412" s="124"/>
      <c r="D412" s="124"/>
      <c r="E412" s="124"/>
      <c r="F412" s="113"/>
      <c r="G412" s="113"/>
      <c r="H412" s="113"/>
      <c r="I412" s="113"/>
      <c r="J412" s="113"/>
      <c r="K412" s="113"/>
      <c r="L412" s="113"/>
      <c r="M412" s="113"/>
      <c r="N412" s="113"/>
      <c r="O412" s="113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</row>
    <row x14ac:dyDescent="0.25" r="413" customHeight="1" ht="15.75">
      <c r="A413" s="123"/>
      <c r="B413" s="123"/>
      <c r="C413" s="124"/>
      <c r="D413" s="124"/>
      <c r="E413" s="124"/>
      <c r="F413" s="113"/>
      <c r="G413" s="113"/>
      <c r="H413" s="113"/>
      <c r="I413" s="113"/>
      <c r="J413" s="113"/>
      <c r="K413" s="113"/>
      <c r="L413" s="113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</row>
    <row x14ac:dyDescent="0.25" r="414" customHeight="1" ht="15.75">
      <c r="A414" s="123"/>
      <c r="B414" s="123"/>
      <c r="C414" s="124"/>
      <c r="D414" s="124"/>
      <c r="E414" s="124"/>
      <c r="F414" s="113"/>
      <c r="G414" s="113"/>
      <c r="H414" s="113"/>
      <c r="I414" s="113"/>
      <c r="J414" s="113"/>
      <c r="K414" s="113"/>
      <c r="L414" s="113"/>
      <c r="M414" s="113"/>
      <c r="N414" s="113"/>
      <c r="O414" s="113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</row>
    <row x14ac:dyDescent="0.25" r="415" customHeight="1" ht="15.75">
      <c r="A415" s="123"/>
      <c r="B415" s="123"/>
      <c r="C415" s="124"/>
      <c r="D415" s="124"/>
      <c r="E415" s="124"/>
      <c r="F415" s="113"/>
      <c r="G415" s="113"/>
      <c r="H415" s="113"/>
      <c r="I415" s="113"/>
      <c r="J415" s="113"/>
      <c r="K415" s="113"/>
      <c r="L415" s="113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</row>
    <row x14ac:dyDescent="0.25" r="416" customHeight="1" ht="15.75">
      <c r="A416" s="123"/>
      <c r="B416" s="123"/>
      <c r="C416" s="124"/>
      <c r="D416" s="124"/>
      <c r="E416" s="124"/>
      <c r="F416" s="113"/>
      <c r="G416" s="113"/>
      <c r="H416" s="113"/>
      <c r="I416" s="113"/>
      <c r="J416" s="113"/>
      <c r="K416" s="113"/>
      <c r="L416" s="113"/>
      <c r="M416" s="113"/>
      <c r="N416" s="113"/>
      <c r="O416" s="113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</row>
    <row x14ac:dyDescent="0.25" r="417" customHeight="1" ht="15.75">
      <c r="A417" s="123"/>
      <c r="B417" s="123"/>
      <c r="C417" s="124"/>
      <c r="D417" s="124"/>
      <c r="E417" s="124"/>
      <c r="F417" s="113"/>
      <c r="G417" s="113"/>
      <c r="H417" s="113"/>
      <c r="I417" s="113"/>
      <c r="J417" s="113"/>
      <c r="K417" s="113"/>
      <c r="L417" s="113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</row>
    <row x14ac:dyDescent="0.25" r="418" customHeight="1" ht="15.75">
      <c r="A418" s="123"/>
      <c r="B418" s="123"/>
      <c r="C418" s="124"/>
      <c r="D418" s="124"/>
      <c r="E418" s="124"/>
      <c r="F418" s="113"/>
      <c r="G418" s="113"/>
      <c r="H418" s="113"/>
      <c r="I418" s="113"/>
      <c r="J418" s="113"/>
      <c r="K418" s="113"/>
      <c r="L418" s="113"/>
      <c r="M418" s="113"/>
      <c r="N418" s="113"/>
      <c r="O418" s="113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</row>
    <row x14ac:dyDescent="0.25" r="419" customHeight="1" ht="15.75">
      <c r="A419" s="123"/>
      <c r="B419" s="123"/>
      <c r="C419" s="124"/>
      <c r="D419" s="124"/>
      <c r="E419" s="124"/>
      <c r="F419" s="113"/>
      <c r="G419" s="113"/>
      <c r="H419" s="113"/>
      <c r="I419" s="113"/>
      <c r="J419" s="113"/>
      <c r="K419" s="113"/>
      <c r="L419" s="113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</row>
    <row x14ac:dyDescent="0.25" r="420" customHeight="1" ht="15.75">
      <c r="A420" s="123"/>
      <c r="B420" s="123"/>
      <c r="C420" s="124"/>
      <c r="D420" s="124"/>
      <c r="E420" s="124"/>
      <c r="F420" s="113"/>
      <c r="G420" s="113"/>
      <c r="H420" s="113"/>
      <c r="I420" s="113"/>
      <c r="J420" s="113"/>
      <c r="K420" s="113"/>
      <c r="L420" s="113"/>
      <c r="M420" s="113"/>
      <c r="N420" s="113"/>
      <c r="O420" s="113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</row>
    <row x14ac:dyDescent="0.25" r="421" customHeight="1" ht="15.75">
      <c r="A421" s="123"/>
      <c r="B421" s="123"/>
      <c r="C421" s="124"/>
      <c r="D421" s="124"/>
      <c r="E421" s="124"/>
      <c r="F421" s="113"/>
      <c r="G421" s="113"/>
      <c r="H421" s="113"/>
      <c r="I421" s="113"/>
      <c r="J421" s="113"/>
      <c r="K421" s="113"/>
      <c r="L421" s="113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</row>
    <row x14ac:dyDescent="0.25" r="422" customHeight="1" ht="15.75">
      <c r="A422" s="123"/>
      <c r="B422" s="123"/>
      <c r="C422" s="124"/>
      <c r="D422" s="124"/>
      <c r="E422" s="124"/>
      <c r="F422" s="113"/>
      <c r="G422" s="113"/>
      <c r="H422" s="113"/>
      <c r="I422" s="113"/>
      <c r="J422" s="113"/>
      <c r="K422" s="113"/>
      <c r="L422" s="113"/>
      <c r="M422" s="113"/>
      <c r="N422" s="113"/>
      <c r="O422" s="113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</row>
    <row x14ac:dyDescent="0.25" r="423" customHeight="1" ht="15.75">
      <c r="A423" s="123"/>
      <c r="B423" s="123"/>
      <c r="C423" s="124"/>
      <c r="D423" s="124"/>
      <c r="E423" s="124"/>
      <c r="F423" s="113"/>
      <c r="G423" s="113"/>
      <c r="H423" s="113"/>
      <c r="I423" s="113"/>
      <c r="J423" s="113"/>
      <c r="K423" s="113"/>
      <c r="L423" s="113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</row>
    <row x14ac:dyDescent="0.25" r="424" customHeight="1" ht="15.75">
      <c r="A424" s="123"/>
      <c r="B424" s="123"/>
      <c r="C424" s="124"/>
      <c r="D424" s="124"/>
      <c r="E424" s="124"/>
      <c r="F424" s="113"/>
      <c r="G424" s="113"/>
      <c r="H424" s="113"/>
      <c r="I424" s="113"/>
      <c r="J424" s="113"/>
      <c r="K424" s="113"/>
      <c r="L424" s="113"/>
      <c r="M424" s="113"/>
      <c r="N424" s="113"/>
      <c r="O424" s="113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</row>
    <row x14ac:dyDescent="0.25" r="425" customHeight="1" ht="15.75">
      <c r="A425" s="123"/>
      <c r="B425" s="123"/>
      <c r="C425" s="124"/>
      <c r="D425" s="124"/>
      <c r="E425" s="124"/>
      <c r="F425" s="113"/>
      <c r="G425" s="113"/>
      <c r="H425" s="113"/>
      <c r="I425" s="113"/>
      <c r="J425" s="113"/>
      <c r="K425" s="113"/>
      <c r="L425" s="113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</row>
    <row x14ac:dyDescent="0.25" r="426" customHeight="1" ht="15.75">
      <c r="A426" s="123"/>
      <c r="B426" s="123"/>
      <c r="C426" s="124"/>
      <c r="D426" s="124"/>
      <c r="E426" s="124"/>
      <c r="F426" s="113"/>
      <c r="G426" s="113"/>
      <c r="H426" s="113"/>
      <c r="I426" s="113"/>
      <c r="J426" s="113"/>
      <c r="K426" s="113"/>
      <c r="L426" s="113"/>
      <c r="M426" s="113"/>
      <c r="N426" s="113"/>
      <c r="O426" s="113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</row>
    <row x14ac:dyDescent="0.25" r="427" customHeight="1" ht="15.75">
      <c r="A427" s="123"/>
      <c r="B427" s="123"/>
      <c r="C427" s="124"/>
      <c r="D427" s="124"/>
      <c r="E427" s="124"/>
      <c r="F427" s="113"/>
      <c r="G427" s="113"/>
      <c r="H427" s="113"/>
      <c r="I427" s="113"/>
      <c r="J427" s="113"/>
      <c r="K427" s="113"/>
      <c r="L427" s="113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</row>
    <row x14ac:dyDescent="0.25" r="428" customHeight="1" ht="15.75">
      <c r="A428" s="123"/>
      <c r="B428" s="123"/>
      <c r="C428" s="124"/>
      <c r="D428" s="124"/>
      <c r="E428" s="124"/>
      <c r="F428" s="113"/>
      <c r="G428" s="113"/>
      <c r="H428" s="113"/>
      <c r="I428" s="113"/>
      <c r="J428" s="113"/>
      <c r="K428" s="113"/>
      <c r="L428" s="113"/>
      <c r="M428" s="113"/>
      <c r="N428" s="113"/>
      <c r="O428" s="113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</row>
    <row x14ac:dyDescent="0.25" r="429" customHeight="1" ht="15.75">
      <c r="A429" s="123"/>
      <c r="B429" s="123"/>
      <c r="C429" s="124"/>
      <c r="D429" s="124"/>
      <c r="E429" s="124"/>
      <c r="F429" s="113"/>
      <c r="G429" s="113"/>
      <c r="H429" s="113"/>
      <c r="I429" s="113"/>
      <c r="J429" s="113"/>
      <c r="K429" s="113"/>
      <c r="L429" s="113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</row>
    <row x14ac:dyDescent="0.25" r="430" customHeight="1" ht="15.75">
      <c r="A430" s="123"/>
      <c r="B430" s="123"/>
      <c r="C430" s="124"/>
      <c r="D430" s="124"/>
      <c r="E430" s="124"/>
      <c r="F430" s="113"/>
      <c r="G430" s="113"/>
      <c r="H430" s="113"/>
      <c r="I430" s="113"/>
      <c r="J430" s="113"/>
      <c r="K430" s="113"/>
      <c r="L430" s="113"/>
      <c r="M430" s="113"/>
      <c r="N430" s="113"/>
      <c r="O430" s="113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</row>
    <row x14ac:dyDescent="0.25" r="431" customHeight="1" ht="15.75">
      <c r="A431" s="123"/>
      <c r="B431" s="123"/>
      <c r="C431" s="124"/>
      <c r="D431" s="124"/>
      <c r="E431" s="124"/>
      <c r="F431" s="113"/>
      <c r="G431" s="113"/>
      <c r="H431" s="113"/>
      <c r="I431" s="113"/>
      <c r="J431" s="113"/>
      <c r="K431" s="113"/>
      <c r="L431" s="113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</row>
    <row x14ac:dyDescent="0.25" r="432" customHeight="1" ht="15.75">
      <c r="A432" s="123"/>
      <c r="B432" s="123"/>
      <c r="C432" s="124"/>
      <c r="D432" s="124"/>
      <c r="E432" s="124"/>
      <c r="F432" s="113"/>
      <c r="G432" s="113"/>
      <c r="H432" s="113"/>
      <c r="I432" s="113"/>
      <c r="J432" s="113"/>
      <c r="K432" s="113"/>
      <c r="L432" s="113"/>
      <c r="M432" s="113"/>
      <c r="N432" s="113"/>
      <c r="O432" s="113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</row>
    <row x14ac:dyDescent="0.25" r="433" customHeight="1" ht="15.75">
      <c r="A433" s="123"/>
      <c r="B433" s="123"/>
      <c r="C433" s="124"/>
      <c r="D433" s="124"/>
      <c r="E433" s="124"/>
      <c r="F433" s="113"/>
      <c r="G433" s="113"/>
      <c r="H433" s="113"/>
      <c r="I433" s="113"/>
      <c r="J433" s="113"/>
      <c r="K433" s="113"/>
      <c r="L433" s="113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</row>
    <row x14ac:dyDescent="0.25" r="434" customHeight="1" ht="15.75">
      <c r="A434" s="123"/>
      <c r="B434" s="123"/>
      <c r="C434" s="124"/>
      <c r="D434" s="124"/>
      <c r="E434" s="124"/>
      <c r="F434" s="113"/>
      <c r="G434" s="113"/>
      <c r="H434" s="113"/>
      <c r="I434" s="113"/>
      <c r="J434" s="113"/>
      <c r="K434" s="113"/>
      <c r="L434" s="113"/>
      <c r="M434" s="113"/>
      <c r="N434" s="113"/>
      <c r="O434" s="113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</row>
    <row x14ac:dyDescent="0.25" r="435" customHeight="1" ht="15.75">
      <c r="A435" s="123"/>
      <c r="B435" s="123"/>
      <c r="C435" s="124"/>
      <c r="D435" s="124"/>
      <c r="E435" s="124"/>
      <c r="F435" s="113"/>
      <c r="G435" s="113"/>
      <c r="H435" s="113"/>
      <c r="I435" s="113"/>
      <c r="J435" s="113"/>
      <c r="K435" s="113"/>
      <c r="L435" s="113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</row>
    <row x14ac:dyDescent="0.25" r="436" customHeight="1" ht="15.75">
      <c r="A436" s="123"/>
      <c r="B436" s="123"/>
      <c r="C436" s="124"/>
      <c r="D436" s="124"/>
      <c r="E436" s="124"/>
      <c r="F436" s="113"/>
      <c r="G436" s="113"/>
      <c r="H436" s="113"/>
      <c r="I436" s="113"/>
      <c r="J436" s="113"/>
      <c r="K436" s="113"/>
      <c r="L436" s="113"/>
      <c r="M436" s="113"/>
      <c r="N436" s="113"/>
      <c r="O436" s="113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</row>
    <row x14ac:dyDescent="0.25" r="437" customHeight="1" ht="15.75">
      <c r="A437" s="123"/>
      <c r="B437" s="123"/>
      <c r="C437" s="124"/>
      <c r="D437" s="124"/>
      <c r="E437" s="124"/>
      <c r="F437" s="113"/>
      <c r="G437" s="113"/>
      <c r="H437" s="113"/>
      <c r="I437" s="113"/>
      <c r="J437" s="113"/>
      <c r="K437" s="113"/>
      <c r="L437" s="113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</row>
    <row x14ac:dyDescent="0.25" r="438" customHeight="1" ht="15.75">
      <c r="A438" s="123"/>
      <c r="B438" s="123"/>
      <c r="C438" s="124"/>
      <c r="D438" s="124"/>
      <c r="E438" s="124"/>
      <c r="F438" s="113"/>
      <c r="G438" s="113"/>
      <c r="H438" s="113"/>
      <c r="I438" s="113"/>
      <c r="J438" s="113"/>
      <c r="K438" s="113"/>
      <c r="L438" s="113"/>
      <c r="M438" s="113"/>
      <c r="N438" s="113"/>
      <c r="O438" s="113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</row>
    <row x14ac:dyDescent="0.25" r="439" customHeight="1" ht="15.75">
      <c r="A439" s="123"/>
      <c r="B439" s="123"/>
      <c r="C439" s="124"/>
      <c r="D439" s="124"/>
      <c r="E439" s="124"/>
      <c r="F439" s="113"/>
      <c r="G439" s="113"/>
      <c r="H439" s="113"/>
      <c r="I439" s="113"/>
      <c r="J439" s="113"/>
      <c r="K439" s="113"/>
      <c r="L439" s="113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</row>
    <row x14ac:dyDescent="0.25" r="440" customHeight="1" ht="15.75">
      <c r="A440" s="123"/>
      <c r="B440" s="123"/>
      <c r="C440" s="124"/>
      <c r="D440" s="124"/>
      <c r="E440" s="124"/>
      <c r="F440" s="113"/>
      <c r="G440" s="113"/>
      <c r="H440" s="113"/>
      <c r="I440" s="113"/>
      <c r="J440" s="113"/>
      <c r="K440" s="113"/>
      <c r="L440" s="113"/>
      <c r="M440" s="113"/>
      <c r="N440" s="113"/>
      <c r="O440" s="113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</row>
    <row x14ac:dyDescent="0.25" r="441" customHeight="1" ht="15.75">
      <c r="A441" s="123"/>
      <c r="B441" s="123"/>
      <c r="C441" s="124"/>
      <c r="D441" s="124"/>
      <c r="E441" s="124"/>
      <c r="F441" s="113"/>
      <c r="G441" s="113"/>
      <c r="H441" s="113"/>
      <c r="I441" s="113"/>
      <c r="J441" s="113"/>
      <c r="K441" s="113"/>
      <c r="L441" s="113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</row>
    <row x14ac:dyDescent="0.25" r="442" customHeight="1" ht="15.75">
      <c r="A442" s="123"/>
      <c r="B442" s="123"/>
      <c r="C442" s="124"/>
      <c r="D442" s="124"/>
      <c r="E442" s="124"/>
      <c r="F442" s="113"/>
      <c r="G442" s="113"/>
      <c r="H442" s="113"/>
      <c r="I442" s="113"/>
      <c r="J442" s="113"/>
      <c r="K442" s="113"/>
      <c r="L442" s="113"/>
      <c r="M442" s="113"/>
      <c r="N442" s="113"/>
      <c r="O442" s="113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</row>
    <row x14ac:dyDescent="0.25" r="443" customHeight="1" ht="15.75">
      <c r="A443" s="123"/>
      <c r="B443" s="123"/>
      <c r="C443" s="124"/>
      <c r="D443" s="124"/>
      <c r="E443" s="124"/>
      <c r="F443" s="113"/>
      <c r="G443" s="113"/>
      <c r="H443" s="113"/>
      <c r="I443" s="113"/>
      <c r="J443" s="113"/>
      <c r="K443" s="113"/>
      <c r="L443" s="113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</row>
    <row x14ac:dyDescent="0.25" r="444" customHeight="1" ht="15.75">
      <c r="A444" s="123"/>
      <c r="B444" s="123"/>
      <c r="C444" s="124"/>
      <c r="D444" s="124"/>
      <c r="E444" s="124"/>
      <c r="F444" s="113"/>
      <c r="G444" s="113"/>
      <c r="H444" s="113"/>
      <c r="I444" s="113"/>
      <c r="J444" s="113"/>
      <c r="K444" s="113"/>
      <c r="L444" s="113"/>
      <c r="M444" s="113"/>
      <c r="N444" s="113"/>
      <c r="O444" s="113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</row>
    <row x14ac:dyDescent="0.25" r="445" customHeight="1" ht="15.75">
      <c r="A445" s="123"/>
      <c r="B445" s="123"/>
      <c r="C445" s="124"/>
      <c r="D445" s="124"/>
      <c r="E445" s="124"/>
      <c r="F445" s="113"/>
      <c r="G445" s="113"/>
      <c r="H445" s="113"/>
      <c r="I445" s="113"/>
      <c r="J445" s="113"/>
      <c r="K445" s="113"/>
      <c r="L445" s="113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</row>
    <row x14ac:dyDescent="0.25" r="446" customHeight="1" ht="15.75">
      <c r="A446" s="123"/>
      <c r="B446" s="123"/>
      <c r="C446" s="124"/>
      <c r="D446" s="124"/>
      <c r="E446" s="124"/>
      <c r="F446" s="113"/>
      <c r="G446" s="113"/>
      <c r="H446" s="113"/>
      <c r="I446" s="113"/>
      <c r="J446" s="113"/>
      <c r="K446" s="113"/>
      <c r="L446" s="113"/>
      <c r="M446" s="113"/>
      <c r="N446" s="113"/>
      <c r="O446" s="113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</row>
    <row x14ac:dyDescent="0.25" r="447" customHeight="1" ht="15.75">
      <c r="A447" s="123"/>
      <c r="B447" s="123"/>
      <c r="C447" s="124"/>
      <c r="D447" s="124"/>
      <c r="E447" s="124"/>
      <c r="F447" s="113"/>
      <c r="G447" s="113"/>
      <c r="H447" s="113"/>
      <c r="I447" s="113"/>
      <c r="J447" s="113"/>
      <c r="K447" s="113"/>
      <c r="L447" s="113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</row>
    <row x14ac:dyDescent="0.25" r="448" customHeight="1" ht="15.75">
      <c r="A448" s="123"/>
      <c r="B448" s="123"/>
      <c r="C448" s="124"/>
      <c r="D448" s="124"/>
      <c r="E448" s="124"/>
      <c r="F448" s="113"/>
      <c r="G448" s="113"/>
      <c r="H448" s="113"/>
      <c r="I448" s="113"/>
      <c r="J448" s="113"/>
      <c r="K448" s="113"/>
      <c r="L448" s="113"/>
      <c r="M448" s="113"/>
      <c r="N448" s="113"/>
      <c r="O448" s="113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</row>
    <row x14ac:dyDescent="0.25" r="449" customHeight="1" ht="15.75">
      <c r="A449" s="123"/>
      <c r="B449" s="123"/>
      <c r="C449" s="124"/>
      <c r="D449" s="124"/>
      <c r="E449" s="124"/>
      <c r="F449" s="113"/>
      <c r="G449" s="113"/>
      <c r="H449" s="113"/>
      <c r="I449" s="113"/>
      <c r="J449" s="113"/>
      <c r="K449" s="113"/>
      <c r="L449" s="113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</row>
    <row x14ac:dyDescent="0.25" r="450" customHeight="1" ht="15.75">
      <c r="A450" s="123"/>
      <c r="B450" s="123"/>
      <c r="C450" s="124"/>
      <c r="D450" s="124"/>
      <c r="E450" s="124"/>
      <c r="F450" s="113"/>
      <c r="G450" s="113"/>
      <c r="H450" s="113"/>
      <c r="I450" s="113"/>
      <c r="J450" s="113"/>
      <c r="K450" s="113"/>
      <c r="L450" s="113"/>
      <c r="M450" s="113"/>
      <c r="N450" s="113"/>
      <c r="O450" s="113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</row>
    <row x14ac:dyDescent="0.25" r="451" customHeight="1" ht="15.75">
      <c r="A451" s="123"/>
      <c r="B451" s="123"/>
      <c r="C451" s="124"/>
      <c r="D451" s="124"/>
      <c r="E451" s="124"/>
      <c r="F451" s="113"/>
      <c r="G451" s="113"/>
      <c r="H451" s="113"/>
      <c r="I451" s="113"/>
      <c r="J451" s="113"/>
      <c r="K451" s="113"/>
      <c r="L451" s="113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</row>
    <row x14ac:dyDescent="0.25" r="452" customHeight="1" ht="15.75">
      <c r="A452" s="123"/>
      <c r="B452" s="123"/>
      <c r="C452" s="124"/>
      <c r="D452" s="124"/>
      <c r="E452" s="124"/>
      <c r="F452" s="113"/>
      <c r="G452" s="113"/>
      <c r="H452" s="113"/>
      <c r="I452" s="113"/>
      <c r="J452" s="113"/>
      <c r="K452" s="113"/>
      <c r="L452" s="113"/>
      <c r="M452" s="113"/>
      <c r="N452" s="113"/>
      <c r="O452" s="113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</row>
    <row x14ac:dyDescent="0.25" r="453" customHeight="1" ht="15.75">
      <c r="A453" s="123"/>
      <c r="B453" s="123"/>
      <c r="C453" s="124"/>
      <c r="D453" s="124"/>
      <c r="E453" s="124"/>
      <c r="F453" s="113"/>
      <c r="G453" s="113"/>
      <c r="H453" s="113"/>
      <c r="I453" s="113"/>
      <c r="J453" s="113"/>
      <c r="K453" s="113"/>
      <c r="L453" s="113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</row>
    <row x14ac:dyDescent="0.25" r="454" customHeight="1" ht="15.75">
      <c r="A454" s="123"/>
      <c r="B454" s="123"/>
      <c r="C454" s="124"/>
      <c r="D454" s="124"/>
      <c r="E454" s="124"/>
      <c r="F454" s="113"/>
      <c r="G454" s="113"/>
      <c r="H454" s="113"/>
      <c r="I454" s="113"/>
      <c r="J454" s="113"/>
      <c r="K454" s="113"/>
      <c r="L454" s="113"/>
      <c r="M454" s="113"/>
      <c r="N454" s="113"/>
      <c r="O454" s="113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</row>
    <row x14ac:dyDescent="0.25" r="455" customHeight="1" ht="15.75">
      <c r="A455" s="123"/>
      <c r="B455" s="123"/>
      <c r="C455" s="124"/>
      <c r="D455" s="124"/>
      <c r="E455" s="124"/>
      <c r="F455" s="113"/>
      <c r="G455" s="113"/>
      <c r="H455" s="113"/>
      <c r="I455" s="113"/>
      <c r="J455" s="113"/>
      <c r="K455" s="113"/>
      <c r="L455" s="113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</row>
    <row x14ac:dyDescent="0.25" r="456" customHeight="1" ht="15.75">
      <c r="A456" s="123"/>
      <c r="B456" s="123"/>
      <c r="C456" s="124"/>
      <c r="D456" s="124"/>
      <c r="E456" s="124"/>
      <c r="F456" s="113"/>
      <c r="G456" s="113"/>
      <c r="H456" s="113"/>
      <c r="I456" s="113"/>
      <c r="J456" s="113"/>
      <c r="K456" s="113"/>
      <c r="L456" s="113"/>
      <c r="M456" s="113"/>
      <c r="N456" s="113"/>
      <c r="O456" s="113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</row>
    <row x14ac:dyDescent="0.25" r="457" customHeight="1" ht="15.75">
      <c r="A457" s="123"/>
      <c r="B457" s="123"/>
      <c r="C457" s="124"/>
      <c r="D457" s="124"/>
      <c r="E457" s="124"/>
      <c r="F457" s="113"/>
      <c r="G457" s="113"/>
      <c r="H457" s="113"/>
      <c r="I457" s="113"/>
      <c r="J457" s="113"/>
      <c r="K457" s="113"/>
      <c r="L457" s="113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</row>
    <row x14ac:dyDescent="0.25" r="458" customHeight="1" ht="15.75">
      <c r="A458" s="123"/>
      <c r="B458" s="123"/>
      <c r="C458" s="124"/>
      <c r="D458" s="124"/>
      <c r="E458" s="124"/>
      <c r="F458" s="113"/>
      <c r="G458" s="113"/>
      <c r="H458" s="113"/>
      <c r="I458" s="113"/>
      <c r="J458" s="113"/>
      <c r="K458" s="113"/>
      <c r="L458" s="113"/>
      <c r="M458" s="113"/>
      <c r="N458" s="113"/>
      <c r="O458" s="113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</row>
    <row x14ac:dyDescent="0.25" r="459" customHeight="1" ht="15.75">
      <c r="A459" s="123"/>
      <c r="B459" s="123"/>
      <c r="C459" s="124"/>
      <c r="D459" s="124"/>
      <c r="E459" s="124"/>
      <c r="F459" s="113"/>
      <c r="G459" s="113"/>
      <c r="H459" s="113"/>
      <c r="I459" s="113"/>
      <c r="J459" s="113"/>
      <c r="K459" s="113"/>
      <c r="L459" s="113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</row>
    <row x14ac:dyDescent="0.25" r="460" customHeight="1" ht="15.75">
      <c r="A460" s="123"/>
      <c r="B460" s="123"/>
      <c r="C460" s="124"/>
      <c r="D460" s="124"/>
      <c r="E460" s="124"/>
      <c r="F460" s="113"/>
      <c r="G460" s="113"/>
      <c r="H460" s="113"/>
      <c r="I460" s="113"/>
      <c r="J460" s="113"/>
      <c r="K460" s="113"/>
      <c r="L460" s="113"/>
      <c r="M460" s="113"/>
      <c r="N460" s="113"/>
      <c r="O460" s="113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</row>
    <row x14ac:dyDescent="0.25" r="461" customHeight="1" ht="15.75">
      <c r="A461" s="123"/>
      <c r="B461" s="123"/>
      <c r="C461" s="124"/>
      <c r="D461" s="124"/>
      <c r="E461" s="124"/>
      <c r="F461" s="113"/>
      <c r="G461" s="113"/>
      <c r="H461" s="113"/>
      <c r="I461" s="113"/>
      <c r="J461" s="113"/>
      <c r="K461" s="113"/>
      <c r="L461" s="113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</row>
    <row x14ac:dyDescent="0.25" r="462" customHeight="1" ht="15.75">
      <c r="A462" s="123"/>
      <c r="B462" s="123"/>
      <c r="C462" s="124"/>
      <c r="D462" s="124"/>
      <c r="E462" s="124"/>
      <c r="F462" s="113"/>
      <c r="G462" s="113"/>
      <c r="H462" s="113"/>
      <c r="I462" s="113"/>
      <c r="J462" s="113"/>
      <c r="K462" s="113"/>
      <c r="L462" s="113"/>
      <c r="M462" s="113"/>
      <c r="N462" s="113"/>
      <c r="O462" s="113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</row>
    <row x14ac:dyDescent="0.25" r="463" customHeight="1" ht="15.75">
      <c r="A463" s="123"/>
      <c r="B463" s="123"/>
      <c r="C463" s="124"/>
      <c r="D463" s="124"/>
      <c r="E463" s="124"/>
      <c r="F463" s="113"/>
      <c r="G463" s="113"/>
      <c r="H463" s="113"/>
      <c r="I463" s="113"/>
      <c r="J463" s="113"/>
      <c r="K463" s="113"/>
      <c r="L463" s="113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</row>
    <row x14ac:dyDescent="0.25" r="464" customHeight="1" ht="15.75">
      <c r="A464" s="123"/>
      <c r="B464" s="123"/>
      <c r="C464" s="124"/>
      <c r="D464" s="124"/>
      <c r="E464" s="124"/>
      <c r="F464" s="113"/>
      <c r="G464" s="113"/>
      <c r="H464" s="113"/>
      <c r="I464" s="113"/>
      <c r="J464" s="113"/>
      <c r="K464" s="113"/>
      <c r="L464" s="113"/>
      <c r="M464" s="113"/>
      <c r="N464" s="113"/>
      <c r="O464" s="113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</row>
    <row x14ac:dyDescent="0.25" r="465" customHeight="1" ht="15.75">
      <c r="A465" s="123"/>
      <c r="B465" s="123"/>
      <c r="C465" s="124"/>
      <c r="D465" s="124"/>
      <c r="E465" s="124"/>
      <c r="F465" s="113"/>
      <c r="G465" s="113"/>
      <c r="H465" s="113"/>
      <c r="I465" s="113"/>
      <c r="J465" s="113"/>
      <c r="K465" s="113"/>
      <c r="L465" s="113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</row>
    <row x14ac:dyDescent="0.25" r="466" customHeight="1" ht="15.75">
      <c r="A466" s="123"/>
      <c r="B466" s="123"/>
      <c r="C466" s="124"/>
      <c r="D466" s="124"/>
      <c r="E466" s="124"/>
      <c r="F466" s="113"/>
      <c r="G466" s="113"/>
      <c r="H466" s="113"/>
      <c r="I466" s="113"/>
      <c r="J466" s="113"/>
      <c r="K466" s="113"/>
      <c r="L466" s="113"/>
      <c r="M466" s="113"/>
      <c r="N466" s="113"/>
      <c r="O466" s="113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</row>
    <row x14ac:dyDescent="0.25" r="467" customHeight="1" ht="15.75">
      <c r="A467" s="123"/>
      <c r="B467" s="123"/>
      <c r="C467" s="124"/>
      <c r="D467" s="124"/>
      <c r="E467" s="124"/>
      <c r="F467" s="113"/>
      <c r="G467" s="113"/>
      <c r="H467" s="113"/>
      <c r="I467" s="113"/>
      <c r="J467" s="113"/>
      <c r="K467" s="113"/>
      <c r="L467" s="113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</row>
    <row x14ac:dyDescent="0.25" r="468" customHeight="1" ht="15.75">
      <c r="A468" s="123"/>
      <c r="B468" s="123"/>
      <c r="C468" s="124"/>
      <c r="D468" s="124"/>
      <c r="E468" s="124"/>
      <c r="F468" s="113"/>
      <c r="G468" s="113"/>
      <c r="H468" s="113"/>
      <c r="I468" s="113"/>
      <c r="J468" s="113"/>
      <c r="K468" s="113"/>
      <c r="L468" s="113"/>
      <c r="M468" s="113"/>
      <c r="N468" s="113"/>
      <c r="O468" s="113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</row>
    <row x14ac:dyDescent="0.25" r="469" customHeight="1" ht="15.75">
      <c r="A469" s="123"/>
      <c r="B469" s="123"/>
      <c r="C469" s="124"/>
      <c r="D469" s="124"/>
      <c r="E469" s="124"/>
      <c r="F469" s="113"/>
      <c r="G469" s="113"/>
      <c r="H469" s="113"/>
      <c r="I469" s="113"/>
      <c r="J469" s="113"/>
      <c r="K469" s="113"/>
      <c r="L469" s="113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</row>
    <row x14ac:dyDescent="0.25" r="470" customHeight="1" ht="15.75">
      <c r="A470" s="123"/>
      <c r="B470" s="123"/>
      <c r="C470" s="124"/>
      <c r="D470" s="124"/>
      <c r="E470" s="124"/>
      <c r="F470" s="113"/>
      <c r="G470" s="113"/>
      <c r="H470" s="113"/>
      <c r="I470" s="113"/>
      <c r="J470" s="113"/>
      <c r="K470" s="113"/>
      <c r="L470" s="113"/>
      <c r="M470" s="113"/>
      <c r="N470" s="113"/>
      <c r="O470" s="113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</row>
    <row x14ac:dyDescent="0.25" r="471" customHeight="1" ht="15.75">
      <c r="A471" s="123"/>
      <c r="B471" s="123"/>
      <c r="C471" s="124"/>
      <c r="D471" s="124"/>
      <c r="E471" s="124"/>
      <c r="F471" s="113"/>
      <c r="G471" s="113"/>
      <c r="H471" s="113"/>
      <c r="I471" s="113"/>
      <c r="J471" s="113"/>
      <c r="K471" s="113"/>
      <c r="L471" s="113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</row>
    <row x14ac:dyDescent="0.25" r="472" customHeight="1" ht="15.75">
      <c r="A472" s="123"/>
      <c r="B472" s="123"/>
      <c r="C472" s="124"/>
      <c r="D472" s="124"/>
      <c r="E472" s="124"/>
      <c r="F472" s="113"/>
      <c r="G472" s="113"/>
      <c r="H472" s="113"/>
      <c r="I472" s="113"/>
      <c r="J472" s="113"/>
      <c r="K472" s="113"/>
      <c r="L472" s="113"/>
      <c r="M472" s="113"/>
      <c r="N472" s="113"/>
      <c r="O472" s="113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</row>
    <row x14ac:dyDescent="0.25" r="473" customHeight="1" ht="15.75">
      <c r="A473" s="123"/>
      <c r="B473" s="123"/>
      <c r="C473" s="124"/>
      <c r="D473" s="124"/>
      <c r="E473" s="124"/>
      <c r="F473" s="113"/>
      <c r="G473" s="113"/>
      <c r="H473" s="113"/>
      <c r="I473" s="113"/>
      <c r="J473" s="113"/>
      <c r="K473" s="113"/>
      <c r="L473" s="113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</row>
    <row x14ac:dyDescent="0.25" r="474" customHeight="1" ht="15.75">
      <c r="A474" s="123"/>
      <c r="B474" s="123"/>
      <c r="C474" s="124"/>
      <c r="D474" s="124"/>
      <c r="E474" s="124"/>
      <c r="F474" s="113"/>
      <c r="G474" s="113"/>
      <c r="H474" s="113"/>
      <c r="I474" s="113"/>
      <c r="J474" s="113"/>
      <c r="K474" s="113"/>
      <c r="L474" s="113"/>
      <c r="M474" s="113"/>
      <c r="N474" s="113"/>
      <c r="O474" s="113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</row>
    <row x14ac:dyDescent="0.25" r="475" customHeight="1" ht="15.75">
      <c r="A475" s="123"/>
      <c r="B475" s="123"/>
      <c r="C475" s="124"/>
      <c r="D475" s="124"/>
      <c r="E475" s="124"/>
      <c r="F475" s="113"/>
      <c r="G475" s="113"/>
      <c r="H475" s="113"/>
      <c r="I475" s="113"/>
      <c r="J475" s="113"/>
      <c r="K475" s="113"/>
      <c r="L475" s="113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</row>
    <row x14ac:dyDescent="0.25" r="476" customHeight="1" ht="15.75">
      <c r="A476" s="123"/>
      <c r="B476" s="123"/>
      <c r="C476" s="124"/>
      <c r="D476" s="124"/>
      <c r="E476" s="124"/>
      <c r="F476" s="113"/>
      <c r="G476" s="113"/>
      <c r="H476" s="113"/>
      <c r="I476" s="113"/>
      <c r="J476" s="113"/>
      <c r="K476" s="113"/>
      <c r="L476" s="113"/>
      <c r="M476" s="113"/>
      <c r="N476" s="113"/>
      <c r="O476" s="113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</row>
    <row x14ac:dyDescent="0.25" r="477" customHeight="1" ht="15.75">
      <c r="A477" s="123"/>
      <c r="B477" s="123"/>
      <c r="C477" s="124"/>
      <c r="D477" s="124"/>
      <c r="E477" s="124"/>
      <c r="F477" s="113"/>
      <c r="G477" s="113"/>
      <c r="H477" s="113"/>
      <c r="I477" s="113"/>
      <c r="J477" s="113"/>
      <c r="K477" s="113"/>
      <c r="L477" s="113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</row>
    <row x14ac:dyDescent="0.25" r="478" customHeight="1" ht="15.75">
      <c r="A478" s="123"/>
      <c r="B478" s="123"/>
      <c r="C478" s="124"/>
      <c r="D478" s="124"/>
      <c r="E478" s="124"/>
      <c r="F478" s="113"/>
      <c r="G478" s="113"/>
      <c r="H478" s="113"/>
      <c r="I478" s="113"/>
      <c r="J478" s="113"/>
      <c r="K478" s="113"/>
      <c r="L478" s="113"/>
      <c r="M478" s="113"/>
      <c r="N478" s="113"/>
      <c r="O478" s="113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</row>
    <row x14ac:dyDescent="0.25" r="479" customHeight="1" ht="15.75">
      <c r="A479" s="123"/>
      <c r="B479" s="123"/>
      <c r="C479" s="124"/>
      <c r="D479" s="124"/>
      <c r="E479" s="124"/>
      <c r="F479" s="113"/>
      <c r="G479" s="113"/>
      <c r="H479" s="113"/>
      <c r="I479" s="113"/>
      <c r="J479" s="113"/>
      <c r="K479" s="113"/>
      <c r="L479" s="113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</row>
    <row x14ac:dyDescent="0.25" r="480" customHeight="1" ht="15.75">
      <c r="A480" s="123"/>
      <c r="B480" s="123"/>
      <c r="C480" s="124"/>
      <c r="D480" s="124"/>
      <c r="E480" s="124"/>
      <c r="F480" s="113"/>
      <c r="G480" s="113"/>
      <c r="H480" s="113"/>
      <c r="I480" s="113"/>
      <c r="J480" s="113"/>
      <c r="K480" s="113"/>
      <c r="L480" s="113"/>
      <c r="M480" s="113"/>
      <c r="N480" s="113"/>
      <c r="O480" s="113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</row>
    <row x14ac:dyDescent="0.25" r="481" customHeight="1" ht="15.75">
      <c r="A481" s="123"/>
      <c r="B481" s="123"/>
      <c r="C481" s="124"/>
      <c r="D481" s="124"/>
      <c r="E481" s="124"/>
      <c r="F481" s="113"/>
      <c r="G481" s="113"/>
      <c r="H481" s="113"/>
      <c r="I481" s="113"/>
      <c r="J481" s="113"/>
      <c r="K481" s="113"/>
      <c r="L481" s="113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</row>
    <row x14ac:dyDescent="0.25" r="482" customHeight="1" ht="15.75">
      <c r="A482" s="123"/>
      <c r="B482" s="123"/>
      <c r="C482" s="124"/>
      <c r="D482" s="124"/>
      <c r="E482" s="124"/>
      <c r="F482" s="113"/>
      <c r="G482" s="113"/>
      <c r="H482" s="113"/>
      <c r="I482" s="113"/>
      <c r="J482" s="113"/>
      <c r="K482" s="113"/>
      <c r="L482" s="113"/>
      <c r="M482" s="113"/>
      <c r="N482" s="113"/>
      <c r="O482" s="113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</row>
    <row x14ac:dyDescent="0.25" r="483" customHeight="1" ht="15.75">
      <c r="A483" s="123"/>
      <c r="B483" s="123"/>
      <c r="C483" s="124"/>
      <c r="D483" s="124"/>
      <c r="E483" s="124"/>
      <c r="F483" s="113"/>
      <c r="G483" s="113"/>
      <c r="H483" s="113"/>
      <c r="I483" s="113"/>
      <c r="J483" s="113"/>
      <c r="K483" s="113"/>
      <c r="L483" s="113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</row>
    <row x14ac:dyDescent="0.25" r="484" customHeight="1" ht="15.75">
      <c r="A484" s="123"/>
      <c r="B484" s="123"/>
      <c r="C484" s="124"/>
      <c r="D484" s="124"/>
      <c r="E484" s="124"/>
      <c r="F484" s="113"/>
      <c r="G484" s="113"/>
      <c r="H484" s="113"/>
      <c r="I484" s="113"/>
      <c r="J484" s="113"/>
      <c r="K484" s="113"/>
      <c r="L484" s="113"/>
      <c r="M484" s="113"/>
      <c r="N484" s="113"/>
      <c r="O484" s="113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</row>
    <row x14ac:dyDescent="0.25" r="485" customHeight="1" ht="15.75">
      <c r="A485" s="123"/>
      <c r="B485" s="123"/>
      <c r="C485" s="124"/>
      <c r="D485" s="124"/>
      <c r="E485" s="124"/>
      <c r="F485" s="113"/>
      <c r="G485" s="113"/>
      <c r="H485" s="113"/>
      <c r="I485" s="113"/>
      <c r="J485" s="113"/>
      <c r="K485" s="113"/>
      <c r="L485" s="113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</row>
    <row x14ac:dyDescent="0.25" r="486" customHeight="1" ht="15.75">
      <c r="A486" s="123"/>
      <c r="B486" s="123"/>
      <c r="C486" s="124"/>
      <c r="D486" s="124"/>
      <c r="E486" s="124"/>
      <c r="F486" s="113"/>
      <c r="G486" s="113"/>
      <c r="H486" s="113"/>
      <c r="I486" s="113"/>
      <c r="J486" s="113"/>
      <c r="K486" s="113"/>
      <c r="L486" s="113"/>
      <c r="M486" s="113"/>
      <c r="N486" s="113"/>
      <c r="O486" s="113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</row>
    <row x14ac:dyDescent="0.25" r="487" customHeight="1" ht="15.75">
      <c r="A487" s="123"/>
      <c r="B487" s="123"/>
      <c r="C487" s="124"/>
      <c r="D487" s="124"/>
      <c r="E487" s="124"/>
      <c r="F487" s="113"/>
      <c r="G487" s="113"/>
      <c r="H487" s="113"/>
      <c r="I487" s="113"/>
      <c r="J487" s="113"/>
      <c r="K487" s="113"/>
      <c r="L487" s="113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</row>
    <row x14ac:dyDescent="0.25" r="488" customHeight="1" ht="15.75">
      <c r="A488" s="123"/>
      <c r="B488" s="123"/>
      <c r="C488" s="124"/>
      <c r="D488" s="124"/>
      <c r="E488" s="124"/>
      <c r="F488" s="113"/>
      <c r="G488" s="113"/>
      <c r="H488" s="113"/>
      <c r="I488" s="113"/>
      <c r="J488" s="113"/>
      <c r="K488" s="113"/>
      <c r="L488" s="113"/>
      <c r="M488" s="113"/>
      <c r="N488" s="113"/>
      <c r="O488" s="113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</row>
    <row x14ac:dyDescent="0.25" r="489" customHeight="1" ht="15.75">
      <c r="A489" s="123"/>
      <c r="B489" s="123"/>
      <c r="C489" s="124"/>
      <c r="D489" s="124"/>
      <c r="E489" s="124"/>
      <c r="F489" s="113"/>
      <c r="G489" s="113"/>
      <c r="H489" s="113"/>
      <c r="I489" s="113"/>
      <c r="J489" s="113"/>
      <c r="K489" s="113"/>
      <c r="L489" s="113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</row>
    <row x14ac:dyDescent="0.25" r="490" customHeight="1" ht="15.75">
      <c r="A490" s="123"/>
      <c r="B490" s="123"/>
      <c r="C490" s="124"/>
      <c r="D490" s="124"/>
      <c r="E490" s="124"/>
      <c r="F490" s="113"/>
      <c r="G490" s="113"/>
      <c r="H490" s="113"/>
      <c r="I490" s="113"/>
      <c r="J490" s="113"/>
      <c r="K490" s="113"/>
      <c r="L490" s="113"/>
      <c r="M490" s="113"/>
      <c r="N490" s="113"/>
      <c r="O490" s="113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</row>
    <row x14ac:dyDescent="0.25" r="491" customHeight="1" ht="15.75">
      <c r="A491" s="123"/>
      <c r="B491" s="123"/>
      <c r="C491" s="124"/>
      <c r="D491" s="124"/>
      <c r="E491" s="124"/>
      <c r="F491" s="113"/>
      <c r="G491" s="113"/>
      <c r="H491" s="113"/>
      <c r="I491" s="113"/>
      <c r="J491" s="113"/>
      <c r="K491" s="113"/>
      <c r="L491" s="113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</row>
    <row x14ac:dyDescent="0.25" r="492" customHeight="1" ht="15.75">
      <c r="A492" s="123"/>
      <c r="B492" s="123"/>
      <c r="C492" s="124"/>
      <c r="D492" s="124"/>
      <c r="E492" s="124"/>
      <c r="F492" s="113"/>
      <c r="G492" s="113"/>
      <c r="H492" s="113"/>
      <c r="I492" s="113"/>
      <c r="J492" s="113"/>
      <c r="K492" s="113"/>
      <c r="L492" s="113"/>
      <c r="M492" s="113"/>
      <c r="N492" s="113"/>
      <c r="O492" s="113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</row>
    <row x14ac:dyDescent="0.25" r="493" customHeight="1" ht="15.75">
      <c r="A493" s="123"/>
      <c r="B493" s="123"/>
      <c r="C493" s="124"/>
      <c r="D493" s="124"/>
      <c r="E493" s="124"/>
      <c r="F493" s="113"/>
      <c r="G493" s="113"/>
      <c r="H493" s="113"/>
      <c r="I493" s="113"/>
      <c r="J493" s="113"/>
      <c r="K493" s="113"/>
      <c r="L493" s="113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</row>
    <row x14ac:dyDescent="0.25" r="494" customHeight="1" ht="15.75">
      <c r="A494" s="123"/>
      <c r="B494" s="123"/>
      <c r="C494" s="124"/>
      <c r="D494" s="124"/>
      <c r="E494" s="124"/>
      <c r="F494" s="113"/>
      <c r="G494" s="113"/>
      <c r="H494" s="113"/>
      <c r="I494" s="113"/>
      <c r="J494" s="113"/>
      <c r="K494" s="113"/>
      <c r="L494" s="113"/>
      <c r="M494" s="113"/>
      <c r="N494" s="113"/>
      <c r="O494" s="113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</row>
    <row x14ac:dyDescent="0.25" r="495" customHeight="1" ht="15.75">
      <c r="A495" s="123"/>
      <c r="B495" s="123"/>
      <c r="C495" s="124"/>
      <c r="D495" s="124"/>
      <c r="E495" s="124"/>
      <c r="F495" s="113"/>
      <c r="G495" s="113"/>
      <c r="H495" s="113"/>
      <c r="I495" s="113"/>
      <c r="J495" s="113"/>
      <c r="K495" s="113"/>
      <c r="L495" s="113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</row>
    <row x14ac:dyDescent="0.25" r="496" customHeight="1" ht="15.75">
      <c r="A496" s="123"/>
      <c r="B496" s="123"/>
      <c r="C496" s="124"/>
      <c r="D496" s="124"/>
      <c r="E496" s="124"/>
      <c r="F496" s="113"/>
      <c r="G496" s="113"/>
      <c r="H496" s="113"/>
      <c r="I496" s="113"/>
      <c r="J496" s="113"/>
      <c r="K496" s="113"/>
      <c r="L496" s="113"/>
      <c r="M496" s="113"/>
      <c r="N496" s="113"/>
      <c r="O496" s="113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</row>
    <row x14ac:dyDescent="0.25" r="497" customHeight="1" ht="15.75">
      <c r="A497" s="123"/>
      <c r="B497" s="123"/>
      <c r="C497" s="124"/>
      <c r="D497" s="124"/>
      <c r="E497" s="124"/>
      <c r="F497" s="113"/>
      <c r="G497" s="113"/>
      <c r="H497" s="113"/>
      <c r="I497" s="113"/>
      <c r="J497" s="113"/>
      <c r="K497" s="113"/>
      <c r="L497" s="113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</row>
    <row x14ac:dyDescent="0.25" r="498" customHeight="1" ht="15.75">
      <c r="A498" s="123"/>
      <c r="B498" s="123"/>
      <c r="C498" s="124"/>
      <c r="D498" s="124"/>
      <c r="E498" s="124"/>
      <c r="F498" s="113"/>
      <c r="G498" s="113"/>
      <c r="H498" s="113"/>
      <c r="I498" s="113"/>
      <c r="J498" s="113"/>
      <c r="K498" s="113"/>
      <c r="L498" s="113"/>
      <c r="M498" s="113"/>
      <c r="N498" s="113"/>
      <c r="O498" s="113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</row>
    <row x14ac:dyDescent="0.25" r="499" customHeight="1" ht="15.75">
      <c r="A499" s="123"/>
      <c r="B499" s="123"/>
      <c r="C499" s="124"/>
      <c r="D499" s="124"/>
      <c r="E499" s="124"/>
      <c r="F499" s="113"/>
      <c r="G499" s="113"/>
      <c r="H499" s="113"/>
      <c r="I499" s="113"/>
      <c r="J499" s="113"/>
      <c r="K499" s="113"/>
      <c r="L499" s="113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</row>
    <row x14ac:dyDescent="0.25" r="500" customHeight="1" ht="15.75">
      <c r="A500" s="123"/>
      <c r="B500" s="123"/>
      <c r="C500" s="124"/>
      <c r="D500" s="124"/>
      <c r="E500" s="124"/>
      <c r="F500" s="113"/>
      <c r="G500" s="113"/>
      <c r="H500" s="113"/>
      <c r="I500" s="113"/>
      <c r="J500" s="113"/>
      <c r="K500" s="113"/>
      <c r="L500" s="113"/>
      <c r="M500" s="113"/>
      <c r="N500" s="113"/>
      <c r="O500" s="113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</row>
    <row x14ac:dyDescent="0.25" r="501" customHeight="1" ht="15.75">
      <c r="A501" s="123"/>
      <c r="B501" s="123"/>
      <c r="C501" s="124"/>
      <c r="D501" s="124"/>
      <c r="E501" s="124"/>
      <c r="F501" s="113"/>
      <c r="G501" s="113"/>
      <c r="H501" s="113"/>
      <c r="I501" s="113"/>
      <c r="J501" s="113"/>
      <c r="K501" s="113"/>
      <c r="L501" s="113"/>
      <c r="M501" s="113"/>
      <c r="N501" s="113"/>
      <c r="O501" s="113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</row>
    <row x14ac:dyDescent="0.25" r="502" customHeight="1" ht="15.75">
      <c r="A502" s="123"/>
      <c r="B502" s="123"/>
      <c r="C502" s="124"/>
      <c r="D502" s="124"/>
      <c r="E502" s="124"/>
      <c r="F502" s="113"/>
      <c r="G502" s="113"/>
      <c r="H502" s="113"/>
      <c r="I502" s="113"/>
      <c r="J502" s="113"/>
      <c r="K502" s="113"/>
      <c r="L502" s="113"/>
      <c r="M502" s="113"/>
      <c r="N502" s="113"/>
      <c r="O502" s="113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</row>
    <row x14ac:dyDescent="0.25" r="503" customHeight="1" ht="15.75">
      <c r="A503" s="123"/>
      <c r="B503" s="123"/>
      <c r="C503" s="124"/>
      <c r="D503" s="124"/>
      <c r="E503" s="124"/>
      <c r="F503" s="113"/>
      <c r="G503" s="113"/>
      <c r="H503" s="113"/>
      <c r="I503" s="113"/>
      <c r="J503" s="113"/>
      <c r="K503" s="113"/>
      <c r="L503" s="113"/>
      <c r="M503" s="113"/>
      <c r="N503" s="113"/>
      <c r="O503" s="113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</row>
    <row x14ac:dyDescent="0.25" r="504" customHeight="1" ht="15.75">
      <c r="A504" s="123"/>
      <c r="B504" s="123"/>
      <c r="C504" s="124"/>
      <c r="D504" s="124"/>
      <c r="E504" s="124"/>
      <c r="F504" s="113"/>
      <c r="G504" s="113"/>
      <c r="H504" s="113"/>
      <c r="I504" s="113"/>
      <c r="J504" s="113"/>
      <c r="K504" s="113"/>
      <c r="L504" s="113"/>
      <c r="M504" s="113"/>
      <c r="N504" s="113"/>
      <c r="O504" s="113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</row>
    <row x14ac:dyDescent="0.25" r="505" customHeight="1" ht="15.75">
      <c r="A505" s="123"/>
      <c r="B505" s="123"/>
      <c r="C505" s="124"/>
      <c r="D505" s="124"/>
      <c r="E505" s="124"/>
      <c r="F505" s="113"/>
      <c r="G505" s="113"/>
      <c r="H505" s="113"/>
      <c r="I505" s="113"/>
      <c r="J505" s="113"/>
      <c r="K505" s="113"/>
      <c r="L505" s="113"/>
      <c r="M505" s="113"/>
      <c r="N505" s="113"/>
      <c r="O505" s="113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</row>
    <row x14ac:dyDescent="0.25" r="506" customHeight="1" ht="15.75">
      <c r="A506" s="123"/>
      <c r="B506" s="123"/>
      <c r="C506" s="124"/>
      <c r="D506" s="124"/>
      <c r="E506" s="124"/>
      <c r="F506" s="113"/>
      <c r="G506" s="113"/>
      <c r="H506" s="113"/>
      <c r="I506" s="113"/>
      <c r="J506" s="113"/>
      <c r="K506" s="113"/>
      <c r="L506" s="113"/>
      <c r="M506" s="113"/>
      <c r="N506" s="113"/>
      <c r="O506" s="113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</row>
    <row x14ac:dyDescent="0.25" r="507" customHeight="1" ht="15.75">
      <c r="A507" s="123"/>
      <c r="B507" s="123"/>
      <c r="C507" s="124"/>
      <c r="D507" s="124"/>
      <c r="E507" s="124"/>
      <c r="F507" s="113"/>
      <c r="G507" s="113"/>
      <c r="H507" s="113"/>
      <c r="I507" s="113"/>
      <c r="J507" s="113"/>
      <c r="K507" s="113"/>
      <c r="L507" s="113"/>
      <c r="M507" s="113"/>
      <c r="N507" s="113"/>
      <c r="O507" s="113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</row>
    <row x14ac:dyDescent="0.25" r="508" customHeight="1" ht="15.75">
      <c r="A508" s="123"/>
      <c r="B508" s="123"/>
      <c r="C508" s="124"/>
      <c r="D508" s="124"/>
      <c r="E508" s="124"/>
      <c r="F508" s="113"/>
      <c r="G508" s="113"/>
      <c r="H508" s="113"/>
      <c r="I508" s="113"/>
      <c r="J508" s="113"/>
      <c r="K508" s="113"/>
      <c r="L508" s="113"/>
      <c r="M508" s="113"/>
      <c r="N508" s="113"/>
      <c r="O508" s="113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</row>
    <row x14ac:dyDescent="0.25" r="509" customHeight="1" ht="15.75">
      <c r="A509" s="123"/>
      <c r="B509" s="123"/>
      <c r="C509" s="124"/>
      <c r="D509" s="124"/>
      <c r="E509" s="124"/>
      <c r="F509" s="113"/>
      <c r="G509" s="113"/>
      <c r="H509" s="113"/>
      <c r="I509" s="113"/>
      <c r="J509" s="113"/>
      <c r="K509" s="113"/>
      <c r="L509" s="113"/>
      <c r="M509" s="113"/>
      <c r="N509" s="113"/>
      <c r="O509" s="113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</row>
    <row x14ac:dyDescent="0.25" r="510" customHeight="1" ht="15.75">
      <c r="A510" s="123"/>
      <c r="B510" s="123"/>
      <c r="C510" s="124"/>
      <c r="D510" s="124"/>
      <c r="E510" s="124"/>
      <c r="F510" s="113"/>
      <c r="G510" s="113"/>
      <c r="H510" s="113"/>
      <c r="I510" s="113"/>
      <c r="J510" s="113"/>
      <c r="K510" s="113"/>
      <c r="L510" s="113"/>
      <c r="M510" s="113"/>
      <c r="N510" s="113"/>
      <c r="O510" s="113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</row>
    <row x14ac:dyDescent="0.25" r="511" customHeight="1" ht="15.75">
      <c r="A511" s="123"/>
      <c r="B511" s="123"/>
      <c r="C511" s="124"/>
      <c r="D511" s="124"/>
      <c r="E511" s="124"/>
      <c r="F511" s="113"/>
      <c r="G511" s="113"/>
      <c r="H511" s="113"/>
      <c r="I511" s="113"/>
      <c r="J511" s="113"/>
      <c r="K511" s="113"/>
      <c r="L511" s="113"/>
      <c r="M511" s="113"/>
      <c r="N511" s="113"/>
      <c r="O511" s="113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</row>
    <row x14ac:dyDescent="0.25" r="512" customHeight="1" ht="15.75">
      <c r="A512" s="123"/>
      <c r="B512" s="123"/>
      <c r="C512" s="124"/>
      <c r="D512" s="124"/>
      <c r="E512" s="124"/>
      <c r="F512" s="113"/>
      <c r="G512" s="113"/>
      <c r="H512" s="113"/>
      <c r="I512" s="113"/>
      <c r="J512" s="113"/>
      <c r="K512" s="113"/>
      <c r="L512" s="113"/>
      <c r="M512" s="113"/>
      <c r="N512" s="113"/>
      <c r="O512" s="113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</row>
    <row x14ac:dyDescent="0.25" r="513" customHeight="1" ht="15.75">
      <c r="A513" s="123"/>
      <c r="B513" s="123"/>
      <c r="C513" s="124"/>
      <c r="D513" s="124"/>
      <c r="E513" s="124"/>
      <c r="F513" s="113"/>
      <c r="G513" s="113"/>
      <c r="H513" s="113"/>
      <c r="I513" s="113"/>
      <c r="J513" s="113"/>
      <c r="K513" s="113"/>
      <c r="L513" s="113"/>
      <c r="M513" s="113"/>
      <c r="N513" s="113"/>
      <c r="O513" s="113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</row>
    <row x14ac:dyDescent="0.25" r="514" customHeight="1" ht="15.75">
      <c r="A514" s="123"/>
      <c r="B514" s="123"/>
      <c r="C514" s="124"/>
      <c r="D514" s="124"/>
      <c r="E514" s="124"/>
      <c r="F514" s="113"/>
      <c r="G514" s="113"/>
      <c r="H514" s="113"/>
      <c r="I514" s="113"/>
      <c r="J514" s="113"/>
      <c r="K514" s="113"/>
      <c r="L514" s="113"/>
      <c r="M514" s="113"/>
      <c r="N514" s="113"/>
      <c r="O514" s="113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</row>
    <row x14ac:dyDescent="0.25" r="515" customHeight="1" ht="15.75">
      <c r="A515" s="123"/>
      <c r="B515" s="123"/>
      <c r="C515" s="124"/>
      <c r="D515" s="124"/>
      <c r="E515" s="124"/>
      <c r="F515" s="113"/>
      <c r="G515" s="113"/>
      <c r="H515" s="113"/>
      <c r="I515" s="113"/>
      <c r="J515" s="113"/>
      <c r="K515" s="113"/>
      <c r="L515" s="113"/>
      <c r="M515" s="113"/>
      <c r="N515" s="113"/>
      <c r="O515" s="113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</row>
    <row x14ac:dyDescent="0.25" r="516" customHeight="1" ht="15.75">
      <c r="A516" s="123"/>
      <c r="B516" s="123"/>
      <c r="C516" s="124"/>
      <c r="D516" s="124"/>
      <c r="E516" s="124"/>
      <c r="F516" s="113"/>
      <c r="G516" s="113"/>
      <c r="H516" s="113"/>
      <c r="I516" s="113"/>
      <c r="J516" s="113"/>
      <c r="K516" s="113"/>
      <c r="L516" s="113"/>
      <c r="M516" s="113"/>
      <c r="N516" s="113"/>
      <c r="O516" s="113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</row>
    <row x14ac:dyDescent="0.25" r="517" customHeight="1" ht="15.75">
      <c r="A517" s="123"/>
      <c r="B517" s="123"/>
      <c r="C517" s="124"/>
      <c r="D517" s="124"/>
      <c r="E517" s="124"/>
      <c r="F517" s="113"/>
      <c r="G517" s="113"/>
      <c r="H517" s="113"/>
      <c r="I517" s="113"/>
      <c r="J517" s="113"/>
      <c r="K517" s="113"/>
      <c r="L517" s="113"/>
      <c r="M517" s="113"/>
      <c r="N517" s="113"/>
      <c r="O517" s="113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</row>
    <row x14ac:dyDescent="0.25" r="518" customHeight="1" ht="15.75">
      <c r="A518" s="123"/>
      <c r="B518" s="123"/>
      <c r="C518" s="124"/>
      <c r="D518" s="124"/>
      <c r="E518" s="124"/>
      <c r="F518" s="113"/>
      <c r="G518" s="113"/>
      <c r="H518" s="113"/>
      <c r="I518" s="113"/>
      <c r="J518" s="113"/>
      <c r="K518" s="113"/>
      <c r="L518" s="113"/>
      <c r="M518" s="113"/>
      <c r="N518" s="113"/>
      <c r="O518" s="113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</row>
    <row x14ac:dyDescent="0.25" r="519" customHeight="1" ht="15.75">
      <c r="A519" s="123"/>
      <c r="B519" s="123"/>
      <c r="C519" s="124"/>
      <c r="D519" s="124"/>
      <c r="E519" s="124"/>
      <c r="F519" s="113"/>
      <c r="G519" s="113"/>
      <c r="H519" s="113"/>
      <c r="I519" s="113"/>
      <c r="J519" s="113"/>
      <c r="K519" s="113"/>
      <c r="L519" s="113"/>
      <c r="M519" s="113"/>
      <c r="N519" s="113"/>
      <c r="O519" s="113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</row>
    <row x14ac:dyDescent="0.25" r="520" customHeight="1" ht="15.75">
      <c r="A520" s="123"/>
      <c r="B520" s="123"/>
      <c r="C520" s="124"/>
      <c r="D520" s="124"/>
      <c r="E520" s="124"/>
      <c r="F520" s="113"/>
      <c r="G520" s="113"/>
      <c r="H520" s="113"/>
      <c r="I520" s="113"/>
      <c r="J520" s="113"/>
      <c r="K520" s="113"/>
      <c r="L520" s="113"/>
      <c r="M520" s="113"/>
      <c r="N520" s="113"/>
      <c r="O520" s="113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</row>
    <row x14ac:dyDescent="0.25" r="521" customHeight="1" ht="15.75">
      <c r="A521" s="123"/>
      <c r="B521" s="123"/>
      <c r="C521" s="124"/>
      <c r="D521" s="124"/>
      <c r="E521" s="124"/>
      <c r="F521" s="113"/>
      <c r="G521" s="113"/>
      <c r="H521" s="113"/>
      <c r="I521" s="113"/>
      <c r="J521" s="113"/>
      <c r="K521" s="113"/>
      <c r="L521" s="113"/>
      <c r="M521" s="113"/>
      <c r="N521" s="113"/>
      <c r="O521" s="113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</row>
    <row x14ac:dyDescent="0.25" r="522" customHeight="1" ht="15.75">
      <c r="A522" s="123"/>
      <c r="B522" s="123"/>
      <c r="C522" s="124"/>
      <c r="D522" s="124"/>
      <c r="E522" s="124"/>
      <c r="F522" s="113"/>
      <c r="G522" s="113"/>
      <c r="H522" s="113"/>
      <c r="I522" s="113"/>
      <c r="J522" s="113"/>
      <c r="K522" s="113"/>
      <c r="L522" s="113"/>
      <c r="M522" s="113"/>
      <c r="N522" s="113"/>
      <c r="O522" s="113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</row>
    <row x14ac:dyDescent="0.25" r="523" customHeight="1" ht="15.75">
      <c r="A523" s="123"/>
      <c r="B523" s="123"/>
      <c r="C523" s="124"/>
      <c r="D523" s="124"/>
      <c r="E523" s="124"/>
      <c r="F523" s="113"/>
      <c r="G523" s="113"/>
      <c r="H523" s="113"/>
      <c r="I523" s="113"/>
      <c r="J523" s="113"/>
      <c r="K523" s="113"/>
      <c r="L523" s="113"/>
      <c r="M523" s="113"/>
      <c r="N523" s="113"/>
      <c r="O523" s="113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</row>
    <row x14ac:dyDescent="0.25" r="524" customHeight="1" ht="15.75">
      <c r="A524" s="123"/>
      <c r="B524" s="123"/>
      <c r="C524" s="124"/>
      <c r="D524" s="124"/>
      <c r="E524" s="124"/>
      <c r="F524" s="113"/>
      <c r="G524" s="113"/>
      <c r="H524" s="113"/>
      <c r="I524" s="113"/>
      <c r="J524" s="113"/>
      <c r="K524" s="113"/>
      <c r="L524" s="113"/>
      <c r="M524" s="113"/>
      <c r="N524" s="113"/>
      <c r="O524" s="113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</row>
    <row x14ac:dyDescent="0.25" r="525" customHeight="1" ht="15.75">
      <c r="A525" s="123"/>
      <c r="B525" s="123"/>
      <c r="C525" s="124"/>
      <c r="D525" s="124"/>
      <c r="E525" s="124"/>
      <c r="F525" s="113"/>
      <c r="G525" s="113"/>
      <c r="H525" s="113"/>
      <c r="I525" s="113"/>
      <c r="J525" s="113"/>
      <c r="K525" s="113"/>
      <c r="L525" s="113"/>
      <c r="M525" s="113"/>
      <c r="N525" s="113"/>
      <c r="O525" s="113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</row>
    <row x14ac:dyDescent="0.25" r="526" customHeight="1" ht="15.75">
      <c r="A526" s="123"/>
      <c r="B526" s="123"/>
      <c r="C526" s="124"/>
      <c r="D526" s="124"/>
      <c r="E526" s="124"/>
      <c r="F526" s="113"/>
      <c r="G526" s="113"/>
      <c r="H526" s="113"/>
      <c r="I526" s="113"/>
      <c r="J526" s="113"/>
      <c r="K526" s="113"/>
      <c r="L526" s="113"/>
      <c r="M526" s="113"/>
      <c r="N526" s="113"/>
      <c r="O526" s="113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</row>
    <row x14ac:dyDescent="0.25" r="527" customHeight="1" ht="15.75">
      <c r="A527" s="123"/>
      <c r="B527" s="123"/>
      <c r="C527" s="124"/>
      <c r="D527" s="124"/>
      <c r="E527" s="124"/>
      <c r="F527" s="113"/>
      <c r="G527" s="113"/>
      <c r="H527" s="113"/>
      <c r="I527" s="113"/>
      <c r="J527" s="113"/>
      <c r="K527" s="113"/>
      <c r="L527" s="113"/>
      <c r="M527" s="113"/>
      <c r="N527" s="113"/>
      <c r="O527" s="113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</row>
    <row x14ac:dyDescent="0.25" r="528" customHeight="1" ht="15.75">
      <c r="A528" s="123"/>
      <c r="B528" s="123"/>
      <c r="C528" s="124"/>
      <c r="D528" s="124"/>
      <c r="E528" s="124"/>
      <c r="F528" s="113"/>
      <c r="G528" s="113"/>
      <c r="H528" s="113"/>
      <c r="I528" s="113"/>
      <c r="J528" s="113"/>
      <c r="K528" s="113"/>
      <c r="L528" s="113"/>
      <c r="M528" s="113"/>
      <c r="N528" s="113"/>
      <c r="O528" s="113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</row>
    <row x14ac:dyDescent="0.25" r="529" customHeight="1" ht="15.75">
      <c r="A529" s="123"/>
      <c r="B529" s="123"/>
      <c r="C529" s="124"/>
      <c r="D529" s="124"/>
      <c r="E529" s="124"/>
      <c r="F529" s="113"/>
      <c r="G529" s="113"/>
      <c r="H529" s="113"/>
      <c r="I529" s="113"/>
      <c r="J529" s="113"/>
      <c r="K529" s="113"/>
      <c r="L529" s="113"/>
      <c r="M529" s="113"/>
      <c r="N529" s="113"/>
      <c r="O529" s="113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</row>
    <row x14ac:dyDescent="0.25" r="530" customHeight="1" ht="15.75">
      <c r="A530" s="123"/>
      <c r="B530" s="123"/>
      <c r="C530" s="124"/>
      <c r="D530" s="124"/>
      <c r="E530" s="124"/>
      <c r="F530" s="113"/>
      <c r="G530" s="113"/>
      <c r="H530" s="113"/>
      <c r="I530" s="113"/>
      <c r="J530" s="113"/>
      <c r="K530" s="113"/>
      <c r="L530" s="113"/>
      <c r="M530" s="113"/>
      <c r="N530" s="113"/>
      <c r="O530" s="113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</row>
    <row x14ac:dyDescent="0.25" r="531" customHeight="1" ht="15.75">
      <c r="A531" s="123"/>
      <c r="B531" s="123"/>
      <c r="C531" s="124"/>
      <c r="D531" s="124"/>
      <c r="E531" s="124"/>
      <c r="F531" s="113"/>
      <c r="G531" s="113"/>
      <c r="H531" s="113"/>
      <c r="I531" s="113"/>
      <c r="J531" s="113"/>
      <c r="K531" s="113"/>
      <c r="L531" s="113"/>
      <c r="M531" s="113"/>
      <c r="N531" s="113"/>
      <c r="O531" s="113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</row>
    <row x14ac:dyDescent="0.25" r="532" customHeight="1" ht="15.75">
      <c r="A532" s="123"/>
      <c r="B532" s="123"/>
      <c r="C532" s="124"/>
      <c r="D532" s="124"/>
      <c r="E532" s="124"/>
      <c r="F532" s="113"/>
      <c r="G532" s="113"/>
      <c r="H532" s="113"/>
      <c r="I532" s="113"/>
      <c r="J532" s="113"/>
      <c r="K532" s="113"/>
      <c r="L532" s="113"/>
      <c r="M532" s="113"/>
      <c r="N532" s="113"/>
      <c r="O532" s="113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</row>
    <row x14ac:dyDescent="0.25" r="533" customHeight="1" ht="15.75">
      <c r="A533" s="123"/>
      <c r="B533" s="123"/>
      <c r="C533" s="124"/>
      <c r="D533" s="124"/>
      <c r="E533" s="124"/>
      <c r="F533" s="113"/>
      <c r="G533" s="113"/>
      <c r="H533" s="113"/>
      <c r="I533" s="113"/>
      <c r="J533" s="113"/>
      <c r="K533" s="113"/>
      <c r="L533" s="113"/>
      <c r="M533" s="113"/>
      <c r="N533" s="113"/>
      <c r="O533" s="113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</row>
    <row x14ac:dyDescent="0.25" r="534" customHeight="1" ht="15.75">
      <c r="A534" s="123"/>
      <c r="B534" s="123"/>
      <c r="C534" s="124"/>
      <c r="D534" s="124"/>
      <c r="E534" s="124"/>
      <c r="F534" s="113"/>
      <c r="G534" s="113"/>
      <c r="H534" s="113"/>
      <c r="I534" s="113"/>
      <c r="J534" s="113"/>
      <c r="K534" s="113"/>
      <c r="L534" s="113"/>
      <c r="M534" s="113"/>
      <c r="N534" s="113"/>
      <c r="O534" s="113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</row>
    <row x14ac:dyDescent="0.25" r="535" customHeight="1" ht="15.75">
      <c r="A535" s="123"/>
      <c r="B535" s="123"/>
      <c r="C535" s="124"/>
      <c r="D535" s="124"/>
      <c r="E535" s="124"/>
      <c r="F535" s="113"/>
      <c r="G535" s="113"/>
      <c r="H535" s="113"/>
      <c r="I535" s="113"/>
      <c r="J535" s="113"/>
      <c r="K535" s="113"/>
      <c r="L535" s="113"/>
      <c r="M535" s="113"/>
      <c r="N535" s="113"/>
      <c r="O535" s="113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</row>
    <row x14ac:dyDescent="0.25" r="536" customHeight="1" ht="15.75">
      <c r="A536" s="123"/>
      <c r="B536" s="123"/>
      <c r="C536" s="124"/>
      <c r="D536" s="124"/>
      <c r="E536" s="124"/>
      <c r="F536" s="113"/>
      <c r="G536" s="113"/>
      <c r="H536" s="113"/>
      <c r="I536" s="113"/>
      <c r="J536" s="113"/>
      <c r="K536" s="113"/>
      <c r="L536" s="113"/>
      <c r="M536" s="113"/>
      <c r="N536" s="113"/>
      <c r="O536" s="113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</row>
    <row x14ac:dyDescent="0.25" r="537" customHeight="1" ht="15.75">
      <c r="A537" s="123"/>
      <c r="B537" s="123"/>
      <c r="C537" s="124"/>
      <c r="D537" s="124"/>
      <c r="E537" s="124"/>
      <c r="F537" s="113"/>
      <c r="G537" s="113"/>
      <c r="H537" s="113"/>
      <c r="I537" s="113"/>
      <c r="J537" s="113"/>
      <c r="K537" s="113"/>
      <c r="L537" s="113"/>
      <c r="M537" s="113"/>
      <c r="N537" s="113"/>
      <c r="O537" s="113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</row>
    <row x14ac:dyDescent="0.25" r="538" customHeight="1" ht="15.75">
      <c r="A538" s="123"/>
      <c r="B538" s="123"/>
      <c r="C538" s="124"/>
      <c r="D538" s="124"/>
      <c r="E538" s="124"/>
      <c r="F538" s="113"/>
      <c r="G538" s="113"/>
      <c r="H538" s="113"/>
      <c r="I538" s="113"/>
      <c r="J538" s="113"/>
      <c r="K538" s="113"/>
      <c r="L538" s="113"/>
      <c r="M538" s="113"/>
      <c r="N538" s="113"/>
      <c r="O538" s="113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</row>
    <row x14ac:dyDescent="0.25" r="539" customHeight="1" ht="15.75">
      <c r="A539" s="123"/>
      <c r="B539" s="123"/>
      <c r="C539" s="124"/>
      <c r="D539" s="124"/>
      <c r="E539" s="124"/>
      <c r="F539" s="113"/>
      <c r="G539" s="113"/>
      <c r="H539" s="113"/>
      <c r="I539" s="113"/>
      <c r="J539" s="113"/>
      <c r="K539" s="113"/>
      <c r="L539" s="113"/>
      <c r="M539" s="113"/>
      <c r="N539" s="113"/>
      <c r="O539" s="113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</row>
    <row x14ac:dyDescent="0.25" r="540" customHeight="1" ht="15.75">
      <c r="A540" s="123"/>
      <c r="B540" s="123"/>
      <c r="C540" s="124"/>
      <c r="D540" s="124"/>
      <c r="E540" s="124"/>
      <c r="F540" s="113"/>
      <c r="G540" s="113"/>
      <c r="H540" s="113"/>
      <c r="I540" s="113"/>
      <c r="J540" s="113"/>
      <c r="K540" s="113"/>
      <c r="L540" s="113"/>
      <c r="M540" s="113"/>
      <c r="N540" s="113"/>
      <c r="O540" s="113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</row>
    <row x14ac:dyDescent="0.25" r="541" customHeight="1" ht="15.75">
      <c r="A541" s="123"/>
      <c r="B541" s="123"/>
      <c r="C541" s="124"/>
      <c r="D541" s="124"/>
      <c r="E541" s="124"/>
      <c r="F541" s="113"/>
      <c r="G541" s="113"/>
      <c r="H541" s="113"/>
      <c r="I541" s="113"/>
      <c r="J541" s="113"/>
      <c r="K541" s="113"/>
      <c r="L541" s="113"/>
      <c r="M541" s="113"/>
      <c r="N541" s="113"/>
      <c r="O541" s="113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</row>
    <row x14ac:dyDescent="0.25" r="542" customHeight="1" ht="15.75">
      <c r="A542" s="123"/>
      <c r="B542" s="123"/>
      <c r="C542" s="124"/>
      <c r="D542" s="124"/>
      <c r="E542" s="124"/>
      <c r="F542" s="113"/>
      <c r="G542" s="113"/>
      <c r="H542" s="113"/>
      <c r="I542" s="113"/>
      <c r="J542" s="113"/>
      <c r="K542" s="113"/>
      <c r="L542" s="113"/>
      <c r="M542" s="113"/>
      <c r="N542" s="113"/>
      <c r="O542" s="113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</row>
    <row x14ac:dyDescent="0.25" r="543" customHeight="1" ht="15.75">
      <c r="A543" s="123"/>
      <c r="B543" s="123"/>
      <c r="C543" s="124"/>
      <c r="D543" s="124"/>
      <c r="E543" s="124"/>
      <c r="F543" s="113"/>
      <c r="G543" s="113"/>
      <c r="H543" s="113"/>
      <c r="I543" s="113"/>
      <c r="J543" s="113"/>
      <c r="K543" s="113"/>
      <c r="L543" s="113"/>
      <c r="M543" s="113"/>
      <c r="N543" s="113"/>
      <c r="O543" s="113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</row>
    <row x14ac:dyDescent="0.25" r="544" customHeight="1" ht="15.75">
      <c r="A544" s="123"/>
      <c r="B544" s="123"/>
      <c r="C544" s="124"/>
      <c r="D544" s="124"/>
      <c r="E544" s="124"/>
      <c r="F544" s="113"/>
      <c r="G544" s="113"/>
      <c r="H544" s="113"/>
      <c r="I544" s="113"/>
      <c r="J544" s="113"/>
      <c r="K544" s="113"/>
      <c r="L544" s="113"/>
      <c r="M544" s="113"/>
      <c r="N544" s="113"/>
      <c r="O544" s="113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</row>
    <row x14ac:dyDescent="0.25" r="545" customHeight="1" ht="15.75">
      <c r="A545" s="123"/>
      <c r="B545" s="123"/>
      <c r="C545" s="124"/>
      <c r="D545" s="124"/>
      <c r="E545" s="124"/>
      <c r="F545" s="113"/>
      <c r="G545" s="113"/>
      <c r="H545" s="113"/>
      <c r="I545" s="113"/>
      <c r="J545" s="113"/>
      <c r="K545" s="113"/>
      <c r="L545" s="113"/>
      <c r="M545" s="113"/>
      <c r="N545" s="113"/>
      <c r="O545" s="113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</row>
    <row x14ac:dyDescent="0.25" r="546" customHeight="1" ht="15.75">
      <c r="A546" s="123"/>
      <c r="B546" s="123"/>
      <c r="C546" s="124"/>
      <c r="D546" s="124"/>
      <c r="E546" s="124"/>
      <c r="F546" s="113"/>
      <c r="G546" s="113"/>
      <c r="H546" s="113"/>
      <c r="I546" s="113"/>
      <c r="J546" s="113"/>
      <c r="K546" s="113"/>
      <c r="L546" s="113"/>
      <c r="M546" s="113"/>
      <c r="N546" s="113"/>
      <c r="O546" s="113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</row>
    <row x14ac:dyDescent="0.25" r="547" customHeight="1" ht="15.75">
      <c r="A547" s="123"/>
      <c r="B547" s="123"/>
      <c r="C547" s="124"/>
      <c r="D547" s="124"/>
      <c r="E547" s="124"/>
      <c r="F547" s="113"/>
      <c r="G547" s="113"/>
      <c r="H547" s="113"/>
      <c r="I547" s="113"/>
      <c r="J547" s="113"/>
      <c r="K547" s="113"/>
      <c r="L547" s="113"/>
      <c r="M547" s="113"/>
      <c r="N547" s="113"/>
      <c r="O547" s="113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</row>
    <row x14ac:dyDescent="0.25" r="548" customHeight="1" ht="15.75">
      <c r="A548" s="123"/>
      <c r="B548" s="123"/>
      <c r="C548" s="124"/>
      <c r="D548" s="124"/>
      <c r="E548" s="124"/>
      <c r="F548" s="113"/>
      <c r="G548" s="113"/>
      <c r="H548" s="113"/>
      <c r="I548" s="113"/>
      <c r="J548" s="113"/>
      <c r="K548" s="113"/>
      <c r="L548" s="113"/>
      <c r="M548" s="113"/>
      <c r="N548" s="113"/>
      <c r="O548" s="113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</row>
    <row x14ac:dyDescent="0.25" r="549" customHeight="1" ht="15.75">
      <c r="A549" s="123"/>
      <c r="B549" s="123"/>
      <c r="C549" s="124"/>
      <c r="D549" s="124"/>
      <c r="E549" s="124"/>
      <c r="F549" s="113"/>
      <c r="G549" s="113"/>
      <c r="H549" s="113"/>
      <c r="I549" s="113"/>
      <c r="J549" s="113"/>
      <c r="K549" s="113"/>
      <c r="L549" s="113"/>
      <c r="M549" s="113"/>
      <c r="N549" s="113"/>
      <c r="O549" s="113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</row>
    <row x14ac:dyDescent="0.25" r="550" customHeight="1" ht="15.75">
      <c r="A550" s="123"/>
      <c r="B550" s="123"/>
      <c r="C550" s="124"/>
      <c r="D550" s="124"/>
      <c r="E550" s="124"/>
      <c r="F550" s="113"/>
      <c r="G550" s="113"/>
      <c r="H550" s="113"/>
      <c r="I550" s="113"/>
      <c r="J550" s="113"/>
      <c r="K550" s="113"/>
      <c r="L550" s="113"/>
      <c r="M550" s="113"/>
      <c r="N550" s="113"/>
      <c r="O550" s="113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</row>
    <row x14ac:dyDescent="0.25" r="551" customHeight="1" ht="15.75">
      <c r="A551" s="123"/>
      <c r="B551" s="123"/>
      <c r="C551" s="124"/>
      <c r="D551" s="124"/>
      <c r="E551" s="124"/>
      <c r="F551" s="113"/>
      <c r="G551" s="113"/>
      <c r="H551" s="113"/>
      <c r="I551" s="113"/>
      <c r="J551" s="113"/>
      <c r="K551" s="113"/>
      <c r="L551" s="113"/>
      <c r="M551" s="113"/>
      <c r="N551" s="113"/>
      <c r="O551" s="113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</row>
    <row x14ac:dyDescent="0.25" r="552" customHeight="1" ht="15.75">
      <c r="A552" s="123"/>
      <c r="B552" s="123"/>
      <c r="C552" s="124"/>
      <c r="D552" s="124"/>
      <c r="E552" s="124"/>
      <c r="F552" s="113"/>
      <c r="G552" s="113"/>
      <c r="H552" s="113"/>
      <c r="I552" s="113"/>
      <c r="J552" s="113"/>
      <c r="K552" s="113"/>
      <c r="L552" s="113"/>
      <c r="M552" s="113"/>
      <c r="N552" s="113"/>
      <c r="O552" s="113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</row>
    <row x14ac:dyDescent="0.25" r="553" customHeight="1" ht="15.75">
      <c r="A553" s="123"/>
      <c r="B553" s="123"/>
      <c r="C553" s="124"/>
      <c r="D553" s="124"/>
      <c r="E553" s="124"/>
      <c r="F553" s="113"/>
      <c r="G553" s="113"/>
      <c r="H553" s="113"/>
      <c r="I553" s="113"/>
      <c r="J553" s="113"/>
      <c r="K553" s="113"/>
      <c r="L553" s="113"/>
      <c r="M553" s="113"/>
      <c r="N553" s="113"/>
      <c r="O553" s="113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</row>
    <row x14ac:dyDescent="0.25" r="554" customHeight="1" ht="15.75">
      <c r="A554" s="123"/>
      <c r="B554" s="123"/>
      <c r="C554" s="124"/>
      <c r="D554" s="124"/>
      <c r="E554" s="124"/>
      <c r="F554" s="113"/>
      <c r="G554" s="113"/>
      <c r="H554" s="113"/>
      <c r="I554" s="113"/>
      <c r="J554" s="113"/>
      <c r="K554" s="113"/>
      <c r="L554" s="113"/>
      <c r="M554" s="113"/>
      <c r="N554" s="113"/>
      <c r="O554" s="113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</row>
    <row x14ac:dyDescent="0.25" r="555" customHeight="1" ht="15.75">
      <c r="A555" s="123"/>
      <c r="B555" s="123"/>
      <c r="C555" s="124"/>
      <c r="D555" s="124"/>
      <c r="E555" s="124"/>
      <c r="F555" s="113"/>
      <c r="G555" s="113"/>
      <c r="H555" s="113"/>
      <c r="I555" s="113"/>
      <c r="J555" s="113"/>
      <c r="K555" s="113"/>
      <c r="L555" s="113"/>
      <c r="M555" s="113"/>
      <c r="N555" s="113"/>
      <c r="O555" s="113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</row>
    <row x14ac:dyDescent="0.25" r="556" customHeight="1" ht="15.75">
      <c r="A556" s="123"/>
      <c r="B556" s="123"/>
      <c r="C556" s="124"/>
      <c r="D556" s="124"/>
      <c r="E556" s="124"/>
      <c r="F556" s="113"/>
      <c r="G556" s="113"/>
      <c r="H556" s="113"/>
      <c r="I556" s="113"/>
      <c r="J556" s="113"/>
      <c r="K556" s="113"/>
      <c r="L556" s="113"/>
      <c r="M556" s="113"/>
      <c r="N556" s="113"/>
      <c r="O556" s="113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</row>
    <row x14ac:dyDescent="0.25" r="557" customHeight="1" ht="15.75">
      <c r="A557" s="123"/>
      <c r="B557" s="123"/>
      <c r="C557" s="124"/>
      <c r="D557" s="124"/>
      <c r="E557" s="124"/>
      <c r="F557" s="113"/>
      <c r="G557" s="113"/>
      <c r="H557" s="113"/>
      <c r="I557" s="113"/>
      <c r="J557" s="113"/>
      <c r="K557" s="113"/>
      <c r="L557" s="113"/>
      <c r="M557" s="113"/>
      <c r="N557" s="113"/>
      <c r="O557" s="113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</row>
    <row x14ac:dyDescent="0.25" r="558" customHeight="1" ht="15.75">
      <c r="A558" s="123"/>
      <c r="B558" s="123"/>
      <c r="C558" s="124"/>
      <c r="D558" s="124"/>
      <c r="E558" s="124"/>
      <c r="F558" s="113"/>
      <c r="G558" s="113"/>
      <c r="H558" s="113"/>
      <c r="I558" s="113"/>
      <c r="J558" s="113"/>
      <c r="K558" s="113"/>
      <c r="L558" s="113"/>
      <c r="M558" s="113"/>
      <c r="N558" s="113"/>
      <c r="O558" s="113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</row>
    <row x14ac:dyDescent="0.25" r="559" customHeight="1" ht="15.75">
      <c r="A559" s="123"/>
      <c r="B559" s="123"/>
      <c r="C559" s="124"/>
      <c r="D559" s="124"/>
      <c r="E559" s="124"/>
      <c r="F559" s="113"/>
      <c r="G559" s="113"/>
      <c r="H559" s="113"/>
      <c r="I559" s="113"/>
      <c r="J559" s="113"/>
      <c r="K559" s="113"/>
      <c r="L559" s="113"/>
      <c r="M559" s="113"/>
      <c r="N559" s="113"/>
      <c r="O559" s="113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</row>
    <row x14ac:dyDescent="0.25" r="560" customHeight="1" ht="15.75">
      <c r="A560" s="123"/>
      <c r="B560" s="123"/>
      <c r="C560" s="124"/>
      <c r="D560" s="124"/>
      <c r="E560" s="124"/>
      <c r="F560" s="113"/>
      <c r="G560" s="113"/>
      <c r="H560" s="113"/>
      <c r="I560" s="113"/>
      <c r="J560" s="113"/>
      <c r="K560" s="113"/>
      <c r="L560" s="113"/>
      <c r="M560" s="113"/>
      <c r="N560" s="113"/>
      <c r="O560" s="113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</row>
    <row x14ac:dyDescent="0.25" r="561" customHeight="1" ht="15.75">
      <c r="A561" s="123"/>
      <c r="B561" s="123"/>
      <c r="C561" s="124"/>
      <c r="D561" s="124"/>
      <c r="E561" s="124"/>
      <c r="F561" s="113"/>
      <c r="G561" s="113"/>
      <c r="H561" s="113"/>
      <c r="I561" s="113"/>
      <c r="J561" s="113"/>
      <c r="K561" s="113"/>
      <c r="L561" s="113"/>
      <c r="M561" s="113"/>
      <c r="N561" s="113"/>
      <c r="O561" s="113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</row>
    <row x14ac:dyDescent="0.25" r="562" customHeight="1" ht="15.75">
      <c r="A562" s="123"/>
      <c r="B562" s="123"/>
      <c r="C562" s="124"/>
      <c r="D562" s="124"/>
      <c r="E562" s="124"/>
      <c r="F562" s="113"/>
      <c r="G562" s="113"/>
      <c r="H562" s="113"/>
      <c r="I562" s="113"/>
      <c r="J562" s="113"/>
      <c r="K562" s="113"/>
      <c r="L562" s="113"/>
      <c r="M562" s="113"/>
      <c r="N562" s="113"/>
      <c r="O562" s="113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</row>
    <row x14ac:dyDescent="0.25" r="563" customHeight="1" ht="15.75">
      <c r="A563" s="123"/>
      <c r="B563" s="123"/>
      <c r="C563" s="124"/>
      <c r="D563" s="124"/>
      <c r="E563" s="124"/>
      <c r="F563" s="113"/>
      <c r="G563" s="113"/>
      <c r="H563" s="113"/>
      <c r="I563" s="113"/>
      <c r="J563" s="113"/>
      <c r="K563" s="113"/>
      <c r="L563" s="113"/>
      <c r="M563" s="113"/>
      <c r="N563" s="113"/>
      <c r="O563" s="113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</row>
    <row x14ac:dyDescent="0.25" r="564" customHeight="1" ht="15.75">
      <c r="A564" s="123"/>
      <c r="B564" s="123"/>
      <c r="C564" s="124"/>
      <c r="D564" s="124"/>
      <c r="E564" s="124"/>
      <c r="F564" s="113"/>
      <c r="G564" s="113"/>
      <c r="H564" s="113"/>
      <c r="I564" s="113"/>
      <c r="J564" s="113"/>
      <c r="K564" s="113"/>
      <c r="L564" s="113"/>
      <c r="M564" s="113"/>
      <c r="N564" s="113"/>
      <c r="O564" s="113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</row>
    <row x14ac:dyDescent="0.25" r="565" customHeight="1" ht="15.75">
      <c r="A565" s="123"/>
      <c r="B565" s="123"/>
      <c r="C565" s="124"/>
      <c r="D565" s="124"/>
      <c r="E565" s="124"/>
      <c r="F565" s="113"/>
      <c r="G565" s="113"/>
      <c r="H565" s="113"/>
      <c r="I565" s="113"/>
      <c r="J565" s="113"/>
      <c r="K565" s="113"/>
      <c r="L565" s="113"/>
      <c r="M565" s="113"/>
      <c r="N565" s="113"/>
      <c r="O565" s="113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</row>
    <row x14ac:dyDescent="0.25" r="566" customHeight="1" ht="15.75">
      <c r="A566" s="123"/>
      <c r="B566" s="123"/>
      <c r="C566" s="124"/>
      <c r="D566" s="124"/>
      <c r="E566" s="124"/>
      <c r="F566" s="113"/>
      <c r="G566" s="113"/>
      <c r="H566" s="113"/>
      <c r="I566" s="113"/>
      <c r="J566" s="113"/>
      <c r="K566" s="113"/>
      <c r="L566" s="113"/>
      <c r="M566" s="113"/>
      <c r="N566" s="113"/>
      <c r="O566" s="113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</row>
    <row x14ac:dyDescent="0.25" r="567" customHeight="1" ht="15.75">
      <c r="A567" s="123"/>
      <c r="B567" s="123"/>
      <c r="C567" s="124"/>
      <c r="D567" s="124"/>
      <c r="E567" s="124"/>
      <c r="F567" s="113"/>
      <c r="G567" s="113"/>
      <c r="H567" s="113"/>
      <c r="I567" s="113"/>
      <c r="J567" s="113"/>
      <c r="K567" s="113"/>
      <c r="L567" s="113"/>
      <c r="M567" s="113"/>
      <c r="N567" s="113"/>
      <c r="O567" s="113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</row>
    <row x14ac:dyDescent="0.25" r="568" customHeight="1" ht="15.75">
      <c r="A568" s="123"/>
      <c r="B568" s="123"/>
      <c r="C568" s="124"/>
      <c r="D568" s="124"/>
      <c r="E568" s="124"/>
      <c r="F568" s="113"/>
      <c r="G568" s="113"/>
      <c r="H568" s="113"/>
      <c r="I568" s="113"/>
      <c r="J568" s="113"/>
      <c r="K568" s="113"/>
      <c r="L568" s="113"/>
      <c r="M568" s="113"/>
      <c r="N568" s="113"/>
      <c r="O568" s="113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</row>
    <row x14ac:dyDescent="0.25" r="569" customHeight="1" ht="15.75">
      <c r="A569" s="123"/>
      <c r="B569" s="123"/>
      <c r="C569" s="124"/>
      <c r="D569" s="124"/>
      <c r="E569" s="124"/>
      <c r="F569" s="113"/>
      <c r="G569" s="113"/>
      <c r="H569" s="113"/>
      <c r="I569" s="113"/>
      <c r="J569" s="113"/>
      <c r="K569" s="113"/>
      <c r="L569" s="113"/>
      <c r="M569" s="113"/>
      <c r="N569" s="113"/>
      <c r="O569" s="113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</row>
    <row x14ac:dyDescent="0.25" r="570" customHeight="1" ht="15.75">
      <c r="A570" s="123"/>
      <c r="B570" s="123"/>
      <c r="C570" s="124"/>
      <c r="D570" s="124"/>
      <c r="E570" s="124"/>
      <c r="F570" s="113"/>
      <c r="G570" s="113"/>
      <c r="H570" s="113"/>
      <c r="I570" s="113"/>
      <c r="J570" s="113"/>
      <c r="K570" s="113"/>
      <c r="L570" s="113"/>
      <c r="M570" s="113"/>
      <c r="N570" s="113"/>
      <c r="O570" s="113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</row>
    <row x14ac:dyDescent="0.25" r="571" customHeight="1" ht="15.75">
      <c r="A571" s="123"/>
      <c r="B571" s="123"/>
      <c r="C571" s="124"/>
      <c r="D571" s="124"/>
      <c r="E571" s="124"/>
      <c r="F571" s="113"/>
      <c r="G571" s="113"/>
      <c r="H571" s="113"/>
      <c r="I571" s="113"/>
      <c r="J571" s="113"/>
      <c r="K571" s="113"/>
      <c r="L571" s="113"/>
      <c r="M571" s="113"/>
      <c r="N571" s="113"/>
      <c r="O571" s="113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</row>
    <row x14ac:dyDescent="0.25" r="572" customHeight="1" ht="15.75">
      <c r="A572" s="123"/>
      <c r="B572" s="123"/>
      <c r="C572" s="124"/>
      <c r="D572" s="124"/>
      <c r="E572" s="124"/>
      <c r="F572" s="113"/>
      <c r="G572" s="113"/>
      <c r="H572" s="113"/>
      <c r="I572" s="113"/>
      <c r="J572" s="113"/>
      <c r="K572" s="113"/>
      <c r="L572" s="113"/>
      <c r="M572" s="113"/>
      <c r="N572" s="113"/>
      <c r="O572" s="113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</row>
    <row x14ac:dyDescent="0.25" r="573" customHeight="1" ht="15.75">
      <c r="A573" s="123"/>
      <c r="B573" s="123"/>
      <c r="C573" s="124"/>
      <c r="D573" s="124"/>
      <c r="E573" s="124"/>
      <c r="F573" s="113"/>
      <c r="G573" s="113"/>
      <c r="H573" s="113"/>
      <c r="I573" s="113"/>
      <c r="J573" s="113"/>
      <c r="K573" s="113"/>
      <c r="L573" s="113"/>
      <c r="M573" s="113"/>
      <c r="N573" s="113"/>
      <c r="O573" s="113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</row>
    <row x14ac:dyDescent="0.25" r="574" customHeight="1" ht="15.75">
      <c r="A574" s="123"/>
      <c r="B574" s="123"/>
      <c r="C574" s="124"/>
      <c r="D574" s="124"/>
      <c r="E574" s="124"/>
      <c r="F574" s="113"/>
      <c r="G574" s="113"/>
      <c r="H574" s="113"/>
      <c r="I574" s="113"/>
      <c r="J574" s="113"/>
      <c r="K574" s="113"/>
      <c r="L574" s="113"/>
      <c r="M574" s="113"/>
      <c r="N574" s="113"/>
      <c r="O574" s="113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</row>
    <row x14ac:dyDescent="0.25" r="575" customHeight="1" ht="15.75">
      <c r="A575" s="123"/>
      <c r="B575" s="123"/>
      <c r="C575" s="124"/>
      <c r="D575" s="124"/>
      <c r="E575" s="124"/>
      <c r="F575" s="113"/>
      <c r="G575" s="113"/>
      <c r="H575" s="113"/>
      <c r="I575" s="113"/>
      <c r="J575" s="113"/>
      <c r="K575" s="113"/>
      <c r="L575" s="113"/>
      <c r="M575" s="113"/>
      <c r="N575" s="113"/>
      <c r="O575" s="113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</row>
    <row x14ac:dyDescent="0.25" r="576" customHeight="1" ht="15.75">
      <c r="A576" s="123"/>
      <c r="B576" s="123"/>
      <c r="C576" s="124"/>
      <c r="D576" s="124"/>
      <c r="E576" s="124"/>
      <c r="F576" s="113"/>
      <c r="G576" s="113"/>
      <c r="H576" s="113"/>
      <c r="I576" s="113"/>
      <c r="J576" s="113"/>
      <c r="K576" s="113"/>
      <c r="L576" s="113"/>
      <c r="M576" s="113"/>
      <c r="N576" s="113"/>
      <c r="O576" s="113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</row>
    <row x14ac:dyDescent="0.25" r="577" customHeight="1" ht="15.75">
      <c r="A577" s="123"/>
      <c r="B577" s="123"/>
      <c r="C577" s="124"/>
      <c r="D577" s="124"/>
      <c r="E577" s="124"/>
      <c r="F577" s="113"/>
      <c r="G577" s="113"/>
      <c r="H577" s="113"/>
      <c r="I577" s="113"/>
      <c r="J577" s="113"/>
      <c r="K577" s="113"/>
      <c r="L577" s="113"/>
      <c r="M577" s="113"/>
      <c r="N577" s="113"/>
      <c r="O577" s="113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</row>
    <row x14ac:dyDescent="0.25" r="578" customHeight="1" ht="15.75">
      <c r="A578" s="123"/>
      <c r="B578" s="123"/>
      <c r="C578" s="124"/>
      <c r="D578" s="124"/>
      <c r="E578" s="124"/>
      <c r="F578" s="113"/>
      <c r="G578" s="113"/>
      <c r="H578" s="113"/>
      <c r="I578" s="113"/>
      <c r="J578" s="113"/>
      <c r="K578" s="113"/>
      <c r="L578" s="113"/>
      <c r="M578" s="113"/>
      <c r="N578" s="113"/>
      <c r="O578" s="113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</row>
    <row x14ac:dyDescent="0.25" r="579" customHeight="1" ht="15.75">
      <c r="A579" s="123"/>
      <c r="B579" s="123"/>
      <c r="C579" s="124"/>
      <c r="D579" s="124"/>
      <c r="E579" s="124"/>
      <c r="F579" s="113"/>
      <c r="G579" s="113"/>
      <c r="H579" s="113"/>
      <c r="I579" s="113"/>
      <c r="J579" s="113"/>
      <c r="K579" s="113"/>
      <c r="L579" s="113"/>
      <c r="M579" s="113"/>
      <c r="N579" s="113"/>
      <c r="O579" s="113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</row>
    <row x14ac:dyDescent="0.25" r="580" customHeight="1" ht="15.75">
      <c r="A580" s="123"/>
      <c r="B580" s="123"/>
      <c r="C580" s="124"/>
      <c r="D580" s="124"/>
      <c r="E580" s="124"/>
      <c r="F580" s="113"/>
      <c r="G580" s="113"/>
      <c r="H580" s="113"/>
      <c r="I580" s="113"/>
      <c r="J580" s="113"/>
      <c r="K580" s="113"/>
      <c r="L580" s="113"/>
      <c r="M580" s="113"/>
      <c r="N580" s="113"/>
      <c r="O580" s="113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</row>
    <row x14ac:dyDescent="0.25" r="581" customHeight="1" ht="15.75">
      <c r="A581" s="123"/>
      <c r="B581" s="123"/>
      <c r="C581" s="124"/>
      <c r="D581" s="124"/>
      <c r="E581" s="124"/>
      <c r="F581" s="113"/>
      <c r="G581" s="113"/>
      <c r="H581" s="113"/>
      <c r="I581" s="113"/>
      <c r="J581" s="113"/>
      <c r="K581" s="113"/>
      <c r="L581" s="113"/>
      <c r="M581" s="113"/>
      <c r="N581" s="113"/>
      <c r="O581" s="113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</row>
    <row x14ac:dyDescent="0.25" r="582" customHeight="1" ht="15.75">
      <c r="A582" s="123"/>
      <c r="B582" s="123"/>
      <c r="C582" s="124"/>
      <c r="D582" s="124"/>
      <c r="E582" s="124"/>
      <c r="F582" s="113"/>
      <c r="G582" s="113"/>
      <c r="H582" s="113"/>
      <c r="I582" s="113"/>
      <c r="J582" s="113"/>
      <c r="K582" s="113"/>
      <c r="L582" s="113"/>
      <c r="M582" s="113"/>
      <c r="N582" s="113"/>
      <c r="O582" s="113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</row>
    <row x14ac:dyDescent="0.25" r="583" customHeight="1" ht="15.75">
      <c r="A583" s="123"/>
      <c r="B583" s="123"/>
      <c r="C583" s="124"/>
      <c r="D583" s="124"/>
      <c r="E583" s="124"/>
      <c r="F583" s="113"/>
      <c r="G583" s="113"/>
      <c r="H583" s="113"/>
      <c r="I583" s="113"/>
      <c r="J583" s="113"/>
      <c r="K583" s="113"/>
      <c r="L583" s="113"/>
      <c r="M583" s="113"/>
      <c r="N583" s="113"/>
      <c r="O583" s="113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</row>
    <row x14ac:dyDescent="0.25" r="584" customHeight="1" ht="15.75">
      <c r="A584" s="123"/>
      <c r="B584" s="123"/>
      <c r="C584" s="124"/>
      <c r="D584" s="124"/>
      <c r="E584" s="124"/>
      <c r="F584" s="113"/>
      <c r="G584" s="113"/>
      <c r="H584" s="113"/>
      <c r="I584" s="113"/>
      <c r="J584" s="113"/>
      <c r="K584" s="113"/>
      <c r="L584" s="113"/>
      <c r="M584" s="113"/>
      <c r="N584" s="113"/>
      <c r="O584" s="113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</row>
    <row x14ac:dyDescent="0.25" r="585" customHeight="1" ht="15.75">
      <c r="A585" s="123"/>
      <c r="B585" s="123"/>
      <c r="C585" s="124"/>
      <c r="D585" s="124"/>
      <c r="E585" s="124"/>
      <c r="F585" s="113"/>
      <c r="G585" s="113"/>
      <c r="H585" s="113"/>
      <c r="I585" s="113"/>
      <c r="J585" s="113"/>
      <c r="K585" s="113"/>
      <c r="L585" s="113"/>
      <c r="M585" s="113"/>
      <c r="N585" s="113"/>
      <c r="O585" s="113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</row>
    <row x14ac:dyDescent="0.25" r="586" customHeight="1" ht="15.75">
      <c r="A586" s="123"/>
      <c r="B586" s="123"/>
      <c r="C586" s="124"/>
      <c r="D586" s="124"/>
      <c r="E586" s="124"/>
      <c r="F586" s="113"/>
      <c r="G586" s="113"/>
      <c r="H586" s="113"/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</row>
    <row x14ac:dyDescent="0.25" r="587" customHeight="1" ht="15.75">
      <c r="A587" s="123"/>
      <c r="B587" s="123"/>
      <c r="C587" s="124"/>
      <c r="D587" s="124"/>
      <c r="E587" s="124"/>
      <c r="F587" s="113"/>
      <c r="G587" s="113"/>
      <c r="H587" s="113"/>
      <c r="I587" s="113"/>
      <c r="J587" s="113"/>
      <c r="K587" s="113"/>
      <c r="L587" s="113"/>
      <c r="M587" s="113"/>
      <c r="N587" s="113"/>
      <c r="O587" s="113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</row>
    <row x14ac:dyDescent="0.25" r="588" customHeight="1" ht="15.75">
      <c r="A588" s="123"/>
      <c r="B588" s="123"/>
      <c r="C588" s="124"/>
      <c r="D588" s="124"/>
      <c r="E588" s="124"/>
      <c r="F588" s="113"/>
      <c r="G588" s="113"/>
      <c r="H588" s="113"/>
      <c r="I588" s="113"/>
      <c r="J588" s="113"/>
      <c r="K588" s="113"/>
      <c r="L588" s="113"/>
      <c r="M588" s="113"/>
      <c r="N588" s="113"/>
      <c r="O588" s="113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</row>
    <row x14ac:dyDescent="0.25" r="589" customHeight="1" ht="15.75">
      <c r="A589" s="123"/>
      <c r="B589" s="123"/>
      <c r="C589" s="124"/>
      <c r="D589" s="124"/>
      <c r="E589" s="124"/>
      <c r="F589" s="113"/>
      <c r="G589" s="113"/>
      <c r="H589" s="113"/>
      <c r="I589" s="113"/>
      <c r="J589" s="113"/>
      <c r="K589" s="113"/>
      <c r="L589" s="113"/>
      <c r="M589" s="113"/>
      <c r="N589" s="113"/>
      <c r="O589" s="113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</row>
    <row x14ac:dyDescent="0.25" r="590" customHeight="1" ht="15.75">
      <c r="A590" s="123"/>
      <c r="B590" s="123"/>
      <c r="C590" s="124"/>
      <c r="D590" s="124"/>
      <c r="E590" s="124"/>
      <c r="F590" s="113"/>
      <c r="G590" s="113"/>
      <c r="H590" s="113"/>
      <c r="I590" s="113"/>
      <c r="J590" s="113"/>
      <c r="K590" s="113"/>
      <c r="L590" s="113"/>
      <c r="M590" s="113"/>
      <c r="N590" s="113"/>
      <c r="O590" s="113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</row>
    <row x14ac:dyDescent="0.25" r="591" customHeight="1" ht="15.75">
      <c r="A591" s="123"/>
      <c r="B591" s="123"/>
      <c r="C591" s="124"/>
      <c r="D591" s="124"/>
      <c r="E591" s="124"/>
      <c r="F591" s="113"/>
      <c r="G591" s="113"/>
      <c r="H591" s="113"/>
      <c r="I591" s="113"/>
      <c r="J591" s="113"/>
      <c r="K591" s="113"/>
      <c r="L591" s="113"/>
      <c r="M591" s="113"/>
      <c r="N591" s="113"/>
      <c r="O591" s="113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</row>
    <row x14ac:dyDescent="0.25" r="592" customHeight="1" ht="15.75">
      <c r="A592" s="123"/>
      <c r="B592" s="123"/>
      <c r="C592" s="124"/>
      <c r="D592" s="124"/>
      <c r="E592" s="124"/>
      <c r="F592" s="113"/>
      <c r="G592" s="113"/>
      <c r="H592" s="113"/>
      <c r="I592" s="113"/>
      <c r="J592" s="113"/>
      <c r="K592" s="113"/>
      <c r="L592" s="113"/>
      <c r="M592" s="113"/>
      <c r="N592" s="113"/>
      <c r="O592" s="113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</row>
    <row x14ac:dyDescent="0.25" r="593" customHeight="1" ht="15.75">
      <c r="A593" s="123"/>
      <c r="B593" s="123"/>
      <c r="C593" s="124"/>
      <c r="D593" s="124"/>
      <c r="E593" s="124"/>
      <c r="F593" s="113"/>
      <c r="G593" s="113"/>
      <c r="H593" s="113"/>
      <c r="I593" s="113"/>
      <c r="J593" s="113"/>
      <c r="K593" s="113"/>
      <c r="L593" s="113"/>
      <c r="M593" s="113"/>
      <c r="N593" s="113"/>
      <c r="O593" s="113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</row>
    <row x14ac:dyDescent="0.25" r="594" customHeight="1" ht="15.75">
      <c r="A594" s="123"/>
      <c r="B594" s="123"/>
      <c r="C594" s="124"/>
      <c r="D594" s="124"/>
      <c r="E594" s="124"/>
      <c r="F594" s="113"/>
      <c r="G594" s="113"/>
      <c r="H594" s="113"/>
      <c r="I594" s="113"/>
      <c r="J594" s="113"/>
      <c r="K594" s="113"/>
      <c r="L594" s="113"/>
      <c r="M594" s="113"/>
      <c r="N594" s="113"/>
      <c r="O594" s="113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</row>
    <row x14ac:dyDescent="0.25" r="595" customHeight="1" ht="15.75">
      <c r="A595" s="123"/>
      <c r="B595" s="123"/>
      <c r="C595" s="124"/>
      <c r="D595" s="124"/>
      <c r="E595" s="124"/>
      <c r="F595" s="113"/>
      <c r="G595" s="113"/>
      <c r="H595" s="113"/>
      <c r="I595" s="113"/>
      <c r="J595" s="113"/>
      <c r="K595" s="113"/>
      <c r="L595" s="113"/>
      <c r="M595" s="113"/>
      <c r="N595" s="113"/>
      <c r="O595" s="113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</row>
    <row x14ac:dyDescent="0.25" r="596" customHeight="1" ht="15.75">
      <c r="A596" s="123"/>
      <c r="B596" s="123"/>
      <c r="C596" s="124"/>
      <c r="D596" s="124"/>
      <c r="E596" s="124"/>
      <c r="F596" s="113"/>
      <c r="G596" s="113"/>
      <c r="H596" s="113"/>
      <c r="I596" s="113"/>
      <c r="J596" s="113"/>
      <c r="K596" s="113"/>
      <c r="L596" s="113"/>
      <c r="M596" s="113"/>
      <c r="N596" s="113"/>
      <c r="O596" s="113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</row>
    <row x14ac:dyDescent="0.25" r="597" customHeight="1" ht="15.75">
      <c r="A597" s="123"/>
      <c r="B597" s="123"/>
      <c r="C597" s="124"/>
      <c r="D597" s="124"/>
      <c r="E597" s="124"/>
      <c r="F597" s="113"/>
      <c r="G597" s="113"/>
      <c r="H597" s="113"/>
      <c r="I597" s="113"/>
      <c r="J597" s="113"/>
      <c r="K597" s="113"/>
      <c r="L597" s="113"/>
      <c r="M597" s="113"/>
      <c r="N597" s="113"/>
      <c r="O597" s="113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</row>
    <row x14ac:dyDescent="0.25" r="598" customHeight="1" ht="15.75">
      <c r="A598" s="123"/>
      <c r="B598" s="123"/>
      <c r="C598" s="124"/>
      <c r="D598" s="124"/>
      <c r="E598" s="124"/>
      <c r="F598" s="113"/>
      <c r="G598" s="113"/>
      <c r="H598" s="113"/>
      <c r="I598" s="113"/>
      <c r="J598" s="113"/>
      <c r="K598" s="113"/>
      <c r="L598" s="113"/>
      <c r="M598" s="113"/>
      <c r="N598" s="113"/>
      <c r="O598" s="113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</row>
    <row x14ac:dyDescent="0.25" r="599" customHeight="1" ht="15.75">
      <c r="A599" s="123"/>
      <c r="B599" s="123"/>
      <c r="C599" s="124"/>
      <c r="D599" s="124"/>
      <c r="E599" s="124"/>
      <c r="F599" s="113"/>
      <c r="G599" s="113"/>
      <c r="H599" s="113"/>
      <c r="I599" s="113"/>
      <c r="J599" s="113"/>
      <c r="K599" s="113"/>
      <c r="L599" s="113"/>
      <c r="M599" s="113"/>
      <c r="N599" s="113"/>
      <c r="O599" s="113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</row>
    <row x14ac:dyDescent="0.25" r="600" customHeight="1" ht="15.75">
      <c r="A600" s="123"/>
      <c r="B600" s="123"/>
      <c r="C600" s="124"/>
      <c r="D600" s="124"/>
      <c r="E600" s="124"/>
      <c r="F600" s="113"/>
      <c r="G600" s="113"/>
      <c r="H600" s="113"/>
      <c r="I600" s="113"/>
      <c r="J600" s="113"/>
      <c r="K600" s="113"/>
      <c r="L600" s="113"/>
      <c r="M600" s="113"/>
      <c r="N600" s="113"/>
      <c r="O600" s="113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</row>
    <row x14ac:dyDescent="0.25" r="601" customHeight="1" ht="15.75">
      <c r="A601" s="123"/>
      <c r="B601" s="123"/>
      <c r="C601" s="124"/>
      <c r="D601" s="124"/>
      <c r="E601" s="124"/>
      <c r="F601" s="113"/>
      <c r="G601" s="113"/>
      <c r="H601" s="113"/>
      <c r="I601" s="113"/>
      <c r="J601" s="113"/>
      <c r="K601" s="113"/>
      <c r="L601" s="113"/>
      <c r="M601" s="113"/>
      <c r="N601" s="113"/>
      <c r="O601" s="113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</row>
    <row x14ac:dyDescent="0.25" r="602" customHeight="1" ht="15.75">
      <c r="A602" s="123"/>
      <c r="B602" s="123"/>
      <c r="C602" s="124"/>
      <c r="D602" s="124"/>
      <c r="E602" s="124"/>
      <c r="F602" s="113"/>
      <c r="G602" s="113"/>
      <c r="H602" s="113"/>
      <c r="I602" s="113"/>
      <c r="J602" s="113"/>
      <c r="K602" s="113"/>
      <c r="L602" s="113"/>
      <c r="M602" s="113"/>
      <c r="N602" s="113"/>
      <c r="O602" s="113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</row>
    <row x14ac:dyDescent="0.25" r="603" customHeight="1" ht="15.75">
      <c r="A603" s="123"/>
      <c r="B603" s="123"/>
      <c r="C603" s="124"/>
      <c r="D603" s="124"/>
      <c r="E603" s="124"/>
      <c r="F603" s="113"/>
      <c r="G603" s="113"/>
      <c r="H603" s="113"/>
      <c r="I603" s="113"/>
      <c r="J603" s="113"/>
      <c r="K603" s="113"/>
      <c r="L603" s="113"/>
      <c r="M603" s="113"/>
      <c r="N603" s="113"/>
      <c r="O603" s="113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</row>
    <row x14ac:dyDescent="0.25" r="604" customHeight="1" ht="15.75">
      <c r="A604" s="123"/>
      <c r="B604" s="123"/>
      <c r="C604" s="124"/>
      <c r="D604" s="124"/>
      <c r="E604" s="124"/>
      <c r="F604" s="113"/>
      <c r="G604" s="113"/>
      <c r="H604" s="113"/>
      <c r="I604" s="113"/>
      <c r="J604" s="113"/>
      <c r="K604" s="113"/>
      <c r="L604" s="113"/>
      <c r="M604" s="113"/>
      <c r="N604" s="113"/>
      <c r="O604" s="113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</row>
    <row x14ac:dyDescent="0.25" r="605" customHeight="1" ht="15.75">
      <c r="A605" s="123"/>
      <c r="B605" s="123"/>
      <c r="C605" s="124"/>
      <c r="D605" s="124"/>
      <c r="E605" s="124"/>
      <c r="F605" s="113"/>
      <c r="G605" s="113"/>
      <c r="H605" s="113"/>
      <c r="I605" s="113"/>
      <c r="J605" s="113"/>
      <c r="K605" s="113"/>
      <c r="L605" s="113"/>
      <c r="M605" s="113"/>
      <c r="N605" s="113"/>
      <c r="O605" s="113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</row>
    <row x14ac:dyDescent="0.25" r="606" customHeight="1" ht="15.75">
      <c r="A606" s="123"/>
      <c r="B606" s="123"/>
      <c r="C606" s="124"/>
      <c r="D606" s="124"/>
      <c r="E606" s="124"/>
      <c r="F606" s="113"/>
      <c r="G606" s="113"/>
      <c r="H606" s="113"/>
      <c r="I606" s="113"/>
      <c r="J606" s="113"/>
      <c r="K606" s="113"/>
      <c r="L606" s="113"/>
      <c r="M606" s="113"/>
      <c r="N606" s="113"/>
      <c r="O606" s="113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</row>
    <row x14ac:dyDescent="0.25" r="607" customHeight="1" ht="15.75">
      <c r="A607" s="123"/>
      <c r="B607" s="123"/>
      <c r="C607" s="124"/>
      <c r="D607" s="124"/>
      <c r="E607" s="124"/>
      <c r="F607" s="113"/>
      <c r="G607" s="113"/>
      <c r="H607" s="113"/>
      <c r="I607" s="113"/>
      <c r="J607" s="113"/>
      <c r="K607" s="113"/>
      <c r="L607" s="113"/>
      <c r="M607" s="113"/>
      <c r="N607" s="113"/>
      <c r="O607" s="113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</row>
    <row x14ac:dyDescent="0.25" r="608" customHeight="1" ht="15.75">
      <c r="A608" s="123"/>
      <c r="B608" s="123"/>
      <c r="C608" s="124"/>
      <c r="D608" s="124"/>
      <c r="E608" s="124"/>
      <c r="F608" s="113"/>
      <c r="G608" s="113"/>
      <c r="H608" s="113"/>
      <c r="I608" s="113"/>
      <c r="J608" s="113"/>
      <c r="K608" s="113"/>
      <c r="L608" s="113"/>
      <c r="M608" s="113"/>
      <c r="N608" s="113"/>
      <c r="O608" s="113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</row>
    <row x14ac:dyDescent="0.25" r="609" customHeight="1" ht="15.75">
      <c r="A609" s="123"/>
      <c r="B609" s="123"/>
      <c r="C609" s="124"/>
      <c r="D609" s="124"/>
      <c r="E609" s="124"/>
      <c r="F609" s="113"/>
      <c r="G609" s="113"/>
      <c r="H609" s="113"/>
      <c r="I609" s="113"/>
      <c r="J609" s="113"/>
      <c r="K609" s="113"/>
      <c r="L609" s="113"/>
      <c r="M609" s="113"/>
      <c r="N609" s="113"/>
      <c r="O609" s="113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</row>
    <row x14ac:dyDescent="0.25" r="610" customHeight="1" ht="15.75">
      <c r="A610" s="123"/>
      <c r="B610" s="123"/>
      <c r="C610" s="124"/>
      <c r="D610" s="124"/>
      <c r="E610" s="124"/>
      <c r="F610" s="113"/>
      <c r="G610" s="113"/>
      <c r="H610" s="113"/>
      <c r="I610" s="113"/>
      <c r="J610" s="113"/>
      <c r="K610" s="113"/>
      <c r="L610" s="113"/>
      <c r="M610" s="113"/>
      <c r="N610" s="113"/>
      <c r="O610" s="113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</row>
    <row x14ac:dyDescent="0.25" r="611" customHeight="1" ht="15.75">
      <c r="A611" s="123"/>
      <c r="B611" s="123"/>
      <c r="C611" s="124"/>
      <c r="D611" s="124"/>
      <c r="E611" s="124"/>
      <c r="F611" s="113"/>
      <c r="G611" s="113"/>
      <c r="H611" s="113"/>
      <c r="I611" s="113"/>
      <c r="J611" s="113"/>
      <c r="K611" s="113"/>
      <c r="L611" s="113"/>
      <c r="M611" s="113"/>
      <c r="N611" s="113"/>
      <c r="O611" s="113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</row>
    <row x14ac:dyDescent="0.25" r="612" customHeight="1" ht="15.75">
      <c r="A612" s="123"/>
      <c r="B612" s="123"/>
      <c r="C612" s="124"/>
      <c r="D612" s="124"/>
      <c r="E612" s="124"/>
      <c r="F612" s="113"/>
      <c r="G612" s="113"/>
      <c r="H612" s="113"/>
      <c r="I612" s="113"/>
      <c r="J612" s="113"/>
      <c r="K612" s="113"/>
      <c r="L612" s="113"/>
      <c r="M612" s="113"/>
      <c r="N612" s="113"/>
      <c r="O612" s="113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</row>
    <row x14ac:dyDescent="0.25" r="613" customHeight="1" ht="15.75">
      <c r="A613" s="123"/>
      <c r="B613" s="123"/>
      <c r="C613" s="124"/>
      <c r="D613" s="124"/>
      <c r="E613" s="124"/>
      <c r="F613" s="113"/>
      <c r="G613" s="113"/>
      <c r="H613" s="113"/>
      <c r="I613" s="113"/>
      <c r="J613" s="113"/>
      <c r="K613" s="113"/>
      <c r="L613" s="113"/>
      <c r="M613" s="113"/>
      <c r="N613" s="113"/>
      <c r="O613" s="113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</row>
    <row x14ac:dyDescent="0.25" r="614" customHeight="1" ht="15.75">
      <c r="A614" s="123"/>
      <c r="B614" s="123"/>
      <c r="C614" s="124"/>
      <c r="D614" s="124"/>
      <c r="E614" s="124"/>
      <c r="F614" s="113"/>
      <c r="G614" s="113"/>
      <c r="H614" s="113"/>
      <c r="I614" s="113"/>
      <c r="J614" s="113"/>
      <c r="K614" s="113"/>
      <c r="L614" s="113"/>
      <c r="M614" s="113"/>
      <c r="N614" s="113"/>
      <c r="O614" s="113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</row>
    <row x14ac:dyDescent="0.25" r="615" customHeight="1" ht="15.75">
      <c r="A615" s="123"/>
      <c r="B615" s="123"/>
      <c r="C615" s="124"/>
      <c r="D615" s="124"/>
      <c r="E615" s="124"/>
      <c r="F615" s="113"/>
      <c r="G615" s="113"/>
      <c r="H615" s="113"/>
      <c r="I615" s="113"/>
      <c r="J615" s="113"/>
      <c r="K615" s="113"/>
      <c r="L615" s="113"/>
      <c r="M615" s="113"/>
      <c r="N615" s="113"/>
      <c r="O615" s="113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</row>
    <row x14ac:dyDescent="0.25" r="616" customHeight="1" ht="15.75">
      <c r="A616" s="123"/>
      <c r="B616" s="123"/>
      <c r="C616" s="124"/>
      <c r="D616" s="124"/>
      <c r="E616" s="124"/>
      <c r="F616" s="113"/>
      <c r="G616" s="113"/>
      <c r="H616" s="113"/>
      <c r="I616" s="113"/>
      <c r="J616" s="113"/>
      <c r="K616" s="113"/>
      <c r="L616" s="113"/>
      <c r="M616" s="113"/>
      <c r="N616" s="113"/>
      <c r="O616" s="113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</row>
    <row x14ac:dyDescent="0.25" r="617" customHeight="1" ht="15.75">
      <c r="A617" s="123"/>
      <c r="B617" s="123"/>
      <c r="C617" s="124"/>
      <c r="D617" s="124"/>
      <c r="E617" s="124"/>
      <c r="F617" s="113"/>
      <c r="G617" s="113"/>
      <c r="H617" s="113"/>
      <c r="I617" s="113"/>
      <c r="J617" s="113"/>
      <c r="K617" s="113"/>
      <c r="L617" s="113"/>
      <c r="M617" s="113"/>
      <c r="N617" s="113"/>
      <c r="O617" s="113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</row>
    <row x14ac:dyDescent="0.25" r="618" customHeight="1" ht="15.75">
      <c r="A618" s="123"/>
      <c r="B618" s="123"/>
      <c r="C618" s="124"/>
      <c r="D618" s="124"/>
      <c r="E618" s="124"/>
      <c r="F618" s="113"/>
      <c r="G618" s="113"/>
      <c r="H618" s="113"/>
      <c r="I618" s="113"/>
      <c r="J618" s="113"/>
      <c r="K618" s="113"/>
      <c r="L618" s="113"/>
      <c r="M618" s="113"/>
      <c r="N618" s="113"/>
      <c r="O618" s="113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</row>
    <row x14ac:dyDescent="0.25" r="619" customHeight="1" ht="15.75">
      <c r="A619" s="123"/>
      <c r="B619" s="123"/>
      <c r="C619" s="124"/>
      <c r="D619" s="124"/>
      <c r="E619" s="124"/>
      <c r="F619" s="113"/>
      <c r="G619" s="113"/>
      <c r="H619" s="113"/>
      <c r="I619" s="113"/>
      <c r="J619" s="113"/>
      <c r="K619" s="113"/>
      <c r="L619" s="113"/>
      <c r="M619" s="113"/>
      <c r="N619" s="113"/>
      <c r="O619" s="113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</row>
    <row x14ac:dyDescent="0.25" r="620" customHeight="1" ht="15.75">
      <c r="A620" s="123"/>
      <c r="B620" s="123"/>
      <c r="C620" s="124"/>
      <c r="D620" s="124"/>
      <c r="E620" s="124"/>
      <c r="F620" s="113"/>
      <c r="G620" s="113"/>
      <c r="H620" s="113"/>
      <c r="I620" s="113"/>
      <c r="J620" s="113"/>
      <c r="K620" s="113"/>
      <c r="L620" s="113"/>
      <c r="M620" s="113"/>
      <c r="N620" s="113"/>
      <c r="O620" s="113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</row>
    <row x14ac:dyDescent="0.25" r="621" customHeight="1" ht="15.75">
      <c r="A621" s="123"/>
      <c r="B621" s="123"/>
      <c r="C621" s="124"/>
      <c r="D621" s="124"/>
      <c r="E621" s="124"/>
      <c r="F621" s="113"/>
      <c r="G621" s="113"/>
      <c r="H621" s="113"/>
      <c r="I621" s="113"/>
      <c r="J621" s="113"/>
      <c r="K621" s="113"/>
      <c r="L621" s="113"/>
      <c r="M621" s="113"/>
      <c r="N621" s="113"/>
      <c r="O621" s="113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</row>
    <row x14ac:dyDescent="0.25" r="622" customHeight="1" ht="15.75">
      <c r="A622" s="123"/>
      <c r="B622" s="123"/>
      <c r="C622" s="124"/>
      <c r="D622" s="124"/>
      <c r="E622" s="124"/>
      <c r="F622" s="113"/>
      <c r="G622" s="113"/>
      <c r="H622" s="113"/>
      <c r="I622" s="113"/>
      <c r="J622" s="113"/>
      <c r="K622" s="113"/>
      <c r="L622" s="113"/>
      <c r="M622" s="113"/>
      <c r="N622" s="113"/>
      <c r="O622" s="113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</row>
    <row x14ac:dyDescent="0.25" r="623" customHeight="1" ht="15.75">
      <c r="A623" s="123"/>
      <c r="B623" s="123"/>
      <c r="C623" s="124"/>
      <c r="D623" s="124"/>
      <c r="E623" s="124"/>
      <c r="F623" s="113"/>
      <c r="G623" s="113"/>
      <c r="H623" s="113"/>
      <c r="I623" s="113"/>
      <c r="J623" s="113"/>
      <c r="K623" s="113"/>
      <c r="L623" s="113"/>
      <c r="M623" s="113"/>
      <c r="N623" s="113"/>
      <c r="O623" s="113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</row>
    <row x14ac:dyDescent="0.25" r="624" customHeight="1" ht="15.75">
      <c r="A624" s="123"/>
      <c r="B624" s="123"/>
      <c r="C624" s="124"/>
      <c r="D624" s="124"/>
      <c r="E624" s="124"/>
      <c r="F624" s="113"/>
      <c r="G624" s="113"/>
      <c r="H624" s="113"/>
      <c r="I624" s="113"/>
      <c r="J624" s="113"/>
      <c r="K624" s="113"/>
      <c r="L624" s="113"/>
      <c r="M624" s="113"/>
      <c r="N624" s="113"/>
      <c r="O624" s="113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</row>
    <row x14ac:dyDescent="0.25" r="625" customHeight="1" ht="15.75">
      <c r="A625" s="123"/>
      <c r="B625" s="123"/>
      <c r="C625" s="124"/>
      <c r="D625" s="124"/>
      <c r="E625" s="124"/>
      <c r="F625" s="113"/>
      <c r="G625" s="113"/>
      <c r="H625" s="113"/>
      <c r="I625" s="113"/>
      <c r="J625" s="113"/>
      <c r="K625" s="113"/>
      <c r="L625" s="113"/>
      <c r="M625" s="113"/>
      <c r="N625" s="113"/>
      <c r="O625" s="113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</row>
    <row x14ac:dyDescent="0.25" r="626" customHeight="1" ht="15.75">
      <c r="A626" s="123"/>
      <c r="B626" s="123"/>
      <c r="C626" s="124"/>
      <c r="D626" s="124"/>
      <c r="E626" s="124"/>
      <c r="F626" s="113"/>
      <c r="G626" s="113"/>
      <c r="H626" s="113"/>
      <c r="I626" s="113"/>
      <c r="J626" s="113"/>
      <c r="K626" s="113"/>
      <c r="L626" s="113"/>
      <c r="M626" s="113"/>
      <c r="N626" s="113"/>
      <c r="O626" s="113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</row>
    <row x14ac:dyDescent="0.25" r="627" customHeight="1" ht="15.75">
      <c r="A627" s="123"/>
      <c r="B627" s="123"/>
      <c r="C627" s="124"/>
      <c r="D627" s="124"/>
      <c r="E627" s="124"/>
      <c r="F627" s="113"/>
      <c r="G627" s="113"/>
      <c r="H627" s="113"/>
      <c r="I627" s="113"/>
      <c r="J627" s="113"/>
      <c r="K627" s="113"/>
      <c r="L627" s="113"/>
      <c r="M627" s="113"/>
      <c r="N627" s="113"/>
      <c r="O627" s="113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</row>
    <row x14ac:dyDescent="0.25" r="628" customHeight="1" ht="15.75">
      <c r="A628" s="123"/>
      <c r="B628" s="123"/>
      <c r="C628" s="124"/>
      <c r="D628" s="124"/>
      <c r="E628" s="124"/>
      <c r="F628" s="113"/>
      <c r="G628" s="113"/>
      <c r="H628" s="113"/>
      <c r="I628" s="113"/>
      <c r="J628" s="113"/>
      <c r="K628" s="113"/>
      <c r="L628" s="113"/>
      <c r="M628" s="113"/>
      <c r="N628" s="113"/>
      <c r="O628" s="113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</row>
    <row x14ac:dyDescent="0.25" r="629" customHeight="1" ht="15.75">
      <c r="A629" s="123"/>
      <c r="B629" s="123"/>
      <c r="C629" s="124"/>
      <c r="D629" s="124"/>
      <c r="E629" s="124"/>
      <c r="F629" s="113"/>
      <c r="G629" s="113"/>
      <c r="H629" s="113"/>
      <c r="I629" s="113"/>
      <c r="J629" s="113"/>
      <c r="K629" s="113"/>
      <c r="L629" s="113"/>
      <c r="M629" s="113"/>
      <c r="N629" s="113"/>
      <c r="O629" s="113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</row>
    <row x14ac:dyDescent="0.25" r="630" customHeight="1" ht="15.75">
      <c r="A630" s="123"/>
      <c r="B630" s="123"/>
      <c r="C630" s="124"/>
      <c r="D630" s="124"/>
      <c r="E630" s="124"/>
      <c r="F630" s="113"/>
      <c r="G630" s="113"/>
      <c r="H630" s="113"/>
      <c r="I630" s="113"/>
      <c r="J630" s="113"/>
      <c r="K630" s="113"/>
      <c r="L630" s="113"/>
      <c r="M630" s="113"/>
      <c r="N630" s="113"/>
      <c r="O630" s="113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</row>
    <row x14ac:dyDescent="0.25" r="631" customHeight="1" ht="15.75">
      <c r="A631" s="123"/>
      <c r="B631" s="123"/>
      <c r="C631" s="124"/>
      <c r="D631" s="124"/>
      <c r="E631" s="124"/>
      <c r="F631" s="113"/>
      <c r="G631" s="113"/>
      <c r="H631" s="113"/>
      <c r="I631" s="113"/>
      <c r="J631" s="113"/>
      <c r="K631" s="113"/>
      <c r="L631" s="113"/>
      <c r="M631" s="113"/>
      <c r="N631" s="113"/>
      <c r="O631" s="113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</row>
    <row x14ac:dyDescent="0.25" r="632" customHeight="1" ht="15.75">
      <c r="A632" s="123"/>
      <c r="B632" s="123"/>
      <c r="C632" s="124"/>
      <c r="D632" s="124"/>
      <c r="E632" s="124"/>
      <c r="F632" s="113"/>
      <c r="G632" s="113"/>
      <c r="H632" s="113"/>
      <c r="I632" s="113"/>
      <c r="J632" s="113"/>
      <c r="K632" s="113"/>
      <c r="L632" s="113"/>
      <c r="M632" s="113"/>
      <c r="N632" s="113"/>
      <c r="O632" s="113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</row>
    <row x14ac:dyDescent="0.25" r="633" customHeight="1" ht="15.75">
      <c r="A633" s="123"/>
      <c r="B633" s="123"/>
      <c r="C633" s="124"/>
      <c r="D633" s="124"/>
      <c r="E633" s="124"/>
      <c r="F633" s="113"/>
      <c r="G633" s="113"/>
      <c r="H633" s="113"/>
      <c r="I633" s="113"/>
      <c r="J633" s="113"/>
      <c r="K633" s="113"/>
      <c r="L633" s="113"/>
      <c r="M633" s="113"/>
      <c r="N633" s="113"/>
      <c r="O633" s="113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</row>
    <row x14ac:dyDescent="0.25" r="634" customHeight="1" ht="15.75">
      <c r="A634" s="123"/>
      <c r="B634" s="123"/>
      <c r="C634" s="124"/>
      <c r="D634" s="124"/>
      <c r="E634" s="124"/>
      <c r="F634" s="113"/>
      <c r="G634" s="113"/>
      <c r="H634" s="113"/>
      <c r="I634" s="113"/>
      <c r="J634" s="113"/>
      <c r="K634" s="113"/>
      <c r="L634" s="113"/>
      <c r="M634" s="113"/>
      <c r="N634" s="113"/>
      <c r="O634" s="113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</row>
    <row x14ac:dyDescent="0.25" r="635" customHeight="1" ht="15.75">
      <c r="A635" s="123"/>
      <c r="B635" s="123"/>
      <c r="C635" s="124"/>
      <c r="D635" s="124"/>
      <c r="E635" s="124"/>
      <c r="F635" s="113"/>
      <c r="G635" s="113"/>
      <c r="H635" s="113"/>
      <c r="I635" s="113"/>
      <c r="J635" s="113"/>
      <c r="K635" s="113"/>
      <c r="L635" s="113"/>
      <c r="M635" s="113"/>
      <c r="N635" s="113"/>
      <c r="O635" s="113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</row>
    <row x14ac:dyDescent="0.25" r="636" customHeight="1" ht="15.75">
      <c r="A636" s="123"/>
      <c r="B636" s="123"/>
      <c r="C636" s="124"/>
      <c r="D636" s="124"/>
      <c r="E636" s="124"/>
      <c r="F636" s="113"/>
      <c r="G636" s="113"/>
      <c r="H636" s="113"/>
      <c r="I636" s="113"/>
      <c r="J636" s="113"/>
      <c r="K636" s="113"/>
      <c r="L636" s="113"/>
      <c r="M636" s="113"/>
      <c r="N636" s="113"/>
      <c r="O636" s="113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</row>
    <row x14ac:dyDescent="0.25" r="637" customHeight="1" ht="15.75">
      <c r="A637" s="123"/>
      <c r="B637" s="123"/>
      <c r="C637" s="124"/>
      <c r="D637" s="124"/>
      <c r="E637" s="124"/>
      <c r="F637" s="113"/>
      <c r="G637" s="113"/>
      <c r="H637" s="113"/>
      <c r="I637" s="113"/>
      <c r="J637" s="113"/>
      <c r="K637" s="113"/>
      <c r="L637" s="113"/>
      <c r="M637" s="113"/>
      <c r="N637" s="113"/>
      <c r="O637" s="113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</row>
    <row x14ac:dyDescent="0.25" r="638" customHeight="1" ht="15.75">
      <c r="A638" s="123"/>
      <c r="B638" s="123"/>
      <c r="C638" s="124"/>
      <c r="D638" s="124"/>
      <c r="E638" s="124"/>
      <c r="F638" s="113"/>
      <c r="G638" s="113"/>
      <c r="H638" s="113"/>
      <c r="I638" s="113"/>
      <c r="J638" s="113"/>
      <c r="K638" s="113"/>
      <c r="L638" s="113"/>
      <c r="M638" s="113"/>
      <c r="N638" s="113"/>
      <c r="O638" s="113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</row>
    <row x14ac:dyDescent="0.25" r="639" customHeight="1" ht="15.75">
      <c r="A639" s="123"/>
      <c r="B639" s="123"/>
      <c r="C639" s="124"/>
      <c r="D639" s="124"/>
      <c r="E639" s="124"/>
      <c r="F639" s="113"/>
      <c r="G639" s="113"/>
      <c r="H639" s="113"/>
      <c r="I639" s="113"/>
      <c r="J639" s="113"/>
      <c r="K639" s="113"/>
      <c r="L639" s="113"/>
      <c r="M639" s="113"/>
      <c r="N639" s="113"/>
      <c r="O639" s="113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</row>
    <row x14ac:dyDescent="0.25" r="640" customHeight="1" ht="15.75">
      <c r="A640" s="123"/>
      <c r="B640" s="123"/>
      <c r="C640" s="124"/>
      <c r="D640" s="124"/>
      <c r="E640" s="124"/>
      <c r="F640" s="113"/>
      <c r="G640" s="113"/>
      <c r="H640" s="113"/>
      <c r="I640" s="113"/>
      <c r="J640" s="113"/>
      <c r="K640" s="113"/>
      <c r="L640" s="113"/>
      <c r="M640" s="113"/>
      <c r="N640" s="113"/>
      <c r="O640" s="113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</row>
    <row x14ac:dyDescent="0.25" r="641" customHeight="1" ht="15.75">
      <c r="A641" s="123"/>
      <c r="B641" s="123"/>
      <c r="C641" s="124"/>
      <c r="D641" s="124"/>
      <c r="E641" s="124"/>
      <c r="F641" s="113"/>
      <c r="G641" s="113"/>
      <c r="H641" s="113"/>
      <c r="I641" s="113"/>
      <c r="J641" s="113"/>
      <c r="K641" s="113"/>
      <c r="L641" s="113"/>
      <c r="M641" s="113"/>
      <c r="N641" s="113"/>
      <c r="O641" s="113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</row>
    <row x14ac:dyDescent="0.25" r="642" customHeight="1" ht="15.75">
      <c r="A642" s="123"/>
      <c r="B642" s="123"/>
      <c r="C642" s="124"/>
      <c r="D642" s="124"/>
      <c r="E642" s="124"/>
      <c r="F642" s="113"/>
      <c r="G642" s="113"/>
      <c r="H642" s="113"/>
      <c r="I642" s="113"/>
      <c r="J642" s="113"/>
      <c r="K642" s="113"/>
      <c r="L642" s="113"/>
      <c r="M642" s="113"/>
      <c r="N642" s="113"/>
      <c r="O642" s="113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</row>
    <row x14ac:dyDescent="0.25" r="643" customHeight="1" ht="15.75">
      <c r="A643" s="123"/>
      <c r="B643" s="123"/>
      <c r="C643" s="124"/>
      <c r="D643" s="124"/>
      <c r="E643" s="124"/>
      <c r="F643" s="113"/>
      <c r="G643" s="113"/>
      <c r="H643" s="113"/>
      <c r="I643" s="113"/>
      <c r="J643" s="113"/>
      <c r="K643" s="113"/>
      <c r="L643" s="113"/>
      <c r="M643" s="113"/>
      <c r="N643" s="113"/>
      <c r="O643" s="113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</row>
    <row x14ac:dyDescent="0.25" r="644" customHeight="1" ht="15.75">
      <c r="A644" s="123"/>
      <c r="B644" s="123"/>
      <c r="C644" s="124"/>
      <c r="D644" s="124"/>
      <c r="E644" s="124"/>
      <c r="F644" s="113"/>
      <c r="G644" s="113"/>
      <c r="H644" s="113"/>
      <c r="I644" s="113"/>
      <c r="J644" s="113"/>
      <c r="K644" s="113"/>
      <c r="L644" s="113"/>
      <c r="M644" s="113"/>
      <c r="N644" s="113"/>
      <c r="O644" s="113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</row>
    <row x14ac:dyDescent="0.25" r="645" customHeight="1" ht="15.75">
      <c r="A645" s="123"/>
      <c r="B645" s="123"/>
      <c r="C645" s="124"/>
      <c r="D645" s="124"/>
      <c r="E645" s="124"/>
      <c r="F645" s="113"/>
      <c r="G645" s="113"/>
      <c r="H645" s="113"/>
      <c r="I645" s="113"/>
      <c r="J645" s="113"/>
      <c r="K645" s="113"/>
      <c r="L645" s="113"/>
      <c r="M645" s="113"/>
      <c r="N645" s="113"/>
      <c r="O645" s="113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</row>
    <row x14ac:dyDescent="0.25" r="646" customHeight="1" ht="15.75">
      <c r="A646" s="123"/>
      <c r="B646" s="123"/>
      <c r="C646" s="124"/>
      <c r="D646" s="124"/>
      <c r="E646" s="124"/>
      <c r="F646" s="113"/>
      <c r="G646" s="113"/>
      <c r="H646" s="113"/>
      <c r="I646" s="113"/>
      <c r="J646" s="113"/>
      <c r="K646" s="113"/>
      <c r="L646" s="113"/>
      <c r="M646" s="113"/>
      <c r="N646" s="113"/>
      <c r="O646" s="113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</row>
    <row x14ac:dyDescent="0.25" r="647" customHeight="1" ht="15.75">
      <c r="A647" s="123"/>
      <c r="B647" s="123"/>
      <c r="C647" s="124"/>
      <c r="D647" s="124"/>
      <c r="E647" s="124"/>
      <c r="F647" s="113"/>
      <c r="G647" s="113"/>
      <c r="H647" s="113"/>
      <c r="I647" s="113"/>
      <c r="J647" s="113"/>
      <c r="K647" s="113"/>
      <c r="L647" s="113"/>
      <c r="M647" s="113"/>
      <c r="N647" s="113"/>
      <c r="O647" s="113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</row>
    <row x14ac:dyDescent="0.25" r="648" customHeight="1" ht="15.75">
      <c r="A648" s="123"/>
      <c r="B648" s="123"/>
      <c r="C648" s="124"/>
      <c r="D648" s="124"/>
      <c r="E648" s="124"/>
      <c r="F648" s="113"/>
      <c r="G648" s="113"/>
      <c r="H648" s="113"/>
      <c r="I648" s="113"/>
      <c r="J648" s="113"/>
      <c r="K648" s="113"/>
      <c r="L648" s="113"/>
      <c r="M648" s="113"/>
      <c r="N648" s="113"/>
      <c r="O648" s="113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</row>
    <row x14ac:dyDescent="0.25" r="649" customHeight="1" ht="15.75">
      <c r="A649" s="123"/>
      <c r="B649" s="123"/>
      <c r="C649" s="124"/>
      <c r="D649" s="124"/>
      <c r="E649" s="124"/>
      <c r="F649" s="113"/>
      <c r="G649" s="113"/>
      <c r="H649" s="113"/>
      <c r="I649" s="113"/>
      <c r="J649" s="113"/>
      <c r="K649" s="113"/>
      <c r="L649" s="113"/>
      <c r="M649" s="113"/>
      <c r="N649" s="113"/>
      <c r="O649" s="113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</row>
    <row x14ac:dyDescent="0.25" r="650" customHeight="1" ht="15.75">
      <c r="A650" s="123"/>
      <c r="B650" s="123"/>
      <c r="C650" s="124"/>
      <c r="D650" s="124"/>
      <c r="E650" s="124"/>
      <c r="F650" s="113"/>
      <c r="G650" s="113"/>
      <c r="H650" s="113"/>
      <c r="I650" s="113"/>
      <c r="J650" s="113"/>
      <c r="K650" s="113"/>
      <c r="L650" s="113"/>
      <c r="M650" s="113"/>
      <c r="N650" s="113"/>
      <c r="O650" s="113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</row>
    <row x14ac:dyDescent="0.25" r="651" customHeight="1" ht="15.75">
      <c r="A651" s="123"/>
      <c r="B651" s="123"/>
      <c r="C651" s="124"/>
      <c r="D651" s="124"/>
      <c r="E651" s="124"/>
      <c r="F651" s="113"/>
      <c r="G651" s="113"/>
      <c r="H651" s="113"/>
      <c r="I651" s="113"/>
      <c r="J651" s="113"/>
      <c r="K651" s="113"/>
      <c r="L651" s="113"/>
      <c r="M651" s="113"/>
      <c r="N651" s="113"/>
      <c r="O651" s="113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</row>
    <row x14ac:dyDescent="0.25" r="652" customHeight="1" ht="15.75">
      <c r="A652" s="123"/>
      <c r="B652" s="123"/>
      <c r="C652" s="124"/>
      <c r="D652" s="124"/>
      <c r="E652" s="124"/>
      <c r="F652" s="113"/>
      <c r="G652" s="113"/>
      <c r="H652" s="113"/>
      <c r="I652" s="113"/>
      <c r="J652" s="113"/>
      <c r="K652" s="113"/>
      <c r="L652" s="113"/>
      <c r="M652" s="113"/>
      <c r="N652" s="113"/>
      <c r="O652" s="113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</row>
    <row x14ac:dyDescent="0.25" r="653" customHeight="1" ht="15.75">
      <c r="A653" s="123"/>
      <c r="B653" s="123"/>
      <c r="C653" s="124"/>
      <c r="D653" s="124"/>
      <c r="E653" s="124"/>
      <c r="F653" s="113"/>
      <c r="G653" s="113"/>
      <c r="H653" s="113"/>
      <c r="I653" s="113"/>
      <c r="J653" s="113"/>
      <c r="K653" s="113"/>
      <c r="L653" s="113"/>
      <c r="M653" s="113"/>
      <c r="N653" s="113"/>
      <c r="O653" s="113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</row>
    <row x14ac:dyDescent="0.25" r="654" customHeight="1" ht="15.75">
      <c r="A654" s="123"/>
      <c r="B654" s="123"/>
      <c r="C654" s="124"/>
      <c r="D654" s="124"/>
      <c r="E654" s="124"/>
      <c r="F654" s="113"/>
      <c r="G654" s="113"/>
      <c r="H654" s="113"/>
      <c r="I654" s="113"/>
      <c r="J654" s="113"/>
      <c r="K654" s="113"/>
      <c r="L654" s="113"/>
      <c r="M654" s="113"/>
      <c r="N654" s="113"/>
      <c r="O654" s="113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</row>
    <row x14ac:dyDescent="0.25" r="655" customHeight="1" ht="15.75">
      <c r="A655" s="123"/>
      <c r="B655" s="123"/>
      <c r="C655" s="124"/>
      <c r="D655" s="124"/>
      <c r="E655" s="124"/>
      <c r="F655" s="113"/>
      <c r="G655" s="113"/>
      <c r="H655" s="113"/>
      <c r="I655" s="113"/>
      <c r="J655" s="113"/>
      <c r="K655" s="113"/>
      <c r="L655" s="113"/>
      <c r="M655" s="113"/>
      <c r="N655" s="113"/>
      <c r="O655" s="113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</row>
    <row x14ac:dyDescent="0.25" r="656" customHeight="1" ht="15.75">
      <c r="A656" s="123"/>
      <c r="B656" s="123"/>
      <c r="C656" s="124"/>
      <c r="D656" s="124"/>
      <c r="E656" s="124"/>
      <c r="F656" s="113"/>
      <c r="G656" s="113"/>
      <c r="H656" s="113"/>
      <c r="I656" s="113"/>
      <c r="J656" s="113"/>
      <c r="K656" s="113"/>
      <c r="L656" s="113"/>
      <c r="M656" s="113"/>
      <c r="N656" s="113"/>
      <c r="O656" s="113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</row>
    <row x14ac:dyDescent="0.25" r="657" customHeight="1" ht="15.75">
      <c r="A657" s="123"/>
      <c r="B657" s="123"/>
      <c r="C657" s="124"/>
      <c r="D657" s="124"/>
      <c r="E657" s="124"/>
      <c r="F657" s="113"/>
      <c r="G657" s="113"/>
      <c r="H657" s="113"/>
      <c r="I657" s="113"/>
      <c r="J657" s="113"/>
      <c r="K657" s="113"/>
      <c r="L657" s="113"/>
      <c r="M657" s="113"/>
      <c r="N657" s="113"/>
      <c r="O657" s="113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</row>
    <row x14ac:dyDescent="0.25" r="658" customHeight="1" ht="15.75">
      <c r="A658" s="123"/>
      <c r="B658" s="123"/>
      <c r="C658" s="124"/>
      <c r="D658" s="124"/>
      <c r="E658" s="124"/>
      <c r="F658" s="113"/>
      <c r="G658" s="113"/>
      <c r="H658" s="113"/>
      <c r="I658" s="113"/>
      <c r="J658" s="113"/>
      <c r="K658" s="113"/>
      <c r="L658" s="113"/>
      <c r="M658" s="113"/>
      <c r="N658" s="113"/>
      <c r="O658" s="113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</row>
    <row x14ac:dyDescent="0.25" r="659" customHeight="1" ht="15.75">
      <c r="A659" s="123"/>
      <c r="B659" s="123"/>
      <c r="C659" s="124"/>
      <c r="D659" s="124"/>
      <c r="E659" s="124"/>
      <c r="F659" s="113"/>
      <c r="G659" s="113"/>
      <c r="H659" s="113"/>
      <c r="I659" s="113"/>
      <c r="J659" s="113"/>
      <c r="K659" s="113"/>
      <c r="L659" s="113"/>
      <c r="M659" s="113"/>
      <c r="N659" s="113"/>
      <c r="O659" s="113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</row>
    <row x14ac:dyDescent="0.25" r="660" customHeight="1" ht="15.75">
      <c r="A660" s="123"/>
      <c r="B660" s="123"/>
      <c r="C660" s="124"/>
      <c r="D660" s="124"/>
      <c r="E660" s="124"/>
      <c r="F660" s="113"/>
      <c r="G660" s="113"/>
      <c r="H660" s="113"/>
      <c r="I660" s="113"/>
      <c r="J660" s="113"/>
      <c r="K660" s="113"/>
      <c r="L660" s="113"/>
      <c r="M660" s="113"/>
      <c r="N660" s="113"/>
      <c r="O660" s="113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</row>
    <row x14ac:dyDescent="0.25" r="661" customHeight="1" ht="15.75">
      <c r="A661" s="123"/>
      <c r="B661" s="123"/>
      <c r="C661" s="124"/>
      <c r="D661" s="124"/>
      <c r="E661" s="124"/>
      <c r="F661" s="113"/>
      <c r="G661" s="113"/>
      <c r="H661" s="113"/>
      <c r="I661" s="113"/>
      <c r="J661" s="113"/>
      <c r="K661" s="113"/>
      <c r="L661" s="113"/>
      <c r="M661" s="113"/>
      <c r="N661" s="113"/>
      <c r="O661" s="113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</row>
    <row x14ac:dyDescent="0.25" r="662" customHeight="1" ht="15.75">
      <c r="A662" s="123"/>
      <c r="B662" s="123"/>
      <c r="C662" s="124"/>
      <c r="D662" s="124"/>
      <c r="E662" s="124"/>
      <c r="F662" s="113"/>
      <c r="G662" s="113"/>
      <c r="H662" s="113"/>
      <c r="I662" s="113"/>
      <c r="J662" s="113"/>
      <c r="K662" s="113"/>
      <c r="L662" s="113"/>
      <c r="M662" s="113"/>
      <c r="N662" s="113"/>
      <c r="O662" s="113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</row>
    <row x14ac:dyDescent="0.25" r="663" customHeight="1" ht="15.75">
      <c r="A663" s="123"/>
      <c r="B663" s="123"/>
      <c r="C663" s="124"/>
      <c r="D663" s="124"/>
      <c r="E663" s="124"/>
      <c r="F663" s="113"/>
      <c r="G663" s="113"/>
      <c r="H663" s="113"/>
      <c r="I663" s="113"/>
      <c r="J663" s="113"/>
      <c r="K663" s="113"/>
      <c r="L663" s="113"/>
      <c r="M663" s="113"/>
      <c r="N663" s="113"/>
      <c r="O663" s="113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</row>
    <row x14ac:dyDescent="0.25" r="664" customHeight="1" ht="15.75">
      <c r="A664" s="123"/>
      <c r="B664" s="123"/>
      <c r="C664" s="124"/>
      <c r="D664" s="124"/>
      <c r="E664" s="124"/>
      <c r="F664" s="113"/>
      <c r="G664" s="113"/>
      <c r="H664" s="113"/>
      <c r="I664" s="113"/>
      <c r="J664" s="113"/>
      <c r="K664" s="113"/>
      <c r="L664" s="113"/>
      <c r="M664" s="113"/>
      <c r="N664" s="113"/>
      <c r="O664" s="113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</row>
    <row x14ac:dyDescent="0.25" r="665" customHeight="1" ht="15.75">
      <c r="A665" s="123"/>
      <c r="B665" s="123"/>
      <c r="C665" s="124"/>
      <c r="D665" s="124"/>
      <c r="E665" s="124"/>
      <c r="F665" s="113"/>
      <c r="G665" s="113"/>
      <c r="H665" s="113"/>
      <c r="I665" s="113"/>
      <c r="J665" s="113"/>
      <c r="K665" s="113"/>
      <c r="L665" s="113"/>
      <c r="M665" s="113"/>
      <c r="N665" s="113"/>
      <c r="O665" s="113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</row>
    <row x14ac:dyDescent="0.25" r="666" customHeight="1" ht="15.75">
      <c r="A666" s="123"/>
      <c r="B666" s="123"/>
      <c r="C666" s="124"/>
      <c r="D666" s="124"/>
      <c r="E666" s="124"/>
      <c r="F666" s="113"/>
      <c r="G666" s="113"/>
      <c r="H666" s="113"/>
      <c r="I666" s="113"/>
      <c r="J666" s="113"/>
      <c r="K666" s="113"/>
      <c r="L666" s="113"/>
      <c r="M666" s="113"/>
      <c r="N666" s="113"/>
      <c r="O666" s="113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</row>
    <row x14ac:dyDescent="0.25" r="667" customHeight="1" ht="15.75">
      <c r="A667" s="123"/>
      <c r="B667" s="123"/>
      <c r="C667" s="124"/>
      <c r="D667" s="124"/>
      <c r="E667" s="124"/>
      <c r="F667" s="113"/>
      <c r="G667" s="113"/>
      <c r="H667" s="113"/>
      <c r="I667" s="113"/>
      <c r="J667" s="113"/>
      <c r="K667" s="113"/>
      <c r="L667" s="113"/>
      <c r="M667" s="113"/>
      <c r="N667" s="113"/>
      <c r="O667" s="113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</row>
    <row x14ac:dyDescent="0.25" r="668" customHeight="1" ht="15.75">
      <c r="A668" s="123"/>
      <c r="B668" s="123"/>
      <c r="C668" s="124"/>
      <c r="D668" s="124"/>
      <c r="E668" s="124"/>
      <c r="F668" s="113"/>
      <c r="G668" s="113"/>
      <c r="H668" s="113"/>
      <c r="I668" s="113"/>
      <c r="J668" s="113"/>
      <c r="K668" s="113"/>
      <c r="L668" s="113"/>
      <c r="M668" s="113"/>
      <c r="N668" s="113"/>
      <c r="O668" s="113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</row>
    <row x14ac:dyDescent="0.25" r="669" customHeight="1" ht="15.75">
      <c r="A669" s="123"/>
      <c r="B669" s="123"/>
      <c r="C669" s="124"/>
      <c r="D669" s="124"/>
      <c r="E669" s="124"/>
      <c r="F669" s="113"/>
      <c r="G669" s="113"/>
      <c r="H669" s="113"/>
      <c r="I669" s="113"/>
      <c r="J669" s="113"/>
      <c r="K669" s="113"/>
      <c r="L669" s="113"/>
      <c r="M669" s="113"/>
      <c r="N669" s="113"/>
      <c r="O669" s="113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</row>
    <row x14ac:dyDescent="0.25" r="670" customHeight="1" ht="15.75">
      <c r="A670" s="123"/>
      <c r="B670" s="123"/>
      <c r="C670" s="124"/>
      <c r="D670" s="124"/>
      <c r="E670" s="124"/>
      <c r="F670" s="113"/>
      <c r="G670" s="113"/>
      <c r="H670" s="113"/>
      <c r="I670" s="113"/>
      <c r="J670" s="113"/>
      <c r="K670" s="113"/>
      <c r="L670" s="113"/>
      <c r="M670" s="113"/>
      <c r="N670" s="113"/>
      <c r="O670" s="113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</row>
    <row x14ac:dyDescent="0.25" r="671" customHeight="1" ht="15.75">
      <c r="A671" s="123"/>
      <c r="B671" s="123"/>
      <c r="C671" s="124"/>
      <c r="D671" s="124"/>
      <c r="E671" s="124"/>
      <c r="F671" s="113"/>
      <c r="G671" s="113"/>
      <c r="H671" s="113"/>
      <c r="I671" s="113"/>
      <c r="J671" s="113"/>
      <c r="K671" s="113"/>
      <c r="L671" s="113"/>
      <c r="M671" s="113"/>
      <c r="N671" s="113"/>
      <c r="O671" s="113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</row>
    <row x14ac:dyDescent="0.25" r="672" customHeight="1" ht="15.75">
      <c r="A672" s="123"/>
      <c r="B672" s="123"/>
      <c r="C672" s="124"/>
      <c r="D672" s="124"/>
      <c r="E672" s="124"/>
      <c r="F672" s="113"/>
      <c r="G672" s="113"/>
      <c r="H672" s="113"/>
      <c r="I672" s="113"/>
      <c r="J672" s="113"/>
      <c r="K672" s="113"/>
      <c r="L672" s="113"/>
      <c r="M672" s="113"/>
      <c r="N672" s="113"/>
      <c r="O672" s="113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</row>
    <row x14ac:dyDescent="0.25" r="673" customHeight="1" ht="15.75">
      <c r="A673" s="123"/>
      <c r="B673" s="123"/>
      <c r="C673" s="124"/>
      <c r="D673" s="124"/>
      <c r="E673" s="124"/>
      <c r="F673" s="113"/>
      <c r="G673" s="113"/>
      <c r="H673" s="113"/>
      <c r="I673" s="113"/>
      <c r="J673" s="113"/>
      <c r="K673" s="113"/>
      <c r="L673" s="113"/>
      <c r="M673" s="113"/>
      <c r="N673" s="113"/>
      <c r="O673" s="113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</row>
    <row x14ac:dyDescent="0.25" r="674" customHeight="1" ht="15.75">
      <c r="A674" s="123"/>
      <c r="B674" s="123"/>
      <c r="C674" s="124"/>
      <c r="D674" s="124"/>
      <c r="E674" s="124"/>
      <c r="F674" s="113"/>
      <c r="G674" s="113"/>
      <c r="H674" s="113"/>
      <c r="I674" s="113"/>
      <c r="J674" s="113"/>
      <c r="K674" s="113"/>
      <c r="L674" s="113"/>
      <c r="M674" s="113"/>
      <c r="N674" s="113"/>
      <c r="O674" s="113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</row>
    <row x14ac:dyDescent="0.25" r="675" customHeight="1" ht="15.75">
      <c r="A675" s="123"/>
      <c r="B675" s="123"/>
      <c r="C675" s="124"/>
      <c r="D675" s="124"/>
      <c r="E675" s="124"/>
      <c r="F675" s="113"/>
      <c r="G675" s="113"/>
      <c r="H675" s="113"/>
      <c r="I675" s="113"/>
      <c r="J675" s="113"/>
      <c r="K675" s="113"/>
      <c r="L675" s="113"/>
      <c r="M675" s="113"/>
      <c r="N675" s="113"/>
      <c r="O675" s="113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</row>
    <row x14ac:dyDescent="0.25" r="676" customHeight="1" ht="15.75">
      <c r="A676" s="123"/>
      <c r="B676" s="123"/>
      <c r="C676" s="124"/>
      <c r="D676" s="124"/>
      <c r="E676" s="124"/>
      <c r="F676" s="113"/>
      <c r="G676" s="113"/>
      <c r="H676" s="113"/>
      <c r="I676" s="113"/>
      <c r="J676" s="113"/>
      <c r="K676" s="113"/>
      <c r="L676" s="113"/>
      <c r="M676" s="113"/>
      <c r="N676" s="113"/>
      <c r="O676" s="113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</row>
    <row x14ac:dyDescent="0.25" r="677" customHeight="1" ht="15.75">
      <c r="A677" s="123"/>
      <c r="B677" s="123"/>
      <c r="C677" s="124"/>
      <c r="D677" s="124"/>
      <c r="E677" s="124"/>
      <c r="F677" s="113"/>
      <c r="G677" s="113"/>
      <c r="H677" s="113"/>
      <c r="I677" s="113"/>
      <c r="J677" s="113"/>
      <c r="K677" s="113"/>
      <c r="L677" s="113"/>
      <c r="M677" s="113"/>
      <c r="N677" s="113"/>
      <c r="O677" s="113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</row>
    <row x14ac:dyDescent="0.25" r="678" customHeight="1" ht="15.75">
      <c r="A678" s="123"/>
      <c r="B678" s="123"/>
      <c r="C678" s="124"/>
      <c r="D678" s="124"/>
      <c r="E678" s="124"/>
      <c r="F678" s="113"/>
      <c r="G678" s="113"/>
      <c r="H678" s="113"/>
      <c r="I678" s="113"/>
      <c r="J678" s="113"/>
      <c r="K678" s="113"/>
      <c r="L678" s="113"/>
      <c r="M678" s="113"/>
      <c r="N678" s="113"/>
      <c r="O678" s="113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</row>
    <row x14ac:dyDescent="0.25" r="679" customHeight="1" ht="15.75">
      <c r="A679" s="123"/>
      <c r="B679" s="123"/>
      <c r="C679" s="124"/>
      <c r="D679" s="124"/>
      <c r="E679" s="124"/>
      <c r="F679" s="113"/>
      <c r="G679" s="113"/>
      <c r="H679" s="113"/>
      <c r="I679" s="113"/>
      <c r="J679" s="113"/>
      <c r="K679" s="113"/>
      <c r="L679" s="113"/>
      <c r="M679" s="113"/>
      <c r="N679" s="113"/>
      <c r="O679" s="113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</row>
    <row x14ac:dyDescent="0.25" r="680" customHeight="1" ht="15.75">
      <c r="A680" s="123"/>
      <c r="B680" s="123"/>
      <c r="C680" s="124"/>
      <c r="D680" s="124"/>
      <c r="E680" s="124"/>
      <c r="F680" s="113"/>
      <c r="G680" s="113"/>
      <c r="H680" s="113"/>
      <c r="I680" s="113"/>
      <c r="J680" s="113"/>
      <c r="K680" s="113"/>
      <c r="L680" s="113"/>
      <c r="M680" s="113"/>
      <c r="N680" s="113"/>
      <c r="O680" s="113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</row>
    <row x14ac:dyDescent="0.25" r="681" customHeight="1" ht="15.75">
      <c r="A681" s="123"/>
      <c r="B681" s="123"/>
      <c r="C681" s="124"/>
      <c r="D681" s="124"/>
      <c r="E681" s="124"/>
      <c r="F681" s="113"/>
      <c r="G681" s="113"/>
      <c r="H681" s="113"/>
      <c r="I681" s="113"/>
      <c r="J681" s="113"/>
      <c r="K681" s="113"/>
      <c r="L681" s="113"/>
      <c r="M681" s="113"/>
      <c r="N681" s="113"/>
      <c r="O681" s="113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</row>
    <row x14ac:dyDescent="0.25" r="682" customHeight="1" ht="15.75">
      <c r="A682" s="123"/>
      <c r="B682" s="123"/>
      <c r="C682" s="124"/>
      <c r="D682" s="124"/>
      <c r="E682" s="124"/>
      <c r="F682" s="113"/>
      <c r="G682" s="113"/>
      <c r="H682" s="113"/>
      <c r="I682" s="113"/>
      <c r="J682" s="113"/>
      <c r="K682" s="113"/>
      <c r="L682" s="113"/>
      <c r="M682" s="113"/>
      <c r="N682" s="113"/>
      <c r="O682" s="113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</row>
    <row x14ac:dyDescent="0.25" r="683" customHeight="1" ht="15.75">
      <c r="A683" s="123"/>
      <c r="B683" s="123"/>
      <c r="C683" s="124"/>
      <c r="D683" s="124"/>
      <c r="E683" s="124"/>
      <c r="F683" s="113"/>
      <c r="G683" s="113"/>
      <c r="H683" s="113"/>
      <c r="I683" s="113"/>
      <c r="J683" s="113"/>
      <c r="K683" s="113"/>
      <c r="L683" s="113"/>
      <c r="M683" s="113"/>
      <c r="N683" s="113"/>
      <c r="O683" s="113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</row>
    <row x14ac:dyDescent="0.25" r="684" customHeight="1" ht="15.75">
      <c r="A684" s="123"/>
      <c r="B684" s="123"/>
      <c r="C684" s="124"/>
      <c r="D684" s="124"/>
      <c r="E684" s="124"/>
      <c r="F684" s="113"/>
      <c r="G684" s="113"/>
      <c r="H684" s="113"/>
      <c r="I684" s="113"/>
      <c r="J684" s="113"/>
      <c r="K684" s="113"/>
      <c r="L684" s="113"/>
      <c r="M684" s="113"/>
      <c r="N684" s="113"/>
      <c r="O684" s="113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</row>
    <row x14ac:dyDescent="0.25" r="685" customHeight="1" ht="15.75">
      <c r="A685" s="123"/>
      <c r="B685" s="123"/>
      <c r="C685" s="124"/>
      <c r="D685" s="124"/>
      <c r="E685" s="124"/>
      <c r="F685" s="113"/>
      <c r="G685" s="113"/>
      <c r="H685" s="113"/>
      <c r="I685" s="113"/>
      <c r="J685" s="113"/>
      <c r="K685" s="113"/>
      <c r="L685" s="113"/>
      <c r="M685" s="113"/>
      <c r="N685" s="113"/>
      <c r="O685" s="113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</row>
    <row x14ac:dyDescent="0.25" r="686" customHeight="1" ht="15.75">
      <c r="A686" s="123"/>
      <c r="B686" s="123"/>
      <c r="C686" s="124"/>
      <c r="D686" s="124"/>
      <c r="E686" s="124"/>
      <c r="F686" s="113"/>
      <c r="G686" s="113"/>
      <c r="H686" s="113"/>
      <c r="I686" s="113"/>
      <c r="J686" s="113"/>
      <c r="K686" s="113"/>
      <c r="L686" s="113"/>
      <c r="M686" s="113"/>
      <c r="N686" s="113"/>
      <c r="O686" s="113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</row>
    <row x14ac:dyDescent="0.25" r="687" customHeight="1" ht="15.75">
      <c r="A687" s="123"/>
      <c r="B687" s="123"/>
      <c r="C687" s="124"/>
      <c r="D687" s="124"/>
      <c r="E687" s="124"/>
      <c r="F687" s="113"/>
      <c r="G687" s="113"/>
      <c r="H687" s="113"/>
      <c r="I687" s="113"/>
      <c r="J687" s="113"/>
      <c r="K687" s="113"/>
      <c r="L687" s="113"/>
      <c r="M687" s="113"/>
      <c r="N687" s="113"/>
      <c r="O687" s="113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</row>
    <row x14ac:dyDescent="0.25" r="688" customHeight="1" ht="15.75">
      <c r="A688" s="123"/>
      <c r="B688" s="123"/>
      <c r="C688" s="124"/>
      <c r="D688" s="124"/>
      <c r="E688" s="124"/>
      <c r="F688" s="113"/>
      <c r="G688" s="113"/>
      <c r="H688" s="113"/>
      <c r="I688" s="113"/>
      <c r="J688" s="113"/>
      <c r="K688" s="113"/>
      <c r="L688" s="113"/>
      <c r="M688" s="113"/>
      <c r="N688" s="113"/>
      <c r="O688" s="113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</row>
    <row x14ac:dyDescent="0.25" r="689" customHeight="1" ht="15.75">
      <c r="A689" s="123"/>
      <c r="B689" s="123"/>
      <c r="C689" s="124"/>
      <c r="D689" s="124"/>
      <c r="E689" s="124"/>
      <c r="F689" s="113"/>
      <c r="G689" s="113"/>
      <c r="H689" s="113"/>
      <c r="I689" s="113"/>
      <c r="J689" s="113"/>
      <c r="K689" s="113"/>
      <c r="L689" s="113"/>
      <c r="M689" s="113"/>
      <c r="N689" s="113"/>
      <c r="O689" s="113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</row>
    <row x14ac:dyDescent="0.25" r="690" customHeight="1" ht="15.75">
      <c r="A690" s="123"/>
      <c r="B690" s="123"/>
      <c r="C690" s="124"/>
      <c r="D690" s="124"/>
      <c r="E690" s="124"/>
      <c r="F690" s="113"/>
      <c r="G690" s="113"/>
      <c r="H690" s="113"/>
      <c r="I690" s="113"/>
      <c r="J690" s="113"/>
      <c r="K690" s="113"/>
      <c r="L690" s="113"/>
      <c r="M690" s="113"/>
      <c r="N690" s="113"/>
      <c r="O690" s="113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</row>
    <row x14ac:dyDescent="0.25" r="691" customHeight="1" ht="15.75">
      <c r="A691" s="123"/>
      <c r="B691" s="123"/>
      <c r="C691" s="124"/>
      <c r="D691" s="124"/>
      <c r="E691" s="124"/>
      <c r="F691" s="113"/>
      <c r="G691" s="113"/>
      <c r="H691" s="113"/>
      <c r="I691" s="113"/>
      <c r="J691" s="113"/>
      <c r="K691" s="113"/>
      <c r="L691" s="113"/>
      <c r="M691" s="113"/>
      <c r="N691" s="113"/>
      <c r="O691" s="113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</row>
    <row x14ac:dyDescent="0.25" r="692" customHeight="1" ht="15.75">
      <c r="A692" s="123"/>
      <c r="B692" s="123"/>
      <c r="C692" s="124"/>
      <c r="D692" s="124"/>
      <c r="E692" s="124"/>
      <c r="F692" s="113"/>
      <c r="G692" s="113"/>
      <c r="H692" s="113"/>
      <c r="I692" s="113"/>
      <c r="J692" s="113"/>
      <c r="K692" s="113"/>
      <c r="L692" s="113"/>
      <c r="M692" s="113"/>
      <c r="N692" s="113"/>
      <c r="O692" s="113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</row>
    <row x14ac:dyDescent="0.25" r="693" customHeight="1" ht="15.75">
      <c r="A693" s="123"/>
      <c r="B693" s="123"/>
      <c r="C693" s="124"/>
      <c r="D693" s="124"/>
      <c r="E693" s="124"/>
      <c r="F693" s="113"/>
      <c r="G693" s="113"/>
      <c r="H693" s="113"/>
      <c r="I693" s="113"/>
      <c r="J693" s="113"/>
      <c r="K693" s="113"/>
      <c r="L693" s="113"/>
      <c r="M693" s="113"/>
      <c r="N693" s="113"/>
      <c r="O693" s="113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</row>
    <row x14ac:dyDescent="0.25" r="694" customHeight="1" ht="15.75">
      <c r="A694" s="123"/>
      <c r="B694" s="123"/>
      <c r="C694" s="124"/>
      <c r="D694" s="124"/>
      <c r="E694" s="124"/>
      <c r="F694" s="113"/>
      <c r="G694" s="113"/>
      <c r="H694" s="113"/>
      <c r="I694" s="113"/>
      <c r="J694" s="113"/>
      <c r="K694" s="113"/>
      <c r="L694" s="113"/>
      <c r="M694" s="113"/>
      <c r="N694" s="113"/>
      <c r="O694" s="113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</row>
    <row x14ac:dyDescent="0.25" r="695" customHeight="1" ht="15.75">
      <c r="A695" s="123"/>
      <c r="B695" s="123"/>
      <c r="C695" s="124"/>
      <c r="D695" s="124"/>
      <c r="E695" s="124"/>
      <c r="F695" s="113"/>
      <c r="G695" s="113"/>
      <c r="H695" s="113"/>
      <c r="I695" s="113"/>
      <c r="J695" s="113"/>
      <c r="K695" s="113"/>
      <c r="L695" s="113"/>
      <c r="M695" s="113"/>
      <c r="N695" s="113"/>
      <c r="O695" s="113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</row>
    <row x14ac:dyDescent="0.25" r="696" customHeight="1" ht="15.75">
      <c r="A696" s="123"/>
      <c r="B696" s="123"/>
      <c r="C696" s="124"/>
      <c r="D696" s="124"/>
      <c r="E696" s="124"/>
      <c r="F696" s="113"/>
      <c r="G696" s="113"/>
      <c r="H696" s="113"/>
      <c r="I696" s="113"/>
      <c r="J696" s="113"/>
      <c r="K696" s="113"/>
      <c r="L696" s="113"/>
      <c r="M696" s="113"/>
      <c r="N696" s="113"/>
      <c r="O696" s="113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</row>
    <row x14ac:dyDescent="0.25" r="697" customHeight="1" ht="15.75">
      <c r="A697" s="123"/>
      <c r="B697" s="123"/>
      <c r="C697" s="124"/>
      <c r="D697" s="124"/>
      <c r="E697" s="124"/>
      <c r="F697" s="113"/>
      <c r="G697" s="113"/>
      <c r="H697" s="113"/>
      <c r="I697" s="113"/>
      <c r="J697" s="113"/>
      <c r="K697" s="113"/>
      <c r="L697" s="113"/>
      <c r="M697" s="113"/>
      <c r="N697" s="113"/>
      <c r="O697" s="113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</row>
    <row x14ac:dyDescent="0.25" r="698" customHeight="1" ht="15.75">
      <c r="A698" s="123"/>
      <c r="B698" s="123"/>
      <c r="C698" s="124"/>
      <c r="D698" s="124"/>
      <c r="E698" s="124"/>
      <c r="F698" s="113"/>
      <c r="G698" s="113"/>
      <c r="H698" s="113"/>
      <c r="I698" s="113"/>
      <c r="J698" s="113"/>
      <c r="K698" s="113"/>
      <c r="L698" s="113"/>
      <c r="M698" s="113"/>
      <c r="N698" s="113"/>
      <c r="O698" s="113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</row>
    <row x14ac:dyDescent="0.25" r="699" customHeight="1" ht="15.75">
      <c r="A699" s="123"/>
      <c r="B699" s="123"/>
      <c r="C699" s="124"/>
      <c r="D699" s="124"/>
      <c r="E699" s="124"/>
      <c r="F699" s="113"/>
      <c r="G699" s="113"/>
      <c r="H699" s="113"/>
      <c r="I699" s="113"/>
      <c r="J699" s="113"/>
      <c r="K699" s="113"/>
      <c r="L699" s="113"/>
      <c r="M699" s="113"/>
      <c r="N699" s="113"/>
      <c r="O699" s="113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</row>
    <row x14ac:dyDescent="0.25" r="700" customHeight="1" ht="15.75">
      <c r="A700" s="123"/>
      <c r="B700" s="123"/>
      <c r="C700" s="124"/>
      <c r="D700" s="124"/>
      <c r="E700" s="124"/>
      <c r="F700" s="113"/>
      <c r="G700" s="113"/>
      <c r="H700" s="113"/>
      <c r="I700" s="113"/>
      <c r="J700" s="113"/>
      <c r="K700" s="113"/>
      <c r="L700" s="113"/>
      <c r="M700" s="113"/>
      <c r="N700" s="113"/>
      <c r="O700" s="113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</row>
    <row x14ac:dyDescent="0.25" r="701" customHeight="1" ht="15.75">
      <c r="A701" s="123"/>
      <c r="B701" s="123"/>
      <c r="C701" s="124"/>
      <c r="D701" s="124"/>
      <c r="E701" s="124"/>
      <c r="F701" s="113"/>
      <c r="G701" s="113"/>
      <c r="H701" s="113"/>
      <c r="I701" s="113"/>
      <c r="J701" s="113"/>
      <c r="K701" s="113"/>
      <c r="L701" s="113"/>
      <c r="M701" s="113"/>
      <c r="N701" s="113"/>
      <c r="O701" s="113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</row>
    <row x14ac:dyDescent="0.25" r="702" customHeight="1" ht="15.75">
      <c r="A702" s="123"/>
      <c r="B702" s="123"/>
      <c r="C702" s="124"/>
      <c r="D702" s="124"/>
      <c r="E702" s="124"/>
      <c r="F702" s="113"/>
      <c r="G702" s="113"/>
      <c r="H702" s="113"/>
      <c r="I702" s="113"/>
      <c r="J702" s="113"/>
      <c r="K702" s="113"/>
      <c r="L702" s="113"/>
      <c r="M702" s="113"/>
      <c r="N702" s="113"/>
      <c r="O702" s="113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</row>
    <row x14ac:dyDescent="0.25" r="703" customHeight="1" ht="15.75">
      <c r="A703" s="123"/>
      <c r="B703" s="123"/>
      <c r="C703" s="124"/>
      <c r="D703" s="124"/>
      <c r="E703" s="124"/>
      <c r="F703" s="113"/>
      <c r="G703" s="113"/>
      <c r="H703" s="113"/>
      <c r="I703" s="113"/>
      <c r="J703" s="113"/>
      <c r="K703" s="113"/>
      <c r="L703" s="113"/>
      <c r="M703" s="113"/>
      <c r="N703" s="113"/>
      <c r="O703" s="113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</row>
    <row x14ac:dyDescent="0.25" r="704" customHeight="1" ht="15.75">
      <c r="A704" s="123"/>
      <c r="B704" s="123"/>
      <c r="C704" s="124"/>
      <c r="D704" s="124"/>
      <c r="E704" s="124"/>
      <c r="F704" s="113"/>
      <c r="G704" s="113"/>
      <c r="H704" s="113"/>
      <c r="I704" s="113"/>
      <c r="J704" s="113"/>
      <c r="K704" s="113"/>
      <c r="L704" s="113"/>
      <c r="M704" s="113"/>
      <c r="N704" s="113"/>
      <c r="O704" s="113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</row>
    <row x14ac:dyDescent="0.25" r="705" customHeight="1" ht="15.75">
      <c r="A705" s="123"/>
      <c r="B705" s="123"/>
      <c r="C705" s="124"/>
      <c r="D705" s="124"/>
      <c r="E705" s="124"/>
      <c r="F705" s="113"/>
      <c r="G705" s="113"/>
      <c r="H705" s="113"/>
      <c r="I705" s="113"/>
      <c r="J705" s="113"/>
      <c r="K705" s="113"/>
      <c r="L705" s="113"/>
      <c r="M705" s="113"/>
      <c r="N705" s="113"/>
      <c r="O705" s="113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</row>
    <row x14ac:dyDescent="0.25" r="706" customHeight="1" ht="15.75">
      <c r="A706" s="123"/>
      <c r="B706" s="123"/>
      <c r="C706" s="124"/>
      <c r="D706" s="124"/>
      <c r="E706" s="124"/>
      <c r="F706" s="113"/>
      <c r="G706" s="113"/>
      <c r="H706" s="113"/>
      <c r="I706" s="113"/>
      <c r="J706" s="113"/>
      <c r="K706" s="113"/>
      <c r="L706" s="113"/>
      <c r="M706" s="113"/>
      <c r="N706" s="113"/>
      <c r="O706" s="113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</row>
    <row x14ac:dyDescent="0.25" r="707" customHeight="1" ht="15.75">
      <c r="A707" s="123"/>
      <c r="B707" s="123"/>
      <c r="C707" s="124"/>
      <c r="D707" s="124"/>
      <c r="E707" s="124"/>
      <c r="F707" s="113"/>
      <c r="G707" s="113"/>
      <c r="H707" s="113"/>
      <c r="I707" s="113"/>
      <c r="J707" s="113"/>
      <c r="K707" s="113"/>
      <c r="L707" s="113"/>
      <c r="M707" s="113"/>
      <c r="N707" s="113"/>
      <c r="O707" s="113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</row>
    <row x14ac:dyDescent="0.25" r="708" customHeight="1" ht="15.75">
      <c r="A708" s="123"/>
      <c r="B708" s="123"/>
      <c r="C708" s="124"/>
      <c r="D708" s="124"/>
      <c r="E708" s="124"/>
      <c r="F708" s="113"/>
      <c r="G708" s="113"/>
      <c r="H708" s="113"/>
      <c r="I708" s="113"/>
      <c r="J708" s="113"/>
      <c r="K708" s="113"/>
      <c r="L708" s="113"/>
      <c r="M708" s="113"/>
      <c r="N708" s="113"/>
      <c r="O708" s="113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</row>
    <row x14ac:dyDescent="0.25" r="709" customHeight="1" ht="15.75">
      <c r="A709" s="123"/>
      <c r="B709" s="123"/>
      <c r="C709" s="124"/>
      <c r="D709" s="124"/>
      <c r="E709" s="124"/>
      <c r="F709" s="113"/>
      <c r="G709" s="113"/>
      <c r="H709" s="113"/>
      <c r="I709" s="113"/>
      <c r="J709" s="113"/>
      <c r="K709" s="113"/>
      <c r="L709" s="113"/>
      <c r="M709" s="113"/>
      <c r="N709" s="113"/>
      <c r="O709" s="113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</row>
    <row x14ac:dyDescent="0.25" r="710" customHeight="1" ht="15.75">
      <c r="A710" s="123"/>
      <c r="B710" s="123"/>
      <c r="C710" s="124"/>
      <c r="D710" s="124"/>
      <c r="E710" s="124"/>
      <c r="F710" s="113"/>
      <c r="G710" s="113"/>
      <c r="H710" s="113"/>
      <c r="I710" s="113"/>
      <c r="J710" s="113"/>
      <c r="K710" s="113"/>
      <c r="L710" s="113"/>
      <c r="M710" s="113"/>
      <c r="N710" s="113"/>
      <c r="O710" s="113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</row>
    <row x14ac:dyDescent="0.25" r="711" customHeight="1" ht="15.75">
      <c r="A711" s="123"/>
      <c r="B711" s="123"/>
      <c r="C711" s="124"/>
      <c r="D711" s="124"/>
      <c r="E711" s="124"/>
      <c r="F711" s="113"/>
      <c r="G711" s="113"/>
      <c r="H711" s="113"/>
      <c r="I711" s="113"/>
      <c r="J711" s="113"/>
      <c r="K711" s="113"/>
      <c r="L711" s="113"/>
      <c r="M711" s="113"/>
      <c r="N711" s="113"/>
      <c r="O711" s="113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</row>
    <row x14ac:dyDescent="0.25" r="712" customHeight="1" ht="15.75">
      <c r="A712" s="123"/>
      <c r="B712" s="123"/>
      <c r="C712" s="124"/>
      <c r="D712" s="124"/>
      <c r="E712" s="124"/>
      <c r="F712" s="113"/>
      <c r="G712" s="113"/>
      <c r="H712" s="113"/>
      <c r="I712" s="113"/>
      <c r="J712" s="113"/>
      <c r="K712" s="113"/>
      <c r="L712" s="113"/>
      <c r="M712" s="113"/>
      <c r="N712" s="113"/>
      <c r="O712" s="113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</row>
    <row x14ac:dyDescent="0.25" r="713" customHeight="1" ht="15.75">
      <c r="A713" s="123"/>
      <c r="B713" s="123"/>
      <c r="C713" s="124"/>
      <c r="D713" s="124"/>
      <c r="E713" s="124"/>
      <c r="F713" s="113"/>
      <c r="G713" s="113"/>
      <c r="H713" s="113"/>
      <c r="I713" s="113"/>
      <c r="J713" s="113"/>
      <c r="K713" s="113"/>
      <c r="L713" s="113"/>
      <c r="M713" s="113"/>
      <c r="N713" s="113"/>
      <c r="O713" s="113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</row>
    <row x14ac:dyDescent="0.25" r="714" customHeight="1" ht="15.75">
      <c r="A714" s="123"/>
      <c r="B714" s="123"/>
      <c r="C714" s="124"/>
      <c r="D714" s="124"/>
      <c r="E714" s="124"/>
      <c r="F714" s="113"/>
      <c r="G714" s="113"/>
      <c r="H714" s="113"/>
      <c r="I714" s="113"/>
      <c r="J714" s="113"/>
      <c r="K714" s="113"/>
      <c r="L714" s="113"/>
      <c r="M714" s="113"/>
      <c r="N714" s="113"/>
      <c r="O714" s="113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</row>
    <row x14ac:dyDescent="0.25" r="715" customHeight="1" ht="15.75">
      <c r="A715" s="123"/>
      <c r="B715" s="123"/>
      <c r="C715" s="124"/>
      <c r="D715" s="124"/>
      <c r="E715" s="124"/>
      <c r="F715" s="113"/>
      <c r="G715" s="113"/>
      <c r="H715" s="113"/>
      <c r="I715" s="113"/>
      <c r="J715" s="113"/>
      <c r="K715" s="113"/>
      <c r="L715" s="113"/>
      <c r="M715" s="113"/>
      <c r="N715" s="113"/>
      <c r="O715" s="113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</row>
    <row x14ac:dyDescent="0.25" r="716" customHeight="1" ht="15.75">
      <c r="A716" s="123"/>
      <c r="B716" s="123"/>
      <c r="C716" s="124"/>
      <c r="D716" s="124"/>
      <c r="E716" s="124"/>
      <c r="F716" s="113"/>
      <c r="G716" s="113"/>
      <c r="H716" s="113"/>
      <c r="I716" s="113"/>
      <c r="J716" s="113"/>
      <c r="K716" s="113"/>
      <c r="L716" s="113"/>
      <c r="M716" s="113"/>
      <c r="N716" s="113"/>
      <c r="O716" s="113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</row>
    <row x14ac:dyDescent="0.25" r="717" customHeight="1" ht="15.75">
      <c r="A717" s="123"/>
      <c r="B717" s="123"/>
      <c r="C717" s="124"/>
      <c r="D717" s="124"/>
      <c r="E717" s="124"/>
      <c r="F717" s="113"/>
      <c r="G717" s="113"/>
      <c r="H717" s="113"/>
      <c r="I717" s="113"/>
      <c r="J717" s="113"/>
      <c r="K717" s="113"/>
      <c r="L717" s="113"/>
      <c r="M717" s="113"/>
      <c r="N717" s="113"/>
      <c r="O717" s="113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</row>
    <row x14ac:dyDescent="0.25" r="718" customHeight="1" ht="15.75">
      <c r="A718" s="123"/>
      <c r="B718" s="123"/>
      <c r="C718" s="124"/>
      <c r="D718" s="124"/>
      <c r="E718" s="124"/>
      <c r="F718" s="113"/>
      <c r="G718" s="113"/>
      <c r="H718" s="113"/>
      <c r="I718" s="113"/>
      <c r="J718" s="113"/>
      <c r="K718" s="113"/>
      <c r="L718" s="113"/>
      <c r="M718" s="113"/>
      <c r="N718" s="113"/>
      <c r="O718" s="113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</row>
    <row x14ac:dyDescent="0.25" r="719" customHeight="1" ht="15.75">
      <c r="A719" s="123"/>
      <c r="B719" s="123"/>
      <c r="C719" s="124"/>
      <c r="D719" s="124"/>
      <c r="E719" s="124"/>
      <c r="F719" s="113"/>
      <c r="G719" s="113"/>
      <c r="H719" s="113"/>
      <c r="I719" s="113"/>
      <c r="J719" s="113"/>
      <c r="K719" s="113"/>
      <c r="L719" s="113"/>
      <c r="M719" s="113"/>
      <c r="N719" s="113"/>
      <c r="O719" s="113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</row>
    <row x14ac:dyDescent="0.25" r="720" customHeight="1" ht="15.75">
      <c r="A720" s="123"/>
      <c r="B720" s="123"/>
      <c r="C720" s="124"/>
      <c r="D720" s="124"/>
      <c r="E720" s="124"/>
      <c r="F720" s="113"/>
      <c r="G720" s="113"/>
      <c r="H720" s="113"/>
      <c r="I720" s="113"/>
      <c r="J720" s="113"/>
      <c r="K720" s="113"/>
      <c r="L720" s="113"/>
      <c r="M720" s="113"/>
      <c r="N720" s="113"/>
      <c r="O720" s="113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</row>
    <row x14ac:dyDescent="0.25" r="721" customHeight="1" ht="15.75">
      <c r="A721" s="123"/>
      <c r="B721" s="123"/>
      <c r="C721" s="124"/>
      <c r="D721" s="124"/>
      <c r="E721" s="124"/>
      <c r="F721" s="113"/>
      <c r="G721" s="113"/>
      <c r="H721" s="113"/>
      <c r="I721" s="113"/>
      <c r="J721" s="113"/>
      <c r="K721" s="113"/>
      <c r="L721" s="113"/>
      <c r="M721" s="113"/>
      <c r="N721" s="113"/>
      <c r="O721" s="113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</row>
    <row x14ac:dyDescent="0.25" r="722" customHeight="1" ht="15.75">
      <c r="A722" s="123"/>
      <c r="B722" s="123"/>
      <c r="C722" s="124"/>
      <c r="D722" s="124"/>
      <c r="E722" s="124"/>
      <c r="F722" s="113"/>
      <c r="G722" s="113"/>
      <c r="H722" s="113"/>
      <c r="I722" s="113"/>
      <c r="J722" s="113"/>
      <c r="K722" s="113"/>
      <c r="L722" s="113"/>
      <c r="M722" s="113"/>
      <c r="N722" s="113"/>
      <c r="O722" s="113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</row>
    <row x14ac:dyDescent="0.25" r="723" customHeight="1" ht="15.75">
      <c r="A723" s="123"/>
      <c r="B723" s="123"/>
      <c r="C723" s="124"/>
      <c r="D723" s="124"/>
      <c r="E723" s="124"/>
      <c r="F723" s="113"/>
      <c r="G723" s="113"/>
      <c r="H723" s="113"/>
      <c r="I723" s="113"/>
      <c r="J723" s="113"/>
      <c r="K723" s="113"/>
      <c r="L723" s="113"/>
      <c r="M723" s="113"/>
      <c r="N723" s="113"/>
      <c r="O723" s="113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</row>
    <row x14ac:dyDescent="0.25" r="724" customHeight="1" ht="15.75">
      <c r="A724" s="123"/>
      <c r="B724" s="123"/>
      <c r="C724" s="124"/>
      <c r="D724" s="124"/>
      <c r="E724" s="124"/>
      <c r="F724" s="113"/>
      <c r="G724" s="113"/>
      <c r="H724" s="113"/>
      <c r="I724" s="113"/>
      <c r="J724" s="113"/>
      <c r="K724" s="113"/>
      <c r="L724" s="113"/>
      <c r="M724" s="113"/>
      <c r="N724" s="113"/>
      <c r="O724" s="113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</row>
    <row x14ac:dyDescent="0.25" r="725" customHeight="1" ht="15.75">
      <c r="A725" s="123"/>
      <c r="B725" s="123"/>
      <c r="C725" s="124"/>
      <c r="D725" s="124"/>
      <c r="E725" s="124"/>
      <c r="F725" s="113"/>
      <c r="G725" s="113"/>
      <c r="H725" s="113"/>
      <c r="I725" s="113"/>
      <c r="J725" s="113"/>
      <c r="K725" s="113"/>
      <c r="L725" s="113"/>
      <c r="M725" s="113"/>
      <c r="N725" s="113"/>
      <c r="O725" s="113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</row>
    <row x14ac:dyDescent="0.25" r="726" customHeight="1" ht="15.75">
      <c r="A726" s="123"/>
      <c r="B726" s="123"/>
      <c r="C726" s="124"/>
      <c r="D726" s="124"/>
      <c r="E726" s="124"/>
      <c r="F726" s="113"/>
      <c r="G726" s="113"/>
      <c r="H726" s="113"/>
      <c r="I726" s="113"/>
      <c r="J726" s="113"/>
      <c r="K726" s="113"/>
      <c r="L726" s="113"/>
      <c r="M726" s="113"/>
      <c r="N726" s="113"/>
      <c r="O726" s="113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</row>
    <row x14ac:dyDescent="0.25" r="727" customHeight="1" ht="15.75">
      <c r="A727" s="123"/>
      <c r="B727" s="123"/>
      <c r="C727" s="124"/>
      <c r="D727" s="124"/>
      <c r="E727" s="124"/>
      <c r="F727" s="113"/>
      <c r="G727" s="113"/>
      <c r="H727" s="113"/>
      <c r="I727" s="113"/>
      <c r="J727" s="113"/>
      <c r="K727" s="113"/>
      <c r="L727" s="113"/>
      <c r="M727" s="113"/>
      <c r="N727" s="113"/>
      <c r="O727" s="113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</row>
    <row x14ac:dyDescent="0.25" r="728" customHeight="1" ht="15.75">
      <c r="A728" s="123"/>
      <c r="B728" s="123"/>
      <c r="C728" s="124"/>
      <c r="D728" s="124"/>
      <c r="E728" s="124"/>
      <c r="F728" s="113"/>
      <c r="G728" s="113"/>
      <c r="H728" s="113"/>
      <c r="I728" s="113"/>
      <c r="J728" s="113"/>
      <c r="K728" s="113"/>
      <c r="L728" s="113"/>
      <c r="M728" s="113"/>
      <c r="N728" s="113"/>
      <c r="O728" s="113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</row>
    <row x14ac:dyDescent="0.25" r="729" customHeight="1" ht="15.75">
      <c r="A729" s="123"/>
      <c r="B729" s="123"/>
      <c r="C729" s="124"/>
      <c r="D729" s="124"/>
      <c r="E729" s="124"/>
      <c r="F729" s="113"/>
      <c r="G729" s="113"/>
      <c r="H729" s="113"/>
      <c r="I729" s="113"/>
      <c r="J729" s="113"/>
      <c r="K729" s="113"/>
      <c r="L729" s="113"/>
      <c r="M729" s="113"/>
      <c r="N729" s="113"/>
      <c r="O729" s="113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</row>
    <row x14ac:dyDescent="0.25" r="730" customHeight="1" ht="15.75">
      <c r="A730" s="123"/>
      <c r="B730" s="123"/>
      <c r="C730" s="124"/>
      <c r="D730" s="124"/>
      <c r="E730" s="124"/>
      <c r="F730" s="113"/>
      <c r="G730" s="113"/>
      <c r="H730" s="113"/>
      <c r="I730" s="113"/>
      <c r="J730" s="113"/>
      <c r="K730" s="113"/>
      <c r="L730" s="113"/>
      <c r="M730" s="113"/>
      <c r="N730" s="113"/>
      <c r="O730" s="113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</row>
    <row x14ac:dyDescent="0.25" r="731" customHeight="1" ht="15.75">
      <c r="A731" s="123"/>
      <c r="B731" s="123"/>
      <c r="C731" s="124"/>
      <c r="D731" s="124"/>
      <c r="E731" s="124"/>
      <c r="F731" s="113"/>
      <c r="G731" s="113"/>
      <c r="H731" s="113"/>
      <c r="I731" s="113"/>
      <c r="J731" s="113"/>
      <c r="K731" s="113"/>
      <c r="L731" s="113"/>
      <c r="M731" s="113"/>
      <c r="N731" s="113"/>
      <c r="O731" s="113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</row>
    <row x14ac:dyDescent="0.25" r="732" customHeight="1" ht="15.75">
      <c r="A732" s="123"/>
      <c r="B732" s="123"/>
      <c r="C732" s="124"/>
      <c r="D732" s="124"/>
      <c r="E732" s="124"/>
      <c r="F732" s="113"/>
      <c r="G732" s="113"/>
      <c r="H732" s="113"/>
      <c r="I732" s="113"/>
      <c r="J732" s="113"/>
      <c r="K732" s="113"/>
      <c r="L732" s="113"/>
      <c r="M732" s="113"/>
      <c r="N732" s="113"/>
      <c r="O732" s="113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</row>
    <row x14ac:dyDescent="0.25" r="733" customHeight="1" ht="15.75">
      <c r="A733" s="123"/>
      <c r="B733" s="123"/>
      <c r="C733" s="124"/>
      <c r="D733" s="124"/>
      <c r="E733" s="124"/>
      <c r="F733" s="113"/>
      <c r="G733" s="113"/>
      <c r="H733" s="113"/>
      <c r="I733" s="113"/>
      <c r="J733" s="113"/>
      <c r="K733" s="113"/>
      <c r="L733" s="113"/>
      <c r="M733" s="113"/>
      <c r="N733" s="113"/>
      <c r="O733" s="113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</row>
    <row x14ac:dyDescent="0.25" r="734" customHeight="1" ht="15.75">
      <c r="A734" s="123"/>
      <c r="B734" s="123"/>
      <c r="C734" s="124"/>
      <c r="D734" s="124"/>
      <c r="E734" s="124"/>
      <c r="F734" s="113"/>
      <c r="G734" s="113"/>
      <c r="H734" s="113"/>
      <c r="I734" s="113"/>
      <c r="J734" s="113"/>
      <c r="K734" s="113"/>
      <c r="L734" s="113"/>
      <c r="M734" s="113"/>
      <c r="N734" s="113"/>
      <c r="O734" s="113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</row>
    <row x14ac:dyDescent="0.25" r="735" customHeight="1" ht="15.75">
      <c r="A735" s="123"/>
      <c r="B735" s="123"/>
      <c r="C735" s="124"/>
      <c r="D735" s="124"/>
      <c r="E735" s="124"/>
      <c r="F735" s="113"/>
      <c r="G735" s="113"/>
      <c r="H735" s="113"/>
      <c r="I735" s="113"/>
      <c r="J735" s="113"/>
      <c r="K735" s="113"/>
      <c r="L735" s="113"/>
      <c r="M735" s="113"/>
      <c r="N735" s="113"/>
      <c r="O735" s="113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</row>
    <row x14ac:dyDescent="0.25" r="736" customHeight="1" ht="15.75">
      <c r="A736" s="123"/>
      <c r="B736" s="123"/>
      <c r="C736" s="124"/>
      <c r="D736" s="124"/>
      <c r="E736" s="124"/>
      <c r="F736" s="113"/>
      <c r="G736" s="113"/>
      <c r="H736" s="113"/>
      <c r="I736" s="113"/>
      <c r="J736" s="113"/>
      <c r="K736" s="113"/>
      <c r="L736" s="113"/>
      <c r="M736" s="113"/>
      <c r="N736" s="113"/>
      <c r="O736" s="113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</row>
    <row x14ac:dyDescent="0.25" r="737" customHeight="1" ht="15.75">
      <c r="A737" s="123"/>
      <c r="B737" s="123"/>
      <c r="C737" s="124"/>
      <c r="D737" s="124"/>
      <c r="E737" s="124"/>
      <c r="F737" s="113"/>
      <c r="G737" s="113"/>
      <c r="H737" s="113"/>
      <c r="I737" s="113"/>
      <c r="J737" s="113"/>
      <c r="K737" s="113"/>
      <c r="L737" s="113"/>
      <c r="M737" s="113"/>
      <c r="N737" s="113"/>
      <c r="O737" s="113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</row>
    <row x14ac:dyDescent="0.25" r="738" customHeight="1" ht="15.75">
      <c r="A738" s="123"/>
      <c r="B738" s="123"/>
      <c r="C738" s="124"/>
      <c r="D738" s="124"/>
      <c r="E738" s="124"/>
      <c r="F738" s="113"/>
      <c r="G738" s="113"/>
      <c r="H738" s="113"/>
      <c r="I738" s="113"/>
      <c r="J738" s="113"/>
      <c r="K738" s="113"/>
      <c r="L738" s="113"/>
      <c r="M738" s="113"/>
      <c r="N738" s="113"/>
      <c r="O738" s="113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</row>
    <row x14ac:dyDescent="0.25" r="739" customHeight="1" ht="15.75">
      <c r="A739" s="123"/>
      <c r="B739" s="123"/>
      <c r="C739" s="124"/>
      <c r="D739" s="124"/>
      <c r="E739" s="124"/>
      <c r="F739" s="113"/>
      <c r="G739" s="113"/>
      <c r="H739" s="113"/>
      <c r="I739" s="113"/>
      <c r="J739" s="113"/>
      <c r="K739" s="113"/>
      <c r="L739" s="113"/>
      <c r="M739" s="113"/>
      <c r="N739" s="113"/>
      <c r="O739" s="113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</row>
    <row x14ac:dyDescent="0.25" r="740" customHeight="1" ht="15.75">
      <c r="A740" s="123"/>
      <c r="B740" s="123"/>
      <c r="C740" s="124"/>
      <c r="D740" s="124"/>
      <c r="E740" s="124"/>
      <c r="F740" s="113"/>
      <c r="G740" s="113"/>
      <c r="H740" s="113"/>
      <c r="I740" s="113"/>
      <c r="J740" s="113"/>
      <c r="K740" s="113"/>
      <c r="L740" s="113"/>
      <c r="M740" s="113"/>
      <c r="N740" s="113"/>
      <c r="O740" s="113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</row>
    <row x14ac:dyDescent="0.25" r="741" customHeight="1" ht="15.75">
      <c r="A741" s="123"/>
      <c r="B741" s="123"/>
      <c r="C741" s="124"/>
      <c r="D741" s="124"/>
      <c r="E741" s="124"/>
      <c r="F741" s="113"/>
      <c r="G741" s="113"/>
      <c r="H741" s="113"/>
      <c r="I741" s="113"/>
      <c r="J741" s="113"/>
      <c r="K741" s="113"/>
      <c r="L741" s="113"/>
      <c r="M741" s="113"/>
      <c r="N741" s="113"/>
      <c r="O741" s="113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</row>
    <row x14ac:dyDescent="0.25" r="742" customHeight="1" ht="15.75">
      <c r="A742" s="123"/>
      <c r="B742" s="123"/>
      <c r="C742" s="124"/>
      <c r="D742" s="124"/>
      <c r="E742" s="124"/>
      <c r="F742" s="113"/>
      <c r="G742" s="113"/>
      <c r="H742" s="113"/>
      <c r="I742" s="113"/>
      <c r="J742" s="113"/>
      <c r="K742" s="113"/>
      <c r="L742" s="113"/>
      <c r="M742" s="113"/>
      <c r="N742" s="113"/>
      <c r="O742" s="113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</row>
    <row x14ac:dyDescent="0.25" r="743" customHeight="1" ht="15.75">
      <c r="A743" s="123"/>
      <c r="B743" s="123"/>
      <c r="C743" s="124"/>
      <c r="D743" s="124"/>
      <c r="E743" s="124"/>
      <c r="F743" s="113"/>
      <c r="G743" s="113"/>
      <c r="H743" s="113"/>
      <c r="I743" s="113"/>
      <c r="J743" s="113"/>
      <c r="K743" s="113"/>
      <c r="L743" s="113"/>
      <c r="M743" s="113"/>
      <c r="N743" s="113"/>
      <c r="O743" s="113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</row>
    <row x14ac:dyDescent="0.25" r="744" customHeight="1" ht="15.75">
      <c r="A744" s="123"/>
      <c r="B744" s="123"/>
      <c r="C744" s="124"/>
      <c r="D744" s="124"/>
      <c r="E744" s="124"/>
      <c r="F744" s="113"/>
      <c r="G744" s="113"/>
      <c r="H744" s="113"/>
      <c r="I744" s="113"/>
      <c r="J744" s="113"/>
      <c r="K744" s="113"/>
      <c r="L744" s="113"/>
      <c r="M744" s="113"/>
      <c r="N744" s="113"/>
      <c r="O744" s="113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</row>
    <row x14ac:dyDescent="0.25" r="745" customHeight="1" ht="15.75">
      <c r="A745" s="123"/>
      <c r="B745" s="123"/>
      <c r="C745" s="124"/>
      <c r="D745" s="124"/>
      <c r="E745" s="124"/>
      <c r="F745" s="113"/>
      <c r="G745" s="113"/>
      <c r="H745" s="113"/>
      <c r="I745" s="113"/>
      <c r="J745" s="113"/>
      <c r="K745" s="113"/>
      <c r="L745" s="113"/>
      <c r="M745" s="113"/>
      <c r="N745" s="113"/>
      <c r="O745" s="113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</row>
    <row x14ac:dyDescent="0.25" r="746" customHeight="1" ht="15.75">
      <c r="A746" s="123"/>
      <c r="B746" s="123"/>
      <c r="C746" s="124"/>
      <c r="D746" s="124"/>
      <c r="E746" s="124"/>
      <c r="F746" s="113"/>
      <c r="G746" s="113"/>
      <c r="H746" s="113"/>
      <c r="I746" s="113"/>
      <c r="J746" s="113"/>
      <c r="K746" s="113"/>
      <c r="L746" s="113"/>
      <c r="M746" s="113"/>
      <c r="N746" s="113"/>
      <c r="O746" s="113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</row>
    <row x14ac:dyDescent="0.25" r="747" customHeight="1" ht="15.75">
      <c r="A747" s="123"/>
      <c r="B747" s="123"/>
      <c r="C747" s="124"/>
      <c r="D747" s="124"/>
      <c r="E747" s="124"/>
      <c r="F747" s="113"/>
      <c r="G747" s="113"/>
      <c r="H747" s="113"/>
      <c r="I747" s="113"/>
      <c r="J747" s="113"/>
      <c r="K747" s="113"/>
      <c r="L747" s="113"/>
      <c r="M747" s="113"/>
      <c r="N747" s="113"/>
      <c r="O747" s="113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</row>
    <row x14ac:dyDescent="0.25" r="748" customHeight="1" ht="15.75">
      <c r="A748" s="123"/>
      <c r="B748" s="123"/>
      <c r="C748" s="124"/>
      <c r="D748" s="124"/>
      <c r="E748" s="124"/>
      <c r="F748" s="113"/>
      <c r="G748" s="113"/>
      <c r="H748" s="113"/>
      <c r="I748" s="113"/>
      <c r="J748" s="113"/>
      <c r="K748" s="113"/>
      <c r="L748" s="113"/>
      <c r="M748" s="113"/>
      <c r="N748" s="113"/>
      <c r="O748" s="113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</row>
    <row x14ac:dyDescent="0.25" r="749" customHeight="1" ht="15.75">
      <c r="A749" s="123"/>
      <c r="B749" s="123"/>
      <c r="C749" s="124"/>
      <c r="D749" s="124"/>
      <c r="E749" s="124"/>
      <c r="F749" s="113"/>
      <c r="G749" s="113"/>
      <c r="H749" s="113"/>
      <c r="I749" s="113"/>
      <c r="J749" s="113"/>
      <c r="K749" s="113"/>
      <c r="L749" s="113"/>
      <c r="M749" s="113"/>
      <c r="N749" s="113"/>
      <c r="O749" s="113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</row>
    <row x14ac:dyDescent="0.25" r="750" customHeight="1" ht="15.75">
      <c r="A750" s="123"/>
      <c r="B750" s="123"/>
      <c r="C750" s="124"/>
      <c r="D750" s="124"/>
      <c r="E750" s="124"/>
      <c r="F750" s="113"/>
      <c r="G750" s="113"/>
      <c r="H750" s="113"/>
      <c r="I750" s="113"/>
      <c r="J750" s="113"/>
      <c r="K750" s="113"/>
      <c r="L750" s="113"/>
      <c r="M750" s="113"/>
      <c r="N750" s="113"/>
      <c r="O750" s="113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</row>
    <row x14ac:dyDescent="0.25" r="751" customHeight="1" ht="15.75">
      <c r="A751" s="123"/>
      <c r="B751" s="123"/>
      <c r="C751" s="124"/>
      <c r="D751" s="124"/>
      <c r="E751" s="124"/>
      <c r="F751" s="113"/>
      <c r="G751" s="113"/>
      <c r="H751" s="113"/>
      <c r="I751" s="113"/>
      <c r="J751" s="113"/>
      <c r="K751" s="113"/>
      <c r="L751" s="113"/>
      <c r="M751" s="113"/>
      <c r="N751" s="113"/>
      <c r="O751" s="113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</row>
    <row x14ac:dyDescent="0.25" r="752" customHeight="1" ht="15.75">
      <c r="A752" s="123"/>
      <c r="B752" s="123"/>
      <c r="C752" s="124"/>
      <c r="D752" s="124"/>
      <c r="E752" s="124"/>
      <c r="F752" s="113"/>
      <c r="G752" s="113"/>
      <c r="H752" s="113"/>
      <c r="I752" s="113"/>
      <c r="J752" s="113"/>
      <c r="K752" s="113"/>
      <c r="L752" s="113"/>
      <c r="M752" s="113"/>
      <c r="N752" s="113"/>
      <c r="O752" s="113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</row>
    <row x14ac:dyDescent="0.25" r="753" customHeight="1" ht="15.75">
      <c r="A753" s="123"/>
      <c r="B753" s="123"/>
      <c r="C753" s="124"/>
      <c r="D753" s="124"/>
      <c r="E753" s="124"/>
      <c r="F753" s="113"/>
      <c r="G753" s="113"/>
      <c r="H753" s="113"/>
      <c r="I753" s="113"/>
      <c r="J753" s="113"/>
      <c r="K753" s="113"/>
      <c r="L753" s="113"/>
      <c r="M753" s="113"/>
      <c r="N753" s="113"/>
      <c r="O753" s="113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</row>
    <row x14ac:dyDescent="0.25" r="754" customHeight="1" ht="15.75">
      <c r="A754" s="123"/>
      <c r="B754" s="123"/>
      <c r="C754" s="124"/>
      <c r="D754" s="124"/>
      <c r="E754" s="124"/>
      <c r="F754" s="113"/>
      <c r="G754" s="113"/>
      <c r="H754" s="113"/>
      <c r="I754" s="113"/>
      <c r="J754" s="113"/>
      <c r="K754" s="113"/>
      <c r="L754" s="113"/>
      <c r="M754" s="113"/>
      <c r="N754" s="113"/>
      <c r="O754" s="113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</row>
    <row x14ac:dyDescent="0.25" r="755" customHeight="1" ht="15.75">
      <c r="A755" s="123"/>
      <c r="B755" s="123"/>
      <c r="C755" s="124"/>
      <c r="D755" s="124"/>
      <c r="E755" s="124"/>
      <c r="F755" s="113"/>
      <c r="G755" s="113"/>
      <c r="H755" s="113"/>
      <c r="I755" s="113"/>
      <c r="J755" s="113"/>
      <c r="K755" s="113"/>
      <c r="L755" s="113"/>
      <c r="M755" s="113"/>
      <c r="N755" s="113"/>
      <c r="O755" s="113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</row>
    <row x14ac:dyDescent="0.25" r="756" customHeight="1" ht="15.75">
      <c r="A756" s="123"/>
      <c r="B756" s="123"/>
      <c r="C756" s="124"/>
      <c r="D756" s="124"/>
      <c r="E756" s="124"/>
      <c r="F756" s="113"/>
      <c r="G756" s="113"/>
      <c r="H756" s="113"/>
      <c r="I756" s="113"/>
      <c r="J756" s="113"/>
      <c r="K756" s="113"/>
      <c r="L756" s="113"/>
      <c r="M756" s="113"/>
      <c r="N756" s="113"/>
      <c r="O756" s="113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</row>
    <row x14ac:dyDescent="0.25" r="757" customHeight="1" ht="15.75">
      <c r="A757" s="123"/>
      <c r="B757" s="123"/>
      <c r="C757" s="124"/>
      <c r="D757" s="124"/>
      <c r="E757" s="124"/>
      <c r="F757" s="113"/>
      <c r="G757" s="113"/>
      <c r="H757" s="113"/>
      <c r="I757" s="113"/>
      <c r="J757" s="113"/>
      <c r="K757" s="113"/>
      <c r="L757" s="113"/>
      <c r="M757" s="113"/>
      <c r="N757" s="113"/>
      <c r="O757" s="113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</row>
    <row x14ac:dyDescent="0.25" r="758" customHeight="1" ht="15.75">
      <c r="A758" s="123"/>
      <c r="B758" s="123"/>
      <c r="C758" s="124"/>
      <c r="D758" s="124"/>
      <c r="E758" s="124"/>
      <c r="F758" s="113"/>
      <c r="G758" s="113"/>
      <c r="H758" s="113"/>
      <c r="I758" s="113"/>
      <c r="J758" s="113"/>
      <c r="K758" s="113"/>
      <c r="L758" s="113"/>
      <c r="M758" s="113"/>
      <c r="N758" s="113"/>
      <c r="O758" s="113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</row>
    <row x14ac:dyDescent="0.25" r="759" customHeight="1" ht="15.75">
      <c r="A759" s="123"/>
      <c r="B759" s="123"/>
      <c r="C759" s="124"/>
      <c r="D759" s="124"/>
      <c r="E759" s="124"/>
      <c r="F759" s="113"/>
      <c r="G759" s="113"/>
      <c r="H759" s="113"/>
      <c r="I759" s="113"/>
      <c r="J759" s="113"/>
      <c r="K759" s="113"/>
      <c r="L759" s="113"/>
      <c r="M759" s="113"/>
      <c r="N759" s="113"/>
      <c r="O759" s="113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</row>
    <row x14ac:dyDescent="0.25" r="760" customHeight="1" ht="15.75">
      <c r="A760" s="123"/>
      <c r="B760" s="123"/>
      <c r="C760" s="124"/>
      <c r="D760" s="124"/>
      <c r="E760" s="124"/>
      <c r="F760" s="113"/>
      <c r="G760" s="113"/>
      <c r="H760" s="113"/>
      <c r="I760" s="113"/>
      <c r="J760" s="113"/>
      <c r="K760" s="113"/>
      <c r="L760" s="113"/>
      <c r="M760" s="113"/>
      <c r="N760" s="113"/>
      <c r="O760" s="113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</row>
    <row x14ac:dyDescent="0.25" r="761" customHeight="1" ht="15.75">
      <c r="A761" s="123"/>
      <c r="B761" s="123"/>
      <c r="C761" s="124"/>
      <c r="D761" s="124"/>
      <c r="E761" s="124"/>
      <c r="F761" s="113"/>
      <c r="G761" s="113"/>
      <c r="H761" s="113"/>
      <c r="I761" s="113"/>
      <c r="J761" s="113"/>
      <c r="K761" s="113"/>
      <c r="L761" s="113"/>
      <c r="M761" s="113"/>
      <c r="N761" s="113"/>
      <c r="O761" s="113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</row>
    <row x14ac:dyDescent="0.25" r="762" customHeight="1" ht="15.75">
      <c r="A762" s="123"/>
      <c r="B762" s="123"/>
      <c r="C762" s="124"/>
      <c r="D762" s="124"/>
      <c r="E762" s="124"/>
      <c r="F762" s="113"/>
      <c r="G762" s="113"/>
      <c r="H762" s="113"/>
      <c r="I762" s="113"/>
      <c r="J762" s="113"/>
      <c r="K762" s="113"/>
      <c r="L762" s="113"/>
      <c r="M762" s="113"/>
      <c r="N762" s="113"/>
      <c r="O762" s="113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</row>
    <row x14ac:dyDescent="0.25" r="763" customHeight="1" ht="15.75">
      <c r="A763" s="123"/>
      <c r="B763" s="123"/>
      <c r="C763" s="124"/>
      <c r="D763" s="124"/>
      <c r="E763" s="124"/>
      <c r="F763" s="113"/>
      <c r="G763" s="113"/>
      <c r="H763" s="113"/>
      <c r="I763" s="113"/>
      <c r="J763" s="113"/>
      <c r="K763" s="113"/>
      <c r="L763" s="113"/>
      <c r="M763" s="113"/>
      <c r="N763" s="113"/>
      <c r="O763" s="113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</row>
    <row x14ac:dyDescent="0.25" r="764" customHeight="1" ht="15.75">
      <c r="A764" s="123"/>
      <c r="B764" s="123"/>
      <c r="C764" s="124"/>
      <c r="D764" s="124"/>
      <c r="E764" s="124"/>
      <c r="F764" s="113"/>
      <c r="G764" s="113"/>
      <c r="H764" s="113"/>
      <c r="I764" s="113"/>
      <c r="J764" s="113"/>
      <c r="K764" s="113"/>
      <c r="L764" s="113"/>
      <c r="M764" s="113"/>
      <c r="N764" s="113"/>
      <c r="O764" s="113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</row>
    <row x14ac:dyDescent="0.25" r="765" customHeight="1" ht="15.75">
      <c r="A765" s="123"/>
      <c r="B765" s="123"/>
      <c r="C765" s="124"/>
      <c r="D765" s="124"/>
      <c r="E765" s="124"/>
      <c r="F765" s="113"/>
      <c r="G765" s="113"/>
      <c r="H765" s="113"/>
      <c r="I765" s="113"/>
      <c r="J765" s="113"/>
      <c r="K765" s="113"/>
      <c r="L765" s="113"/>
      <c r="M765" s="113"/>
      <c r="N765" s="113"/>
      <c r="O765" s="113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</row>
    <row x14ac:dyDescent="0.25" r="766" customHeight="1" ht="15.75">
      <c r="A766" s="123"/>
      <c r="B766" s="123"/>
      <c r="C766" s="124"/>
      <c r="D766" s="124"/>
      <c r="E766" s="124"/>
      <c r="F766" s="113"/>
      <c r="G766" s="113"/>
      <c r="H766" s="113"/>
      <c r="I766" s="113"/>
      <c r="J766" s="113"/>
      <c r="K766" s="113"/>
      <c r="L766" s="113"/>
      <c r="M766" s="113"/>
      <c r="N766" s="113"/>
      <c r="O766" s="113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</row>
    <row x14ac:dyDescent="0.25" r="767" customHeight="1" ht="15.75">
      <c r="A767" s="123"/>
      <c r="B767" s="123"/>
      <c r="C767" s="124"/>
      <c r="D767" s="124"/>
      <c r="E767" s="124"/>
      <c r="F767" s="113"/>
      <c r="G767" s="113"/>
      <c r="H767" s="113"/>
      <c r="I767" s="113"/>
      <c r="J767" s="113"/>
      <c r="K767" s="113"/>
      <c r="L767" s="113"/>
      <c r="M767" s="113"/>
      <c r="N767" s="113"/>
      <c r="O767" s="113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</row>
    <row x14ac:dyDescent="0.25" r="768" customHeight="1" ht="15.75">
      <c r="A768" s="123"/>
      <c r="B768" s="123"/>
      <c r="C768" s="124"/>
      <c r="D768" s="124"/>
      <c r="E768" s="124"/>
      <c r="F768" s="113"/>
      <c r="G768" s="113"/>
      <c r="H768" s="113"/>
      <c r="I768" s="113"/>
      <c r="J768" s="113"/>
      <c r="K768" s="113"/>
      <c r="L768" s="113"/>
      <c r="M768" s="113"/>
      <c r="N768" s="113"/>
      <c r="O768" s="113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</row>
    <row x14ac:dyDescent="0.25" r="769" customHeight="1" ht="15.75">
      <c r="A769" s="123"/>
      <c r="B769" s="123"/>
      <c r="C769" s="124"/>
      <c r="D769" s="124"/>
      <c r="E769" s="124"/>
      <c r="F769" s="113"/>
      <c r="G769" s="113"/>
      <c r="H769" s="113"/>
      <c r="I769" s="113"/>
      <c r="J769" s="113"/>
      <c r="K769" s="113"/>
      <c r="L769" s="113"/>
      <c r="M769" s="113"/>
      <c r="N769" s="113"/>
      <c r="O769" s="113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</row>
    <row x14ac:dyDescent="0.25" r="770" customHeight="1" ht="15.75">
      <c r="A770" s="123"/>
      <c r="B770" s="123"/>
      <c r="C770" s="124"/>
      <c r="D770" s="124"/>
      <c r="E770" s="124"/>
      <c r="F770" s="113"/>
      <c r="G770" s="113"/>
      <c r="H770" s="113"/>
      <c r="I770" s="113"/>
      <c r="J770" s="113"/>
      <c r="K770" s="113"/>
      <c r="L770" s="113"/>
      <c r="M770" s="113"/>
      <c r="N770" s="113"/>
      <c r="O770" s="113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</row>
    <row x14ac:dyDescent="0.25" r="771" customHeight="1" ht="15.75">
      <c r="A771" s="123"/>
      <c r="B771" s="123"/>
      <c r="C771" s="124"/>
      <c r="D771" s="124"/>
      <c r="E771" s="124"/>
      <c r="F771" s="113"/>
      <c r="G771" s="113"/>
      <c r="H771" s="113"/>
      <c r="I771" s="113"/>
      <c r="J771" s="113"/>
      <c r="K771" s="113"/>
      <c r="L771" s="113"/>
      <c r="M771" s="113"/>
      <c r="N771" s="113"/>
      <c r="O771" s="113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</row>
    <row x14ac:dyDescent="0.25" r="772" customHeight="1" ht="15.75">
      <c r="A772" s="123"/>
      <c r="B772" s="123"/>
      <c r="C772" s="124"/>
      <c r="D772" s="124"/>
      <c r="E772" s="124"/>
      <c r="F772" s="113"/>
      <c r="G772" s="113"/>
      <c r="H772" s="113"/>
      <c r="I772" s="113"/>
      <c r="J772" s="113"/>
      <c r="K772" s="113"/>
      <c r="L772" s="113"/>
      <c r="M772" s="113"/>
      <c r="N772" s="113"/>
      <c r="O772" s="113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</row>
    <row x14ac:dyDescent="0.25" r="773" customHeight="1" ht="15.75">
      <c r="A773" s="123"/>
      <c r="B773" s="123"/>
      <c r="C773" s="124"/>
      <c r="D773" s="124"/>
      <c r="E773" s="124"/>
      <c r="F773" s="113"/>
      <c r="G773" s="113"/>
      <c r="H773" s="113"/>
      <c r="I773" s="113"/>
      <c r="J773" s="113"/>
      <c r="K773" s="113"/>
      <c r="L773" s="113"/>
      <c r="M773" s="113"/>
      <c r="N773" s="113"/>
      <c r="O773" s="113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</row>
    <row x14ac:dyDescent="0.25" r="774" customHeight="1" ht="15.75">
      <c r="A774" s="123"/>
      <c r="B774" s="123"/>
      <c r="C774" s="124"/>
      <c r="D774" s="124"/>
      <c r="E774" s="124"/>
      <c r="F774" s="113"/>
      <c r="G774" s="113"/>
      <c r="H774" s="113"/>
      <c r="I774" s="113"/>
      <c r="J774" s="113"/>
      <c r="K774" s="113"/>
      <c r="L774" s="113"/>
      <c r="M774" s="113"/>
      <c r="N774" s="113"/>
      <c r="O774" s="113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</row>
    <row x14ac:dyDescent="0.25" r="775" customHeight="1" ht="15.75">
      <c r="A775" s="123"/>
      <c r="B775" s="123"/>
      <c r="C775" s="124"/>
      <c r="D775" s="124"/>
      <c r="E775" s="124"/>
      <c r="F775" s="113"/>
      <c r="G775" s="113"/>
      <c r="H775" s="113"/>
      <c r="I775" s="113"/>
      <c r="J775" s="113"/>
      <c r="K775" s="113"/>
      <c r="L775" s="113"/>
      <c r="M775" s="113"/>
      <c r="N775" s="113"/>
      <c r="O775" s="113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</row>
    <row x14ac:dyDescent="0.25" r="776" customHeight="1" ht="15.75">
      <c r="A776" s="123"/>
      <c r="B776" s="123"/>
      <c r="C776" s="124"/>
      <c r="D776" s="124"/>
      <c r="E776" s="124"/>
      <c r="F776" s="113"/>
      <c r="G776" s="113"/>
      <c r="H776" s="113"/>
      <c r="I776" s="113"/>
      <c r="J776" s="113"/>
      <c r="K776" s="113"/>
      <c r="L776" s="113"/>
      <c r="M776" s="113"/>
      <c r="N776" s="113"/>
      <c r="O776" s="113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</row>
    <row x14ac:dyDescent="0.25" r="777" customHeight="1" ht="15.75">
      <c r="A777" s="123"/>
      <c r="B777" s="123"/>
      <c r="C777" s="124"/>
      <c r="D777" s="124"/>
      <c r="E777" s="124"/>
      <c r="F777" s="113"/>
      <c r="G777" s="113"/>
      <c r="H777" s="113"/>
      <c r="I777" s="113"/>
      <c r="J777" s="113"/>
      <c r="K777" s="113"/>
      <c r="L777" s="113"/>
      <c r="M777" s="113"/>
      <c r="N777" s="113"/>
      <c r="O777" s="113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</row>
    <row x14ac:dyDescent="0.25" r="778" customHeight="1" ht="15.75">
      <c r="A778" s="123"/>
      <c r="B778" s="123"/>
      <c r="C778" s="124"/>
      <c r="D778" s="124"/>
      <c r="E778" s="124"/>
      <c r="F778" s="113"/>
      <c r="G778" s="113"/>
      <c r="H778" s="113"/>
      <c r="I778" s="113"/>
      <c r="J778" s="113"/>
      <c r="K778" s="113"/>
      <c r="L778" s="113"/>
      <c r="M778" s="113"/>
      <c r="N778" s="113"/>
      <c r="O778" s="113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</row>
    <row x14ac:dyDescent="0.25" r="779" customHeight="1" ht="15.75">
      <c r="A779" s="123"/>
      <c r="B779" s="123"/>
      <c r="C779" s="124"/>
      <c r="D779" s="124"/>
      <c r="E779" s="124"/>
      <c r="F779" s="113"/>
      <c r="G779" s="113"/>
      <c r="H779" s="113"/>
      <c r="I779" s="113"/>
      <c r="J779" s="113"/>
      <c r="K779" s="113"/>
      <c r="L779" s="113"/>
      <c r="M779" s="113"/>
      <c r="N779" s="113"/>
      <c r="O779" s="113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</row>
    <row x14ac:dyDescent="0.25" r="780" customHeight="1" ht="15.75">
      <c r="A780" s="123"/>
      <c r="B780" s="123"/>
      <c r="C780" s="124"/>
      <c r="D780" s="124"/>
      <c r="E780" s="124"/>
      <c r="F780" s="113"/>
      <c r="G780" s="113"/>
      <c r="H780" s="113"/>
      <c r="I780" s="113"/>
      <c r="J780" s="113"/>
      <c r="K780" s="113"/>
      <c r="L780" s="113"/>
      <c r="M780" s="113"/>
      <c r="N780" s="113"/>
      <c r="O780" s="113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</row>
    <row x14ac:dyDescent="0.25" r="781" customHeight="1" ht="15.75">
      <c r="A781" s="123"/>
      <c r="B781" s="123"/>
      <c r="C781" s="124"/>
      <c r="D781" s="124"/>
      <c r="E781" s="124"/>
      <c r="F781" s="113"/>
      <c r="G781" s="113"/>
      <c r="H781" s="113"/>
      <c r="I781" s="113"/>
      <c r="J781" s="113"/>
      <c r="K781" s="113"/>
      <c r="L781" s="113"/>
      <c r="M781" s="113"/>
      <c r="N781" s="113"/>
      <c r="O781" s="113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</row>
    <row x14ac:dyDescent="0.25" r="782" customHeight="1" ht="15.75">
      <c r="A782" s="123"/>
      <c r="B782" s="123"/>
      <c r="C782" s="124"/>
      <c r="D782" s="124"/>
      <c r="E782" s="124"/>
      <c r="F782" s="113"/>
      <c r="G782" s="113"/>
      <c r="H782" s="113"/>
      <c r="I782" s="113"/>
      <c r="J782" s="113"/>
      <c r="K782" s="113"/>
      <c r="L782" s="113"/>
      <c r="M782" s="113"/>
      <c r="N782" s="113"/>
      <c r="O782" s="113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</row>
    <row x14ac:dyDescent="0.25" r="783" customHeight="1" ht="15.75">
      <c r="A783" s="123"/>
      <c r="B783" s="123"/>
      <c r="C783" s="124"/>
      <c r="D783" s="124"/>
      <c r="E783" s="124"/>
      <c r="F783" s="113"/>
      <c r="G783" s="113"/>
      <c r="H783" s="113"/>
      <c r="I783" s="113"/>
      <c r="J783" s="113"/>
      <c r="K783" s="113"/>
      <c r="L783" s="113"/>
      <c r="M783" s="113"/>
      <c r="N783" s="113"/>
      <c r="O783" s="113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</row>
    <row x14ac:dyDescent="0.25" r="784" customHeight="1" ht="15.75">
      <c r="A784" s="123"/>
      <c r="B784" s="123"/>
      <c r="C784" s="124"/>
      <c r="D784" s="124"/>
      <c r="E784" s="124"/>
      <c r="F784" s="113"/>
      <c r="G784" s="113"/>
      <c r="H784" s="113"/>
      <c r="I784" s="113"/>
      <c r="J784" s="113"/>
      <c r="K784" s="113"/>
      <c r="L784" s="113"/>
      <c r="M784" s="113"/>
      <c r="N784" s="113"/>
      <c r="O784" s="113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</row>
    <row x14ac:dyDescent="0.25" r="785" customHeight="1" ht="15.75">
      <c r="A785" s="123"/>
      <c r="B785" s="123"/>
      <c r="C785" s="124"/>
      <c r="D785" s="124"/>
      <c r="E785" s="124"/>
      <c r="F785" s="113"/>
      <c r="G785" s="113"/>
      <c r="H785" s="113"/>
      <c r="I785" s="113"/>
      <c r="J785" s="113"/>
      <c r="K785" s="113"/>
      <c r="L785" s="113"/>
      <c r="M785" s="113"/>
      <c r="N785" s="113"/>
      <c r="O785" s="113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</row>
    <row x14ac:dyDescent="0.25" r="786" customHeight="1" ht="15.75">
      <c r="A786" s="123"/>
      <c r="B786" s="123"/>
      <c r="C786" s="124"/>
      <c r="D786" s="124"/>
      <c r="E786" s="124"/>
      <c r="F786" s="113"/>
      <c r="G786" s="113"/>
      <c r="H786" s="113"/>
      <c r="I786" s="113"/>
      <c r="J786" s="113"/>
      <c r="K786" s="113"/>
      <c r="L786" s="113"/>
      <c r="M786" s="113"/>
      <c r="N786" s="113"/>
      <c r="O786" s="113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</row>
    <row x14ac:dyDescent="0.25" r="787" customHeight="1" ht="15.75">
      <c r="A787" s="123"/>
      <c r="B787" s="123"/>
      <c r="C787" s="124"/>
      <c r="D787" s="124"/>
      <c r="E787" s="124"/>
      <c r="F787" s="113"/>
      <c r="G787" s="113"/>
      <c r="H787" s="113"/>
      <c r="I787" s="113"/>
      <c r="J787" s="113"/>
      <c r="K787" s="113"/>
      <c r="L787" s="113"/>
      <c r="M787" s="113"/>
      <c r="N787" s="113"/>
      <c r="O787" s="113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</row>
    <row x14ac:dyDescent="0.25" r="788" customHeight="1" ht="15.75">
      <c r="A788" s="123"/>
      <c r="B788" s="123"/>
      <c r="C788" s="124"/>
      <c r="D788" s="124"/>
      <c r="E788" s="124"/>
      <c r="F788" s="113"/>
      <c r="G788" s="113"/>
      <c r="H788" s="113"/>
      <c r="I788" s="113"/>
      <c r="J788" s="113"/>
      <c r="K788" s="113"/>
      <c r="L788" s="113"/>
      <c r="M788" s="113"/>
      <c r="N788" s="113"/>
      <c r="O788" s="113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</row>
    <row x14ac:dyDescent="0.25" r="789" customHeight="1" ht="15.75">
      <c r="A789" s="123"/>
      <c r="B789" s="123"/>
      <c r="C789" s="124"/>
      <c r="D789" s="124"/>
      <c r="E789" s="124"/>
      <c r="F789" s="113"/>
      <c r="G789" s="113"/>
      <c r="H789" s="113"/>
      <c r="I789" s="113"/>
      <c r="J789" s="113"/>
      <c r="K789" s="113"/>
      <c r="L789" s="113"/>
      <c r="M789" s="113"/>
      <c r="N789" s="113"/>
      <c r="O789" s="113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</row>
    <row x14ac:dyDescent="0.25" r="790" customHeight="1" ht="15.75">
      <c r="A790" s="123"/>
      <c r="B790" s="123"/>
      <c r="C790" s="124"/>
      <c r="D790" s="124"/>
      <c r="E790" s="124"/>
      <c r="F790" s="113"/>
      <c r="G790" s="113"/>
      <c r="H790" s="113"/>
      <c r="I790" s="113"/>
      <c r="J790" s="113"/>
      <c r="K790" s="113"/>
      <c r="L790" s="113"/>
      <c r="M790" s="113"/>
      <c r="N790" s="113"/>
      <c r="O790" s="113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</row>
    <row x14ac:dyDescent="0.25" r="791" customHeight="1" ht="15.75">
      <c r="A791" s="123"/>
      <c r="B791" s="123"/>
      <c r="C791" s="124"/>
      <c r="D791" s="124"/>
      <c r="E791" s="124"/>
      <c r="F791" s="113"/>
      <c r="G791" s="113"/>
      <c r="H791" s="113"/>
      <c r="I791" s="113"/>
      <c r="J791" s="113"/>
      <c r="K791" s="113"/>
      <c r="L791" s="113"/>
      <c r="M791" s="113"/>
      <c r="N791" s="113"/>
      <c r="O791" s="113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</row>
    <row x14ac:dyDescent="0.25" r="792" customHeight="1" ht="15.75">
      <c r="A792" s="123"/>
      <c r="B792" s="123"/>
      <c r="C792" s="124"/>
      <c r="D792" s="124"/>
      <c r="E792" s="124"/>
      <c r="F792" s="113"/>
      <c r="G792" s="113"/>
      <c r="H792" s="113"/>
      <c r="I792" s="113"/>
      <c r="J792" s="113"/>
      <c r="K792" s="113"/>
      <c r="L792" s="113"/>
      <c r="M792" s="113"/>
      <c r="N792" s="113"/>
      <c r="O792" s="113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</row>
    <row x14ac:dyDescent="0.25" r="793" customHeight="1" ht="15.75">
      <c r="A793" s="123"/>
      <c r="B793" s="123"/>
      <c r="C793" s="124"/>
      <c r="D793" s="124"/>
      <c r="E793" s="124"/>
      <c r="F793" s="113"/>
      <c r="G793" s="113"/>
      <c r="H793" s="113"/>
      <c r="I793" s="113"/>
      <c r="J793" s="113"/>
      <c r="K793" s="113"/>
      <c r="L793" s="113"/>
      <c r="M793" s="113"/>
      <c r="N793" s="113"/>
      <c r="O793" s="113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</row>
    <row x14ac:dyDescent="0.25" r="794" customHeight="1" ht="15.75">
      <c r="A794" s="123"/>
      <c r="B794" s="123"/>
      <c r="C794" s="124"/>
      <c r="D794" s="124"/>
      <c r="E794" s="124"/>
      <c r="F794" s="113"/>
      <c r="G794" s="113"/>
      <c r="H794" s="113"/>
      <c r="I794" s="113"/>
      <c r="J794" s="113"/>
      <c r="K794" s="113"/>
      <c r="L794" s="113"/>
      <c r="M794" s="113"/>
      <c r="N794" s="113"/>
      <c r="O794" s="113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</row>
    <row x14ac:dyDescent="0.25" r="795" customHeight="1" ht="15.75">
      <c r="A795" s="123"/>
      <c r="B795" s="123"/>
      <c r="C795" s="124"/>
      <c r="D795" s="124"/>
      <c r="E795" s="124"/>
      <c r="F795" s="113"/>
      <c r="G795" s="113"/>
      <c r="H795" s="113"/>
      <c r="I795" s="113"/>
      <c r="J795" s="113"/>
      <c r="K795" s="113"/>
      <c r="L795" s="113"/>
      <c r="M795" s="113"/>
      <c r="N795" s="113"/>
      <c r="O795" s="113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</row>
    <row x14ac:dyDescent="0.25" r="796" customHeight="1" ht="15.75">
      <c r="A796" s="123"/>
      <c r="B796" s="123"/>
      <c r="C796" s="124"/>
      <c r="D796" s="124"/>
      <c r="E796" s="124"/>
      <c r="F796" s="113"/>
      <c r="G796" s="113"/>
      <c r="H796" s="113"/>
      <c r="I796" s="113"/>
      <c r="J796" s="113"/>
      <c r="K796" s="113"/>
      <c r="L796" s="113"/>
      <c r="M796" s="113"/>
      <c r="N796" s="113"/>
      <c r="O796" s="113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</row>
    <row x14ac:dyDescent="0.25" r="797" customHeight="1" ht="15.75">
      <c r="A797" s="123"/>
      <c r="B797" s="123"/>
      <c r="C797" s="124"/>
      <c r="D797" s="124"/>
      <c r="E797" s="124"/>
      <c r="F797" s="113"/>
      <c r="G797" s="113"/>
      <c r="H797" s="113"/>
      <c r="I797" s="113"/>
      <c r="J797" s="113"/>
      <c r="K797" s="113"/>
      <c r="L797" s="113"/>
      <c r="M797" s="113"/>
      <c r="N797" s="113"/>
      <c r="O797" s="113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</row>
    <row x14ac:dyDescent="0.25" r="798" customHeight="1" ht="15.75">
      <c r="A798" s="123"/>
      <c r="B798" s="123"/>
      <c r="C798" s="124"/>
      <c r="D798" s="124"/>
      <c r="E798" s="124"/>
      <c r="F798" s="113"/>
      <c r="G798" s="113"/>
      <c r="H798" s="113"/>
      <c r="I798" s="113"/>
      <c r="J798" s="113"/>
      <c r="K798" s="113"/>
      <c r="L798" s="113"/>
      <c r="M798" s="113"/>
      <c r="N798" s="113"/>
      <c r="O798" s="113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</row>
    <row x14ac:dyDescent="0.25" r="799" customHeight="1" ht="15.75">
      <c r="A799" s="123"/>
      <c r="B799" s="123"/>
      <c r="C799" s="124"/>
      <c r="D799" s="124"/>
      <c r="E799" s="124"/>
      <c r="F799" s="113"/>
      <c r="G799" s="113"/>
      <c r="H799" s="113"/>
      <c r="I799" s="113"/>
      <c r="J799" s="113"/>
      <c r="K799" s="113"/>
      <c r="L799" s="113"/>
      <c r="M799" s="113"/>
      <c r="N799" s="113"/>
      <c r="O799" s="113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</row>
    <row x14ac:dyDescent="0.25" r="800" customHeight="1" ht="15.75">
      <c r="A800" s="123"/>
      <c r="B800" s="123"/>
      <c r="C800" s="124"/>
      <c r="D800" s="124"/>
      <c r="E800" s="124"/>
      <c r="F800" s="113"/>
      <c r="G800" s="113"/>
      <c r="H800" s="113"/>
      <c r="I800" s="113"/>
      <c r="J800" s="113"/>
      <c r="K800" s="113"/>
      <c r="L800" s="113"/>
      <c r="M800" s="113"/>
      <c r="N800" s="113"/>
      <c r="O800" s="113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</row>
    <row x14ac:dyDescent="0.25" r="801" customHeight="1" ht="15.75">
      <c r="A801" s="123"/>
      <c r="B801" s="123"/>
      <c r="C801" s="124"/>
      <c r="D801" s="124"/>
      <c r="E801" s="124"/>
      <c r="F801" s="113"/>
      <c r="G801" s="113"/>
      <c r="H801" s="113"/>
      <c r="I801" s="113"/>
      <c r="J801" s="113"/>
      <c r="K801" s="113"/>
      <c r="L801" s="113"/>
      <c r="M801" s="113"/>
      <c r="N801" s="113"/>
      <c r="O801" s="113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</row>
    <row x14ac:dyDescent="0.25" r="802" customHeight="1" ht="15.75">
      <c r="A802" s="123"/>
      <c r="B802" s="123"/>
      <c r="C802" s="124"/>
      <c r="D802" s="124"/>
      <c r="E802" s="124"/>
      <c r="F802" s="113"/>
      <c r="G802" s="113"/>
      <c r="H802" s="113"/>
      <c r="I802" s="113"/>
      <c r="J802" s="113"/>
      <c r="K802" s="113"/>
      <c r="L802" s="113"/>
      <c r="M802" s="113"/>
      <c r="N802" s="113"/>
      <c r="O802" s="113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</row>
    <row x14ac:dyDescent="0.25" r="803" customHeight="1" ht="15.75">
      <c r="A803" s="123"/>
      <c r="B803" s="123"/>
      <c r="C803" s="124"/>
      <c r="D803" s="124"/>
      <c r="E803" s="124"/>
      <c r="F803" s="113"/>
      <c r="G803" s="113"/>
      <c r="H803" s="113"/>
      <c r="I803" s="113"/>
      <c r="J803" s="113"/>
      <c r="K803" s="113"/>
      <c r="L803" s="113"/>
      <c r="M803" s="113"/>
      <c r="N803" s="113"/>
      <c r="O803" s="113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</row>
    <row x14ac:dyDescent="0.25" r="804" customHeight="1" ht="15.75">
      <c r="A804" s="123"/>
      <c r="B804" s="123"/>
      <c r="C804" s="124"/>
      <c r="D804" s="124"/>
      <c r="E804" s="124"/>
      <c r="F804" s="113"/>
      <c r="G804" s="113"/>
      <c r="H804" s="113"/>
      <c r="I804" s="113"/>
      <c r="J804" s="113"/>
      <c r="K804" s="113"/>
      <c r="L804" s="113"/>
      <c r="M804" s="113"/>
      <c r="N804" s="113"/>
      <c r="O804" s="113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</row>
    <row x14ac:dyDescent="0.25" r="805" customHeight="1" ht="15.75">
      <c r="A805" s="123"/>
      <c r="B805" s="123"/>
      <c r="C805" s="124"/>
      <c r="D805" s="124"/>
      <c r="E805" s="124"/>
      <c r="F805" s="113"/>
      <c r="G805" s="113"/>
      <c r="H805" s="113"/>
      <c r="I805" s="113"/>
      <c r="J805" s="113"/>
      <c r="K805" s="113"/>
      <c r="L805" s="113"/>
      <c r="M805" s="113"/>
      <c r="N805" s="113"/>
      <c r="O805" s="113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</row>
    <row x14ac:dyDescent="0.25" r="806" customHeight="1" ht="15.75">
      <c r="A806" s="123"/>
      <c r="B806" s="123"/>
      <c r="C806" s="124"/>
      <c r="D806" s="124"/>
      <c r="E806" s="124"/>
      <c r="F806" s="113"/>
      <c r="G806" s="113"/>
      <c r="H806" s="113"/>
      <c r="I806" s="113"/>
      <c r="J806" s="113"/>
      <c r="K806" s="113"/>
      <c r="L806" s="113"/>
      <c r="M806" s="113"/>
      <c r="N806" s="113"/>
      <c r="O806" s="113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</row>
    <row x14ac:dyDescent="0.25" r="807" customHeight="1" ht="15.75">
      <c r="A807" s="123"/>
      <c r="B807" s="123"/>
      <c r="C807" s="124"/>
      <c r="D807" s="124"/>
      <c r="E807" s="124"/>
      <c r="F807" s="113"/>
      <c r="G807" s="113"/>
      <c r="H807" s="113"/>
      <c r="I807" s="113"/>
      <c r="J807" s="113"/>
      <c r="K807" s="113"/>
      <c r="L807" s="113"/>
      <c r="M807" s="113"/>
      <c r="N807" s="113"/>
      <c r="O807" s="113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</row>
    <row x14ac:dyDescent="0.25" r="808" customHeight="1" ht="15.75">
      <c r="A808" s="123"/>
      <c r="B808" s="123"/>
      <c r="C808" s="124"/>
      <c r="D808" s="124"/>
      <c r="E808" s="124"/>
      <c r="F808" s="113"/>
      <c r="G808" s="113"/>
      <c r="H808" s="113"/>
      <c r="I808" s="113"/>
      <c r="J808" s="113"/>
      <c r="K808" s="113"/>
      <c r="L808" s="113"/>
      <c r="M808" s="113"/>
      <c r="N808" s="113"/>
      <c r="O808" s="113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</row>
    <row x14ac:dyDescent="0.25" r="809" customHeight="1" ht="15.75">
      <c r="A809" s="123"/>
      <c r="B809" s="123"/>
      <c r="C809" s="124"/>
      <c r="D809" s="124"/>
      <c r="E809" s="124"/>
      <c r="F809" s="113"/>
      <c r="G809" s="113"/>
      <c r="H809" s="113"/>
      <c r="I809" s="113"/>
      <c r="J809" s="113"/>
      <c r="K809" s="113"/>
      <c r="L809" s="113"/>
      <c r="M809" s="113"/>
      <c r="N809" s="113"/>
      <c r="O809" s="113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</row>
    <row x14ac:dyDescent="0.25" r="810" customHeight="1" ht="15.75">
      <c r="A810" s="123"/>
      <c r="B810" s="123"/>
      <c r="C810" s="124"/>
      <c r="D810" s="124"/>
      <c r="E810" s="124"/>
      <c r="F810" s="113"/>
      <c r="G810" s="113"/>
      <c r="H810" s="113"/>
      <c r="I810" s="113"/>
      <c r="J810" s="113"/>
      <c r="K810" s="113"/>
      <c r="L810" s="113"/>
      <c r="M810" s="113"/>
      <c r="N810" s="113"/>
      <c r="O810" s="113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</row>
    <row x14ac:dyDescent="0.25" r="811" customHeight="1" ht="15.75">
      <c r="A811" s="123"/>
      <c r="B811" s="123"/>
      <c r="C811" s="124"/>
      <c r="D811" s="124"/>
      <c r="E811" s="124"/>
      <c r="F811" s="113"/>
      <c r="G811" s="113"/>
      <c r="H811" s="113"/>
      <c r="I811" s="113"/>
      <c r="J811" s="113"/>
      <c r="K811" s="113"/>
      <c r="L811" s="113"/>
      <c r="M811" s="113"/>
      <c r="N811" s="113"/>
      <c r="O811" s="113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</row>
    <row x14ac:dyDescent="0.25" r="812" customHeight="1" ht="15.75">
      <c r="A812" s="123"/>
      <c r="B812" s="123"/>
      <c r="C812" s="124"/>
      <c r="D812" s="124"/>
      <c r="E812" s="124"/>
      <c r="F812" s="113"/>
      <c r="G812" s="113"/>
      <c r="H812" s="113"/>
      <c r="I812" s="113"/>
      <c r="J812" s="113"/>
      <c r="K812" s="113"/>
      <c r="L812" s="113"/>
      <c r="M812" s="113"/>
      <c r="N812" s="113"/>
      <c r="O812" s="113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</row>
    <row x14ac:dyDescent="0.25" r="813" customHeight="1" ht="15.75">
      <c r="A813" s="123"/>
      <c r="B813" s="123"/>
      <c r="C813" s="124"/>
      <c r="D813" s="124"/>
      <c r="E813" s="124"/>
      <c r="F813" s="113"/>
      <c r="G813" s="113"/>
      <c r="H813" s="113"/>
      <c r="I813" s="113"/>
      <c r="J813" s="113"/>
      <c r="K813" s="113"/>
      <c r="L813" s="113"/>
      <c r="M813" s="113"/>
      <c r="N813" s="113"/>
      <c r="O813" s="113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</row>
    <row x14ac:dyDescent="0.25" r="814" customHeight="1" ht="15.75">
      <c r="A814" s="123"/>
      <c r="B814" s="123"/>
      <c r="C814" s="124"/>
      <c r="D814" s="124"/>
      <c r="E814" s="124"/>
      <c r="F814" s="113"/>
      <c r="G814" s="113"/>
      <c r="H814" s="113"/>
      <c r="I814" s="113"/>
      <c r="J814" s="113"/>
      <c r="K814" s="113"/>
      <c r="L814" s="113"/>
      <c r="M814" s="113"/>
      <c r="N814" s="113"/>
      <c r="O814" s="113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</row>
    <row x14ac:dyDescent="0.25" r="815" customHeight="1" ht="15.75">
      <c r="A815" s="123"/>
      <c r="B815" s="123"/>
      <c r="C815" s="124"/>
      <c r="D815" s="124"/>
      <c r="E815" s="124"/>
      <c r="F815" s="113"/>
      <c r="G815" s="113"/>
      <c r="H815" s="113"/>
      <c r="I815" s="113"/>
      <c r="J815" s="113"/>
      <c r="K815" s="113"/>
      <c r="L815" s="113"/>
      <c r="M815" s="113"/>
      <c r="N815" s="113"/>
      <c r="O815" s="113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</row>
    <row x14ac:dyDescent="0.25" r="816" customHeight="1" ht="15.75">
      <c r="A816" s="123"/>
      <c r="B816" s="123"/>
      <c r="C816" s="124"/>
      <c r="D816" s="124"/>
      <c r="E816" s="124"/>
      <c r="F816" s="113"/>
      <c r="G816" s="113"/>
      <c r="H816" s="113"/>
      <c r="I816" s="113"/>
      <c r="J816" s="113"/>
      <c r="K816" s="113"/>
      <c r="L816" s="113"/>
      <c r="M816" s="113"/>
      <c r="N816" s="113"/>
      <c r="O816" s="113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</row>
    <row x14ac:dyDescent="0.25" r="817" customHeight="1" ht="15.75">
      <c r="A817" s="123"/>
      <c r="B817" s="123"/>
      <c r="C817" s="124"/>
      <c r="D817" s="124"/>
      <c r="E817" s="124"/>
      <c r="F817" s="113"/>
      <c r="G817" s="113"/>
      <c r="H817" s="113"/>
      <c r="I817" s="113"/>
      <c r="J817" s="113"/>
      <c r="K817" s="113"/>
      <c r="L817" s="113"/>
      <c r="M817" s="113"/>
      <c r="N817" s="113"/>
      <c r="O817" s="113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</row>
    <row x14ac:dyDescent="0.25" r="818" customHeight="1" ht="15.75">
      <c r="A818" s="123"/>
      <c r="B818" s="123"/>
      <c r="C818" s="124"/>
      <c r="D818" s="124"/>
      <c r="E818" s="124"/>
      <c r="F818" s="113"/>
      <c r="G818" s="113"/>
      <c r="H818" s="113"/>
      <c r="I818" s="113"/>
      <c r="J818" s="113"/>
      <c r="K818" s="113"/>
      <c r="L818" s="113"/>
      <c r="M818" s="113"/>
      <c r="N818" s="113"/>
      <c r="O818" s="113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</row>
    <row x14ac:dyDescent="0.25" r="819" customHeight="1" ht="15.75">
      <c r="A819" s="123"/>
      <c r="B819" s="123"/>
      <c r="C819" s="124"/>
      <c r="D819" s="124"/>
      <c r="E819" s="124"/>
      <c r="F819" s="113"/>
      <c r="G819" s="113"/>
      <c r="H819" s="113"/>
      <c r="I819" s="113"/>
      <c r="J819" s="113"/>
      <c r="K819" s="113"/>
      <c r="L819" s="113"/>
      <c r="M819" s="113"/>
      <c r="N819" s="113"/>
      <c r="O819" s="113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</row>
    <row x14ac:dyDescent="0.25" r="820" customHeight="1" ht="15.75">
      <c r="A820" s="123"/>
      <c r="B820" s="123"/>
      <c r="C820" s="124"/>
      <c r="D820" s="124"/>
      <c r="E820" s="124"/>
      <c r="F820" s="113"/>
      <c r="G820" s="113"/>
      <c r="H820" s="113"/>
      <c r="I820" s="113"/>
      <c r="J820" s="113"/>
      <c r="K820" s="113"/>
      <c r="L820" s="113"/>
      <c r="M820" s="113"/>
      <c r="N820" s="113"/>
      <c r="O820" s="113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</row>
    <row x14ac:dyDescent="0.25" r="821" customHeight="1" ht="15.75">
      <c r="A821" s="123"/>
      <c r="B821" s="123"/>
      <c r="C821" s="124"/>
      <c r="D821" s="124"/>
      <c r="E821" s="124"/>
      <c r="F821" s="113"/>
      <c r="G821" s="113"/>
      <c r="H821" s="113"/>
      <c r="I821" s="113"/>
      <c r="J821" s="113"/>
      <c r="K821" s="113"/>
      <c r="L821" s="113"/>
      <c r="M821" s="113"/>
      <c r="N821" s="113"/>
      <c r="O821" s="113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</row>
    <row x14ac:dyDescent="0.25" r="822" customHeight="1" ht="15.75">
      <c r="A822" s="123"/>
      <c r="B822" s="123"/>
      <c r="C822" s="124"/>
      <c r="D822" s="124"/>
      <c r="E822" s="124"/>
      <c r="F822" s="113"/>
      <c r="G822" s="113"/>
      <c r="H822" s="113"/>
      <c r="I822" s="113"/>
      <c r="J822" s="113"/>
      <c r="K822" s="113"/>
      <c r="L822" s="113"/>
      <c r="M822" s="113"/>
      <c r="N822" s="113"/>
      <c r="O822" s="113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</row>
    <row x14ac:dyDescent="0.25" r="823" customHeight="1" ht="15.75">
      <c r="A823" s="123"/>
      <c r="B823" s="123"/>
      <c r="C823" s="124"/>
      <c r="D823" s="124"/>
      <c r="E823" s="124"/>
      <c r="F823" s="113"/>
      <c r="G823" s="113"/>
      <c r="H823" s="113"/>
      <c r="I823" s="113"/>
      <c r="J823" s="113"/>
      <c r="K823" s="113"/>
      <c r="L823" s="113"/>
      <c r="M823" s="113"/>
      <c r="N823" s="113"/>
      <c r="O823" s="113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</row>
    <row x14ac:dyDescent="0.25" r="824" customHeight="1" ht="15.75">
      <c r="A824" s="123"/>
      <c r="B824" s="123"/>
      <c r="C824" s="124"/>
      <c r="D824" s="124"/>
      <c r="E824" s="124"/>
      <c r="F824" s="113"/>
      <c r="G824" s="113"/>
      <c r="H824" s="113"/>
      <c r="I824" s="113"/>
      <c r="J824" s="113"/>
      <c r="K824" s="113"/>
      <c r="L824" s="113"/>
      <c r="M824" s="113"/>
      <c r="N824" s="113"/>
      <c r="O824" s="113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</row>
    <row x14ac:dyDescent="0.25" r="825" customHeight="1" ht="15.75">
      <c r="A825" s="123"/>
      <c r="B825" s="123"/>
      <c r="C825" s="124"/>
      <c r="D825" s="124"/>
      <c r="E825" s="124"/>
      <c r="F825" s="113"/>
      <c r="G825" s="113"/>
      <c r="H825" s="113"/>
      <c r="I825" s="113"/>
      <c r="J825" s="113"/>
      <c r="K825" s="113"/>
      <c r="L825" s="113"/>
      <c r="M825" s="113"/>
      <c r="N825" s="113"/>
      <c r="O825" s="113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</row>
    <row x14ac:dyDescent="0.25" r="826" customHeight="1" ht="15.75">
      <c r="A826" s="123"/>
      <c r="B826" s="123"/>
      <c r="C826" s="124"/>
      <c r="D826" s="124"/>
      <c r="E826" s="124"/>
      <c r="F826" s="113"/>
      <c r="G826" s="113"/>
      <c r="H826" s="113"/>
      <c r="I826" s="113"/>
      <c r="J826" s="113"/>
      <c r="K826" s="113"/>
      <c r="L826" s="113"/>
      <c r="M826" s="113"/>
      <c r="N826" s="113"/>
      <c r="O826" s="113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</row>
    <row x14ac:dyDescent="0.25" r="827" customHeight="1" ht="15.75">
      <c r="A827" s="123"/>
      <c r="B827" s="123"/>
      <c r="C827" s="124"/>
      <c r="D827" s="124"/>
      <c r="E827" s="124"/>
      <c r="F827" s="113"/>
      <c r="G827" s="113"/>
      <c r="H827" s="113"/>
      <c r="I827" s="113"/>
      <c r="J827" s="113"/>
      <c r="K827" s="113"/>
      <c r="L827" s="113"/>
      <c r="M827" s="113"/>
      <c r="N827" s="113"/>
      <c r="O827" s="113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</row>
    <row x14ac:dyDescent="0.25" r="828" customHeight="1" ht="15.75">
      <c r="A828" s="123"/>
      <c r="B828" s="123"/>
      <c r="C828" s="124"/>
      <c r="D828" s="124"/>
      <c r="E828" s="124"/>
      <c r="F828" s="113"/>
      <c r="G828" s="113"/>
      <c r="H828" s="113"/>
      <c r="I828" s="113"/>
      <c r="J828" s="113"/>
      <c r="K828" s="113"/>
      <c r="L828" s="113"/>
      <c r="M828" s="113"/>
      <c r="N828" s="113"/>
      <c r="O828" s="113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</row>
    <row x14ac:dyDescent="0.25" r="829" customHeight="1" ht="15.75">
      <c r="A829" s="123"/>
      <c r="B829" s="123"/>
      <c r="C829" s="124"/>
      <c r="D829" s="124"/>
      <c r="E829" s="124"/>
      <c r="F829" s="113"/>
      <c r="G829" s="113"/>
      <c r="H829" s="113"/>
      <c r="I829" s="113"/>
      <c r="J829" s="113"/>
      <c r="K829" s="113"/>
      <c r="L829" s="113"/>
      <c r="M829" s="113"/>
      <c r="N829" s="113"/>
      <c r="O829" s="113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</row>
    <row x14ac:dyDescent="0.25" r="830" customHeight="1" ht="15.75">
      <c r="A830" s="123"/>
      <c r="B830" s="123"/>
      <c r="C830" s="124"/>
      <c r="D830" s="124"/>
      <c r="E830" s="124"/>
      <c r="F830" s="113"/>
      <c r="G830" s="113"/>
      <c r="H830" s="113"/>
      <c r="I830" s="113"/>
      <c r="J830" s="113"/>
      <c r="K830" s="113"/>
      <c r="L830" s="113"/>
      <c r="M830" s="113"/>
      <c r="N830" s="113"/>
      <c r="O830" s="113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</row>
    <row x14ac:dyDescent="0.25" r="831" customHeight="1" ht="15.75">
      <c r="A831" s="123"/>
      <c r="B831" s="123"/>
      <c r="C831" s="124"/>
      <c r="D831" s="124"/>
      <c r="E831" s="124"/>
      <c r="F831" s="113"/>
      <c r="G831" s="113"/>
      <c r="H831" s="113"/>
      <c r="I831" s="113"/>
      <c r="J831" s="113"/>
      <c r="K831" s="113"/>
      <c r="L831" s="113"/>
      <c r="M831" s="113"/>
      <c r="N831" s="113"/>
      <c r="O831" s="113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</row>
    <row x14ac:dyDescent="0.25" r="832" customHeight="1" ht="15.75">
      <c r="A832" s="123"/>
      <c r="B832" s="123"/>
      <c r="C832" s="124"/>
      <c r="D832" s="124"/>
      <c r="E832" s="124"/>
      <c r="F832" s="113"/>
      <c r="G832" s="113"/>
      <c r="H832" s="113"/>
      <c r="I832" s="113"/>
      <c r="J832" s="113"/>
      <c r="K832" s="113"/>
      <c r="L832" s="113"/>
      <c r="M832" s="113"/>
      <c r="N832" s="113"/>
      <c r="O832" s="113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</row>
    <row x14ac:dyDescent="0.25" r="833" customHeight="1" ht="15.75">
      <c r="A833" s="123"/>
      <c r="B833" s="123"/>
      <c r="C833" s="124"/>
      <c r="D833" s="124"/>
      <c r="E833" s="124"/>
      <c r="F833" s="113"/>
      <c r="G833" s="113"/>
      <c r="H833" s="113"/>
      <c r="I833" s="113"/>
      <c r="J833" s="113"/>
      <c r="K833" s="113"/>
      <c r="L833" s="113"/>
      <c r="M833" s="113"/>
      <c r="N833" s="113"/>
      <c r="O833" s="113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</row>
    <row x14ac:dyDescent="0.25" r="834" customHeight="1" ht="15.75">
      <c r="A834" s="123"/>
      <c r="B834" s="123"/>
      <c r="C834" s="124"/>
      <c r="D834" s="124"/>
      <c r="E834" s="124"/>
      <c r="F834" s="113"/>
      <c r="G834" s="113"/>
      <c r="H834" s="113"/>
      <c r="I834" s="113"/>
      <c r="J834" s="113"/>
      <c r="K834" s="113"/>
      <c r="L834" s="113"/>
      <c r="M834" s="113"/>
      <c r="N834" s="113"/>
      <c r="O834" s="113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</row>
    <row x14ac:dyDescent="0.25" r="835" customHeight="1" ht="15.75">
      <c r="A835" s="123"/>
      <c r="B835" s="123"/>
      <c r="C835" s="124"/>
      <c r="D835" s="124"/>
      <c r="E835" s="124"/>
      <c r="F835" s="113"/>
      <c r="G835" s="113"/>
      <c r="H835" s="113"/>
      <c r="I835" s="113"/>
      <c r="J835" s="113"/>
      <c r="K835" s="113"/>
      <c r="L835" s="113"/>
      <c r="M835" s="113"/>
      <c r="N835" s="113"/>
      <c r="O835" s="113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</row>
    <row x14ac:dyDescent="0.25" r="836" customHeight="1" ht="15.75">
      <c r="A836" s="123"/>
      <c r="B836" s="123"/>
      <c r="C836" s="124"/>
      <c r="D836" s="124"/>
      <c r="E836" s="124"/>
      <c r="F836" s="113"/>
      <c r="G836" s="113"/>
      <c r="H836" s="113"/>
      <c r="I836" s="113"/>
      <c r="J836" s="113"/>
      <c r="K836" s="113"/>
      <c r="L836" s="113"/>
      <c r="M836" s="113"/>
      <c r="N836" s="113"/>
      <c r="O836" s="113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</row>
    <row x14ac:dyDescent="0.25" r="837" customHeight="1" ht="15.75">
      <c r="A837" s="123"/>
      <c r="B837" s="123"/>
      <c r="C837" s="124"/>
      <c r="D837" s="124"/>
      <c r="E837" s="124"/>
      <c r="F837" s="113"/>
      <c r="G837" s="113"/>
      <c r="H837" s="113"/>
      <c r="I837" s="113"/>
      <c r="J837" s="113"/>
      <c r="K837" s="113"/>
      <c r="L837" s="113"/>
      <c r="M837" s="113"/>
      <c r="N837" s="113"/>
      <c r="O837" s="113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</row>
    <row x14ac:dyDescent="0.25" r="838" customHeight="1" ht="15.75">
      <c r="A838" s="123"/>
      <c r="B838" s="123"/>
      <c r="C838" s="124"/>
      <c r="D838" s="124"/>
      <c r="E838" s="124"/>
      <c r="F838" s="113"/>
      <c r="G838" s="113"/>
      <c r="H838" s="113"/>
      <c r="I838" s="113"/>
      <c r="J838" s="113"/>
      <c r="K838" s="113"/>
      <c r="L838" s="113"/>
      <c r="M838" s="113"/>
      <c r="N838" s="113"/>
      <c r="O838" s="113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</row>
    <row x14ac:dyDescent="0.25" r="839" customHeight="1" ht="15.75">
      <c r="A839" s="123"/>
      <c r="B839" s="123"/>
      <c r="C839" s="124"/>
      <c r="D839" s="124"/>
      <c r="E839" s="124"/>
      <c r="F839" s="113"/>
      <c r="G839" s="113"/>
      <c r="H839" s="113"/>
      <c r="I839" s="113"/>
      <c r="J839" s="113"/>
      <c r="K839" s="113"/>
      <c r="L839" s="113"/>
      <c r="M839" s="113"/>
      <c r="N839" s="113"/>
      <c r="O839" s="113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</row>
    <row x14ac:dyDescent="0.25" r="840" customHeight="1" ht="15.75">
      <c r="A840" s="123"/>
      <c r="B840" s="123"/>
      <c r="C840" s="124"/>
      <c r="D840" s="124"/>
      <c r="E840" s="124"/>
      <c r="F840" s="113"/>
      <c r="G840" s="113"/>
      <c r="H840" s="113"/>
      <c r="I840" s="113"/>
      <c r="J840" s="113"/>
      <c r="K840" s="113"/>
      <c r="L840" s="113"/>
      <c r="M840" s="113"/>
      <c r="N840" s="113"/>
      <c r="O840" s="113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</row>
    <row x14ac:dyDescent="0.25" r="841" customHeight="1" ht="15.75">
      <c r="A841" s="123"/>
      <c r="B841" s="123"/>
      <c r="C841" s="124"/>
      <c r="D841" s="124"/>
      <c r="E841" s="124"/>
      <c r="F841" s="113"/>
      <c r="G841" s="113"/>
      <c r="H841" s="113"/>
      <c r="I841" s="113"/>
      <c r="J841" s="113"/>
      <c r="K841" s="113"/>
      <c r="L841" s="113"/>
      <c r="M841" s="113"/>
      <c r="N841" s="113"/>
      <c r="O841" s="113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</row>
    <row x14ac:dyDescent="0.25" r="842" customHeight="1" ht="15.75">
      <c r="A842" s="123"/>
      <c r="B842" s="123"/>
      <c r="C842" s="124"/>
      <c r="D842" s="124"/>
      <c r="E842" s="124"/>
      <c r="F842" s="113"/>
      <c r="G842" s="113"/>
      <c r="H842" s="113"/>
      <c r="I842" s="113"/>
      <c r="J842" s="113"/>
      <c r="K842" s="113"/>
      <c r="L842" s="113"/>
      <c r="M842" s="113"/>
      <c r="N842" s="113"/>
      <c r="O842" s="113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</row>
    <row x14ac:dyDescent="0.25" r="843" customHeight="1" ht="15.75">
      <c r="A843" s="123"/>
      <c r="B843" s="123"/>
      <c r="C843" s="124"/>
      <c r="D843" s="124"/>
      <c r="E843" s="124"/>
      <c r="F843" s="113"/>
      <c r="G843" s="113"/>
      <c r="H843" s="113"/>
      <c r="I843" s="113"/>
      <c r="J843" s="113"/>
      <c r="K843" s="113"/>
      <c r="L843" s="113"/>
      <c r="M843" s="113"/>
      <c r="N843" s="113"/>
      <c r="O843" s="113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</row>
    <row x14ac:dyDescent="0.25" r="844" customHeight="1" ht="15.75">
      <c r="A844" s="123"/>
      <c r="B844" s="123"/>
      <c r="C844" s="124"/>
      <c r="D844" s="124"/>
      <c r="E844" s="124"/>
      <c r="F844" s="113"/>
      <c r="G844" s="113"/>
      <c r="H844" s="113"/>
      <c r="I844" s="113"/>
      <c r="J844" s="113"/>
      <c r="K844" s="113"/>
      <c r="L844" s="113"/>
      <c r="M844" s="113"/>
      <c r="N844" s="113"/>
      <c r="O844" s="113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</row>
    <row x14ac:dyDescent="0.25" r="845" customHeight="1" ht="15.75">
      <c r="A845" s="123"/>
      <c r="B845" s="123"/>
      <c r="C845" s="124"/>
      <c r="D845" s="124"/>
      <c r="E845" s="124"/>
      <c r="F845" s="113"/>
      <c r="G845" s="113"/>
      <c r="H845" s="113"/>
      <c r="I845" s="113"/>
      <c r="J845" s="113"/>
      <c r="K845" s="113"/>
      <c r="L845" s="113"/>
      <c r="M845" s="113"/>
      <c r="N845" s="113"/>
      <c r="O845" s="113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</row>
    <row x14ac:dyDescent="0.25" r="846" customHeight="1" ht="15.75">
      <c r="A846" s="123"/>
      <c r="B846" s="123"/>
      <c r="C846" s="124"/>
      <c r="D846" s="124"/>
      <c r="E846" s="124"/>
      <c r="F846" s="113"/>
      <c r="G846" s="113"/>
      <c r="H846" s="113"/>
      <c r="I846" s="113"/>
      <c r="J846" s="113"/>
      <c r="K846" s="113"/>
      <c r="L846" s="113"/>
      <c r="M846" s="113"/>
      <c r="N846" s="113"/>
      <c r="O846" s="113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</row>
    <row x14ac:dyDescent="0.25" r="847" customHeight="1" ht="15.75">
      <c r="A847" s="123"/>
      <c r="B847" s="123"/>
      <c r="C847" s="124"/>
      <c r="D847" s="124"/>
      <c r="E847" s="124"/>
      <c r="F847" s="113"/>
      <c r="G847" s="113"/>
      <c r="H847" s="113"/>
      <c r="I847" s="113"/>
      <c r="J847" s="113"/>
      <c r="K847" s="113"/>
      <c r="L847" s="113"/>
      <c r="M847" s="113"/>
      <c r="N847" s="113"/>
      <c r="O847" s="113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</row>
    <row x14ac:dyDescent="0.25" r="848" customHeight="1" ht="15.75">
      <c r="A848" s="123"/>
      <c r="B848" s="123"/>
      <c r="C848" s="124"/>
      <c r="D848" s="124"/>
      <c r="E848" s="124"/>
      <c r="F848" s="113"/>
      <c r="G848" s="113"/>
      <c r="H848" s="113"/>
      <c r="I848" s="113"/>
      <c r="J848" s="113"/>
      <c r="K848" s="113"/>
      <c r="L848" s="113"/>
      <c r="M848" s="113"/>
      <c r="N848" s="113"/>
      <c r="O848" s="113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</row>
    <row x14ac:dyDescent="0.25" r="849" customHeight="1" ht="15.75">
      <c r="A849" s="123"/>
      <c r="B849" s="123"/>
      <c r="C849" s="124"/>
      <c r="D849" s="124"/>
      <c r="E849" s="124"/>
      <c r="F849" s="113"/>
      <c r="G849" s="113"/>
      <c r="H849" s="113"/>
      <c r="I849" s="113"/>
      <c r="J849" s="113"/>
      <c r="K849" s="113"/>
      <c r="L849" s="113"/>
      <c r="M849" s="113"/>
      <c r="N849" s="113"/>
      <c r="O849" s="113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</row>
    <row x14ac:dyDescent="0.25" r="850" customHeight="1" ht="15.75">
      <c r="A850" s="123"/>
      <c r="B850" s="123"/>
      <c r="C850" s="124"/>
      <c r="D850" s="124"/>
      <c r="E850" s="124"/>
      <c r="F850" s="113"/>
      <c r="G850" s="113"/>
      <c r="H850" s="113"/>
      <c r="I850" s="113"/>
      <c r="J850" s="113"/>
      <c r="K850" s="113"/>
      <c r="L850" s="113"/>
      <c r="M850" s="113"/>
      <c r="N850" s="113"/>
      <c r="O850" s="113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</row>
    <row x14ac:dyDescent="0.25" r="851" customHeight="1" ht="15.75">
      <c r="A851" s="123"/>
      <c r="B851" s="123"/>
      <c r="C851" s="124"/>
      <c r="D851" s="124"/>
      <c r="E851" s="124"/>
      <c r="F851" s="113"/>
      <c r="G851" s="113"/>
      <c r="H851" s="113"/>
      <c r="I851" s="113"/>
      <c r="J851" s="113"/>
      <c r="K851" s="113"/>
      <c r="L851" s="113"/>
      <c r="M851" s="113"/>
      <c r="N851" s="113"/>
      <c r="O851" s="113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</row>
    <row x14ac:dyDescent="0.25" r="852" customHeight="1" ht="15.75">
      <c r="A852" s="123"/>
      <c r="B852" s="123"/>
      <c r="C852" s="124"/>
      <c r="D852" s="124"/>
      <c r="E852" s="124"/>
      <c r="F852" s="113"/>
      <c r="G852" s="113"/>
      <c r="H852" s="113"/>
      <c r="I852" s="113"/>
      <c r="J852" s="113"/>
      <c r="K852" s="113"/>
      <c r="L852" s="113"/>
      <c r="M852" s="113"/>
      <c r="N852" s="113"/>
      <c r="O852" s="113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</row>
    <row x14ac:dyDescent="0.25" r="853" customHeight="1" ht="15.75">
      <c r="A853" s="123"/>
      <c r="B853" s="123"/>
      <c r="C853" s="124"/>
      <c r="D853" s="124"/>
      <c r="E853" s="124"/>
      <c r="F853" s="113"/>
      <c r="G853" s="113"/>
      <c r="H853" s="113"/>
      <c r="I853" s="113"/>
      <c r="J853" s="113"/>
      <c r="K853" s="113"/>
      <c r="L853" s="113"/>
      <c r="M853" s="113"/>
      <c r="N853" s="113"/>
      <c r="O853" s="113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</row>
    <row x14ac:dyDescent="0.25" r="854" customHeight="1" ht="15.75">
      <c r="A854" s="123"/>
      <c r="B854" s="123"/>
      <c r="C854" s="124"/>
      <c r="D854" s="124"/>
      <c r="E854" s="124"/>
      <c r="F854" s="113"/>
      <c r="G854" s="113"/>
      <c r="H854" s="113"/>
      <c r="I854" s="113"/>
      <c r="J854" s="113"/>
      <c r="K854" s="113"/>
      <c r="L854" s="113"/>
      <c r="M854" s="113"/>
      <c r="N854" s="113"/>
      <c r="O854" s="113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</row>
    <row x14ac:dyDescent="0.25" r="855" customHeight="1" ht="15.75">
      <c r="A855" s="123"/>
      <c r="B855" s="123"/>
      <c r="C855" s="124"/>
      <c r="D855" s="124"/>
      <c r="E855" s="124"/>
      <c r="F855" s="113"/>
      <c r="G855" s="113"/>
      <c r="H855" s="113"/>
      <c r="I855" s="113"/>
      <c r="J855" s="113"/>
      <c r="K855" s="113"/>
      <c r="L855" s="113"/>
      <c r="M855" s="113"/>
      <c r="N855" s="113"/>
      <c r="O855" s="113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</row>
    <row x14ac:dyDescent="0.25" r="856" customHeight="1" ht="15.75">
      <c r="A856" s="123"/>
      <c r="B856" s="123"/>
      <c r="C856" s="124"/>
      <c r="D856" s="124"/>
      <c r="E856" s="124"/>
      <c r="F856" s="113"/>
      <c r="G856" s="113"/>
      <c r="H856" s="113"/>
      <c r="I856" s="113"/>
      <c r="J856" s="113"/>
      <c r="K856" s="113"/>
      <c r="L856" s="113"/>
      <c r="M856" s="113"/>
      <c r="N856" s="113"/>
      <c r="O856" s="113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</row>
    <row x14ac:dyDescent="0.25" r="857" customHeight="1" ht="15.75">
      <c r="A857" s="123"/>
      <c r="B857" s="123"/>
      <c r="C857" s="124"/>
      <c r="D857" s="124"/>
      <c r="E857" s="124"/>
      <c r="F857" s="113"/>
      <c r="G857" s="113"/>
      <c r="H857" s="113"/>
      <c r="I857" s="113"/>
      <c r="J857" s="113"/>
      <c r="K857" s="113"/>
      <c r="L857" s="113"/>
      <c r="M857" s="113"/>
      <c r="N857" s="113"/>
      <c r="O857" s="113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</row>
    <row x14ac:dyDescent="0.25" r="858" customHeight="1" ht="15.75">
      <c r="A858" s="123"/>
      <c r="B858" s="123"/>
      <c r="C858" s="124"/>
      <c r="D858" s="124"/>
      <c r="E858" s="124"/>
      <c r="F858" s="113"/>
      <c r="G858" s="113"/>
      <c r="H858" s="113"/>
      <c r="I858" s="113"/>
      <c r="J858" s="113"/>
      <c r="K858" s="113"/>
      <c r="L858" s="113"/>
      <c r="M858" s="113"/>
      <c r="N858" s="113"/>
      <c r="O858" s="113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</row>
    <row x14ac:dyDescent="0.25" r="859" customHeight="1" ht="15.75">
      <c r="A859" s="123"/>
      <c r="B859" s="123"/>
      <c r="C859" s="124"/>
      <c r="D859" s="124"/>
      <c r="E859" s="124"/>
      <c r="F859" s="113"/>
      <c r="G859" s="113"/>
      <c r="H859" s="113"/>
      <c r="I859" s="113"/>
      <c r="J859" s="113"/>
      <c r="K859" s="113"/>
      <c r="L859" s="113"/>
      <c r="M859" s="113"/>
      <c r="N859" s="113"/>
      <c r="O859" s="113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</row>
    <row x14ac:dyDescent="0.25" r="860" customHeight="1" ht="15.75">
      <c r="A860" s="123"/>
      <c r="B860" s="123"/>
      <c r="C860" s="124"/>
      <c r="D860" s="124"/>
      <c r="E860" s="124"/>
      <c r="F860" s="113"/>
      <c r="G860" s="113"/>
      <c r="H860" s="113"/>
      <c r="I860" s="113"/>
      <c r="J860" s="113"/>
      <c r="K860" s="113"/>
      <c r="L860" s="113"/>
      <c r="M860" s="113"/>
      <c r="N860" s="113"/>
      <c r="O860" s="113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</row>
    <row x14ac:dyDescent="0.25" r="861" customHeight="1" ht="15.75">
      <c r="A861" s="123"/>
      <c r="B861" s="123"/>
      <c r="C861" s="124"/>
      <c r="D861" s="124"/>
      <c r="E861" s="124"/>
      <c r="F861" s="113"/>
      <c r="G861" s="113"/>
      <c r="H861" s="113"/>
      <c r="I861" s="113"/>
      <c r="J861" s="113"/>
      <c r="K861" s="113"/>
      <c r="L861" s="113"/>
      <c r="M861" s="113"/>
      <c r="N861" s="113"/>
      <c r="O861" s="113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</row>
    <row x14ac:dyDescent="0.25" r="862" customHeight="1" ht="15.75">
      <c r="A862" s="123"/>
      <c r="B862" s="123"/>
      <c r="C862" s="124"/>
      <c r="D862" s="124"/>
      <c r="E862" s="124"/>
      <c r="F862" s="113"/>
      <c r="G862" s="113"/>
      <c r="H862" s="113"/>
      <c r="I862" s="113"/>
      <c r="J862" s="113"/>
      <c r="K862" s="113"/>
      <c r="L862" s="113"/>
      <c r="M862" s="113"/>
      <c r="N862" s="113"/>
      <c r="O862" s="113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</row>
    <row x14ac:dyDescent="0.25" r="863" customHeight="1" ht="15.75">
      <c r="A863" s="123"/>
      <c r="B863" s="123"/>
      <c r="C863" s="124"/>
      <c r="D863" s="124"/>
      <c r="E863" s="124"/>
      <c r="F863" s="113"/>
      <c r="G863" s="113"/>
      <c r="H863" s="113"/>
      <c r="I863" s="113"/>
      <c r="J863" s="113"/>
      <c r="K863" s="113"/>
      <c r="L863" s="113"/>
      <c r="M863" s="113"/>
      <c r="N863" s="113"/>
      <c r="O863" s="113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</row>
    <row x14ac:dyDescent="0.25" r="864" customHeight="1" ht="15.75">
      <c r="A864" s="123"/>
      <c r="B864" s="123"/>
      <c r="C864" s="124"/>
      <c r="D864" s="124"/>
      <c r="E864" s="124"/>
      <c r="F864" s="113"/>
      <c r="G864" s="113"/>
      <c r="H864" s="113"/>
      <c r="I864" s="113"/>
      <c r="J864" s="113"/>
      <c r="K864" s="113"/>
      <c r="L864" s="113"/>
      <c r="M864" s="113"/>
      <c r="N864" s="113"/>
      <c r="O864" s="113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</row>
    <row x14ac:dyDescent="0.25" r="865" customHeight="1" ht="15.75">
      <c r="A865" s="123"/>
      <c r="B865" s="123"/>
      <c r="C865" s="124"/>
      <c r="D865" s="124"/>
      <c r="E865" s="124"/>
      <c r="F865" s="113"/>
      <c r="G865" s="113"/>
      <c r="H865" s="113"/>
      <c r="I865" s="113"/>
      <c r="J865" s="113"/>
      <c r="K865" s="113"/>
      <c r="L865" s="113"/>
      <c r="M865" s="113"/>
      <c r="N865" s="113"/>
      <c r="O865" s="113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</row>
    <row x14ac:dyDescent="0.25" r="866" customHeight="1" ht="15.75">
      <c r="A866" s="123"/>
      <c r="B866" s="123"/>
      <c r="C866" s="124"/>
      <c r="D866" s="124"/>
      <c r="E866" s="124"/>
      <c r="F866" s="113"/>
      <c r="G866" s="113"/>
      <c r="H866" s="113"/>
      <c r="I866" s="113"/>
      <c r="J866" s="113"/>
      <c r="K866" s="113"/>
      <c r="L866" s="113"/>
      <c r="M866" s="113"/>
      <c r="N866" s="113"/>
      <c r="O866" s="113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</row>
    <row x14ac:dyDescent="0.25" r="867" customHeight="1" ht="15.75">
      <c r="A867" s="123"/>
      <c r="B867" s="123"/>
      <c r="C867" s="124"/>
      <c r="D867" s="124"/>
      <c r="E867" s="124"/>
      <c r="F867" s="113"/>
      <c r="G867" s="113"/>
      <c r="H867" s="113"/>
      <c r="I867" s="113"/>
      <c r="J867" s="113"/>
      <c r="K867" s="113"/>
      <c r="L867" s="113"/>
      <c r="M867" s="113"/>
      <c r="N867" s="113"/>
      <c r="O867" s="113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</row>
    <row x14ac:dyDescent="0.25" r="868" customHeight="1" ht="15.75">
      <c r="A868" s="123"/>
      <c r="B868" s="123"/>
      <c r="C868" s="124"/>
      <c r="D868" s="124"/>
      <c r="E868" s="124"/>
      <c r="F868" s="113"/>
      <c r="G868" s="113"/>
      <c r="H868" s="113"/>
      <c r="I868" s="113"/>
      <c r="J868" s="113"/>
      <c r="K868" s="113"/>
      <c r="L868" s="113"/>
      <c r="M868" s="113"/>
      <c r="N868" s="113"/>
      <c r="O868" s="113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</row>
    <row x14ac:dyDescent="0.25" r="869" customHeight="1" ht="15.75">
      <c r="A869" s="123"/>
      <c r="B869" s="123"/>
      <c r="C869" s="124"/>
      <c r="D869" s="124"/>
      <c r="E869" s="124"/>
      <c r="F869" s="113"/>
      <c r="G869" s="113"/>
      <c r="H869" s="113"/>
      <c r="I869" s="113"/>
      <c r="J869" s="113"/>
      <c r="K869" s="113"/>
      <c r="L869" s="113"/>
      <c r="M869" s="113"/>
      <c r="N869" s="113"/>
      <c r="O869" s="113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</row>
    <row x14ac:dyDescent="0.25" r="870" customHeight="1" ht="15.75">
      <c r="A870" s="123"/>
      <c r="B870" s="123"/>
      <c r="C870" s="124"/>
      <c r="D870" s="124"/>
      <c r="E870" s="124"/>
      <c r="F870" s="113"/>
      <c r="G870" s="113"/>
      <c r="H870" s="113"/>
      <c r="I870" s="113"/>
      <c r="J870" s="113"/>
      <c r="K870" s="113"/>
      <c r="L870" s="113"/>
      <c r="M870" s="113"/>
      <c r="N870" s="113"/>
      <c r="O870" s="113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</row>
    <row x14ac:dyDescent="0.25" r="871" customHeight="1" ht="15.75">
      <c r="A871" s="123"/>
      <c r="B871" s="123"/>
      <c r="C871" s="124"/>
      <c r="D871" s="124"/>
      <c r="E871" s="124"/>
      <c r="F871" s="113"/>
      <c r="G871" s="113"/>
      <c r="H871" s="113"/>
      <c r="I871" s="113"/>
      <c r="J871" s="113"/>
      <c r="K871" s="113"/>
      <c r="L871" s="113"/>
      <c r="M871" s="113"/>
      <c r="N871" s="113"/>
      <c r="O871" s="113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</row>
    <row x14ac:dyDescent="0.25" r="872" customHeight="1" ht="15.75">
      <c r="A872" s="123"/>
      <c r="B872" s="123"/>
      <c r="C872" s="124"/>
      <c r="D872" s="124"/>
      <c r="E872" s="124"/>
      <c r="F872" s="113"/>
      <c r="G872" s="113"/>
      <c r="H872" s="113"/>
      <c r="I872" s="113"/>
      <c r="J872" s="113"/>
      <c r="K872" s="113"/>
      <c r="L872" s="113"/>
      <c r="M872" s="113"/>
      <c r="N872" s="113"/>
      <c r="O872" s="113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</row>
    <row x14ac:dyDescent="0.25" r="873" customHeight="1" ht="15.75">
      <c r="A873" s="123"/>
      <c r="B873" s="123"/>
      <c r="C873" s="124"/>
      <c r="D873" s="124"/>
      <c r="E873" s="124"/>
      <c r="F873" s="113"/>
      <c r="G873" s="113"/>
      <c r="H873" s="113"/>
      <c r="I873" s="113"/>
      <c r="J873" s="113"/>
      <c r="K873" s="113"/>
      <c r="L873" s="113"/>
      <c r="M873" s="113"/>
      <c r="N873" s="113"/>
      <c r="O873" s="113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</row>
    <row x14ac:dyDescent="0.25" r="874" customHeight="1" ht="15.75">
      <c r="A874" s="123"/>
      <c r="B874" s="123"/>
      <c r="C874" s="124"/>
      <c r="D874" s="124"/>
      <c r="E874" s="124"/>
      <c r="F874" s="113"/>
      <c r="G874" s="113"/>
      <c r="H874" s="113"/>
      <c r="I874" s="113"/>
      <c r="J874" s="113"/>
      <c r="K874" s="113"/>
      <c r="L874" s="113"/>
      <c r="M874" s="113"/>
      <c r="N874" s="113"/>
      <c r="O874" s="113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</row>
    <row x14ac:dyDescent="0.25" r="875" customHeight="1" ht="15.75">
      <c r="A875" s="123"/>
      <c r="B875" s="123"/>
      <c r="C875" s="124"/>
      <c r="D875" s="124"/>
      <c r="E875" s="124"/>
      <c r="F875" s="113"/>
      <c r="G875" s="113"/>
      <c r="H875" s="113"/>
      <c r="I875" s="113"/>
      <c r="J875" s="113"/>
      <c r="K875" s="113"/>
      <c r="L875" s="113"/>
      <c r="M875" s="113"/>
      <c r="N875" s="113"/>
      <c r="O875" s="113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</row>
    <row x14ac:dyDescent="0.25" r="876" customHeight="1" ht="15.75">
      <c r="A876" s="123"/>
      <c r="B876" s="123"/>
      <c r="C876" s="124"/>
      <c r="D876" s="124"/>
      <c r="E876" s="124"/>
      <c r="F876" s="113"/>
      <c r="G876" s="113"/>
      <c r="H876" s="113"/>
      <c r="I876" s="113"/>
      <c r="J876" s="113"/>
      <c r="K876" s="113"/>
      <c r="L876" s="113"/>
      <c r="M876" s="113"/>
      <c r="N876" s="113"/>
      <c r="O876" s="113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</row>
    <row x14ac:dyDescent="0.25" r="877" customHeight="1" ht="15.75">
      <c r="A877" s="123"/>
      <c r="B877" s="123"/>
      <c r="C877" s="124"/>
      <c r="D877" s="124"/>
      <c r="E877" s="124"/>
      <c r="F877" s="113"/>
      <c r="G877" s="113"/>
      <c r="H877" s="113"/>
      <c r="I877" s="113"/>
      <c r="J877" s="113"/>
      <c r="K877" s="113"/>
      <c r="L877" s="113"/>
      <c r="M877" s="113"/>
      <c r="N877" s="113"/>
      <c r="O877" s="113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</row>
    <row x14ac:dyDescent="0.25" r="878" customHeight="1" ht="15.75">
      <c r="A878" s="123"/>
      <c r="B878" s="123"/>
      <c r="C878" s="124"/>
      <c r="D878" s="124"/>
      <c r="E878" s="124"/>
      <c r="F878" s="113"/>
      <c r="G878" s="113"/>
      <c r="H878" s="113"/>
      <c r="I878" s="113"/>
      <c r="J878" s="113"/>
      <c r="K878" s="113"/>
      <c r="L878" s="113"/>
      <c r="M878" s="113"/>
      <c r="N878" s="113"/>
      <c r="O878" s="113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</row>
    <row x14ac:dyDescent="0.25" r="879" customHeight="1" ht="15.75">
      <c r="A879" s="123"/>
      <c r="B879" s="123"/>
      <c r="C879" s="124"/>
      <c r="D879" s="124"/>
      <c r="E879" s="124"/>
      <c r="F879" s="113"/>
      <c r="G879" s="113"/>
      <c r="H879" s="113"/>
      <c r="I879" s="113"/>
      <c r="J879" s="113"/>
      <c r="K879" s="113"/>
      <c r="L879" s="113"/>
      <c r="M879" s="113"/>
      <c r="N879" s="113"/>
      <c r="O879" s="113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</row>
    <row x14ac:dyDescent="0.25" r="880" customHeight="1" ht="15.75">
      <c r="A880" s="123"/>
      <c r="B880" s="123"/>
      <c r="C880" s="124"/>
      <c r="D880" s="124"/>
      <c r="E880" s="124"/>
      <c r="F880" s="113"/>
      <c r="G880" s="113"/>
      <c r="H880" s="113"/>
      <c r="I880" s="113"/>
      <c r="J880" s="113"/>
      <c r="K880" s="113"/>
      <c r="L880" s="113"/>
      <c r="M880" s="113"/>
      <c r="N880" s="113"/>
      <c r="O880" s="113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</row>
    <row x14ac:dyDescent="0.25" r="881" customHeight="1" ht="15.75">
      <c r="A881" s="123"/>
      <c r="B881" s="123"/>
      <c r="C881" s="124"/>
      <c r="D881" s="124"/>
      <c r="E881" s="124"/>
      <c r="F881" s="113"/>
      <c r="G881" s="113"/>
      <c r="H881" s="113"/>
      <c r="I881" s="113"/>
      <c r="J881" s="113"/>
      <c r="K881" s="113"/>
      <c r="L881" s="113"/>
      <c r="M881" s="113"/>
      <c r="N881" s="113"/>
      <c r="O881" s="113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</row>
    <row x14ac:dyDescent="0.25" r="882" customHeight="1" ht="15.75">
      <c r="A882" s="123"/>
      <c r="B882" s="123"/>
      <c r="C882" s="124"/>
      <c r="D882" s="124"/>
      <c r="E882" s="124"/>
      <c r="F882" s="113"/>
      <c r="G882" s="113"/>
      <c r="H882" s="113"/>
      <c r="I882" s="113"/>
      <c r="J882" s="113"/>
      <c r="K882" s="113"/>
      <c r="L882" s="113"/>
      <c r="M882" s="113"/>
      <c r="N882" s="113"/>
      <c r="O882" s="113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</row>
    <row x14ac:dyDescent="0.25" r="883" customHeight="1" ht="15.75">
      <c r="A883" s="123"/>
      <c r="B883" s="123"/>
      <c r="C883" s="124"/>
      <c r="D883" s="124"/>
      <c r="E883" s="124"/>
      <c r="F883" s="113"/>
      <c r="G883" s="113"/>
      <c r="H883" s="113"/>
      <c r="I883" s="113"/>
      <c r="J883" s="113"/>
      <c r="K883" s="113"/>
      <c r="L883" s="113"/>
      <c r="M883" s="113"/>
      <c r="N883" s="113"/>
      <c r="O883" s="113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</row>
    <row x14ac:dyDescent="0.25" r="884" customHeight="1" ht="15.75">
      <c r="A884" s="123"/>
      <c r="B884" s="123"/>
      <c r="C884" s="124"/>
      <c r="D884" s="124"/>
      <c r="E884" s="124"/>
      <c r="F884" s="113"/>
      <c r="G884" s="113"/>
      <c r="H884" s="113"/>
      <c r="I884" s="113"/>
      <c r="J884" s="113"/>
      <c r="K884" s="113"/>
      <c r="L884" s="113"/>
      <c r="M884" s="113"/>
      <c r="N884" s="113"/>
      <c r="O884" s="113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</row>
    <row x14ac:dyDescent="0.25" r="885" customHeight="1" ht="15.75">
      <c r="A885" s="123"/>
      <c r="B885" s="123"/>
      <c r="C885" s="124"/>
      <c r="D885" s="124"/>
      <c r="E885" s="124"/>
      <c r="F885" s="113"/>
      <c r="G885" s="113"/>
      <c r="H885" s="113"/>
      <c r="I885" s="113"/>
      <c r="J885" s="113"/>
      <c r="K885" s="113"/>
      <c r="L885" s="113"/>
      <c r="M885" s="113"/>
      <c r="N885" s="113"/>
      <c r="O885" s="113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</row>
    <row x14ac:dyDescent="0.25" r="886" customHeight="1" ht="15.75">
      <c r="A886" s="123"/>
      <c r="B886" s="123"/>
      <c r="C886" s="124"/>
      <c r="D886" s="124"/>
      <c r="E886" s="124"/>
      <c r="F886" s="113"/>
      <c r="G886" s="113"/>
      <c r="H886" s="113"/>
      <c r="I886" s="113"/>
      <c r="J886" s="113"/>
      <c r="K886" s="113"/>
      <c r="L886" s="113"/>
      <c r="M886" s="113"/>
      <c r="N886" s="113"/>
      <c r="O886" s="113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</row>
    <row x14ac:dyDescent="0.25" r="887" customHeight="1" ht="15.75">
      <c r="A887" s="123"/>
      <c r="B887" s="123"/>
      <c r="C887" s="124"/>
      <c r="D887" s="124"/>
      <c r="E887" s="124"/>
      <c r="F887" s="113"/>
      <c r="G887" s="113"/>
      <c r="H887" s="113"/>
      <c r="I887" s="113"/>
      <c r="J887" s="113"/>
      <c r="K887" s="113"/>
      <c r="L887" s="113"/>
      <c r="M887" s="113"/>
      <c r="N887" s="113"/>
      <c r="O887" s="113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</row>
    <row x14ac:dyDescent="0.25" r="888" customHeight="1" ht="15.75">
      <c r="A888" s="123"/>
      <c r="B888" s="123"/>
      <c r="C888" s="124"/>
      <c r="D888" s="124"/>
      <c r="E888" s="124"/>
      <c r="F888" s="113"/>
      <c r="G888" s="113"/>
      <c r="H888" s="113"/>
      <c r="I888" s="113"/>
      <c r="J888" s="113"/>
      <c r="K888" s="113"/>
      <c r="L888" s="113"/>
      <c r="M888" s="113"/>
      <c r="N888" s="113"/>
      <c r="O888" s="113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</row>
    <row x14ac:dyDescent="0.25" r="889" customHeight="1" ht="15.75">
      <c r="A889" s="123"/>
      <c r="B889" s="123"/>
      <c r="C889" s="124"/>
      <c r="D889" s="124"/>
      <c r="E889" s="124"/>
      <c r="F889" s="113"/>
      <c r="G889" s="113"/>
      <c r="H889" s="113"/>
      <c r="I889" s="113"/>
      <c r="J889" s="113"/>
      <c r="K889" s="113"/>
      <c r="L889" s="113"/>
      <c r="M889" s="113"/>
      <c r="N889" s="113"/>
      <c r="O889" s="113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</row>
    <row x14ac:dyDescent="0.25" r="890" customHeight="1" ht="15.75">
      <c r="A890" s="123"/>
      <c r="B890" s="123"/>
      <c r="C890" s="124"/>
      <c r="D890" s="124"/>
      <c r="E890" s="124"/>
      <c r="F890" s="113"/>
      <c r="G890" s="113"/>
      <c r="H890" s="113"/>
      <c r="I890" s="113"/>
      <c r="J890" s="113"/>
      <c r="K890" s="113"/>
      <c r="L890" s="113"/>
      <c r="M890" s="113"/>
      <c r="N890" s="113"/>
      <c r="O890" s="113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</row>
    <row x14ac:dyDescent="0.25" r="891" customHeight="1" ht="15.75">
      <c r="A891" s="123"/>
      <c r="B891" s="123"/>
      <c r="C891" s="124"/>
      <c r="D891" s="124"/>
      <c r="E891" s="124"/>
      <c r="F891" s="113"/>
      <c r="G891" s="113"/>
      <c r="H891" s="113"/>
      <c r="I891" s="113"/>
      <c r="J891" s="113"/>
      <c r="K891" s="113"/>
      <c r="L891" s="113"/>
      <c r="M891" s="113"/>
      <c r="N891" s="113"/>
      <c r="O891" s="113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</row>
    <row x14ac:dyDescent="0.25" r="892" customHeight="1" ht="15.75">
      <c r="A892" s="123"/>
      <c r="B892" s="123"/>
      <c r="C892" s="124"/>
      <c r="D892" s="124"/>
      <c r="E892" s="124"/>
      <c r="F892" s="113"/>
      <c r="G892" s="113"/>
      <c r="H892" s="113"/>
      <c r="I892" s="113"/>
      <c r="J892" s="113"/>
      <c r="K892" s="113"/>
      <c r="L892" s="113"/>
      <c r="M892" s="113"/>
      <c r="N892" s="113"/>
      <c r="O892" s="113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</row>
    <row x14ac:dyDescent="0.25" r="893" customHeight="1" ht="15.75">
      <c r="A893" s="123"/>
      <c r="B893" s="123"/>
      <c r="C893" s="124"/>
      <c r="D893" s="124"/>
      <c r="E893" s="124"/>
      <c r="F893" s="113"/>
      <c r="G893" s="113"/>
      <c r="H893" s="113"/>
      <c r="I893" s="113"/>
      <c r="J893" s="113"/>
      <c r="K893" s="113"/>
      <c r="L893" s="113"/>
      <c r="M893" s="113"/>
      <c r="N893" s="113"/>
      <c r="O893" s="113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</row>
    <row x14ac:dyDescent="0.25" r="894" customHeight="1" ht="15.75">
      <c r="A894" s="123"/>
      <c r="B894" s="123"/>
      <c r="C894" s="124"/>
      <c r="D894" s="124"/>
      <c r="E894" s="124"/>
      <c r="F894" s="113"/>
      <c r="G894" s="113"/>
      <c r="H894" s="113"/>
      <c r="I894" s="113"/>
      <c r="J894" s="113"/>
      <c r="K894" s="113"/>
      <c r="L894" s="113"/>
      <c r="M894" s="113"/>
      <c r="N894" s="113"/>
      <c r="O894" s="113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</row>
    <row x14ac:dyDescent="0.25" r="895" customHeight="1" ht="15.75">
      <c r="A895" s="123"/>
      <c r="B895" s="123"/>
      <c r="C895" s="124"/>
      <c r="D895" s="124"/>
      <c r="E895" s="124"/>
      <c r="F895" s="113"/>
      <c r="G895" s="113"/>
      <c r="H895" s="113"/>
      <c r="I895" s="113"/>
      <c r="J895" s="113"/>
      <c r="K895" s="113"/>
      <c r="L895" s="113"/>
      <c r="M895" s="113"/>
      <c r="N895" s="113"/>
      <c r="O895" s="113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</row>
    <row x14ac:dyDescent="0.25" r="896" customHeight="1" ht="15.75">
      <c r="A896" s="123"/>
      <c r="B896" s="123"/>
      <c r="C896" s="124"/>
      <c r="D896" s="124"/>
      <c r="E896" s="124"/>
      <c r="F896" s="113"/>
      <c r="G896" s="113"/>
      <c r="H896" s="113"/>
      <c r="I896" s="113"/>
      <c r="J896" s="113"/>
      <c r="K896" s="113"/>
      <c r="L896" s="113"/>
      <c r="M896" s="113"/>
      <c r="N896" s="113"/>
      <c r="O896" s="113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</row>
    <row x14ac:dyDescent="0.25" r="897" customHeight="1" ht="15.75">
      <c r="A897" s="123"/>
      <c r="B897" s="123"/>
      <c r="C897" s="124"/>
      <c r="D897" s="124"/>
      <c r="E897" s="124"/>
      <c r="F897" s="113"/>
      <c r="G897" s="113"/>
      <c r="H897" s="113"/>
      <c r="I897" s="113"/>
      <c r="J897" s="113"/>
      <c r="K897" s="113"/>
      <c r="L897" s="113"/>
      <c r="M897" s="113"/>
      <c r="N897" s="113"/>
      <c r="O897" s="113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</row>
    <row x14ac:dyDescent="0.25" r="898" customHeight="1" ht="15.75">
      <c r="A898" s="123"/>
      <c r="B898" s="123"/>
      <c r="C898" s="124"/>
      <c r="D898" s="124"/>
      <c r="E898" s="124"/>
      <c r="F898" s="113"/>
      <c r="G898" s="113"/>
      <c r="H898" s="113"/>
      <c r="I898" s="113"/>
      <c r="J898" s="113"/>
      <c r="K898" s="113"/>
      <c r="L898" s="113"/>
      <c r="M898" s="113"/>
      <c r="N898" s="113"/>
      <c r="O898" s="113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</row>
    <row x14ac:dyDescent="0.25" r="899" customHeight="1" ht="15.75">
      <c r="A899" s="123"/>
      <c r="B899" s="123"/>
      <c r="C899" s="124"/>
      <c r="D899" s="124"/>
      <c r="E899" s="124"/>
      <c r="F899" s="113"/>
      <c r="G899" s="113"/>
      <c r="H899" s="113"/>
      <c r="I899" s="113"/>
      <c r="J899" s="113"/>
      <c r="K899" s="113"/>
      <c r="L899" s="113"/>
      <c r="M899" s="113"/>
      <c r="N899" s="113"/>
      <c r="O899" s="113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</row>
    <row x14ac:dyDescent="0.25" r="900" customHeight="1" ht="15.75">
      <c r="A900" s="123"/>
      <c r="B900" s="123"/>
      <c r="C900" s="124"/>
      <c r="D900" s="124"/>
      <c r="E900" s="124"/>
      <c r="F900" s="113"/>
      <c r="G900" s="113"/>
      <c r="H900" s="113"/>
      <c r="I900" s="113"/>
      <c r="J900" s="113"/>
      <c r="K900" s="113"/>
      <c r="L900" s="113"/>
      <c r="M900" s="113"/>
      <c r="N900" s="113"/>
      <c r="O900" s="113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</row>
    <row x14ac:dyDescent="0.25" r="901" customHeight="1" ht="15.75">
      <c r="A901" s="123"/>
      <c r="B901" s="123"/>
      <c r="C901" s="124"/>
      <c r="D901" s="124"/>
      <c r="E901" s="124"/>
      <c r="F901" s="113"/>
      <c r="G901" s="113"/>
      <c r="H901" s="113"/>
      <c r="I901" s="113"/>
      <c r="J901" s="113"/>
      <c r="K901" s="113"/>
      <c r="L901" s="113"/>
      <c r="M901" s="113"/>
      <c r="N901" s="113"/>
      <c r="O901" s="113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</row>
    <row x14ac:dyDescent="0.25" r="902" customHeight="1" ht="15.75">
      <c r="A902" s="123"/>
      <c r="B902" s="123"/>
      <c r="C902" s="124"/>
      <c r="D902" s="124"/>
      <c r="E902" s="124"/>
      <c r="F902" s="113"/>
      <c r="G902" s="113"/>
      <c r="H902" s="113"/>
      <c r="I902" s="113"/>
      <c r="J902" s="113"/>
      <c r="K902" s="113"/>
      <c r="L902" s="113"/>
      <c r="M902" s="113"/>
      <c r="N902" s="113"/>
      <c r="O902" s="113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</row>
    <row x14ac:dyDescent="0.25" r="903" customHeight="1" ht="15.75">
      <c r="A903" s="123"/>
      <c r="B903" s="123"/>
      <c r="C903" s="124"/>
      <c r="D903" s="124"/>
      <c r="E903" s="124"/>
      <c r="F903" s="113"/>
      <c r="G903" s="113"/>
      <c r="H903" s="113"/>
      <c r="I903" s="113"/>
      <c r="J903" s="113"/>
      <c r="K903" s="113"/>
      <c r="L903" s="113"/>
      <c r="M903" s="113"/>
      <c r="N903" s="113"/>
      <c r="O903" s="113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</row>
    <row x14ac:dyDescent="0.25" r="904" customHeight="1" ht="15.75">
      <c r="A904" s="123"/>
      <c r="B904" s="123"/>
      <c r="C904" s="124"/>
      <c r="D904" s="124"/>
      <c r="E904" s="124"/>
      <c r="F904" s="113"/>
      <c r="G904" s="113"/>
      <c r="H904" s="113"/>
      <c r="I904" s="113"/>
      <c r="J904" s="113"/>
      <c r="K904" s="113"/>
      <c r="L904" s="113"/>
      <c r="M904" s="113"/>
      <c r="N904" s="113"/>
      <c r="O904" s="113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</row>
    <row x14ac:dyDescent="0.25" r="905" customHeight="1" ht="15.75">
      <c r="A905" s="123"/>
      <c r="B905" s="123"/>
      <c r="C905" s="124"/>
      <c r="D905" s="124"/>
      <c r="E905" s="124"/>
      <c r="F905" s="113"/>
      <c r="G905" s="113"/>
      <c r="H905" s="113"/>
      <c r="I905" s="113"/>
      <c r="J905" s="113"/>
      <c r="K905" s="113"/>
      <c r="L905" s="113"/>
      <c r="M905" s="113"/>
      <c r="N905" s="113"/>
      <c r="O905" s="113"/>
      <c r="P905" s="113"/>
      <c r="Q905" s="113"/>
      <c r="R905" s="113"/>
      <c r="S905" s="113"/>
      <c r="T905" s="113"/>
      <c r="U905" s="113"/>
      <c r="V905" s="113"/>
      <c r="W905" s="113"/>
      <c r="X905" s="113"/>
      <c r="Y905" s="113"/>
      <c r="Z905" s="113"/>
    </row>
    <row x14ac:dyDescent="0.25" r="906" customHeight="1" ht="15.75">
      <c r="A906" s="123"/>
      <c r="B906" s="123"/>
      <c r="C906" s="124"/>
      <c r="D906" s="124"/>
      <c r="E906" s="124"/>
      <c r="F906" s="113"/>
      <c r="G906" s="113"/>
      <c r="H906" s="113"/>
      <c r="I906" s="113"/>
      <c r="J906" s="113"/>
      <c r="K906" s="113"/>
      <c r="L906" s="113"/>
      <c r="M906" s="113"/>
      <c r="N906" s="113"/>
      <c r="O906" s="113"/>
      <c r="P906" s="113"/>
      <c r="Q906" s="113"/>
      <c r="R906" s="113"/>
      <c r="S906" s="113"/>
      <c r="T906" s="113"/>
      <c r="U906" s="113"/>
      <c r="V906" s="113"/>
      <c r="W906" s="113"/>
      <c r="X906" s="113"/>
      <c r="Y906" s="113"/>
      <c r="Z906" s="113"/>
    </row>
    <row x14ac:dyDescent="0.25" r="907" customHeight="1" ht="15.75">
      <c r="A907" s="123"/>
      <c r="B907" s="123"/>
      <c r="C907" s="124"/>
      <c r="D907" s="124"/>
      <c r="E907" s="124"/>
      <c r="F907" s="113"/>
      <c r="G907" s="113"/>
      <c r="H907" s="113"/>
      <c r="I907" s="113"/>
      <c r="J907" s="113"/>
      <c r="K907" s="113"/>
      <c r="L907" s="113"/>
      <c r="M907" s="113"/>
      <c r="N907" s="113"/>
      <c r="O907" s="113"/>
      <c r="P907" s="113"/>
      <c r="Q907" s="113"/>
      <c r="R907" s="113"/>
      <c r="S907" s="113"/>
      <c r="T907" s="113"/>
      <c r="U907" s="113"/>
      <c r="V907" s="113"/>
      <c r="W907" s="113"/>
      <c r="X907" s="113"/>
      <c r="Y907" s="113"/>
      <c r="Z907" s="113"/>
    </row>
    <row x14ac:dyDescent="0.25" r="908" customHeight="1" ht="15.75">
      <c r="A908" s="123"/>
      <c r="B908" s="123"/>
      <c r="C908" s="124"/>
      <c r="D908" s="124"/>
      <c r="E908" s="124"/>
      <c r="F908" s="113"/>
      <c r="G908" s="113"/>
      <c r="H908" s="113"/>
      <c r="I908" s="113"/>
      <c r="J908" s="113"/>
      <c r="K908" s="113"/>
      <c r="L908" s="113"/>
      <c r="M908" s="113"/>
      <c r="N908" s="113"/>
      <c r="O908" s="113"/>
      <c r="P908" s="113"/>
      <c r="Q908" s="113"/>
      <c r="R908" s="113"/>
      <c r="S908" s="113"/>
      <c r="T908" s="113"/>
      <c r="U908" s="113"/>
      <c r="V908" s="113"/>
      <c r="W908" s="113"/>
      <c r="X908" s="113"/>
      <c r="Y908" s="113"/>
      <c r="Z908" s="113"/>
    </row>
    <row x14ac:dyDescent="0.25" r="909" customHeight="1" ht="15.75">
      <c r="A909" s="123"/>
      <c r="B909" s="123"/>
      <c r="C909" s="124"/>
      <c r="D909" s="124"/>
      <c r="E909" s="124"/>
      <c r="F909" s="113"/>
      <c r="G909" s="113"/>
      <c r="H909" s="113"/>
      <c r="I909" s="113"/>
      <c r="J909" s="113"/>
      <c r="K909" s="113"/>
      <c r="L909" s="113"/>
      <c r="M909" s="113"/>
      <c r="N909" s="113"/>
      <c r="O909" s="113"/>
      <c r="P909" s="113"/>
      <c r="Q909" s="113"/>
      <c r="R909" s="113"/>
      <c r="S909" s="113"/>
      <c r="T909" s="113"/>
      <c r="U909" s="113"/>
      <c r="V909" s="113"/>
      <c r="W909" s="113"/>
      <c r="X909" s="113"/>
      <c r="Y909" s="113"/>
      <c r="Z909" s="113"/>
    </row>
    <row x14ac:dyDescent="0.25" r="910" customHeight="1" ht="15.75">
      <c r="A910" s="123"/>
      <c r="B910" s="123"/>
      <c r="C910" s="124"/>
      <c r="D910" s="124"/>
      <c r="E910" s="124"/>
      <c r="F910" s="113"/>
      <c r="G910" s="113"/>
      <c r="H910" s="113"/>
      <c r="I910" s="113"/>
      <c r="J910" s="113"/>
      <c r="K910" s="113"/>
      <c r="L910" s="113"/>
      <c r="M910" s="113"/>
      <c r="N910" s="113"/>
      <c r="O910" s="113"/>
      <c r="P910" s="113"/>
      <c r="Q910" s="113"/>
      <c r="R910" s="113"/>
      <c r="S910" s="113"/>
      <c r="T910" s="113"/>
      <c r="U910" s="113"/>
      <c r="V910" s="113"/>
      <c r="W910" s="113"/>
      <c r="X910" s="113"/>
      <c r="Y910" s="113"/>
      <c r="Z910" s="113"/>
    </row>
    <row x14ac:dyDescent="0.25" r="911" customHeight="1" ht="15.75">
      <c r="A911" s="123"/>
      <c r="B911" s="123"/>
      <c r="C911" s="124"/>
      <c r="D911" s="124"/>
      <c r="E911" s="124"/>
      <c r="F911" s="113"/>
      <c r="G911" s="113"/>
      <c r="H911" s="113"/>
      <c r="I911" s="113"/>
      <c r="J911" s="113"/>
      <c r="K911" s="113"/>
      <c r="L911" s="113"/>
      <c r="M911" s="113"/>
      <c r="N911" s="113"/>
      <c r="O911" s="113"/>
      <c r="P911" s="113"/>
      <c r="Q911" s="113"/>
      <c r="R911" s="113"/>
      <c r="S911" s="113"/>
      <c r="T911" s="113"/>
      <c r="U911" s="113"/>
      <c r="V911" s="113"/>
      <c r="W911" s="113"/>
      <c r="X911" s="113"/>
      <c r="Y911" s="113"/>
      <c r="Z911" s="113"/>
    </row>
    <row x14ac:dyDescent="0.25" r="912" customHeight="1" ht="15.75">
      <c r="A912" s="123"/>
      <c r="B912" s="123"/>
      <c r="C912" s="124"/>
      <c r="D912" s="124"/>
      <c r="E912" s="124"/>
      <c r="F912" s="113"/>
      <c r="G912" s="113"/>
      <c r="H912" s="113"/>
      <c r="I912" s="113"/>
      <c r="J912" s="113"/>
      <c r="K912" s="113"/>
      <c r="L912" s="113"/>
      <c r="M912" s="113"/>
      <c r="N912" s="113"/>
      <c r="O912" s="113"/>
      <c r="P912" s="113"/>
      <c r="Q912" s="113"/>
      <c r="R912" s="113"/>
      <c r="S912" s="113"/>
      <c r="T912" s="113"/>
      <c r="U912" s="113"/>
      <c r="V912" s="113"/>
      <c r="W912" s="113"/>
      <c r="X912" s="113"/>
      <c r="Y912" s="113"/>
      <c r="Z912" s="113"/>
    </row>
    <row x14ac:dyDescent="0.25" r="913" customHeight="1" ht="15.75">
      <c r="A913" s="123"/>
      <c r="B913" s="123"/>
      <c r="C913" s="124"/>
      <c r="D913" s="124"/>
      <c r="E913" s="124"/>
      <c r="F913" s="113"/>
      <c r="G913" s="113"/>
      <c r="H913" s="113"/>
      <c r="I913" s="113"/>
      <c r="J913" s="113"/>
      <c r="K913" s="113"/>
      <c r="L913" s="113"/>
      <c r="M913" s="113"/>
      <c r="N913" s="113"/>
      <c r="O913" s="113"/>
      <c r="P913" s="113"/>
      <c r="Q913" s="113"/>
      <c r="R913" s="113"/>
      <c r="S913" s="113"/>
      <c r="T913" s="113"/>
      <c r="U913" s="113"/>
      <c r="V913" s="113"/>
      <c r="W913" s="113"/>
      <c r="X913" s="113"/>
      <c r="Y913" s="113"/>
      <c r="Z913" s="113"/>
    </row>
    <row x14ac:dyDescent="0.25" r="914" customHeight="1" ht="15.75">
      <c r="A914" s="123"/>
      <c r="B914" s="123"/>
      <c r="C914" s="124"/>
      <c r="D914" s="124"/>
      <c r="E914" s="124"/>
      <c r="F914" s="113"/>
      <c r="G914" s="113"/>
      <c r="H914" s="113"/>
      <c r="I914" s="113"/>
      <c r="J914" s="113"/>
      <c r="K914" s="113"/>
      <c r="L914" s="113"/>
      <c r="M914" s="113"/>
      <c r="N914" s="113"/>
      <c r="O914" s="113"/>
      <c r="P914" s="113"/>
      <c r="Q914" s="113"/>
      <c r="R914" s="113"/>
      <c r="S914" s="113"/>
      <c r="T914" s="113"/>
      <c r="U914" s="113"/>
      <c r="V914" s="113"/>
      <c r="W914" s="113"/>
      <c r="X914" s="113"/>
      <c r="Y914" s="113"/>
      <c r="Z914" s="113"/>
    </row>
    <row x14ac:dyDescent="0.25" r="915" customHeight="1" ht="15.75">
      <c r="A915" s="123"/>
      <c r="B915" s="123"/>
      <c r="C915" s="124"/>
      <c r="D915" s="124"/>
      <c r="E915" s="124"/>
      <c r="F915" s="113"/>
      <c r="G915" s="113"/>
      <c r="H915" s="113"/>
      <c r="I915" s="113"/>
      <c r="J915" s="113"/>
      <c r="K915" s="113"/>
      <c r="L915" s="113"/>
      <c r="M915" s="113"/>
      <c r="N915" s="113"/>
      <c r="O915" s="113"/>
      <c r="P915" s="113"/>
      <c r="Q915" s="113"/>
      <c r="R915" s="113"/>
      <c r="S915" s="113"/>
      <c r="T915" s="113"/>
      <c r="U915" s="113"/>
      <c r="V915" s="113"/>
      <c r="W915" s="113"/>
      <c r="X915" s="113"/>
      <c r="Y915" s="113"/>
      <c r="Z915" s="113"/>
    </row>
    <row x14ac:dyDescent="0.25" r="916" customHeight="1" ht="15.75">
      <c r="A916" s="123"/>
      <c r="B916" s="123"/>
      <c r="C916" s="124"/>
      <c r="D916" s="124"/>
      <c r="E916" s="124"/>
      <c r="F916" s="113"/>
      <c r="G916" s="113"/>
      <c r="H916" s="113"/>
      <c r="I916" s="113"/>
      <c r="J916" s="113"/>
      <c r="K916" s="113"/>
      <c r="L916" s="113"/>
      <c r="M916" s="113"/>
      <c r="N916" s="113"/>
      <c r="O916" s="113"/>
      <c r="P916" s="113"/>
      <c r="Q916" s="113"/>
      <c r="R916" s="113"/>
      <c r="S916" s="113"/>
      <c r="T916" s="113"/>
      <c r="U916" s="113"/>
      <c r="V916" s="113"/>
      <c r="W916" s="113"/>
      <c r="X916" s="113"/>
      <c r="Y916" s="113"/>
      <c r="Z916" s="113"/>
    </row>
    <row x14ac:dyDescent="0.25" r="917" customHeight="1" ht="15.75">
      <c r="A917" s="123"/>
      <c r="B917" s="123"/>
      <c r="C917" s="124"/>
      <c r="D917" s="124"/>
      <c r="E917" s="124"/>
      <c r="F917" s="113"/>
      <c r="G917" s="113"/>
      <c r="H917" s="113"/>
      <c r="I917" s="113"/>
      <c r="J917" s="113"/>
      <c r="K917" s="113"/>
      <c r="L917" s="113"/>
      <c r="M917" s="113"/>
      <c r="N917" s="113"/>
      <c r="O917" s="113"/>
      <c r="P917" s="113"/>
      <c r="Q917" s="113"/>
      <c r="R917" s="113"/>
      <c r="S917" s="113"/>
      <c r="T917" s="113"/>
      <c r="U917" s="113"/>
      <c r="V917" s="113"/>
      <c r="W917" s="113"/>
      <c r="X917" s="113"/>
      <c r="Y917" s="113"/>
      <c r="Z917" s="113"/>
    </row>
    <row x14ac:dyDescent="0.25" r="918" customHeight="1" ht="15.75">
      <c r="A918" s="123"/>
      <c r="B918" s="123"/>
      <c r="C918" s="124"/>
      <c r="D918" s="124"/>
      <c r="E918" s="124"/>
      <c r="F918" s="113"/>
      <c r="G918" s="113"/>
      <c r="H918" s="113"/>
      <c r="I918" s="113"/>
      <c r="J918" s="113"/>
      <c r="K918" s="113"/>
      <c r="L918" s="113"/>
      <c r="M918" s="113"/>
      <c r="N918" s="113"/>
      <c r="O918" s="113"/>
      <c r="P918" s="113"/>
      <c r="Q918" s="113"/>
      <c r="R918" s="113"/>
      <c r="S918" s="113"/>
      <c r="T918" s="113"/>
      <c r="U918" s="113"/>
      <c r="V918" s="113"/>
      <c r="W918" s="113"/>
      <c r="X918" s="113"/>
      <c r="Y918" s="113"/>
      <c r="Z918" s="113"/>
    </row>
    <row x14ac:dyDescent="0.25" r="919" customHeight="1" ht="15.75">
      <c r="A919" s="123"/>
      <c r="B919" s="123"/>
      <c r="C919" s="124"/>
      <c r="D919" s="124"/>
      <c r="E919" s="124"/>
      <c r="F919" s="113"/>
      <c r="G919" s="113"/>
      <c r="H919" s="113"/>
      <c r="I919" s="113"/>
      <c r="J919" s="113"/>
      <c r="K919" s="113"/>
      <c r="L919" s="113"/>
      <c r="M919" s="113"/>
      <c r="N919" s="113"/>
      <c r="O919" s="113"/>
      <c r="P919" s="113"/>
      <c r="Q919" s="113"/>
      <c r="R919" s="113"/>
      <c r="S919" s="113"/>
      <c r="T919" s="113"/>
      <c r="U919" s="113"/>
      <c r="V919" s="113"/>
      <c r="W919" s="113"/>
      <c r="X919" s="113"/>
      <c r="Y919" s="113"/>
      <c r="Z919" s="113"/>
    </row>
    <row x14ac:dyDescent="0.25" r="920" customHeight="1" ht="15.75">
      <c r="A920" s="123"/>
      <c r="B920" s="123"/>
      <c r="C920" s="124"/>
      <c r="D920" s="124"/>
      <c r="E920" s="124"/>
      <c r="F920" s="113"/>
      <c r="G920" s="113"/>
      <c r="H920" s="113"/>
      <c r="I920" s="113"/>
      <c r="J920" s="113"/>
      <c r="K920" s="113"/>
      <c r="L920" s="113"/>
      <c r="M920" s="113"/>
      <c r="N920" s="113"/>
      <c r="O920" s="113"/>
      <c r="P920" s="113"/>
      <c r="Q920" s="113"/>
      <c r="R920" s="113"/>
      <c r="S920" s="113"/>
      <c r="T920" s="113"/>
      <c r="U920" s="113"/>
      <c r="V920" s="113"/>
      <c r="W920" s="113"/>
      <c r="X920" s="113"/>
      <c r="Y920" s="113"/>
      <c r="Z920" s="113"/>
    </row>
    <row x14ac:dyDescent="0.25" r="921" customHeight="1" ht="15.75">
      <c r="A921" s="123"/>
      <c r="B921" s="123"/>
      <c r="C921" s="124"/>
      <c r="D921" s="124"/>
      <c r="E921" s="124"/>
      <c r="F921" s="113"/>
      <c r="G921" s="113"/>
      <c r="H921" s="113"/>
      <c r="I921" s="113"/>
      <c r="J921" s="113"/>
      <c r="K921" s="113"/>
      <c r="L921" s="113"/>
      <c r="M921" s="113"/>
      <c r="N921" s="113"/>
      <c r="O921" s="113"/>
      <c r="P921" s="113"/>
      <c r="Q921" s="113"/>
      <c r="R921" s="113"/>
      <c r="S921" s="113"/>
      <c r="T921" s="113"/>
      <c r="U921" s="113"/>
      <c r="V921" s="113"/>
      <c r="W921" s="113"/>
      <c r="X921" s="113"/>
      <c r="Y921" s="113"/>
      <c r="Z921" s="113"/>
    </row>
    <row x14ac:dyDescent="0.25" r="922" customHeight="1" ht="15.75">
      <c r="A922" s="123"/>
      <c r="B922" s="123"/>
      <c r="C922" s="124"/>
      <c r="D922" s="124"/>
      <c r="E922" s="124"/>
      <c r="F922" s="113"/>
      <c r="G922" s="113"/>
      <c r="H922" s="113"/>
      <c r="I922" s="113"/>
      <c r="J922" s="113"/>
      <c r="K922" s="113"/>
      <c r="L922" s="113"/>
      <c r="M922" s="113"/>
      <c r="N922" s="113"/>
      <c r="O922" s="113"/>
      <c r="P922" s="113"/>
      <c r="Q922" s="113"/>
      <c r="R922" s="113"/>
      <c r="S922" s="113"/>
      <c r="T922" s="113"/>
      <c r="U922" s="113"/>
      <c r="V922" s="113"/>
      <c r="W922" s="113"/>
      <c r="X922" s="113"/>
      <c r="Y922" s="113"/>
      <c r="Z922" s="113"/>
    </row>
    <row x14ac:dyDescent="0.25" r="923" customHeight="1" ht="15.75">
      <c r="A923" s="123"/>
      <c r="B923" s="123"/>
      <c r="C923" s="124"/>
      <c r="D923" s="124"/>
      <c r="E923" s="124"/>
      <c r="F923" s="113"/>
      <c r="G923" s="113"/>
      <c r="H923" s="113"/>
      <c r="I923" s="113"/>
      <c r="J923" s="113"/>
      <c r="K923" s="113"/>
      <c r="L923" s="113"/>
      <c r="M923" s="113"/>
      <c r="N923" s="113"/>
      <c r="O923" s="113"/>
      <c r="P923" s="113"/>
      <c r="Q923" s="113"/>
      <c r="R923" s="113"/>
      <c r="S923" s="113"/>
      <c r="T923" s="113"/>
      <c r="U923" s="113"/>
      <c r="V923" s="113"/>
      <c r="W923" s="113"/>
      <c r="X923" s="113"/>
      <c r="Y923" s="113"/>
      <c r="Z923" s="113"/>
    </row>
    <row x14ac:dyDescent="0.25" r="924" customHeight="1" ht="15.75">
      <c r="A924" s="123"/>
      <c r="B924" s="123"/>
      <c r="C924" s="124"/>
      <c r="D924" s="124"/>
      <c r="E924" s="124"/>
      <c r="F924" s="113"/>
      <c r="G924" s="113"/>
      <c r="H924" s="113"/>
      <c r="I924" s="113"/>
      <c r="J924" s="113"/>
      <c r="K924" s="113"/>
      <c r="L924" s="113"/>
      <c r="M924" s="113"/>
      <c r="N924" s="113"/>
      <c r="O924" s="113"/>
      <c r="P924" s="113"/>
      <c r="Q924" s="113"/>
      <c r="R924" s="113"/>
      <c r="S924" s="113"/>
      <c r="T924" s="113"/>
      <c r="U924" s="113"/>
      <c r="V924" s="113"/>
      <c r="W924" s="113"/>
      <c r="X924" s="113"/>
      <c r="Y924" s="113"/>
      <c r="Z924" s="113"/>
    </row>
    <row x14ac:dyDescent="0.25" r="925" customHeight="1" ht="15.75">
      <c r="A925" s="123"/>
      <c r="B925" s="123"/>
      <c r="C925" s="124"/>
      <c r="D925" s="124"/>
      <c r="E925" s="124"/>
      <c r="F925" s="113"/>
      <c r="G925" s="113"/>
      <c r="H925" s="113"/>
      <c r="I925" s="113"/>
      <c r="J925" s="113"/>
      <c r="K925" s="113"/>
      <c r="L925" s="113"/>
      <c r="M925" s="113"/>
      <c r="N925" s="113"/>
      <c r="O925" s="113"/>
      <c r="P925" s="113"/>
      <c r="Q925" s="113"/>
      <c r="R925" s="113"/>
      <c r="S925" s="113"/>
      <c r="T925" s="113"/>
      <c r="U925" s="113"/>
      <c r="V925" s="113"/>
      <c r="W925" s="113"/>
      <c r="X925" s="113"/>
      <c r="Y925" s="113"/>
      <c r="Z925" s="113"/>
    </row>
    <row x14ac:dyDescent="0.25" r="926" customHeight="1" ht="15.75">
      <c r="A926" s="123"/>
      <c r="B926" s="123"/>
      <c r="C926" s="124"/>
      <c r="D926" s="124"/>
      <c r="E926" s="124"/>
      <c r="F926" s="113"/>
      <c r="G926" s="113"/>
      <c r="H926" s="113"/>
      <c r="I926" s="113"/>
      <c r="J926" s="113"/>
      <c r="K926" s="113"/>
      <c r="L926" s="113"/>
      <c r="M926" s="113"/>
      <c r="N926" s="113"/>
      <c r="O926" s="113"/>
      <c r="P926" s="113"/>
      <c r="Q926" s="113"/>
      <c r="R926" s="113"/>
      <c r="S926" s="113"/>
      <c r="T926" s="113"/>
      <c r="U926" s="113"/>
      <c r="V926" s="113"/>
      <c r="W926" s="113"/>
      <c r="X926" s="113"/>
      <c r="Y926" s="113"/>
      <c r="Z926" s="113"/>
    </row>
    <row x14ac:dyDescent="0.25" r="927" customHeight="1" ht="15.75">
      <c r="A927" s="123"/>
      <c r="B927" s="123"/>
      <c r="C927" s="124"/>
      <c r="D927" s="124"/>
      <c r="E927" s="124"/>
      <c r="F927" s="113"/>
      <c r="G927" s="113"/>
      <c r="H927" s="113"/>
      <c r="I927" s="113"/>
      <c r="J927" s="113"/>
      <c r="K927" s="113"/>
      <c r="L927" s="113"/>
      <c r="M927" s="113"/>
      <c r="N927" s="113"/>
      <c r="O927" s="113"/>
      <c r="P927" s="113"/>
      <c r="Q927" s="113"/>
      <c r="R927" s="113"/>
      <c r="S927" s="113"/>
      <c r="T927" s="113"/>
      <c r="U927" s="113"/>
      <c r="V927" s="113"/>
      <c r="W927" s="113"/>
      <c r="X927" s="113"/>
      <c r="Y927" s="113"/>
      <c r="Z927" s="113"/>
    </row>
    <row x14ac:dyDescent="0.25" r="928" customHeight="1" ht="15.75">
      <c r="A928" s="123"/>
      <c r="B928" s="123"/>
      <c r="C928" s="124"/>
      <c r="D928" s="124"/>
      <c r="E928" s="124"/>
      <c r="F928" s="113"/>
      <c r="G928" s="113"/>
      <c r="H928" s="113"/>
      <c r="I928" s="113"/>
      <c r="J928" s="113"/>
      <c r="K928" s="113"/>
      <c r="L928" s="113"/>
      <c r="M928" s="113"/>
      <c r="N928" s="113"/>
      <c r="O928" s="113"/>
      <c r="P928" s="113"/>
      <c r="Q928" s="113"/>
      <c r="R928" s="113"/>
      <c r="S928" s="113"/>
      <c r="T928" s="113"/>
      <c r="U928" s="113"/>
      <c r="V928" s="113"/>
      <c r="W928" s="113"/>
      <c r="X928" s="113"/>
      <c r="Y928" s="113"/>
      <c r="Z928" s="113"/>
    </row>
    <row x14ac:dyDescent="0.25" r="929" customHeight="1" ht="15.75">
      <c r="A929" s="123"/>
      <c r="B929" s="123"/>
      <c r="C929" s="124"/>
      <c r="D929" s="124"/>
      <c r="E929" s="124"/>
      <c r="F929" s="113"/>
      <c r="G929" s="113"/>
      <c r="H929" s="113"/>
      <c r="I929" s="113"/>
      <c r="J929" s="113"/>
      <c r="K929" s="113"/>
      <c r="L929" s="113"/>
      <c r="M929" s="113"/>
      <c r="N929" s="113"/>
      <c r="O929" s="113"/>
      <c r="P929" s="113"/>
      <c r="Q929" s="113"/>
      <c r="R929" s="113"/>
      <c r="S929" s="113"/>
      <c r="T929" s="113"/>
      <c r="U929" s="113"/>
      <c r="V929" s="113"/>
      <c r="W929" s="113"/>
      <c r="X929" s="113"/>
      <c r="Y929" s="113"/>
      <c r="Z929" s="113"/>
    </row>
    <row x14ac:dyDescent="0.25" r="930" customHeight="1" ht="15.75">
      <c r="A930" s="123"/>
      <c r="B930" s="123"/>
      <c r="C930" s="124"/>
      <c r="D930" s="124"/>
      <c r="E930" s="124"/>
      <c r="F930" s="113"/>
      <c r="G930" s="113"/>
      <c r="H930" s="113"/>
      <c r="I930" s="113"/>
      <c r="J930" s="113"/>
      <c r="K930" s="113"/>
      <c r="L930" s="113"/>
      <c r="M930" s="113"/>
      <c r="N930" s="113"/>
      <c r="O930" s="113"/>
      <c r="P930" s="113"/>
      <c r="Q930" s="113"/>
      <c r="R930" s="113"/>
      <c r="S930" s="113"/>
      <c r="T930" s="113"/>
      <c r="U930" s="113"/>
      <c r="V930" s="113"/>
      <c r="W930" s="113"/>
      <c r="X930" s="113"/>
      <c r="Y930" s="113"/>
      <c r="Z930" s="113"/>
    </row>
    <row x14ac:dyDescent="0.25" r="931" customHeight="1" ht="15.75">
      <c r="A931" s="123"/>
      <c r="B931" s="123"/>
      <c r="C931" s="124"/>
      <c r="D931" s="124"/>
      <c r="E931" s="124"/>
      <c r="F931" s="113"/>
      <c r="G931" s="113"/>
      <c r="H931" s="113"/>
      <c r="I931" s="113"/>
      <c r="J931" s="113"/>
      <c r="K931" s="113"/>
      <c r="L931" s="113"/>
      <c r="M931" s="113"/>
      <c r="N931" s="113"/>
      <c r="O931" s="113"/>
      <c r="P931" s="113"/>
      <c r="Q931" s="113"/>
      <c r="R931" s="113"/>
      <c r="S931" s="113"/>
      <c r="T931" s="113"/>
      <c r="U931" s="113"/>
      <c r="V931" s="113"/>
      <c r="W931" s="113"/>
      <c r="X931" s="113"/>
      <c r="Y931" s="113"/>
      <c r="Z931" s="113"/>
    </row>
    <row x14ac:dyDescent="0.25" r="932" customHeight="1" ht="15.75">
      <c r="A932" s="123"/>
      <c r="B932" s="123"/>
      <c r="C932" s="124"/>
      <c r="D932" s="124"/>
      <c r="E932" s="124"/>
      <c r="F932" s="113"/>
      <c r="G932" s="113"/>
      <c r="H932" s="113"/>
      <c r="I932" s="113"/>
      <c r="J932" s="113"/>
      <c r="K932" s="113"/>
      <c r="L932" s="113"/>
      <c r="M932" s="113"/>
      <c r="N932" s="113"/>
      <c r="O932" s="113"/>
      <c r="P932" s="113"/>
      <c r="Q932" s="113"/>
      <c r="R932" s="113"/>
      <c r="S932" s="113"/>
      <c r="T932" s="113"/>
      <c r="U932" s="113"/>
      <c r="V932" s="113"/>
      <c r="W932" s="113"/>
      <c r="X932" s="113"/>
      <c r="Y932" s="113"/>
      <c r="Z932" s="113"/>
    </row>
    <row x14ac:dyDescent="0.25" r="933" customHeight="1" ht="15.75">
      <c r="A933" s="123"/>
      <c r="B933" s="123"/>
      <c r="C933" s="124"/>
      <c r="D933" s="124"/>
      <c r="E933" s="124"/>
      <c r="F933" s="113"/>
      <c r="G933" s="113"/>
      <c r="H933" s="113"/>
      <c r="I933" s="113"/>
      <c r="J933" s="113"/>
      <c r="K933" s="113"/>
      <c r="L933" s="113"/>
      <c r="M933" s="113"/>
      <c r="N933" s="113"/>
      <c r="O933" s="113"/>
      <c r="P933" s="113"/>
      <c r="Q933" s="113"/>
      <c r="R933" s="113"/>
      <c r="S933" s="113"/>
      <c r="T933" s="113"/>
      <c r="U933" s="113"/>
      <c r="V933" s="113"/>
      <c r="W933" s="113"/>
      <c r="X933" s="113"/>
      <c r="Y933" s="113"/>
      <c r="Z933" s="113"/>
    </row>
    <row x14ac:dyDescent="0.25" r="934" customHeight="1" ht="15.75">
      <c r="A934" s="123"/>
      <c r="B934" s="123"/>
      <c r="C934" s="124"/>
      <c r="D934" s="124"/>
      <c r="E934" s="124"/>
      <c r="F934" s="113"/>
      <c r="G934" s="113"/>
      <c r="H934" s="113"/>
      <c r="I934" s="113"/>
      <c r="J934" s="113"/>
      <c r="K934" s="113"/>
      <c r="L934" s="113"/>
      <c r="M934" s="113"/>
      <c r="N934" s="113"/>
      <c r="O934" s="113"/>
      <c r="P934" s="113"/>
      <c r="Q934" s="113"/>
      <c r="R934" s="113"/>
      <c r="S934" s="113"/>
      <c r="T934" s="113"/>
      <c r="U934" s="113"/>
      <c r="V934" s="113"/>
      <c r="W934" s="113"/>
      <c r="X934" s="113"/>
      <c r="Y934" s="113"/>
      <c r="Z934" s="113"/>
    </row>
    <row x14ac:dyDescent="0.25" r="935" customHeight="1" ht="15.75">
      <c r="A935" s="123"/>
      <c r="B935" s="123"/>
      <c r="C935" s="124"/>
      <c r="D935" s="124"/>
      <c r="E935" s="124"/>
      <c r="F935" s="113"/>
      <c r="G935" s="113"/>
      <c r="H935" s="113"/>
      <c r="I935" s="113"/>
      <c r="J935" s="113"/>
      <c r="K935" s="113"/>
      <c r="L935" s="113"/>
      <c r="M935" s="113"/>
      <c r="N935" s="113"/>
      <c r="O935" s="113"/>
      <c r="P935" s="113"/>
      <c r="Q935" s="113"/>
      <c r="R935" s="113"/>
      <c r="S935" s="113"/>
      <c r="T935" s="113"/>
      <c r="U935" s="113"/>
      <c r="V935" s="113"/>
      <c r="W935" s="113"/>
      <c r="X935" s="113"/>
      <c r="Y935" s="113"/>
      <c r="Z935" s="113"/>
    </row>
    <row x14ac:dyDescent="0.25" r="936" customHeight="1" ht="15.75">
      <c r="A936" s="123"/>
      <c r="B936" s="123"/>
      <c r="C936" s="124"/>
      <c r="D936" s="124"/>
      <c r="E936" s="124"/>
      <c r="F936" s="113"/>
      <c r="G936" s="113"/>
      <c r="H936" s="113"/>
      <c r="I936" s="113"/>
      <c r="J936" s="113"/>
      <c r="K936" s="113"/>
      <c r="L936" s="113"/>
      <c r="M936" s="113"/>
      <c r="N936" s="113"/>
      <c r="O936" s="113"/>
      <c r="P936" s="113"/>
      <c r="Q936" s="113"/>
      <c r="R936" s="113"/>
      <c r="S936" s="113"/>
      <c r="T936" s="113"/>
      <c r="U936" s="113"/>
      <c r="V936" s="113"/>
      <c r="W936" s="113"/>
      <c r="X936" s="113"/>
      <c r="Y936" s="113"/>
      <c r="Z936" s="113"/>
    </row>
    <row x14ac:dyDescent="0.25" r="937" customHeight="1" ht="15.75">
      <c r="A937" s="123"/>
      <c r="B937" s="123"/>
      <c r="C937" s="124"/>
      <c r="D937" s="124"/>
      <c r="E937" s="124"/>
      <c r="F937" s="113"/>
      <c r="G937" s="113"/>
      <c r="H937" s="113"/>
      <c r="I937" s="113"/>
      <c r="J937" s="113"/>
      <c r="K937" s="113"/>
      <c r="L937" s="113"/>
      <c r="M937" s="113"/>
      <c r="N937" s="113"/>
      <c r="O937" s="113"/>
      <c r="P937" s="113"/>
      <c r="Q937" s="113"/>
      <c r="R937" s="113"/>
      <c r="S937" s="113"/>
      <c r="T937" s="113"/>
      <c r="U937" s="113"/>
      <c r="V937" s="113"/>
      <c r="W937" s="113"/>
      <c r="X937" s="113"/>
      <c r="Y937" s="113"/>
      <c r="Z937" s="113"/>
    </row>
    <row x14ac:dyDescent="0.25" r="938" customHeight="1" ht="15.75">
      <c r="A938" s="123"/>
      <c r="B938" s="123"/>
      <c r="C938" s="124"/>
      <c r="D938" s="124"/>
      <c r="E938" s="124"/>
      <c r="F938" s="113"/>
      <c r="G938" s="113"/>
      <c r="H938" s="113"/>
      <c r="I938" s="113"/>
      <c r="J938" s="113"/>
      <c r="K938" s="113"/>
      <c r="L938" s="113"/>
      <c r="M938" s="113"/>
      <c r="N938" s="113"/>
      <c r="O938" s="113"/>
      <c r="P938" s="113"/>
      <c r="Q938" s="113"/>
      <c r="R938" s="113"/>
      <c r="S938" s="113"/>
      <c r="T938" s="113"/>
      <c r="U938" s="113"/>
      <c r="V938" s="113"/>
      <c r="W938" s="113"/>
      <c r="X938" s="113"/>
      <c r="Y938" s="113"/>
      <c r="Z938" s="113"/>
    </row>
    <row x14ac:dyDescent="0.25" r="939" customHeight="1" ht="15.75">
      <c r="A939" s="123"/>
      <c r="B939" s="123"/>
      <c r="C939" s="124"/>
      <c r="D939" s="124"/>
      <c r="E939" s="124"/>
      <c r="F939" s="113"/>
      <c r="G939" s="113"/>
      <c r="H939" s="113"/>
      <c r="I939" s="113"/>
      <c r="J939" s="113"/>
      <c r="K939" s="113"/>
      <c r="L939" s="113"/>
      <c r="M939" s="113"/>
      <c r="N939" s="113"/>
      <c r="O939" s="113"/>
      <c r="P939" s="113"/>
      <c r="Q939" s="113"/>
      <c r="R939" s="113"/>
      <c r="S939" s="113"/>
      <c r="T939" s="113"/>
      <c r="U939" s="113"/>
      <c r="V939" s="113"/>
      <c r="W939" s="113"/>
      <c r="X939" s="113"/>
      <c r="Y939" s="113"/>
      <c r="Z939" s="113"/>
    </row>
    <row x14ac:dyDescent="0.25" r="940" customHeight="1" ht="15.75">
      <c r="A940" s="123"/>
      <c r="B940" s="123"/>
      <c r="C940" s="124"/>
      <c r="D940" s="124"/>
      <c r="E940" s="124"/>
      <c r="F940" s="113"/>
      <c r="G940" s="113"/>
      <c r="H940" s="113"/>
      <c r="I940" s="113"/>
      <c r="J940" s="113"/>
      <c r="K940" s="113"/>
      <c r="L940" s="113"/>
      <c r="M940" s="113"/>
      <c r="N940" s="113"/>
      <c r="O940" s="113"/>
      <c r="P940" s="113"/>
      <c r="Q940" s="113"/>
      <c r="R940" s="113"/>
      <c r="S940" s="113"/>
      <c r="T940" s="113"/>
      <c r="U940" s="113"/>
      <c r="V940" s="113"/>
      <c r="W940" s="113"/>
      <c r="X940" s="113"/>
      <c r="Y940" s="113"/>
      <c r="Z940" s="113"/>
    </row>
    <row x14ac:dyDescent="0.25" r="941" customHeight="1" ht="15.75">
      <c r="A941" s="123"/>
      <c r="B941" s="123"/>
      <c r="C941" s="124"/>
      <c r="D941" s="124"/>
      <c r="E941" s="124"/>
      <c r="F941" s="113"/>
      <c r="G941" s="113"/>
      <c r="H941" s="113"/>
      <c r="I941" s="113"/>
      <c r="J941" s="113"/>
      <c r="K941" s="113"/>
      <c r="L941" s="113"/>
      <c r="M941" s="113"/>
      <c r="N941" s="113"/>
      <c r="O941" s="113"/>
      <c r="P941" s="113"/>
      <c r="Q941" s="113"/>
      <c r="R941" s="113"/>
      <c r="S941" s="113"/>
      <c r="T941" s="113"/>
      <c r="U941" s="113"/>
      <c r="V941" s="113"/>
      <c r="W941" s="113"/>
      <c r="X941" s="113"/>
      <c r="Y941" s="113"/>
      <c r="Z941" s="113"/>
    </row>
    <row x14ac:dyDescent="0.25" r="942" customHeight="1" ht="15.75">
      <c r="A942" s="123"/>
      <c r="B942" s="123"/>
      <c r="C942" s="124"/>
      <c r="D942" s="124"/>
      <c r="E942" s="124"/>
      <c r="F942" s="113"/>
      <c r="G942" s="113"/>
      <c r="H942" s="113"/>
      <c r="I942" s="113"/>
      <c r="J942" s="113"/>
      <c r="K942" s="113"/>
      <c r="L942" s="113"/>
      <c r="M942" s="113"/>
      <c r="N942" s="113"/>
      <c r="O942" s="113"/>
      <c r="P942" s="113"/>
      <c r="Q942" s="113"/>
      <c r="R942" s="113"/>
      <c r="S942" s="113"/>
      <c r="T942" s="113"/>
      <c r="U942" s="113"/>
      <c r="V942" s="113"/>
      <c r="W942" s="113"/>
      <c r="X942" s="113"/>
      <c r="Y942" s="113"/>
      <c r="Z942" s="113"/>
    </row>
    <row x14ac:dyDescent="0.25" r="943" customHeight="1" ht="15.75">
      <c r="A943" s="123"/>
      <c r="B943" s="123"/>
      <c r="C943" s="124"/>
      <c r="D943" s="124"/>
      <c r="E943" s="124"/>
      <c r="F943" s="113"/>
      <c r="G943" s="113"/>
      <c r="H943" s="113"/>
      <c r="I943" s="113"/>
      <c r="J943" s="113"/>
      <c r="K943" s="113"/>
      <c r="L943" s="113"/>
      <c r="M943" s="113"/>
      <c r="N943" s="113"/>
      <c r="O943" s="113"/>
      <c r="P943" s="113"/>
      <c r="Q943" s="113"/>
      <c r="R943" s="113"/>
      <c r="S943" s="113"/>
      <c r="T943" s="113"/>
      <c r="U943" s="113"/>
      <c r="V943" s="113"/>
      <c r="W943" s="113"/>
      <c r="X943" s="113"/>
      <c r="Y943" s="113"/>
      <c r="Z943" s="113"/>
    </row>
    <row x14ac:dyDescent="0.25" r="944" customHeight="1" ht="15.75">
      <c r="A944" s="123"/>
      <c r="B944" s="123"/>
      <c r="C944" s="124"/>
      <c r="D944" s="124"/>
      <c r="E944" s="124"/>
      <c r="F944" s="113"/>
      <c r="G944" s="113"/>
      <c r="H944" s="113"/>
      <c r="I944" s="113"/>
      <c r="J944" s="113"/>
      <c r="K944" s="113"/>
      <c r="L944" s="113"/>
      <c r="M944" s="113"/>
      <c r="N944" s="113"/>
      <c r="O944" s="113"/>
      <c r="P944" s="113"/>
      <c r="Q944" s="113"/>
      <c r="R944" s="113"/>
      <c r="S944" s="113"/>
      <c r="T944" s="113"/>
      <c r="U944" s="113"/>
      <c r="V944" s="113"/>
      <c r="W944" s="113"/>
      <c r="X944" s="113"/>
      <c r="Y944" s="113"/>
      <c r="Z944" s="113"/>
    </row>
    <row x14ac:dyDescent="0.25" r="945" customHeight="1" ht="15.75">
      <c r="A945" s="123"/>
      <c r="B945" s="123"/>
      <c r="C945" s="124"/>
      <c r="D945" s="124"/>
      <c r="E945" s="124"/>
      <c r="F945" s="113"/>
      <c r="G945" s="113"/>
      <c r="H945" s="113"/>
      <c r="I945" s="113"/>
      <c r="J945" s="113"/>
      <c r="K945" s="113"/>
      <c r="L945" s="113"/>
      <c r="M945" s="113"/>
      <c r="N945" s="113"/>
      <c r="O945" s="113"/>
      <c r="P945" s="113"/>
      <c r="Q945" s="113"/>
      <c r="R945" s="113"/>
      <c r="S945" s="113"/>
      <c r="T945" s="113"/>
      <c r="U945" s="113"/>
      <c r="V945" s="113"/>
      <c r="W945" s="113"/>
      <c r="X945" s="113"/>
      <c r="Y945" s="113"/>
      <c r="Z945" s="113"/>
    </row>
    <row x14ac:dyDescent="0.25" r="946" customHeight="1" ht="15.75">
      <c r="A946" s="123"/>
      <c r="B946" s="123"/>
      <c r="C946" s="124"/>
      <c r="D946" s="124"/>
      <c r="E946" s="124"/>
      <c r="F946" s="113"/>
      <c r="G946" s="113"/>
      <c r="H946" s="113"/>
      <c r="I946" s="113"/>
      <c r="J946" s="113"/>
      <c r="K946" s="113"/>
      <c r="L946" s="113"/>
      <c r="M946" s="113"/>
      <c r="N946" s="113"/>
      <c r="O946" s="113"/>
      <c r="P946" s="113"/>
      <c r="Q946" s="113"/>
      <c r="R946" s="113"/>
      <c r="S946" s="113"/>
      <c r="T946" s="113"/>
      <c r="U946" s="113"/>
      <c r="V946" s="113"/>
      <c r="W946" s="113"/>
      <c r="X946" s="113"/>
      <c r="Y946" s="113"/>
      <c r="Z946" s="113"/>
    </row>
    <row x14ac:dyDescent="0.25" r="947" customHeight="1" ht="15.75">
      <c r="A947" s="123"/>
      <c r="B947" s="123"/>
      <c r="C947" s="124"/>
      <c r="D947" s="124"/>
      <c r="E947" s="124"/>
      <c r="F947" s="113"/>
      <c r="G947" s="113"/>
      <c r="H947" s="113"/>
      <c r="I947" s="113"/>
      <c r="J947" s="113"/>
      <c r="K947" s="113"/>
      <c r="L947" s="113"/>
      <c r="M947" s="113"/>
      <c r="N947" s="113"/>
      <c r="O947" s="113"/>
      <c r="P947" s="113"/>
      <c r="Q947" s="113"/>
      <c r="R947" s="113"/>
      <c r="S947" s="113"/>
      <c r="T947" s="113"/>
      <c r="U947" s="113"/>
      <c r="V947" s="113"/>
      <c r="W947" s="113"/>
      <c r="X947" s="113"/>
      <c r="Y947" s="113"/>
      <c r="Z947" s="113"/>
    </row>
    <row x14ac:dyDescent="0.25" r="948" customHeight="1" ht="15.75">
      <c r="A948" s="123"/>
      <c r="B948" s="123"/>
      <c r="C948" s="124"/>
      <c r="D948" s="124"/>
      <c r="E948" s="124"/>
      <c r="F948" s="113"/>
      <c r="G948" s="113"/>
      <c r="H948" s="113"/>
      <c r="I948" s="113"/>
      <c r="J948" s="113"/>
      <c r="K948" s="113"/>
      <c r="L948" s="113"/>
      <c r="M948" s="113"/>
      <c r="N948" s="113"/>
      <c r="O948" s="113"/>
      <c r="P948" s="113"/>
      <c r="Q948" s="113"/>
      <c r="R948" s="113"/>
      <c r="S948" s="113"/>
      <c r="T948" s="113"/>
      <c r="U948" s="113"/>
      <c r="V948" s="113"/>
      <c r="W948" s="113"/>
      <c r="X948" s="113"/>
      <c r="Y948" s="113"/>
      <c r="Z948" s="113"/>
    </row>
    <row x14ac:dyDescent="0.25" r="949" customHeight="1" ht="15.75">
      <c r="A949" s="123"/>
      <c r="B949" s="123"/>
      <c r="C949" s="124"/>
      <c r="D949" s="124"/>
      <c r="E949" s="124"/>
      <c r="F949" s="113"/>
      <c r="G949" s="113"/>
      <c r="H949" s="113"/>
      <c r="I949" s="113"/>
      <c r="J949" s="113"/>
      <c r="K949" s="113"/>
      <c r="L949" s="113"/>
      <c r="M949" s="113"/>
      <c r="N949" s="113"/>
      <c r="O949" s="113"/>
      <c r="P949" s="113"/>
      <c r="Q949" s="113"/>
      <c r="R949" s="113"/>
      <c r="S949" s="113"/>
      <c r="T949" s="113"/>
      <c r="U949" s="113"/>
      <c r="V949" s="113"/>
      <c r="W949" s="113"/>
      <c r="X949" s="113"/>
      <c r="Y949" s="113"/>
      <c r="Z949" s="113"/>
    </row>
    <row x14ac:dyDescent="0.25" r="950" customHeight="1" ht="15.75">
      <c r="A950" s="123"/>
      <c r="B950" s="123"/>
      <c r="C950" s="124"/>
      <c r="D950" s="124"/>
      <c r="E950" s="124"/>
      <c r="F950" s="113"/>
      <c r="G950" s="113"/>
      <c r="H950" s="113"/>
      <c r="I950" s="113"/>
      <c r="J950" s="113"/>
      <c r="K950" s="113"/>
      <c r="L950" s="113"/>
      <c r="M950" s="113"/>
      <c r="N950" s="113"/>
      <c r="O950" s="113"/>
      <c r="P950" s="113"/>
      <c r="Q950" s="113"/>
      <c r="R950" s="113"/>
      <c r="S950" s="113"/>
      <c r="T950" s="113"/>
      <c r="U950" s="113"/>
      <c r="V950" s="113"/>
      <c r="W950" s="113"/>
      <c r="X950" s="113"/>
      <c r="Y950" s="113"/>
      <c r="Z950" s="113"/>
    </row>
    <row x14ac:dyDescent="0.25" r="951" customHeight="1" ht="15.75">
      <c r="A951" s="123"/>
      <c r="B951" s="123"/>
      <c r="C951" s="124"/>
      <c r="D951" s="124"/>
      <c r="E951" s="124"/>
      <c r="F951" s="113"/>
      <c r="G951" s="113"/>
      <c r="H951" s="113"/>
      <c r="I951" s="113"/>
      <c r="J951" s="113"/>
      <c r="K951" s="113"/>
      <c r="L951" s="113"/>
      <c r="M951" s="113"/>
      <c r="N951" s="113"/>
      <c r="O951" s="113"/>
      <c r="P951" s="113"/>
      <c r="Q951" s="113"/>
      <c r="R951" s="113"/>
      <c r="S951" s="113"/>
      <c r="T951" s="113"/>
      <c r="U951" s="113"/>
      <c r="V951" s="113"/>
      <c r="W951" s="113"/>
      <c r="X951" s="113"/>
      <c r="Y951" s="113"/>
      <c r="Z951" s="113"/>
    </row>
    <row x14ac:dyDescent="0.25" r="952" customHeight="1" ht="15.75">
      <c r="A952" s="123"/>
      <c r="B952" s="123"/>
      <c r="C952" s="124"/>
      <c r="D952" s="124"/>
      <c r="E952" s="124"/>
      <c r="F952" s="113"/>
      <c r="G952" s="113"/>
      <c r="H952" s="113"/>
      <c r="I952" s="113"/>
      <c r="J952" s="113"/>
      <c r="K952" s="113"/>
      <c r="L952" s="113"/>
      <c r="M952" s="113"/>
      <c r="N952" s="113"/>
      <c r="O952" s="113"/>
      <c r="P952" s="113"/>
      <c r="Q952" s="113"/>
      <c r="R952" s="113"/>
      <c r="S952" s="113"/>
      <c r="T952" s="113"/>
      <c r="U952" s="113"/>
      <c r="V952" s="113"/>
      <c r="W952" s="113"/>
      <c r="X952" s="113"/>
      <c r="Y952" s="113"/>
      <c r="Z952" s="113"/>
    </row>
    <row x14ac:dyDescent="0.25" r="953" customHeight="1" ht="15.75">
      <c r="A953" s="123"/>
      <c r="B953" s="123"/>
      <c r="C953" s="124"/>
      <c r="D953" s="124"/>
      <c r="E953" s="124"/>
      <c r="F953" s="113"/>
      <c r="G953" s="113"/>
      <c r="H953" s="113"/>
      <c r="I953" s="113"/>
      <c r="J953" s="113"/>
      <c r="K953" s="113"/>
      <c r="L953" s="113"/>
      <c r="M953" s="113"/>
      <c r="N953" s="113"/>
      <c r="O953" s="113"/>
      <c r="P953" s="113"/>
      <c r="Q953" s="113"/>
      <c r="R953" s="113"/>
      <c r="S953" s="113"/>
      <c r="T953" s="113"/>
      <c r="U953" s="113"/>
      <c r="V953" s="113"/>
      <c r="W953" s="113"/>
      <c r="X953" s="113"/>
      <c r="Y953" s="113"/>
      <c r="Z953" s="113"/>
    </row>
    <row x14ac:dyDescent="0.25" r="954" customHeight="1" ht="15.75">
      <c r="A954" s="123"/>
      <c r="B954" s="123"/>
      <c r="C954" s="124"/>
      <c r="D954" s="124"/>
      <c r="E954" s="124"/>
      <c r="F954" s="113"/>
      <c r="G954" s="113"/>
      <c r="H954" s="113"/>
      <c r="I954" s="113"/>
      <c r="J954" s="113"/>
      <c r="K954" s="113"/>
      <c r="L954" s="113"/>
      <c r="M954" s="113"/>
      <c r="N954" s="113"/>
      <c r="O954" s="113"/>
      <c r="P954" s="113"/>
      <c r="Q954" s="113"/>
      <c r="R954" s="113"/>
      <c r="S954" s="113"/>
      <c r="T954" s="113"/>
      <c r="U954" s="113"/>
      <c r="V954" s="113"/>
      <c r="W954" s="113"/>
      <c r="X954" s="113"/>
      <c r="Y954" s="113"/>
      <c r="Z954" s="113"/>
    </row>
    <row x14ac:dyDescent="0.25" r="955" customHeight="1" ht="15.75">
      <c r="A955" s="123"/>
      <c r="B955" s="123"/>
      <c r="C955" s="124"/>
      <c r="D955" s="124"/>
      <c r="E955" s="124"/>
      <c r="F955" s="113"/>
      <c r="G955" s="113"/>
      <c r="H955" s="113"/>
      <c r="I955" s="113"/>
      <c r="J955" s="113"/>
      <c r="K955" s="113"/>
      <c r="L955" s="113"/>
      <c r="M955" s="113"/>
      <c r="N955" s="113"/>
      <c r="O955" s="113"/>
      <c r="P955" s="113"/>
      <c r="Q955" s="113"/>
      <c r="R955" s="113"/>
      <c r="S955" s="113"/>
      <c r="T955" s="113"/>
      <c r="U955" s="113"/>
      <c r="V955" s="113"/>
      <c r="W955" s="113"/>
      <c r="X955" s="113"/>
      <c r="Y955" s="113"/>
      <c r="Z955" s="113"/>
    </row>
    <row x14ac:dyDescent="0.25" r="956" customHeight="1" ht="15.75">
      <c r="A956" s="123"/>
      <c r="B956" s="123"/>
      <c r="C956" s="124"/>
      <c r="D956" s="124"/>
      <c r="E956" s="124"/>
      <c r="F956" s="113"/>
      <c r="G956" s="113"/>
      <c r="H956" s="113"/>
      <c r="I956" s="113"/>
      <c r="J956" s="113"/>
      <c r="K956" s="113"/>
      <c r="L956" s="113"/>
      <c r="M956" s="113"/>
      <c r="N956" s="113"/>
      <c r="O956" s="113"/>
      <c r="P956" s="113"/>
      <c r="Q956" s="113"/>
      <c r="R956" s="113"/>
      <c r="S956" s="113"/>
      <c r="T956" s="113"/>
      <c r="U956" s="113"/>
      <c r="V956" s="113"/>
      <c r="W956" s="113"/>
      <c r="X956" s="113"/>
      <c r="Y956" s="113"/>
      <c r="Z956" s="113"/>
    </row>
    <row x14ac:dyDescent="0.25" r="957" customHeight="1" ht="15.75">
      <c r="A957" s="123"/>
      <c r="B957" s="123"/>
      <c r="C957" s="124"/>
      <c r="D957" s="124"/>
      <c r="E957" s="124"/>
      <c r="F957" s="113"/>
      <c r="G957" s="113"/>
      <c r="H957" s="113"/>
      <c r="I957" s="113"/>
      <c r="J957" s="113"/>
      <c r="K957" s="113"/>
      <c r="L957" s="113"/>
      <c r="M957" s="113"/>
      <c r="N957" s="113"/>
      <c r="O957" s="113"/>
      <c r="P957" s="113"/>
      <c r="Q957" s="113"/>
      <c r="R957" s="113"/>
      <c r="S957" s="113"/>
      <c r="T957" s="113"/>
      <c r="U957" s="113"/>
      <c r="V957" s="113"/>
      <c r="W957" s="113"/>
      <c r="X957" s="113"/>
      <c r="Y957" s="113"/>
      <c r="Z957" s="113"/>
    </row>
    <row x14ac:dyDescent="0.25" r="958" customHeight="1" ht="15.75">
      <c r="A958" s="123"/>
      <c r="B958" s="123"/>
      <c r="C958" s="124"/>
      <c r="D958" s="124"/>
      <c r="E958" s="124"/>
      <c r="F958" s="113"/>
      <c r="G958" s="113"/>
      <c r="H958" s="113"/>
      <c r="I958" s="113"/>
      <c r="J958" s="113"/>
      <c r="K958" s="113"/>
      <c r="L958" s="113"/>
      <c r="M958" s="113"/>
      <c r="N958" s="113"/>
      <c r="O958" s="113"/>
      <c r="P958" s="113"/>
      <c r="Q958" s="113"/>
      <c r="R958" s="113"/>
      <c r="S958" s="113"/>
      <c r="T958" s="113"/>
      <c r="U958" s="113"/>
      <c r="V958" s="113"/>
      <c r="W958" s="113"/>
      <c r="X958" s="113"/>
      <c r="Y958" s="113"/>
      <c r="Z958" s="113"/>
    </row>
    <row x14ac:dyDescent="0.25" r="959" customHeight="1" ht="15.75">
      <c r="A959" s="123"/>
      <c r="B959" s="123"/>
      <c r="C959" s="124"/>
      <c r="D959" s="124"/>
      <c r="E959" s="124"/>
      <c r="F959" s="113"/>
      <c r="G959" s="113"/>
      <c r="H959" s="113"/>
      <c r="I959" s="113"/>
      <c r="J959" s="113"/>
      <c r="K959" s="113"/>
      <c r="L959" s="113"/>
      <c r="M959" s="113"/>
      <c r="N959" s="113"/>
      <c r="O959" s="113"/>
      <c r="P959" s="113"/>
      <c r="Q959" s="113"/>
      <c r="R959" s="113"/>
      <c r="S959" s="113"/>
      <c r="T959" s="113"/>
      <c r="U959" s="113"/>
      <c r="V959" s="113"/>
      <c r="W959" s="113"/>
      <c r="X959" s="113"/>
      <c r="Y959" s="113"/>
      <c r="Z959" s="113"/>
    </row>
    <row x14ac:dyDescent="0.25" r="960" customHeight="1" ht="15.75">
      <c r="A960" s="123"/>
      <c r="B960" s="123"/>
      <c r="C960" s="124"/>
      <c r="D960" s="124"/>
      <c r="E960" s="124"/>
      <c r="F960" s="113"/>
      <c r="G960" s="113"/>
      <c r="H960" s="113"/>
      <c r="I960" s="113"/>
      <c r="J960" s="113"/>
      <c r="K960" s="113"/>
      <c r="L960" s="113"/>
      <c r="M960" s="113"/>
      <c r="N960" s="113"/>
      <c r="O960" s="113"/>
      <c r="P960" s="113"/>
      <c r="Q960" s="113"/>
      <c r="R960" s="113"/>
      <c r="S960" s="113"/>
      <c r="T960" s="113"/>
      <c r="U960" s="113"/>
      <c r="V960" s="113"/>
      <c r="W960" s="113"/>
      <c r="X960" s="113"/>
      <c r="Y960" s="113"/>
      <c r="Z960" s="113"/>
    </row>
    <row x14ac:dyDescent="0.25" r="961" customHeight="1" ht="15.75">
      <c r="A961" s="123"/>
      <c r="B961" s="123"/>
      <c r="C961" s="124"/>
      <c r="D961" s="124"/>
      <c r="E961" s="124"/>
      <c r="F961" s="113"/>
      <c r="G961" s="113"/>
      <c r="H961" s="113"/>
      <c r="I961" s="113"/>
      <c r="J961" s="113"/>
      <c r="K961" s="113"/>
      <c r="L961" s="113"/>
      <c r="M961" s="113"/>
      <c r="N961" s="113"/>
      <c r="O961" s="113"/>
      <c r="P961" s="113"/>
      <c r="Q961" s="113"/>
      <c r="R961" s="113"/>
      <c r="S961" s="113"/>
      <c r="T961" s="113"/>
      <c r="U961" s="113"/>
      <c r="V961" s="113"/>
      <c r="W961" s="113"/>
      <c r="X961" s="113"/>
      <c r="Y961" s="113"/>
      <c r="Z961" s="113"/>
    </row>
    <row x14ac:dyDescent="0.25" r="962" customHeight="1" ht="15.75">
      <c r="A962" s="123"/>
      <c r="B962" s="123"/>
      <c r="C962" s="124"/>
      <c r="D962" s="124"/>
      <c r="E962" s="124"/>
      <c r="F962" s="113"/>
      <c r="G962" s="113"/>
      <c r="H962" s="113"/>
      <c r="I962" s="113"/>
      <c r="J962" s="113"/>
      <c r="K962" s="113"/>
      <c r="L962" s="113"/>
      <c r="M962" s="113"/>
      <c r="N962" s="113"/>
      <c r="O962" s="113"/>
      <c r="P962" s="113"/>
      <c r="Q962" s="113"/>
      <c r="R962" s="113"/>
      <c r="S962" s="113"/>
      <c r="T962" s="113"/>
      <c r="U962" s="113"/>
      <c r="V962" s="113"/>
      <c r="W962" s="113"/>
      <c r="X962" s="113"/>
      <c r="Y962" s="113"/>
      <c r="Z962" s="113"/>
    </row>
    <row x14ac:dyDescent="0.25" r="963" customHeight="1" ht="15.75">
      <c r="A963" s="123"/>
      <c r="B963" s="123"/>
      <c r="C963" s="124"/>
      <c r="D963" s="124"/>
      <c r="E963" s="124"/>
      <c r="F963" s="113"/>
      <c r="G963" s="113"/>
      <c r="H963" s="113"/>
      <c r="I963" s="113"/>
      <c r="J963" s="113"/>
      <c r="K963" s="113"/>
      <c r="L963" s="113"/>
      <c r="M963" s="113"/>
      <c r="N963" s="113"/>
      <c r="O963" s="113"/>
      <c r="P963" s="113"/>
      <c r="Q963" s="113"/>
      <c r="R963" s="113"/>
      <c r="S963" s="113"/>
      <c r="T963" s="113"/>
      <c r="U963" s="113"/>
      <c r="V963" s="113"/>
      <c r="W963" s="113"/>
      <c r="X963" s="113"/>
      <c r="Y963" s="113"/>
      <c r="Z963" s="113"/>
    </row>
    <row x14ac:dyDescent="0.25" r="964" customHeight="1" ht="15.75">
      <c r="A964" s="123"/>
      <c r="B964" s="123"/>
      <c r="C964" s="124"/>
      <c r="D964" s="124"/>
      <c r="E964" s="124"/>
      <c r="F964" s="113"/>
      <c r="G964" s="113"/>
      <c r="H964" s="113"/>
      <c r="I964" s="113"/>
      <c r="J964" s="113"/>
      <c r="K964" s="113"/>
      <c r="L964" s="113"/>
      <c r="M964" s="113"/>
      <c r="N964" s="113"/>
      <c r="O964" s="113"/>
      <c r="P964" s="113"/>
      <c r="Q964" s="113"/>
      <c r="R964" s="113"/>
      <c r="S964" s="113"/>
      <c r="T964" s="113"/>
      <c r="U964" s="113"/>
      <c r="V964" s="113"/>
      <c r="W964" s="113"/>
      <c r="X964" s="113"/>
      <c r="Y964" s="113"/>
      <c r="Z964" s="113"/>
    </row>
    <row x14ac:dyDescent="0.25" r="965" customHeight="1" ht="15.75">
      <c r="A965" s="123"/>
      <c r="B965" s="123"/>
      <c r="C965" s="124"/>
      <c r="D965" s="124"/>
      <c r="E965" s="124"/>
      <c r="F965" s="113"/>
      <c r="G965" s="113"/>
      <c r="H965" s="113"/>
      <c r="I965" s="113"/>
      <c r="J965" s="113"/>
      <c r="K965" s="113"/>
      <c r="L965" s="113"/>
      <c r="M965" s="113"/>
      <c r="N965" s="113"/>
      <c r="O965" s="113"/>
      <c r="P965" s="113"/>
      <c r="Q965" s="113"/>
      <c r="R965" s="113"/>
      <c r="S965" s="113"/>
      <c r="T965" s="113"/>
      <c r="U965" s="113"/>
      <c r="V965" s="113"/>
      <c r="W965" s="113"/>
      <c r="X965" s="113"/>
      <c r="Y965" s="113"/>
      <c r="Z965" s="113"/>
    </row>
    <row x14ac:dyDescent="0.25" r="966" customHeight="1" ht="15.75">
      <c r="A966" s="123"/>
      <c r="B966" s="123"/>
      <c r="C966" s="124"/>
      <c r="D966" s="124"/>
      <c r="E966" s="124"/>
      <c r="F966" s="113"/>
      <c r="G966" s="113"/>
      <c r="H966" s="113"/>
      <c r="I966" s="113"/>
      <c r="J966" s="113"/>
      <c r="K966" s="113"/>
      <c r="L966" s="113"/>
      <c r="M966" s="113"/>
      <c r="N966" s="113"/>
      <c r="O966" s="113"/>
      <c r="P966" s="113"/>
      <c r="Q966" s="113"/>
      <c r="R966" s="113"/>
      <c r="S966" s="113"/>
      <c r="T966" s="113"/>
      <c r="U966" s="113"/>
      <c r="V966" s="113"/>
      <c r="W966" s="113"/>
      <c r="X966" s="113"/>
      <c r="Y966" s="113"/>
      <c r="Z966" s="113"/>
    </row>
    <row x14ac:dyDescent="0.25" r="967" customHeight="1" ht="15.75">
      <c r="A967" s="123"/>
      <c r="B967" s="123"/>
      <c r="C967" s="124"/>
      <c r="D967" s="124"/>
      <c r="E967" s="124"/>
      <c r="F967" s="113"/>
      <c r="G967" s="113"/>
      <c r="H967" s="113"/>
      <c r="I967" s="113"/>
      <c r="J967" s="113"/>
      <c r="K967" s="113"/>
      <c r="L967" s="113"/>
      <c r="M967" s="113"/>
      <c r="N967" s="113"/>
      <c r="O967" s="113"/>
      <c r="P967" s="113"/>
      <c r="Q967" s="113"/>
      <c r="R967" s="113"/>
      <c r="S967" s="113"/>
      <c r="T967" s="113"/>
      <c r="U967" s="113"/>
      <c r="V967" s="113"/>
      <c r="W967" s="113"/>
      <c r="X967" s="113"/>
      <c r="Y967" s="113"/>
      <c r="Z967" s="113"/>
    </row>
    <row x14ac:dyDescent="0.25" r="968" customHeight="1" ht="15.75">
      <c r="A968" s="123"/>
      <c r="B968" s="123"/>
      <c r="C968" s="124"/>
      <c r="D968" s="124"/>
      <c r="E968" s="124"/>
      <c r="F968" s="113"/>
      <c r="G968" s="113"/>
      <c r="H968" s="113"/>
      <c r="I968" s="113"/>
      <c r="J968" s="113"/>
      <c r="K968" s="113"/>
      <c r="L968" s="113"/>
      <c r="M968" s="113"/>
      <c r="N968" s="113"/>
      <c r="O968" s="113"/>
      <c r="P968" s="113"/>
      <c r="Q968" s="113"/>
      <c r="R968" s="113"/>
      <c r="S968" s="113"/>
      <c r="T968" s="113"/>
      <c r="U968" s="113"/>
      <c r="V968" s="113"/>
      <c r="W968" s="113"/>
      <c r="X968" s="113"/>
      <c r="Y968" s="113"/>
      <c r="Z968" s="113"/>
    </row>
    <row x14ac:dyDescent="0.25" r="969" customHeight="1" ht="15.75">
      <c r="A969" s="123"/>
      <c r="B969" s="123"/>
      <c r="C969" s="124"/>
      <c r="D969" s="124"/>
      <c r="E969" s="124"/>
      <c r="F969" s="113"/>
      <c r="G969" s="113"/>
      <c r="H969" s="113"/>
      <c r="I969" s="113"/>
      <c r="J969" s="113"/>
      <c r="K969" s="113"/>
      <c r="L969" s="113"/>
      <c r="M969" s="113"/>
      <c r="N969" s="113"/>
      <c r="O969" s="113"/>
      <c r="P969" s="113"/>
      <c r="Q969" s="113"/>
      <c r="R969" s="113"/>
      <c r="S969" s="113"/>
      <c r="T969" s="113"/>
      <c r="U969" s="113"/>
      <c r="V969" s="113"/>
      <c r="W969" s="113"/>
      <c r="X969" s="113"/>
      <c r="Y969" s="113"/>
      <c r="Z969" s="113"/>
    </row>
    <row x14ac:dyDescent="0.25" r="970" customHeight="1" ht="15.75">
      <c r="A970" s="123"/>
      <c r="B970" s="123"/>
      <c r="C970" s="124"/>
      <c r="D970" s="124"/>
      <c r="E970" s="124"/>
      <c r="F970" s="113"/>
      <c r="G970" s="113"/>
      <c r="H970" s="113"/>
      <c r="I970" s="113"/>
      <c r="J970" s="113"/>
      <c r="K970" s="113"/>
      <c r="L970" s="113"/>
      <c r="M970" s="113"/>
      <c r="N970" s="113"/>
      <c r="O970" s="113"/>
      <c r="P970" s="113"/>
      <c r="Q970" s="113"/>
      <c r="R970" s="113"/>
      <c r="S970" s="113"/>
      <c r="T970" s="113"/>
      <c r="U970" s="113"/>
      <c r="V970" s="113"/>
      <c r="W970" s="113"/>
      <c r="X970" s="113"/>
      <c r="Y970" s="113"/>
      <c r="Z970" s="113"/>
    </row>
    <row x14ac:dyDescent="0.25" r="971" customHeight="1" ht="15.75">
      <c r="A971" s="123"/>
      <c r="B971" s="123"/>
      <c r="C971" s="124"/>
      <c r="D971" s="124"/>
      <c r="E971" s="124"/>
      <c r="F971" s="113"/>
      <c r="G971" s="113"/>
      <c r="H971" s="113"/>
      <c r="I971" s="113"/>
      <c r="J971" s="113"/>
      <c r="K971" s="113"/>
      <c r="L971" s="113"/>
      <c r="M971" s="113"/>
      <c r="N971" s="113"/>
      <c r="O971" s="113"/>
      <c r="P971" s="113"/>
      <c r="Q971" s="113"/>
      <c r="R971" s="113"/>
      <c r="S971" s="113"/>
      <c r="T971" s="113"/>
      <c r="U971" s="113"/>
      <c r="V971" s="113"/>
      <c r="W971" s="113"/>
      <c r="X971" s="113"/>
      <c r="Y971" s="113"/>
      <c r="Z971" s="113"/>
    </row>
    <row x14ac:dyDescent="0.25" r="972" customHeight="1" ht="15.75">
      <c r="A972" s="123"/>
      <c r="B972" s="123"/>
      <c r="C972" s="124"/>
      <c r="D972" s="124"/>
      <c r="E972" s="124"/>
      <c r="F972" s="113"/>
      <c r="G972" s="113"/>
      <c r="H972" s="113"/>
      <c r="I972" s="113"/>
      <c r="J972" s="113"/>
      <c r="K972" s="113"/>
      <c r="L972" s="113"/>
      <c r="M972" s="113"/>
      <c r="N972" s="113"/>
      <c r="O972" s="113"/>
      <c r="P972" s="113"/>
      <c r="Q972" s="113"/>
      <c r="R972" s="113"/>
      <c r="S972" s="113"/>
      <c r="T972" s="113"/>
      <c r="U972" s="113"/>
      <c r="V972" s="113"/>
      <c r="W972" s="113"/>
      <c r="X972" s="113"/>
      <c r="Y972" s="113"/>
      <c r="Z972" s="113"/>
    </row>
    <row x14ac:dyDescent="0.25" r="973" customHeight="1" ht="15.75">
      <c r="A973" s="123"/>
      <c r="B973" s="123"/>
      <c r="C973" s="124"/>
      <c r="D973" s="124"/>
      <c r="E973" s="124"/>
      <c r="F973" s="113"/>
      <c r="G973" s="113"/>
      <c r="H973" s="113"/>
      <c r="I973" s="113"/>
      <c r="J973" s="113"/>
      <c r="K973" s="113"/>
      <c r="L973" s="113"/>
      <c r="M973" s="113"/>
      <c r="N973" s="113"/>
      <c r="O973" s="113"/>
      <c r="P973" s="113"/>
      <c r="Q973" s="113"/>
      <c r="R973" s="113"/>
      <c r="S973" s="113"/>
      <c r="T973" s="113"/>
      <c r="U973" s="113"/>
      <c r="V973" s="113"/>
      <c r="W973" s="113"/>
      <c r="X973" s="113"/>
      <c r="Y973" s="113"/>
      <c r="Z973" s="113"/>
    </row>
    <row x14ac:dyDescent="0.25" r="974" customHeight="1" ht="15.75">
      <c r="A974" s="123"/>
      <c r="B974" s="123"/>
      <c r="C974" s="124"/>
      <c r="D974" s="124"/>
      <c r="E974" s="124"/>
      <c r="F974" s="113"/>
      <c r="G974" s="113"/>
      <c r="H974" s="113"/>
      <c r="I974" s="113"/>
      <c r="J974" s="113"/>
      <c r="K974" s="113"/>
      <c r="L974" s="113"/>
      <c r="M974" s="113"/>
      <c r="N974" s="113"/>
      <c r="O974" s="113"/>
      <c r="P974" s="113"/>
      <c r="Q974" s="113"/>
      <c r="R974" s="113"/>
      <c r="S974" s="113"/>
      <c r="T974" s="113"/>
      <c r="U974" s="113"/>
      <c r="V974" s="113"/>
      <c r="W974" s="113"/>
      <c r="X974" s="113"/>
      <c r="Y974" s="113"/>
      <c r="Z974" s="113"/>
    </row>
    <row x14ac:dyDescent="0.25" r="975" customHeight="1" ht="15.75">
      <c r="A975" s="123"/>
      <c r="B975" s="123"/>
      <c r="C975" s="124"/>
      <c r="D975" s="124"/>
      <c r="E975" s="124"/>
      <c r="F975" s="113"/>
      <c r="G975" s="113"/>
      <c r="H975" s="113"/>
      <c r="I975" s="113"/>
      <c r="J975" s="113"/>
      <c r="K975" s="113"/>
      <c r="L975" s="113"/>
      <c r="M975" s="113"/>
      <c r="N975" s="113"/>
      <c r="O975" s="113"/>
      <c r="P975" s="113"/>
      <c r="Q975" s="113"/>
      <c r="R975" s="113"/>
      <c r="S975" s="113"/>
      <c r="T975" s="113"/>
      <c r="U975" s="113"/>
      <c r="V975" s="113"/>
      <c r="W975" s="113"/>
      <c r="X975" s="113"/>
      <c r="Y975" s="113"/>
      <c r="Z975" s="113"/>
    </row>
    <row x14ac:dyDescent="0.25" r="976" customHeight="1" ht="15.75">
      <c r="A976" s="123"/>
      <c r="B976" s="123"/>
      <c r="C976" s="124"/>
      <c r="D976" s="124"/>
      <c r="E976" s="124"/>
      <c r="F976" s="113"/>
      <c r="G976" s="113"/>
      <c r="H976" s="113"/>
      <c r="I976" s="113"/>
      <c r="J976" s="113"/>
      <c r="K976" s="113"/>
      <c r="L976" s="113"/>
      <c r="M976" s="113"/>
      <c r="N976" s="113"/>
      <c r="O976" s="113"/>
      <c r="P976" s="113"/>
      <c r="Q976" s="113"/>
      <c r="R976" s="113"/>
      <c r="S976" s="113"/>
      <c r="T976" s="113"/>
      <c r="U976" s="113"/>
      <c r="V976" s="113"/>
      <c r="W976" s="113"/>
      <c r="X976" s="113"/>
      <c r="Y976" s="113"/>
      <c r="Z976" s="113"/>
    </row>
    <row x14ac:dyDescent="0.25" r="977" customHeight="1" ht="15.75">
      <c r="A977" s="123"/>
      <c r="B977" s="123"/>
      <c r="C977" s="124"/>
      <c r="D977" s="124"/>
      <c r="E977" s="124"/>
      <c r="F977" s="113"/>
      <c r="G977" s="113"/>
      <c r="H977" s="113"/>
      <c r="I977" s="113"/>
      <c r="J977" s="113"/>
      <c r="K977" s="113"/>
      <c r="L977" s="113"/>
      <c r="M977" s="113"/>
      <c r="N977" s="113"/>
      <c r="O977" s="113"/>
      <c r="P977" s="113"/>
      <c r="Q977" s="113"/>
      <c r="R977" s="113"/>
      <c r="S977" s="113"/>
      <c r="T977" s="113"/>
      <c r="U977" s="113"/>
      <c r="V977" s="113"/>
      <c r="W977" s="113"/>
      <c r="X977" s="113"/>
      <c r="Y977" s="113"/>
      <c r="Z977" s="113"/>
    </row>
    <row x14ac:dyDescent="0.25" r="978" customHeight="1" ht="15.75">
      <c r="A978" s="123"/>
      <c r="B978" s="123"/>
      <c r="C978" s="124"/>
      <c r="D978" s="124"/>
      <c r="E978" s="124"/>
      <c r="F978" s="113"/>
      <c r="G978" s="113"/>
      <c r="H978" s="113"/>
      <c r="I978" s="113"/>
      <c r="J978" s="113"/>
      <c r="K978" s="113"/>
      <c r="L978" s="113"/>
      <c r="M978" s="113"/>
      <c r="N978" s="113"/>
      <c r="O978" s="113"/>
      <c r="P978" s="113"/>
      <c r="Q978" s="113"/>
      <c r="R978" s="113"/>
      <c r="S978" s="113"/>
      <c r="T978" s="113"/>
      <c r="U978" s="113"/>
      <c r="V978" s="113"/>
      <c r="W978" s="113"/>
      <c r="X978" s="113"/>
      <c r="Y978" s="113"/>
      <c r="Z978" s="113"/>
    </row>
    <row x14ac:dyDescent="0.25" r="979" customHeight="1" ht="15.75">
      <c r="A979" s="123"/>
      <c r="B979" s="123"/>
      <c r="C979" s="124"/>
      <c r="D979" s="124"/>
      <c r="E979" s="124"/>
      <c r="F979" s="113"/>
      <c r="G979" s="113"/>
      <c r="H979" s="113"/>
      <c r="I979" s="113"/>
      <c r="J979" s="113"/>
      <c r="K979" s="113"/>
      <c r="L979" s="113"/>
      <c r="M979" s="113"/>
      <c r="N979" s="113"/>
      <c r="O979" s="113"/>
      <c r="P979" s="113"/>
      <c r="Q979" s="113"/>
      <c r="R979" s="113"/>
      <c r="S979" s="113"/>
      <c r="T979" s="113"/>
      <c r="U979" s="113"/>
      <c r="V979" s="113"/>
      <c r="W979" s="113"/>
      <c r="X979" s="113"/>
      <c r="Y979" s="113"/>
      <c r="Z979" s="113"/>
    </row>
    <row x14ac:dyDescent="0.25" r="980" customHeight="1" ht="15.75">
      <c r="A980" s="123"/>
      <c r="B980" s="123"/>
      <c r="C980" s="124"/>
      <c r="D980" s="124"/>
      <c r="E980" s="124"/>
      <c r="F980" s="113"/>
      <c r="G980" s="113"/>
      <c r="H980" s="113"/>
      <c r="I980" s="113"/>
      <c r="J980" s="113"/>
      <c r="K980" s="113"/>
      <c r="L980" s="113"/>
      <c r="M980" s="113"/>
      <c r="N980" s="113"/>
      <c r="O980" s="113"/>
      <c r="P980" s="113"/>
      <c r="Q980" s="113"/>
      <c r="R980" s="113"/>
      <c r="S980" s="113"/>
      <c r="T980" s="113"/>
      <c r="U980" s="113"/>
      <c r="V980" s="113"/>
      <c r="W980" s="113"/>
      <c r="X980" s="113"/>
      <c r="Y980" s="113"/>
      <c r="Z980" s="113"/>
    </row>
    <row x14ac:dyDescent="0.25" r="981" customHeight="1" ht="15.75">
      <c r="A981" s="123"/>
      <c r="B981" s="123"/>
      <c r="C981" s="124"/>
      <c r="D981" s="124"/>
      <c r="E981" s="124"/>
      <c r="F981" s="113"/>
      <c r="G981" s="113"/>
      <c r="H981" s="113"/>
      <c r="I981" s="113"/>
      <c r="J981" s="113"/>
      <c r="K981" s="113"/>
      <c r="L981" s="113"/>
      <c r="M981" s="113"/>
      <c r="N981" s="113"/>
      <c r="O981" s="113"/>
      <c r="P981" s="113"/>
      <c r="Q981" s="113"/>
      <c r="R981" s="113"/>
      <c r="S981" s="113"/>
      <c r="T981" s="113"/>
      <c r="U981" s="113"/>
      <c r="V981" s="113"/>
      <c r="W981" s="113"/>
      <c r="X981" s="113"/>
      <c r="Y981" s="113"/>
      <c r="Z981" s="113"/>
    </row>
    <row x14ac:dyDescent="0.25" r="982" customHeight="1" ht="15.75">
      <c r="A982" s="123"/>
      <c r="B982" s="123"/>
      <c r="C982" s="124"/>
      <c r="D982" s="124"/>
      <c r="E982" s="124"/>
      <c r="F982" s="113"/>
      <c r="G982" s="113"/>
      <c r="H982" s="113"/>
      <c r="I982" s="113"/>
      <c r="J982" s="113"/>
      <c r="K982" s="113"/>
      <c r="L982" s="113"/>
      <c r="M982" s="113"/>
      <c r="N982" s="113"/>
      <c r="O982" s="113"/>
      <c r="P982" s="113"/>
      <c r="Q982" s="113"/>
      <c r="R982" s="113"/>
      <c r="S982" s="113"/>
      <c r="T982" s="113"/>
      <c r="U982" s="113"/>
      <c r="V982" s="113"/>
      <c r="W982" s="113"/>
      <c r="X982" s="113"/>
      <c r="Y982" s="113"/>
      <c r="Z982" s="113"/>
    </row>
    <row x14ac:dyDescent="0.25" r="983" customHeight="1" ht="15.75">
      <c r="A983" s="123"/>
      <c r="B983" s="123"/>
      <c r="C983" s="124"/>
      <c r="D983" s="124"/>
      <c r="E983" s="124"/>
      <c r="F983" s="113"/>
      <c r="G983" s="113"/>
      <c r="H983" s="113"/>
      <c r="I983" s="113"/>
      <c r="J983" s="113"/>
      <c r="K983" s="113"/>
      <c r="L983" s="113"/>
      <c r="M983" s="113"/>
      <c r="N983" s="113"/>
      <c r="O983" s="113"/>
      <c r="P983" s="113"/>
      <c r="Q983" s="113"/>
      <c r="R983" s="113"/>
      <c r="S983" s="113"/>
      <c r="T983" s="113"/>
      <c r="U983" s="113"/>
      <c r="V983" s="113"/>
      <c r="W983" s="113"/>
      <c r="X983" s="113"/>
      <c r="Y983" s="113"/>
      <c r="Z983" s="113"/>
    </row>
    <row x14ac:dyDescent="0.25" r="984" customHeight="1" ht="15.75">
      <c r="A984" s="123"/>
      <c r="B984" s="123"/>
      <c r="C984" s="124"/>
      <c r="D984" s="124"/>
      <c r="E984" s="124"/>
      <c r="F984" s="113"/>
      <c r="G984" s="113"/>
      <c r="H984" s="113"/>
      <c r="I984" s="113"/>
      <c r="J984" s="113"/>
      <c r="K984" s="113"/>
      <c r="L984" s="113"/>
      <c r="M984" s="113"/>
      <c r="N984" s="113"/>
      <c r="O984" s="113"/>
      <c r="P984" s="113"/>
      <c r="Q984" s="113"/>
      <c r="R984" s="113"/>
      <c r="S984" s="113"/>
      <c r="T984" s="113"/>
      <c r="U984" s="113"/>
      <c r="V984" s="113"/>
      <c r="W984" s="113"/>
      <c r="X984" s="113"/>
      <c r="Y984" s="113"/>
      <c r="Z984" s="113"/>
    </row>
    <row x14ac:dyDescent="0.25" r="985" customHeight="1" ht="15.75">
      <c r="A985" s="123"/>
      <c r="B985" s="123"/>
      <c r="C985" s="124"/>
      <c r="D985" s="124"/>
      <c r="E985" s="124"/>
      <c r="F985" s="113"/>
      <c r="G985" s="113"/>
      <c r="H985" s="113"/>
      <c r="I985" s="113"/>
      <c r="J985" s="113"/>
      <c r="K985" s="113"/>
      <c r="L985" s="113"/>
      <c r="M985" s="113"/>
      <c r="N985" s="113"/>
      <c r="O985" s="113"/>
      <c r="P985" s="113"/>
      <c r="Q985" s="113"/>
      <c r="R985" s="113"/>
      <c r="S985" s="113"/>
      <c r="T985" s="113"/>
      <c r="U985" s="113"/>
      <c r="V985" s="113"/>
      <c r="W985" s="113"/>
      <c r="X985" s="113"/>
      <c r="Y985" s="113"/>
      <c r="Z985" s="113"/>
    </row>
    <row x14ac:dyDescent="0.25" r="986" customHeight="1" ht="15.75">
      <c r="A986" s="123"/>
      <c r="B986" s="123"/>
      <c r="C986" s="124"/>
      <c r="D986" s="124"/>
      <c r="E986" s="124"/>
      <c r="F986" s="113"/>
      <c r="G986" s="113"/>
      <c r="H986" s="113"/>
      <c r="I986" s="113"/>
      <c r="J986" s="113"/>
      <c r="K986" s="113"/>
      <c r="L986" s="113"/>
      <c r="M986" s="113"/>
      <c r="N986" s="113"/>
      <c r="O986" s="113"/>
      <c r="P986" s="113"/>
      <c r="Q986" s="113"/>
      <c r="R986" s="113"/>
      <c r="S986" s="113"/>
      <c r="T986" s="113"/>
      <c r="U986" s="113"/>
      <c r="V986" s="113"/>
      <c r="W986" s="113"/>
      <c r="X986" s="113"/>
      <c r="Y986" s="113"/>
      <c r="Z986" s="113"/>
    </row>
    <row x14ac:dyDescent="0.25" r="987" customHeight="1" ht="15.75">
      <c r="A987" s="123"/>
      <c r="B987" s="123"/>
      <c r="C987" s="124"/>
      <c r="D987" s="124"/>
      <c r="E987" s="124"/>
      <c r="F987" s="113"/>
      <c r="G987" s="113"/>
      <c r="H987" s="113"/>
      <c r="I987" s="113"/>
      <c r="J987" s="113"/>
      <c r="K987" s="113"/>
      <c r="L987" s="113"/>
      <c r="M987" s="113"/>
      <c r="N987" s="113"/>
      <c r="O987" s="113"/>
      <c r="P987" s="113"/>
      <c r="Q987" s="113"/>
      <c r="R987" s="113"/>
      <c r="S987" s="113"/>
      <c r="T987" s="113"/>
      <c r="U987" s="113"/>
      <c r="V987" s="113"/>
      <c r="W987" s="113"/>
      <c r="X987" s="113"/>
      <c r="Y987" s="113"/>
      <c r="Z987" s="113"/>
    </row>
    <row x14ac:dyDescent="0.25" r="988" customHeight="1" ht="15.75">
      <c r="A988" s="123"/>
      <c r="B988" s="123"/>
      <c r="C988" s="124"/>
      <c r="D988" s="124"/>
      <c r="E988" s="124"/>
      <c r="F988" s="113"/>
      <c r="G988" s="113"/>
      <c r="H988" s="113"/>
      <c r="I988" s="113"/>
      <c r="J988" s="113"/>
      <c r="K988" s="113"/>
      <c r="L988" s="113"/>
      <c r="M988" s="113"/>
      <c r="N988" s="113"/>
      <c r="O988" s="113"/>
      <c r="P988" s="113"/>
      <c r="Q988" s="113"/>
      <c r="R988" s="113"/>
      <c r="S988" s="113"/>
      <c r="T988" s="113"/>
      <c r="U988" s="113"/>
      <c r="V988" s="113"/>
      <c r="W988" s="113"/>
      <c r="X988" s="113"/>
      <c r="Y988" s="113"/>
      <c r="Z988" s="113"/>
    </row>
    <row x14ac:dyDescent="0.25" r="989" customHeight="1" ht="15.75">
      <c r="A989" s="123"/>
      <c r="B989" s="123"/>
      <c r="C989" s="124"/>
      <c r="D989" s="124"/>
      <c r="E989" s="124"/>
      <c r="F989" s="113"/>
      <c r="G989" s="113"/>
      <c r="H989" s="113"/>
      <c r="I989" s="113"/>
      <c r="J989" s="113"/>
      <c r="K989" s="113"/>
      <c r="L989" s="113"/>
      <c r="M989" s="113"/>
      <c r="N989" s="113"/>
      <c r="O989" s="113"/>
      <c r="P989" s="113"/>
      <c r="Q989" s="113"/>
      <c r="R989" s="113"/>
      <c r="S989" s="113"/>
      <c r="T989" s="113"/>
      <c r="U989" s="113"/>
      <c r="V989" s="113"/>
      <c r="W989" s="113"/>
      <c r="X989" s="113"/>
      <c r="Y989" s="113"/>
      <c r="Z989" s="113"/>
    </row>
    <row x14ac:dyDescent="0.25" r="990" customHeight="1" ht="15.75">
      <c r="A990" s="123"/>
      <c r="B990" s="123"/>
      <c r="C990" s="124"/>
      <c r="D990" s="124"/>
      <c r="E990" s="124"/>
      <c r="F990" s="113"/>
      <c r="G990" s="113"/>
      <c r="H990" s="113"/>
      <c r="I990" s="113"/>
      <c r="J990" s="113"/>
      <c r="K990" s="113"/>
      <c r="L990" s="113"/>
      <c r="M990" s="113"/>
      <c r="N990" s="113"/>
      <c r="O990" s="113"/>
      <c r="P990" s="113"/>
      <c r="Q990" s="113"/>
      <c r="R990" s="113"/>
      <c r="S990" s="113"/>
      <c r="T990" s="113"/>
      <c r="U990" s="113"/>
      <c r="V990" s="113"/>
      <c r="W990" s="113"/>
      <c r="X990" s="113"/>
      <c r="Y990" s="113"/>
      <c r="Z990" s="113"/>
    </row>
    <row x14ac:dyDescent="0.25" r="991" customHeight="1" ht="15.75">
      <c r="A991" s="123"/>
      <c r="B991" s="123"/>
      <c r="C991" s="124"/>
      <c r="D991" s="124"/>
      <c r="E991" s="124"/>
      <c r="F991" s="113"/>
      <c r="G991" s="113"/>
      <c r="H991" s="113"/>
      <c r="I991" s="113"/>
      <c r="J991" s="113"/>
      <c r="K991" s="113"/>
      <c r="L991" s="113"/>
      <c r="M991" s="113"/>
      <c r="N991" s="113"/>
      <c r="O991" s="113"/>
      <c r="P991" s="113"/>
      <c r="Q991" s="113"/>
      <c r="R991" s="113"/>
      <c r="S991" s="113"/>
      <c r="T991" s="113"/>
      <c r="U991" s="113"/>
      <c r="V991" s="113"/>
      <c r="W991" s="113"/>
      <c r="X991" s="113"/>
      <c r="Y991" s="113"/>
      <c r="Z991" s="113"/>
    </row>
    <row x14ac:dyDescent="0.25" r="992" customHeight="1" ht="15.75">
      <c r="A992" s="123"/>
      <c r="B992" s="123"/>
      <c r="C992" s="124"/>
      <c r="D992" s="124"/>
      <c r="E992" s="124"/>
      <c r="F992" s="113"/>
      <c r="G992" s="113"/>
      <c r="H992" s="113"/>
      <c r="I992" s="113"/>
      <c r="J992" s="113"/>
      <c r="K992" s="113"/>
      <c r="L992" s="113"/>
      <c r="M992" s="113"/>
      <c r="N992" s="113"/>
      <c r="O992" s="113"/>
      <c r="P992" s="113"/>
      <c r="Q992" s="113"/>
      <c r="R992" s="113"/>
      <c r="S992" s="113"/>
      <c r="T992" s="113"/>
      <c r="U992" s="113"/>
      <c r="V992" s="113"/>
      <c r="W992" s="113"/>
      <c r="X992" s="113"/>
      <c r="Y992" s="113"/>
      <c r="Z992" s="113"/>
    </row>
    <row x14ac:dyDescent="0.25" r="993" customHeight="1" ht="15.75">
      <c r="A993" s="123"/>
      <c r="B993" s="123"/>
      <c r="C993" s="124"/>
      <c r="D993" s="124"/>
      <c r="E993" s="124"/>
      <c r="F993" s="113"/>
      <c r="G993" s="113"/>
      <c r="H993" s="113"/>
      <c r="I993" s="113"/>
      <c r="J993" s="113"/>
      <c r="K993" s="113"/>
      <c r="L993" s="113"/>
      <c r="M993" s="113"/>
      <c r="N993" s="113"/>
      <c r="O993" s="113"/>
      <c r="P993" s="113"/>
      <c r="Q993" s="113"/>
      <c r="R993" s="113"/>
      <c r="S993" s="113"/>
      <c r="T993" s="113"/>
      <c r="U993" s="113"/>
      <c r="V993" s="113"/>
      <c r="W993" s="113"/>
      <c r="X993" s="113"/>
      <c r="Y993" s="113"/>
      <c r="Z993" s="113"/>
    </row>
    <row x14ac:dyDescent="0.25" r="994" customHeight="1" ht="15.75">
      <c r="A994" s="123"/>
      <c r="B994" s="123"/>
      <c r="C994" s="124"/>
      <c r="D994" s="124"/>
      <c r="E994" s="124"/>
      <c r="F994" s="113"/>
      <c r="G994" s="113"/>
      <c r="H994" s="113"/>
      <c r="I994" s="113"/>
      <c r="J994" s="113"/>
      <c r="K994" s="113"/>
      <c r="L994" s="113"/>
      <c r="M994" s="113"/>
      <c r="N994" s="113"/>
      <c r="O994" s="113"/>
      <c r="P994" s="113"/>
      <c r="Q994" s="113"/>
      <c r="R994" s="113"/>
      <c r="S994" s="113"/>
      <c r="T994" s="113"/>
      <c r="U994" s="113"/>
      <c r="V994" s="113"/>
      <c r="W994" s="113"/>
      <c r="X994" s="113"/>
      <c r="Y994" s="113"/>
      <c r="Z994" s="113"/>
    </row>
    <row x14ac:dyDescent="0.25" r="995" customHeight="1" ht="15.75">
      <c r="A995" s="123"/>
      <c r="B995" s="123"/>
      <c r="C995" s="124"/>
      <c r="D995" s="124"/>
      <c r="E995" s="124"/>
      <c r="F995" s="113"/>
      <c r="G995" s="113"/>
      <c r="H995" s="113"/>
      <c r="I995" s="113"/>
      <c r="J995" s="113"/>
      <c r="K995" s="113"/>
      <c r="L995" s="113"/>
      <c r="M995" s="113"/>
      <c r="N995" s="113"/>
      <c r="O995" s="113"/>
      <c r="P995" s="113"/>
      <c r="Q995" s="113"/>
      <c r="R995" s="113"/>
      <c r="S995" s="113"/>
      <c r="T995" s="113"/>
      <c r="U995" s="113"/>
      <c r="V995" s="113"/>
      <c r="W995" s="113"/>
      <c r="X995" s="113"/>
      <c r="Y995" s="113"/>
      <c r="Z995" s="113"/>
    </row>
    <row x14ac:dyDescent="0.25" r="996" customHeight="1" ht="15.75">
      <c r="A996" s="123"/>
      <c r="B996" s="123"/>
      <c r="C996" s="124"/>
      <c r="D996" s="124"/>
      <c r="E996" s="124"/>
      <c r="F996" s="113"/>
      <c r="G996" s="113"/>
      <c r="H996" s="113"/>
      <c r="I996" s="113"/>
      <c r="J996" s="113"/>
      <c r="K996" s="113"/>
      <c r="L996" s="113"/>
      <c r="M996" s="113"/>
      <c r="N996" s="113"/>
      <c r="O996" s="113"/>
      <c r="P996" s="113"/>
      <c r="Q996" s="113"/>
      <c r="R996" s="113"/>
      <c r="S996" s="113"/>
      <c r="T996" s="113"/>
      <c r="U996" s="113"/>
      <c r="V996" s="113"/>
      <c r="W996" s="113"/>
      <c r="X996" s="113"/>
      <c r="Y996" s="113"/>
      <c r="Z996" s="113"/>
    </row>
    <row x14ac:dyDescent="0.25" r="997" customHeight="1" ht="15.75">
      <c r="A997" s="123"/>
      <c r="B997" s="123"/>
      <c r="C997" s="124"/>
      <c r="D997" s="124"/>
      <c r="E997" s="124"/>
      <c r="F997" s="113"/>
      <c r="G997" s="113"/>
      <c r="H997" s="113"/>
      <c r="I997" s="113"/>
      <c r="J997" s="113"/>
      <c r="K997" s="113"/>
      <c r="L997" s="113"/>
      <c r="M997" s="113"/>
      <c r="N997" s="113"/>
      <c r="O997" s="113"/>
      <c r="P997" s="113"/>
      <c r="Q997" s="113"/>
      <c r="R997" s="113"/>
      <c r="S997" s="113"/>
      <c r="T997" s="113"/>
      <c r="U997" s="113"/>
      <c r="V997" s="113"/>
      <c r="W997" s="113"/>
      <c r="X997" s="113"/>
      <c r="Y997" s="113"/>
      <c r="Z997" s="113"/>
    </row>
    <row x14ac:dyDescent="0.25" r="998" customHeight="1" ht="15.75">
      <c r="A998" s="123"/>
      <c r="B998" s="123"/>
      <c r="C998" s="124"/>
      <c r="D998" s="124"/>
      <c r="E998" s="124"/>
      <c r="F998" s="113"/>
      <c r="G998" s="113"/>
      <c r="H998" s="113"/>
      <c r="I998" s="113"/>
      <c r="J998" s="113"/>
      <c r="K998" s="113"/>
      <c r="L998" s="113"/>
      <c r="M998" s="113"/>
      <c r="N998" s="113"/>
      <c r="O998" s="113"/>
      <c r="P998" s="113"/>
      <c r="Q998" s="113"/>
      <c r="R998" s="113"/>
      <c r="S998" s="113"/>
      <c r="T998" s="113"/>
      <c r="U998" s="113"/>
      <c r="V998" s="113"/>
      <c r="W998" s="113"/>
      <c r="X998" s="113"/>
      <c r="Y998" s="113"/>
      <c r="Z998" s="113"/>
    </row>
    <row x14ac:dyDescent="0.25" r="999" customHeight="1" ht="15.75">
      <c r="A999" s="123"/>
      <c r="B999" s="123"/>
      <c r="C999" s="124"/>
      <c r="D999" s="124"/>
      <c r="E999" s="124"/>
      <c r="F999" s="113"/>
      <c r="G999" s="113"/>
      <c r="H999" s="113"/>
      <c r="I999" s="113"/>
      <c r="J999" s="113"/>
      <c r="K999" s="113"/>
      <c r="L999" s="113"/>
      <c r="M999" s="113"/>
      <c r="N999" s="113"/>
      <c r="O999" s="113"/>
      <c r="P999" s="113"/>
      <c r="Q999" s="113"/>
      <c r="R999" s="113"/>
      <c r="S999" s="113"/>
      <c r="T999" s="113"/>
      <c r="U999" s="113"/>
      <c r="V999" s="113"/>
      <c r="W999" s="113"/>
      <c r="X999" s="113"/>
      <c r="Y999" s="113"/>
      <c r="Z999" s="113"/>
    </row>
    <row x14ac:dyDescent="0.25" r="1000" customHeight="1" ht="15.75">
      <c r="A1000" s="123"/>
      <c r="B1000" s="123"/>
      <c r="C1000" s="124"/>
      <c r="D1000" s="124"/>
      <c r="E1000" s="124"/>
      <c r="F1000" s="113"/>
      <c r="G1000" s="113"/>
      <c r="H1000" s="113"/>
      <c r="I1000" s="113"/>
      <c r="J1000" s="113"/>
      <c r="K1000" s="113"/>
      <c r="L1000" s="113"/>
      <c r="M1000" s="113"/>
      <c r="N1000" s="113"/>
      <c r="O1000" s="113"/>
      <c r="P1000" s="113"/>
      <c r="Q1000" s="113"/>
      <c r="R1000" s="113"/>
      <c r="S1000" s="113"/>
      <c r="T1000" s="113"/>
      <c r="U1000" s="113"/>
      <c r="V1000" s="113"/>
      <c r="W1000" s="113"/>
      <c r="X1000" s="113"/>
      <c r="Y1000" s="113"/>
      <c r="Z1000" s="113"/>
    </row>
  </sheetData>
  <mergeCells count="6">
    <mergeCell ref="A1:O1"/>
    <mergeCell ref="A3:B3"/>
    <mergeCell ref="A4:A7"/>
    <mergeCell ref="A9:B9"/>
    <mergeCell ref="A10:A13"/>
    <mergeCell ref="A15:B1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Z1000"/>
  <sheetViews>
    <sheetView workbookViewId="0"/>
  </sheetViews>
  <sheetFormatPr defaultRowHeight="15" x14ac:dyDescent="0.25"/>
  <cols>
    <col min="1" max="1" style="80" width="32.29071428571429" customWidth="1" bestFit="1"/>
    <col min="2" max="2" style="80" width="56.71928571428572" customWidth="1" bestFit="1"/>
    <col min="3" max="3" style="62" width="15.290714285714287" customWidth="1" bestFit="1"/>
    <col min="4" max="4" style="62" width="15.290714285714287" customWidth="1" bestFit="1"/>
    <col min="5" max="5" style="62" width="15.290714285714287" customWidth="1" bestFit="1"/>
    <col min="6" max="6" style="61" width="15.290714285714287" customWidth="1" bestFit="1"/>
    <col min="7" max="7" style="61" width="15.290714285714287" customWidth="1" bestFit="1"/>
    <col min="8" max="8" style="61" width="15.290714285714287" customWidth="1" bestFit="1"/>
    <col min="9" max="9" style="61" width="15.290714285714287" customWidth="1" bestFit="1"/>
    <col min="10" max="10" style="61" width="15.290714285714287" customWidth="1" bestFit="1"/>
    <col min="11" max="11" style="61" width="15.290714285714287" customWidth="1" bestFit="1"/>
    <col min="12" max="12" style="61" width="15.290714285714287" customWidth="1" bestFit="1"/>
    <col min="13" max="13" style="61" width="15.290714285714287" customWidth="1" bestFit="1"/>
    <col min="14" max="14" style="61" width="15.290714285714287" customWidth="1" bestFit="1"/>
    <col min="15" max="15" style="62" width="21.290714285714284" customWidth="1" bestFit="1"/>
    <col min="16" max="16" style="61" width="8.862142857142858" customWidth="1" bestFit="1"/>
    <col min="17" max="17" style="61" width="8.862142857142858" customWidth="1" bestFit="1"/>
    <col min="18" max="18" style="61" width="8.862142857142858" customWidth="1" bestFit="1"/>
    <col min="19" max="19" style="61" width="8.862142857142858" customWidth="1" bestFit="1"/>
    <col min="20" max="20" style="61" width="8.862142857142858" customWidth="1" bestFit="1"/>
    <col min="21" max="21" style="61" width="8.862142857142858" customWidth="1" bestFit="1"/>
    <col min="22" max="22" style="61" width="8.862142857142858" customWidth="1" bestFit="1"/>
    <col min="23" max="23" style="61" width="8.862142857142858" customWidth="1" bestFit="1"/>
    <col min="24" max="24" style="61" width="8.862142857142858" customWidth="1" bestFit="1"/>
    <col min="25" max="25" style="61" width="8.862142857142858" customWidth="1" bestFit="1"/>
    <col min="26" max="26" style="61" width="8.862142857142858" customWidth="1" bestFit="1"/>
  </cols>
  <sheetData>
    <row x14ac:dyDescent="0.25" r="1" customHeight="1" ht="61.5">
      <c r="A1" s="109"/>
      <c r="B1" s="110"/>
      <c r="C1" s="111"/>
      <c r="D1" s="111"/>
      <c r="E1" s="111"/>
      <c r="F1" s="112"/>
      <c r="G1" s="112"/>
      <c r="H1" s="112"/>
      <c r="I1" s="112"/>
      <c r="J1" s="112"/>
      <c r="K1" s="112"/>
      <c r="L1" s="112"/>
      <c r="M1" s="112"/>
      <c r="N1" s="112"/>
      <c r="O1" s="111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</row>
    <row x14ac:dyDescent="0.25" r="2" customHeight="1" ht="18.75">
      <c r="A2" s="114" t="s">
        <v>3171</v>
      </c>
      <c r="B2" s="114"/>
      <c r="C2" s="115"/>
      <c r="D2" s="115"/>
      <c r="E2" s="115"/>
      <c r="F2" s="116"/>
      <c r="G2" s="116"/>
      <c r="H2" s="116"/>
      <c r="I2" s="116"/>
      <c r="J2" s="116"/>
      <c r="K2" s="116"/>
      <c r="L2" s="116"/>
      <c r="M2" s="116"/>
      <c r="N2" s="116"/>
      <c r="O2" s="115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</row>
    <row x14ac:dyDescent="0.25" r="3" customHeight="1" ht="18.75">
      <c r="A3" s="114"/>
      <c r="B3" s="117"/>
      <c r="C3" s="115" t="s">
        <v>3127</v>
      </c>
      <c r="D3" s="115" t="s">
        <v>3128</v>
      </c>
      <c r="E3" s="115" t="s">
        <v>3129</v>
      </c>
      <c r="F3" s="116" t="s">
        <v>3130</v>
      </c>
      <c r="G3" s="116" t="s">
        <v>3131</v>
      </c>
      <c r="H3" s="116" t="s">
        <v>3132</v>
      </c>
      <c r="I3" s="116" t="s">
        <v>3133</v>
      </c>
      <c r="J3" s="116" t="s">
        <v>3134</v>
      </c>
      <c r="K3" s="116" t="s">
        <v>3135</v>
      </c>
      <c r="L3" s="116" t="s">
        <v>3136</v>
      </c>
      <c r="M3" s="116" t="s">
        <v>3137</v>
      </c>
      <c r="N3" s="116" t="s">
        <v>3138</v>
      </c>
      <c r="O3" s="115" t="s">
        <v>3139</v>
      </c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</row>
    <row x14ac:dyDescent="0.25" r="4" customHeight="1" ht="18.75">
      <c r="A4" s="118" t="s">
        <v>3172</v>
      </c>
      <c r="B4" s="119" t="s">
        <v>3173</v>
      </c>
      <c r="C4" s="120">
        <v>12130</v>
      </c>
      <c r="D4" s="120">
        <f>7535+304</f>
      </c>
      <c r="E4" s="120">
        <v>9025</v>
      </c>
      <c r="F4" s="121"/>
      <c r="G4" s="121"/>
      <c r="H4" s="121"/>
      <c r="I4" s="121"/>
      <c r="J4" s="121"/>
      <c r="K4" s="121"/>
      <c r="L4" s="121"/>
      <c r="M4" s="121"/>
      <c r="N4" s="121"/>
      <c r="O4" s="120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</row>
    <row x14ac:dyDescent="0.25" r="5" customHeight="1" ht="18.75">
      <c r="A5" s="117"/>
      <c r="B5" s="119" t="s">
        <v>3174</v>
      </c>
      <c r="C5" s="120">
        <v>1126</v>
      </c>
      <c r="D5" s="120">
        <v>907</v>
      </c>
      <c r="E5" s="120">
        <v>1161</v>
      </c>
      <c r="F5" s="121"/>
      <c r="G5" s="121"/>
      <c r="H5" s="121"/>
      <c r="I5" s="121"/>
      <c r="J5" s="121"/>
      <c r="K5" s="121"/>
      <c r="L5" s="121"/>
      <c r="M5" s="121"/>
      <c r="N5" s="121"/>
      <c r="O5" s="120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</row>
    <row x14ac:dyDescent="0.25" r="6" customHeight="1" ht="18.75">
      <c r="A6" s="117"/>
      <c r="B6" s="122" t="s">
        <v>3175</v>
      </c>
      <c r="C6" s="120">
        <v>0</v>
      </c>
      <c r="D6" s="120">
        <v>0</v>
      </c>
      <c r="E6" s="120"/>
      <c r="F6" s="121"/>
      <c r="G6" s="121"/>
      <c r="H6" s="121"/>
      <c r="I6" s="121"/>
      <c r="J6" s="121"/>
      <c r="K6" s="121"/>
      <c r="L6" s="121"/>
      <c r="M6" s="121"/>
      <c r="N6" s="121"/>
      <c r="O6" s="120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</row>
    <row x14ac:dyDescent="0.25" r="7" customHeight="1" ht="18.75">
      <c r="A7" s="117"/>
      <c r="B7" s="119" t="s">
        <v>3176</v>
      </c>
      <c r="C7" s="120">
        <v>9</v>
      </c>
      <c r="D7" s="120">
        <v>4</v>
      </c>
      <c r="E7" s="120">
        <v>10</v>
      </c>
      <c r="F7" s="121"/>
      <c r="G7" s="121"/>
      <c r="H7" s="121"/>
      <c r="I7" s="121"/>
      <c r="J7" s="121"/>
      <c r="K7" s="121"/>
      <c r="L7" s="121"/>
      <c r="M7" s="121"/>
      <c r="N7" s="121"/>
      <c r="O7" s="120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</row>
    <row x14ac:dyDescent="0.25" r="8" customHeight="1" ht="18.75">
      <c r="A8" s="117"/>
      <c r="B8" s="119" t="s">
        <v>3177</v>
      </c>
      <c r="C8" s="120">
        <v>2311</v>
      </c>
      <c r="D8" s="120">
        <v>2241</v>
      </c>
      <c r="E8" s="120">
        <v>2566</v>
      </c>
      <c r="F8" s="121"/>
      <c r="G8" s="121"/>
      <c r="H8" s="121"/>
      <c r="I8" s="121"/>
      <c r="J8" s="121"/>
      <c r="K8" s="121"/>
      <c r="L8" s="121"/>
      <c r="M8" s="121"/>
      <c r="N8" s="121"/>
      <c r="O8" s="120">
        <f>SUM(C8:N8)</f>
      </c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</row>
    <row x14ac:dyDescent="0.25" r="9" customHeight="1" ht="18.75">
      <c r="A9" s="117"/>
      <c r="B9" s="119" t="s">
        <v>3178</v>
      </c>
      <c r="C9" s="120">
        <v>506</v>
      </c>
      <c r="D9" s="120">
        <v>363</v>
      </c>
      <c r="E9" s="120">
        <f>543</f>
      </c>
      <c r="F9" s="121"/>
      <c r="G9" s="121"/>
      <c r="H9" s="121"/>
      <c r="I9" s="121"/>
      <c r="J9" s="121"/>
      <c r="K9" s="121"/>
      <c r="L9" s="121"/>
      <c r="M9" s="121"/>
      <c r="N9" s="121"/>
      <c r="O9" s="120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</row>
    <row x14ac:dyDescent="0.25" r="10" customHeight="1" ht="18.75">
      <c r="A10" s="123"/>
      <c r="B10" s="123"/>
      <c r="C10" s="124"/>
      <c r="D10" s="124"/>
      <c r="E10" s="124"/>
      <c r="F10" s="113"/>
      <c r="G10" s="113"/>
      <c r="H10" s="113"/>
      <c r="I10" s="113"/>
      <c r="J10" s="113"/>
      <c r="K10" s="113"/>
      <c r="L10" s="113"/>
      <c r="M10" s="113"/>
      <c r="N10" s="113"/>
      <c r="O10" s="124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</row>
    <row x14ac:dyDescent="0.25" r="11" customHeight="1" ht="18.75">
      <c r="A11" s="114"/>
      <c r="B11" s="117"/>
      <c r="C11" s="115" t="s">
        <v>3127</v>
      </c>
      <c r="D11" s="115" t="s">
        <v>3128</v>
      </c>
      <c r="E11" s="115" t="s">
        <v>3129</v>
      </c>
      <c r="F11" s="116" t="s">
        <v>3130</v>
      </c>
      <c r="G11" s="116" t="s">
        <v>3131</v>
      </c>
      <c r="H11" s="116" t="s">
        <v>3132</v>
      </c>
      <c r="I11" s="116" t="s">
        <v>3133</v>
      </c>
      <c r="J11" s="116" t="s">
        <v>3134</v>
      </c>
      <c r="K11" s="116" t="s">
        <v>3135</v>
      </c>
      <c r="L11" s="116" t="s">
        <v>3136</v>
      </c>
      <c r="M11" s="116" t="s">
        <v>3137</v>
      </c>
      <c r="N11" s="116" t="s">
        <v>3138</v>
      </c>
      <c r="O11" s="115" t="s">
        <v>3139</v>
      </c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</row>
    <row x14ac:dyDescent="0.25" r="12" customHeight="1" ht="18.75">
      <c r="A12" s="118" t="s">
        <v>3179</v>
      </c>
      <c r="B12" s="119" t="s">
        <v>3180</v>
      </c>
      <c r="C12" s="120">
        <v>12033</v>
      </c>
      <c r="D12" s="120">
        <v>9895</v>
      </c>
      <c r="E12" s="120">
        <v>11673</v>
      </c>
      <c r="F12" s="121"/>
      <c r="G12" s="121"/>
      <c r="H12" s="121"/>
      <c r="I12" s="121"/>
      <c r="J12" s="121"/>
      <c r="K12" s="121"/>
      <c r="L12" s="121"/>
      <c r="M12" s="121"/>
      <c r="N12" s="121"/>
      <c r="O12" s="120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</row>
    <row x14ac:dyDescent="0.25" r="13" customHeight="1" ht="18.75">
      <c r="A13" s="117"/>
      <c r="B13" s="119" t="s">
        <v>3181</v>
      </c>
      <c r="C13" s="120">
        <v>1438</v>
      </c>
      <c r="D13" s="120">
        <f>1196</f>
      </c>
      <c r="E13" s="120">
        <v>1208</v>
      </c>
      <c r="F13" s="121"/>
      <c r="G13" s="121"/>
      <c r="H13" s="121"/>
      <c r="I13" s="121"/>
      <c r="J13" s="121"/>
      <c r="K13" s="121"/>
      <c r="L13" s="121"/>
      <c r="M13" s="121"/>
      <c r="N13" s="121"/>
      <c r="O13" s="120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</row>
    <row x14ac:dyDescent="0.25" r="14" customHeight="1" ht="18.75">
      <c r="A14" s="117"/>
      <c r="B14" s="119" t="s">
        <v>3182</v>
      </c>
      <c r="C14" s="120">
        <v>9696</v>
      </c>
      <c r="D14" s="120">
        <f>787+6953</f>
      </c>
      <c r="E14" s="120">
        <v>6526</v>
      </c>
      <c r="F14" s="121"/>
      <c r="G14" s="121"/>
      <c r="H14" s="121"/>
      <c r="I14" s="121"/>
      <c r="J14" s="121"/>
      <c r="K14" s="121"/>
      <c r="L14" s="121"/>
      <c r="M14" s="121"/>
      <c r="N14" s="121"/>
      <c r="O14" s="120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</row>
    <row x14ac:dyDescent="0.25" r="15" customHeight="1" ht="18.75">
      <c r="A15" s="117"/>
      <c r="B15" s="119" t="s">
        <v>3176</v>
      </c>
      <c r="C15" s="120">
        <v>0</v>
      </c>
      <c r="D15" s="120">
        <v>0</v>
      </c>
      <c r="E15" s="120">
        <v>0</v>
      </c>
      <c r="F15" s="121"/>
      <c r="G15" s="121"/>
      <c r="H15" s="121"/>
      <c r="I15" s="121"/>
      <c r="J15" s="121"/>
      <c r="K15" s="121"/>
      <c r="L15" s="121"/>
      <c r="M15" s="121"/>
      <c r="N15" s="121"/>
      <c r="O15" s="120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</row>
    <row x14ac:dyDescent="0.25" r="16" customHeight="1" ht="18.75">
      <c r="A16" s="123"/>
      <c r="B16" s="123"/>
      <c r="C16" s="124"/>
      <c r="D16" s="124"/>
      <c r="E16" s="124"/>
      <c r="F16" s="113"/>
      <c r="G16" s="113"/>
      <c r="H16" s="113"/>
      <c r="I16" s="113"/>
      <c r="J16" s="113"/>
      <c r="K16" s="113"/>
      <c r="L16" s="113"/>
      <c r="M16" s="113"/>
      <c r="N16" s="113"/>
      <c r="O16" s="124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</row>
    <row x14ac:dyDescent="0.25" r="17" customHeight="1" ht="18.75">
      <c r="A17" s="123"/>
      <c r="B17" s="123"/>
      <c r="C17" s="124"/>
      <c r="D17" s="124"/>
      <c r="E17" s="124"/>
      <c r="F17" s="113"/>
      <c r="G17" s="113"/>
      <c r="H17" s="113"/>
      <c r="I17" s="113"/>
      <c r="J17" s="113"/>
      <c r="K17" s="113"/>
      <c r="L17" s="113"/>
      <c r="M17" s="113"/>
      <c r="N17" s="113"/>
      <c r="O17" s="124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</row>
    <row x14ac:dyDescent="0.25" r="18" customHeight="1" ht="18.75">
      <c r="A18" s="123"/>
      <c r="B18" s="123"/>
      <c r="C18" s="124"/>
      <c r="D18" s="124"/>
      <c r="E18" s="124"/>
      <c r="F18" s="113"/>
      <c r="G18" s="113"/>
      <c r="H18" s="113"/>
      <c r="I18" s="113"/>
      <c r="J18" s="113"/>
      <c r="K18" s="113"/>
      <c r="L18" s="113"/>
      <c r="M18" s="113"/>
      <c r="N18" s="113"/>
      <c r="O18" s="124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</row>
    <row x14ac:dyDescent="0.25" r="19" customHeight="1" ht="18.75">
      <c r="A19" s="123"/>
      <c r="B19" s="123"/>
      <c r="C19" s="124"/>
      <c r="D19" s="124"/>
      <c r="E19" s="124"/>
      <c r="F19" s="113"/>
      <c r="G19" s="113"/>
      <c r="H19" s="113"/>
      <c r="I19" s="113"/>
      <c r="J19" s="113"/>
      <c r="K19" s="113"/>
      <c r="L19" s="113"/>
      <c r="M19" s="113"/>
      <c r="N19" s="113"/>
      <c r="O19" s="124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</row>
    <row x14ac:dyDescent="0.25" r="20" customHeight="1" ht="18.75">
      <c r="A20" s="123"/>
      <c r="B20" s="123"/>
      <c r="C20" s="124"/>
      <c r="D20" s="124"/>
      <c r="E20" s="124"/>
      <c r="F20" s="113"/>
      <c r="G20" s="113"/>
      <c r="H20" s="113"/>
      <c r="I20" s="113"/>
      <c r="J20" s="113"/>
      <c r="K20" s="113"/>
      <c r="L20" s="113"/>
      <c r="M20" s="113"/>
      <c r="N20" s="113"/>
      <c r="O20" s="124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</row>
    <row x14ac:dyDescent="0.25" r="21" customHeight="1" ht="15.75">
      <c r="A21" s="123"/>
      <c r="B21" s="123"/>
      <c r="C21" s="124"/>
      <c r="D21" s="124"/>
      <c r="E21" s="124"/>
      <c r="F21" s="113"/>
      <c r="G21" s="113"/>
      <c r="H21" s="113"/>
      <c r="I21" s="113"/>
      <c r="J21" s="113"/>
      <c r="K21" s="113"/>
      <c r="L21" s="113"/>
      <c r="M21" s="113"/>
      <c r="N21" s="113"/>
      <c r="O21" s="124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</row>
    <row x14ac:dyDescent="0.25" r="22" customHeight="1" ht="15.75">
      <c r="A22" s="123"/>
      <c r="B22" s="123"/>
      <c r="C22" s="124"/>
      <c r="D22" s="124"/>
      <c r="E22" s="124"/>
      <c r="F22" s="113"/>
      <c r="G22" s="113"/>
      <c r="H22" s="113"/>
      <c r="I22" s="113"/>
      <c r="J22" s="113"/>
      <c r="K22" s="113"/>
      <c r="L22" s="113"/>
      <c r="M22" s="113"/>
      <c r="N22" s="113"/>
      <c r="O22" s="124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</row>
    <row x14ac:dyDescent="0.25" r="23" customHeight="1" ht="15.75">
      <c r="A23" s="123"/>
      <c r="B23" s="123"/>
      <c r="C23" s="124"/>
      <c r="D23" s="124"/>
      <c r="E23" s="124"/>
      <c r="F23" s="113"/>
      <c r="G23" s="113"/>
      <c r="H23" s="113"/>
      <c r="I23" s="113"/>
      <c r="J23" s="113"/>
      <c r="K23" s="113"/>
      <c r="L23" s="113"/>
      <c r="M23" s="113"/>
      <c r="N23" s="113"/>
      <c r="O23" s="124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</row>
    <row x14ac:dyDescent="0.25" r="24" customHeight="1" ht="15.75">
      <c r="A24" s="123"/>
      <c r="B24" s="123"/>
      <c r="C24" s="124"/>
      <c r="D24" s="124"/>
      <c r="E24" s="124"/>
      <c r="F24" s="113"/>
      <c r="G24" s="113"/>
      <c r="H24" s="113"/>
      <c r="I24" s="113"/>
      <c r="J24" s="113"/>
      <c r="K24" s="113"/>
      <c r="L24" s="113"/>
      <c r="M24" s="113"/>
      <c r="N24" s="113"/>
      <c r="O24" s="124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</row>
    <row x14ac:dyDescent="0.25" r="25" customHeight="1" ht="15.75">
      <c r="A25" s="123"/>
      <c r="B25" s="123"/>
      <c r="C25" s="124"/>
      <c r="D25" s="124"/>
      <c r="E25" s="124"/>
      <c r="F25" s="113"/>
      <c r="G25" s="113"/>
      <c r="H25" s="113"/>
      <c r="I25" s="113"/>
      <c r="J25" s="113"/>
      <c r="K25" s="113"/>
      <c r="L25" s="113"/>
      <c r="M25" s="113"/>
      <c r="N25" s="113"/>
      <c r="O25" s="124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</row>
    <row x14ac:dyDescent="0.25" r="26" customHeight="1" ht="15.75">
      <c r="A26" s="123"/>
      <c r="B26" s="123"/>
      <c r="C26" s="124"/>
      <c r="D26" s="124"/>
      <c r="E26" s="124"/>
      <c r="F26" s="113"/>
      <c r="G26" s="113"/>
      <c r="H26" s="113"/>
      <c r="I26" s="113"/>
      <c r="J26" s="113"/>
      <c r="K26" s="113"/>
      <c r="L26" s="113"/>
      <c r="M26" s="113"/>
      <c r="N26" s="113"/>
      <c r="O26" s="124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</row>
    <row x14ac:dyDescent="0.25" r="27" customHeight="1" ht="15.75">
      <c r="A27" s="123"/>
      <c r="B27" s="123"/>
      <c r="C27" s="124"/>
      <c r="D27" s="124"/>
      <c r="E27" s="124"/>
      <c r="F27" s="113"/>
      <c r="G27" s="113"/>
      <c r="H27" s="113"/>
      <c r="I27" s="113"/>
      <c r="J27" s="113"/>
      <c r="K27" s="113"/>
      <c r="L27" s="113"/>
      <c r="M27" s="113"/>
      <c r="N27" s="113"/>
      <c r="O27" s="124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</row>
    <row x14ac:dyDescent="0.25" r="28" customHeight="1" ht="15.75">
      <c r="A28" s="123"/>
      <c r="B28" s="123"/>
      <c r="C28" s="124"/>
      <c r="D28" s="124"/>
      <c r="E28" s="124"/>
      <c r="F28" s="113"/>
      <c r="G28" s="113"/>
      <c r="H28" s="113"/>
      <c r="I28" s="113"/>
      <c r="J28" s="113"/>
      <c r="K28" s="113"/>
      <c r="L28" s="113"/>
      <c r="M28" s="113"/>
      <c r="N28" s="113"/>
      <c r="O28" s="124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</row>
    <row x14ac:dyDescent="0.25" r="29" customHeight="1" ht="15.75">
      <c r="A29" s="123"/>
      <c r="B29" s="123"/>
      <c r="C29" s="124"/>
      <c r="D29" s="124"/>
      <c r="E29" s="124"/>
      <c r="F29" s="113"/>
      <c r="G29" s="113"/>
      <c r="H29" s="113"/>
      <c r="I29" s="113"/>
      <c r="J29" s="113"/>
      <c r="K29" s="113"/>
      <c r="L29" s="113"/>
      <c r="M29" s="113"/>
      <c r="N29" s="113"/>
      <c r="O29" s="124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</row>
    <row x14ac:dyDescent="0.25" r="30" customHeight="1" ht="15.75">
      <c r="A30" s="123"/>
      <c r="B30" s="123"/>
      <c r="C30" s="124"/>
      <c r="D30" s="124"/>
      <c r="E30" s="124"/>
      <c r="F30" s="113"/>
      <c r="G30" s="113"/>
      <c r="H30" s="113"/>
      <c r="I30" s="113"/>
      <c r="J30" s="113"/>
      <c r="K30" s="113"/>
      <c r="L30" s="113"/>
      <c r="M30" s="113"/>
      <c r="N30" s="113"/>
      <c r="O30" s="124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</row>
    <row x14ac:dyDescent="0.25" r="31" customHeight="1" ht="15.75">
      <c r="A31" s="123"/>
      <c r="B31" s="123"/>
      <c r="C31" s="124"/>
      <c r="D31" s="124"/>
      <c r="E31" s="124"/>
      <c r="F31" s="113"/>
      <c r="G31" s="113"/>
      <c r="H31" s="113"/>
      <c r="I31" s="113"/>
      <c r="J31" s="113"/>
      <c r="K31" s="113"/>
      <c r="L31" s="113"/>
      <c r="M31" s="113"/>
      <c r="N31" s="113"/>
      <c r="O31" s="124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</row>
    <row x14ac:dyDescent="0.25" r="32" customHeight="1" ht="15.75">
      <c r="A32" s="123"/>
      <c r="B32" s="123"/>
      <c r="C32" s="124"/>
      <c r="D32" s="124"/>
      <c r="E32" s="124"/>
      <c r="F32" s="113"/>
      <c r="G32" s="113"/>
      <c r="H32" s="113"/>
      <c r="I32" s="113"/>
      <c r="J32" s="113"/>
      <c r="K32" s="113"/>
      <c r="L32" s="113"/>
      <c r="M32" s="113"/>
      <c r="N32" s="113"/>
      <c r="O32" s="124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</row>
    <row x14ac:dyDescent="0.25" r="33" customHeight="1" ht="15.75">
      <c r="A33" s="123"/>
      <c r="B33" s="123"/>
      <c r="C33" s="124"/>
      <c r="D33" s="124"/>
      <c r="E33" s="124"/>
      <c r="F33" s="113"/>
      <c r="G33" s="113"/>
      <c r="H33" s="113"/>
      <c r="I33" s="113"/>
      <c r="J33" s="113"/>
      <c r="K33" s="113"/>
      <c r="L33" s="113"/>
      <c r="M33" s="113"/>
      <c r="N33" s="113"/>
      <c r="O33" s="124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</row>
    <row x14ac:dyDescent="0.25" r="34" customHeight="1" ht="15.75">
      <c r="A34" s="123"/>
      <c r="B34" s="123"/>
      <c r="C34" s="124"/>
      <c r="D34" s="124"/>
      <c r="E34" s="124"/>
      <c r="F34" s="113"/>
      <c r="G34" s="113"/>
      <c r="H34" s="113"/>
      <c r="I34" s="113"/>
      <c r="J34" s="113"/>
      <c r="K34" s="113"/>
      <c r="L34" s="113"/>
      <c r="M34" s="113"/>
      <c r="N34" s="113"/>
      <c r="O34" s="124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</row>
    <row x14ac:dyDescent="0.25" r="35" customHeight="1" ht="15.75">
      <c r="A35" s="123"/>
      <c r="B35" s="123"/>
      <c r="C35" s="124"/>
      <c r="D35" s="124"/>
      <c r="E35" s="124"/>
      <c r="F35" s="113"/>
      <c r="G35" s="113"/>
      <c r="H35" s="113"/>
      <c r="I35" s="113"/>
      <c r="J35" s="113"/>
      <c r="K35" s="113"/>
      <c r="L35" s="113"/>
      <c r="M35" s="113"/>
      <c r="N35" s="113"/>
      <c r="O35" s="124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</row>
    <row x14ac:dyDescent="0.25" r="36" customHeight="1" ht="15.75">
      <c r="A36" s="123"/>
      <c r="B36" s="123"/>
      <c r="C36" s="124"/>
      <c r="D36" s="124"/>
      <c r="E36" s="124"/>
      <c r="F36" s="113"/>
      <c r="G36" s="113"/>
      <c r="H36" s="113"/>
      <c r="I36" s="113"/>
      <c r="J36" s="113"/>
      <c r="K36" s="113"/>
      <c r="L36" s="113"/>
      <c r="M36" s="113"/>
      <c r="N36" s="113"/>
      <c r="O36" s="124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</row>
    <row x14ac:dyDescent="0.25" r="37" customHeight="1" ht="15.75">
      <c r="A37" s="123"/>
      <c r="B37" s="123"/>
      <c r="C37" s="124"/>
      <c r="D37" s="124"/>
      <c r="E37" s="124"/>
      <c r="F37" s="113"/>
      <c r="G37" s="113"/>
      <c r="H37" s="113"/>
      <c r="I37" s="113"/>
      <c r="J37" s="113"/>
      <c r="K37" s="113"/>
      <c r="L37" s="113"/>
      <c r="M37" s="113"/>
      <c r="N37" s="113"/>
      <c r="O37" s="124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</row>
    <row x14ac:dyDescent="0.25" r="38" customHeight="1" ht="15.75">
      <c r="A38" s="123"/>
      <c r="B38" s="123"/>
      <c r="C38" s="124"/>
      <c r="D38" s="124"/>
      <c r="E38" s="124"/>
      <c r="F38" s="113"/>
      <c r="G38" s="113"/>
      <c r="H38" s="113"/>
      <c r="I38" s="113"/>
      <c r="J38" s="113"/>
      <c r="K38" s="113"/>
      <c r="L38" s="113"/>
      <c r="M38" s="113"/>
      <c r="N38" s="113"/>
      <c r="O38" s="124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</row>
    <row x14ac:dyDescent="0.25" r="39" customHeight="1" ht="15.75">
      <c r="A39" s="123"/>
      <c r="B39" s="123"/>
      <c r="C39" s="124"/>
      <c r="D39" s="124"/>
      <c r="E39" s="124"/>
      <c r="F39" s="113"/>
      <c r="G39" s="113"/>
      <c r="H39" s="113"/>
      <c r="I39" s="113"/>
      <c r="J39" s="113"/>
      <c r="K39" s="113"/>
      <c r="L39" s="113"/>
      <c r="M39" s="113"/>
      <c r="N39" s="113"/>
      <c r="O39" s="124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</row>
    <row x14ac:dyDescent="0.25" r="40" customHeight="1" ht="15.75">
      <c r="A40" s="123"/>
      <c r="B40" s="123"/>
      <c r="C40" s="124"/>
      <c r="D40" s="124"/>
      <c r="E40" s="124"/>
      <c r="F40" s="113"/>
      <c r="G40" s="113"/>
      <c r="H40" s="113"/>
      <c r="I40" s="113"/>
      <c r="J40" s="113"/>
      <c r="K40" s="113"/>
      <c r="L40" s="113"/>
      <c r="M40" s="113"/>
      <c r="N40" s="113"/>
      <c r="O40" s="124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</row>
    <row x14ac:dyDescent="0.25" r="41" customHeight="1" ht="15.75">
      <c r="A41" s="123"/>
      <c r="B41" s="123"/>
      <c r="C41" s="124"/>
      <c r="D41" s="124"/>
      <c r="E41" s="124"/>
      <c r="F41" s="113"/>
      <c r="G41" s="113"/>
      <c r="H41" s="113"/>
      <c r="I41" s="113"/>
      <c r="J41" s="113"/>
      <c r="K41" s="113"/>
      <c r="L41" s="113"/>
      <c r="M41" s="113"/>
      <c r="N41" s="113"/>
      <c r="O41" s="124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</row>
    <row x14ac:dyDescent="0.25" r="42" customHeight="1" ht="15.75">
      <c r="A42" s="123"/>
      <c r="B42" s="123"/>
      <c r="C42" s="124"/>
      <c r="D42" s="124"/>
      <c r="E42" s="124"/>
      <c r="F42" s="113"/>
      <c r="G42" s="113"/>
      <c r="H42" s="113"/>
      <c r="I42" s="113"/>
      <c r="J42" s="113"/>
      <c r="K42" s="113"/>
      <c r="L42" s="113"/>
      <c r="M42" s="113"/>
      <c r="N42" s="113"/>
      <c r="O42" s="124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</row>
    <row x14ac:dyDescent="0.25" r="43" customHeight="1" ht="15.75">
      <c r="A43" s="123"/>
      <c r="B43" s="123"/>
      <c r="C43" s="124"/>
      <c r="D43" s="124"/>
      <c r="E43" s="124"/>
      <c r="F43" s="113"/>
      <c r="G43" s="113"/>
      <c r="H43" s="113"/>
      <c r="I43" s="113"/>
      <c r="J43" s="113"/>
      <c r="K43" s="113"/>
      <c r="L43" s="113"/>
      <c r="M43" s="113"/>
      <c r="N43" s="113"/>
      <c r="O43" s="124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</row>
    <row x14ac:dyDescent="0.25" r="44" customHeight="1" ht="15.75">
      <c r="A44" s="123"/>
      <c r="B44" s="123"/>
      <c r="C44" s="124"/>
      <c r="D44" s="124"/>
      <c r="E44" s="124"/>
      <c r="F44" s="113"/>
      <c r="G44" s="113"/>
      <c r="H44" s="113"/>
      <c r="I44" s="113"/>
      <c r="J44" s="113"/>
      <c r="K44" s="113"/>
      <c r="L44" s="113"/>
      <c r="M44" s="113"/>
      <c r="N44" s="113"/>
      <c r="O44" s="124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</row>
    <row x14ac:dyDescent="0.25" r="45" customHeight="1" ht="15.75">
      <c r="A45" s="123"/>
      <c r="B45" s="123"/>
      <c r="C45" s="124"/>
      <c r="D45" s="124"/>
      <c r="E45" s="124"/>
      <c r="F45" s="113"/>
      <c r="G45" s="113"/>
      <c r="H45" s="113"/>
      <c r="I45" s="113"/>
      <c r="J45" s="113"/>
      <c r="K45" s="113"/>
      <c r="L45" s="113"/>
      <c r="M45" s="113"/>
      <c r="N45" s="113"/>
      <c r="O45" s="124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</row>
    <row x14ac:dyDescent="0.25" r="46" customHeight="1" ht="15.75">
      <c r="A46" s="123"/>
      <c r="B46" s="123"/>
      <c r="C46" s="124"/>
      <c r="D46" s="124"/>
      <c r="E46" s="124"/>
      <c r="F46" s="113"/>
      <c r="G46" s="113"/>
      <c r="H46" s="113"/>
      <c r="I46" s="113"/>
      <c r="J46" s="113"/>
      <c r="K46" s="113"/>
      <c r="L46" s="113"/>
      <c r="M46" s="113"/>
      <c r="N46" s="113"/>
      <c r="O46" s="124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</row>
    <row x14ac:dyDescent="0.25" r="47" customHeight="1" ht="15.75">
      <c r="A47" s="123"/>
      <c r="B47" s="123"/>
      <c r="C47" s="124"/>
      <c r="D47" s="124"/>
      <c r="E47" s="124"/>
      <c r="F47" s="113"/>
      <c r="G47" s="113"/>
      <c r="H47" s="113"/>
      <c r="I47" s="113"/>
      <c r="J47" s="113"/>
      <c r="K47" s="113"/>
      <c r="L47" s="113"/>
      <c r="M47" s="113"/>
      <c r="N47" s="113"/>
      <c r="O47" s="124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</row>
    <row x14ac:dyDescent="0.25" r="48" customHeight="1" ht="15.75">
      <c r="A48" s="123"/>
      <c r="B48" s="123"/>
      <c r="C48" s="124"/>
      <c r="D48" s="124"/>
      <c r="E48" s="124"/>
      <c r="F48" s="113"/>
      <c r="G48" s="113"/>
      <c r="H48" s="113"/>
      <c r="I48" s="113"/>
      <c r="J48" s="113"/>
      <c r="K48" s="113"/>
      <c r="L48" s="113"/>
      <c r="M48" s="113"/>
      <c r="N48" s="113"/>
      <c r="O48" s="124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</row>
    <row x14ac:dyDescent="0.25" r="49" customHeight="1" ht="15.75">
      <c r="A49" s="123"/>
      <c r="B49" s="123"/>
      <c r="C49" s="124"/>
      <c r="D49" s="124"/>
      <c r="E49" s="124"/>
      <c r="F49" s="113"/>
      <c r="G49" s="113"/>
      <c r="H49" s="113"/>
      <c r="I49" s="113"/>
      <c r="J49" s="113"/>
      <c r="K49" s="113"/>
      <c r="L49" s="113"/>
      <c r="M49" s="113"/>
      <c r="N49" s="113"/>
      <c r="O49" s="124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</row>
    <row x14ac:dyDescent="0.25" r="50" customHeight="1" ht="15.75">
      <c r="A50" s="123"/>
      <c r="B50" s="123"/>
      <c r="C50" s="124"/>
      <c r="D50" s="124"/>
      <c r="E50" s="124"/>
      <c r="F50" s="113"/>
      <c r="G50" s="113"/>
      <c r="H50" s="113"/>
      <c r="I50" s="113"/>
      <c r="J50" s="113"/>
      <c r="K50" s="113"/>
      <c r="L50" s="113"/>
      <c r="M50" s="113"/>
      <c r="N50" s="113"/>
      <c r="O50" s="124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</row>
    <row x14ac:dyDescent="0.25" r="51" customHeight="1" ht="15.75">
      <c r="A51" s="123"/>
      <c r="B51" s="123"/>
      <c r="C51" s="124"/>
      <c r="D51" s="124"/>
      <c r="E51" s="124"/>
      <c r="F51" s="113"/>
      <c r="G51" s="113"/>
      <c r="H51" s="113"/>
      <c r="I51" s="113"/>
      <c r="J51" s="113"/>
      <c r="K51" s="113"/>
      <c r="L51" s="113"/>
      <c r="M51" s="113"/>
      <c r="N51" s="113"/>
      <c r="O51" s="124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</row>
    <row x14ac:dyDescent="0.25" r="52" customHeight="1" ht="15.75">
      <c r="A52" s="123"/>
      <c r="B52" s="123"/>
      <c r="C52" s="124"/>
      <c r="D52" s="124"/>
      <c r="E52" s="124"/>
      <c r="F52" s="113"/>
      <c r="G52" s="113"/>
      <c r="H52" s="113"/>
      <c r="I52" s="113"/>
      <c r="J52" s="113"/>
      <c r="K52" s="113"/>
      <c r="L52" s="113"/>
      <c r="M52" s="113"/>
      <c r="N52" s="113"/>
      <c r="O52" s="124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</row>
    <row x14ac:dyDescent="0.25" r="53" customHeight="1" ht="15.75">
      <c r="A53" s="123"/>
      <c r="B53" s="123"/>
      <c r="C53" s="124"/>
      <c r="D53" s="124"/>
      <c r="E53" s="124"/>
      <c r="F53" s="113"/>
      <c r="G53" s="113"/>
      <c r="H53" s="113"/>
      <c r="I53" s="113"/>
      <c r="J53" s="113"/>
      <c r="K53" s="113"/>
      <c r="L53" s="113"/>
      <c r="M53" s="113"/>
      <c r="N53" s="113"/>
      <c r="O53" s="124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</row>
    <row x14ac:dyDescent="0.25" r="54" customHeight="1" ht="15.75">
      <c r="A54" s="123"/>
      <c r="B54" s="123"/>
      <c r="C54" s="124"/>
      <c r="D54" s="124"/>
      <c r="E54" s="124"/>
      <c r="F54" s="113"/>
      <c r="G54" s="113"/>
      <c r="H54" s="113"/>
      <c r="I54" s="113"/>
      <c r="J54" s="113"/>
      <c r="K54" s="113"/>
      <c r="L54" s="113"/>
      <c r="M54" s="113"/>
      <c r="N54" s="113"/>
      <c r="O54" s="124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</row>
    <row x14ac:dyDescent="0.25" r="55" customHeight="1" ht="15.75">
      <c r="A55" s="123"/>
      <c r="B55" s="123"/>
      <c r="C55" s="124"/>
      <c r="D55" s="124"/>
      <c r="E55" s="124"/>
      <c r="F55" s="113"/>
      <c r="G55" s="113"/>
      <c r="H55" s="113"/>
      <c r="I55" s="113"/>
      <c r="J55" s="113"/>
      <c r="K55" s="113"/>
      <c r="L55" s="113"/>
      <c r="M55" s="113"/>
      <c r="N55" s="113"/>
      <c r="O55" s="124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</row>
    <row x14ac:dyDescent="0.25" r="56" customHeight="1" ht="15.75">
      <c r="A56" s="123"/>
      <c r="B56" s="123"/>
      <c r="C56" s="124"/>
      <c r="D56" s="124"/>
      <c r="E56" s="124"/>
      <c r="F56" s="113"/>
      <c r="G56" s="113"/>
      <c r="H56" s="113"/>
      <c r="I56" s="113"/>
      <c r="J56" s="113"/>
      <c r="K56" s="113"/>
      <c r="L56" s="113"/>
      <c r="M56" s="113"/>
      <c r="N56" s="113"/>
      <c r="O56" s="124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</row>
    <row x14ac:dyDescent="0.25" r="57" customHeight="1" ht="15.75">
      <c r="A57" s="123"/>
      <c r="B57" s="123"/>
      <c r="C57" s="124"/>
      <c r="D57" s="124"/>
      <c r="E57" s="124"/>
      <c r="F57" s="113"/>
      <c r="G57" s="113"/>
      <c r="H57" s="113"/>
      <c r="I57" s="113"/>
      <c r="J57" s="113"/>
      <c r="K57" s="113"/>
      <c r="L57" s="113"/>
      <c r="M57" s="113"/>
      <c r="N57" s="113"/>
      <c r="O57" s="124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</row>
    <row x14ac:dyDescent="0.25" r="58" customHeight="1" ht="15.75">
      <c r="A58" s="123"/>
      <c r="B58" s="123"/>
      <c r="C58" s="124"/>
      <c r="D58" s="124"/>
      <c r="E58" s="124"/>
      <c r="F58" s="113"/>
      <c r="G58" s="113"/>
      <c r="H58" s="113"/>
      <c r="I58" s="113"/>
      <c r="J58" s="113"/>
      <c r="K58" s="113"/>
      <c r="L58" s="113"/>
      <c r="M58" s="113"/>
      <c r="N58" s="113"/>
      <c r="O58" s="124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</row>
    <row x14ac:dyDescent="0.25" r="59" customHeight="1" ht="15.75">
      <c r="A59" s="123"/>
      <c r="B59" s="123"/>
      <c r="C59" s="124"/>
      <c r="D59" s="124"/>
      <c r="E59" s="124"/>
      <c r="F59" s="113"/>
      <c r="G59" s="113"/>
      <c r="H59" s="113"/>
      <c r="I59" s="113"/>
      <c r="J59" s="113"/>
      <c r="K59" s="113"/>
      <c r="L59" s="113"/>
      <c r="M59" s="113"/>
      <c r="N59" s="113"/>
      <c r="O59" s="124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</row>
    <row x14ac:dyDescent="0.25" r="60" customHeight="1" ht="15.75">
      <c r="A60" s="123"/>
      <c r="B60" s="123"/>
      <c r="C60" s="124"/>
      <c r="D60" s="124"/>
      <c r="E60" s="124"/>
      <c r="F60" s="113"/>
      <c r="G60" s="113"/>
      <c r="H60" s="113"/>
      <c r="I60" s="113"/>
      <c r="J60" s="113"/>
      <c r="K60" s="113"/>
      <c r="L60" s="113"/>
      <c r="M60" s="113"/>
      <c r="N60" s="113"/>
      <c r="O60" s="124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</row>
    <row x14ac:dyDescent="0.25" r="61" customHeight="1" ht="15.75">
      <c r="A61" s="123"/>
      <c r="B61" s="123"/>
      <c r="C61" s="124"/>
      <c r="D61" s="124"/>
      <c r="E61" s="124"/>
      <c r="F61" s="113"/>
      <c r="G61" s="113"/>
      <c r="H61" s="113"/>
      <c r="I61" s="113"/>
      <c r="J61" s="113"/>
      <c r="K61" s="113"/>
      <c r="L61" s="113"/>
      <c r="M61" s="113"/>
      <c r="N61" s="113"/>
      <c r="O61" s="124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</row>
    <row x14ac:dyDescent="0.25" r="62" customHeight="1" ht="15.75">
      <c r="A62" s="123"/>
      <c r="B62" s="123"/>
      <c r="C62" s="124"/>
      <c r="D62" s="124"/>
      <c r="E62" s="124"/>
      <c r="F62" s="113"/>
      <c r="G62" s="113"/>
      <c r="H62" s="113"/>
      <c r="I62" s="113"/>
      <c r="J62" s="113"/>
      <c r="K62" s="113"/>
      <c r="L62" s="113"/>
      <c r="M62" s="113"/>
      <c r="N62" s="113"/>
      <c r="O62" s="124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</row>
    <row x14ac:dyDescent="0.25" r="63" customHeight="1" ht="15.75">
      <c r="A63" s="123"/>
      <c r="B63" s="123"/>
      <c r="C63" s="124"/>
      <c r="D63" s="124"/>
      <c r="E63" s="124"/>
      <c r="F63" s="113"/>
      <c r="G63" s="113"/>
      <c r="H63" s="113"/>
      <c r="I63" s="113"/>
      <c r="J63" s="113"/>
      <c r="K63" s="113"/>
      <c r="L63" s="113"/>
      <c r="M63" s="113"/>
      <c r="N63" s="113"/>
      <c r="O63" s="124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</row>
    <row x14ac:dyDescent="0.25" r="64" customHeight="1" ht="15.75">
      <c r="A64" s="123"/>
      <c r="B64" s="123"/>
      <c r="C64" s="124"/>
      <c r="D64" s="124"/>
      <c r="E64" s="124"/>
      <c r="F64" s="113"/>
      <c r="G64" s="113"/>
      <c r="H64" s="113"/>
      <c r="I64" s="113"/>
      <c r="J64" s="113"/>
      <c r="K64" s="113"/>
      <c r="L64" s="113"/>
      <c r="M64" s="113"/>
      <c r="N64" s="113"/>
      <c r="O64" s="124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</row>
    <row x14ac:dyDescent="0.25" r="65" customHeight="1" ht="15.75">
      <c r="A65" s="123"/>
      <c r="B65" s="123"/>
      <c r="C65" s="124"/>
      <c r="D65" s="124"/>
      <c r="E65" s="124"/>
      <c r="F65" s="113"/>
      <c r="G65" s="113"/>
      <c r="H65" s="113"/>
      <c r="I65" s="113"/>
      <c r="J65" s="113"/>
      <c r="K65" s="113"/>
      <c r="L65" s="113"/>
      <c r="M65" s="113"/>
      <c r="N65" s="113"/>
      <c r="O65" s="124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</row>
    <row x14ac:dyDescent="0.25" r="66" customHeight="1" ht="15.75">
      <c r="A66" s="123"/>
      <c r="B66" s="123"/>
      <c r="C66" s="124"/>
      <c r="D66" s="124"/>
      <c r="E66" s="124"/>
      <c r="F66" s="113"/>
      <c r="G66" s="113"/>
      <c r="H66" s="113"/>
      <c r="I66" s="113"/>
      <c r="J66" s="113"/>
      <c r="K66" s="113"/>
      <c r="L66" s="113"/>
      <c r="M66" s="113"/>
      <c r="N66" s="113"/>
      <c r="O66" s="124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</row>
    <row x14ac:dyDescent="0.25" r="67" customHeight="1" ht="15.75">
      <c r="A67" s="123"/>
      <c r="B67" s="123"/>
      <c r="C67" s="124"/>
      <c r="D67" s="124"/>
      <c r="E67" s="124"/>
      <c r="F67" s="113"/>
      <c r="G67" s="113"/>
      <c r="H67" s="113"/>
      <c r="I67" s="113"/>
      <c r="J67" s="113"/>
      <c r="K67" s="113"/>
      <c r="L67" s="113"/>
      <c r="M67" s="113"/>
      <c r="N67" s="113"/>
      <c r="O67" s="124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</row>
    <row x14ac:dyDescent="0.25" r="68" customHeight="1" ht="15.75">
      <c r="A68" s="123"/>
      <c r="B68" s="123"/>
      <c r="C68" s="124"/>
      <c r="D68" s="124"/>
      <c r="E68" s="124"/>
      <c r="F68" s="113"/>
      <c r="G68" s="113"/>
      <c r="H68" s="113"/>
      <c r="I68" s="113"/>
      <c r="J68" s="113"/>
      <c r="K68" s="113"/>
      <c r="L68" s="113"/>
      <c r="M68" s="113"/>
      <c r="N68" s="113"/>
      <c r="O68" s="124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</row>
    <row x14ac:dyDescent="0.25" r="69" customHeight="1" ht="15.75">
      <c r="A69" s="123"/>
      <c r="B69" s="123"/>
      <c r="C69" s="124"/>
      <c r="D69" s="124"/>
      <c r="E69" s="124"/>
      <c r="F69" s="113"/>
      <c r="G69" s="113"/>
      <c r="H69" s="113"/>
      <c r="I69" s="113"/>
      <c r="J69" s="113"/>
      <c r="K69" s="113"/>
      <c r="L69" s="113"/>
      <c r="M69" s="113"/>
      <c r="N69" s="113"/>
      <c r="O69" s="124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</row>
    <row x14ac:dyDescent="0.25" r="70" customHeight="1" ht="15.75">
      <c r="A70" s="123"/>
      <c r="B70" s="123"/>
      <c r="C70" s="124"/>
      <c r="D70" s="124"/>
      <c r="E70" s="124"/>
      <c r="F70" s="113"/>
      <c r="G70" s="113"/>
      <c r="H70" s="113"/>
      <c r="I70" s="113"/>
      <c r="J70" s="113"/>
      <c r="K70" s="113"/>
      <c r="L70" s="113"/>
      <c r="M70" s="113"/>
      <c r="N70" s="113"/>
      <c r="O70" s="124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</row>
    <row x14ac:dyDescent="0.25" r="71" customHeight="1" ht="15.75">
      <c r="A71" s="123"/>
      <c r="B71" s="123"/>
      <c r="C71" s="124"/>
      <c r="D71" s="124"/>
      <c r="E71" s="124"/>
      <c r="F71" s="113"/>
      <c r="G71" s="113"/>
      <c r="H71" s="113"/>
      <c r="I71" s="113"/>
      <c r="J71" s="113"/>
      <c r="K71" s="113"/>
      <c r="L71" s="113"/>
      <c r="M71" s="113"/>
      <c r="N71" s="113"/>
      <c r="O71" s="124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</row>
    <row x14ac:dyDescent="0.25" r="72" customHeight="1" ht="15.75">
      <c r="A72" s="123"/>
      <c r="B72" s="123"/>
      <c r="C72" s="124"/>
      <c r="D72" s="124"/>
      <c r="E72" s="124"/>
      <c r="F72" s="113"/>
      <c r="G72" s="113"/>
      <c r="H72" s="113"/>
      <c r="I72" s="113"/>
      <c r="J72" s="113"/>
      <c r="K72" s="113"/>
      <c r="L72" s="113"/>
      <c r="M72" s="113"/>
      <c r="N72" s="113"/>
      <c r="O72" s="124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</row>
    <row x14ac:dyDescent="0.25" r="73" customHeight="1" ht="15.75">
      <c r="A73" s="123"/>
      <c r="B73" s="123"/>
      <c r="C73" s="124"/>
      <c r="D73" s="124"/>
      <c r="E73" s="124"/>
      <c r="F73" s="113"/>
      <c r="G73" s="113"/>
      <c r="H73" s="113"/>
      <c r="I73" s="113"/>
      <c r="J73" s="113"/>
      <c r="K73" s="113"/>
      <c r="L73" s="113"/>
      <c r="M73" s="113"/>
      <c r="N73" s="113"/>
      <c r="O73" s="124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</row>
    <row x14ac:dyDescent="0.25" r="74" customHeight="1" ht="15.75">
      <c r="A74" s="123"/>
      <c r="B74" s="123"/>
      <c r="C74" s="124"/>
      <c r="D74" s="124"/>
      <c r="E74" s="124"/>
      <c r="F74" s="113"/>
      <c r="G74" s="113"/>
      <c r="H74" s="113"/>
      <c r="I74" s="113"/>
      <c r="J74" s="113"/>
      <c r="K74" s="113"/>
      <c r="L74" s="113"/>
      <c r="M74" s="113"/>
      <c r="N74" s="113"/>
      <c r="O74" s="124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</row>
    <row x14ac:dyDescent="0.25" r="75" customHeight="1" ht="15.75">
      <c r="A75" s="123"/>
      <c r="B75" s="123"/>
      <c r="C75" s="124"/>
      <c r="D75" s="124"/>
      <c r="E75" s="124"/>
      <c r="F75" s="113"/>
      <c r="G75" s="113"/>
      <c r="H75" s="113"/>
      <c r="I75" s="113"/>
      <c r="J75" s="113"/>
      <c r="K75" s="113"/>
      <c r="L75" s="113"/>
      <c r="M75" s="113"/>
      <c r="N75" s="113"/>
      <c r="O75" s="124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</row>
    <row x14ac:dyDescent="0.25" r="76" customHeight="1" ht="15.75">
      <c r="A76" s="123"/>
      <c r="B76" s="123"/>
      <c r="C76" s="124"/>
      <c r="D76" s="124"/>
      <c r="E76" s="124"/>
      <c r="F76" s="113"/>
      <c r="G76" s="113"/>
      <c r="H76" s="113"/>
      <c r="I76" s="113"/>
      <c r="J76" s="113"/>
      <c r="K76" s="113"/>
      <c r="L76" s="113"/>
      <c r="M76" s="113"/>
      <c r="N76" s="113"/>
      <c r="O76" s="124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</row>
    <row x14ac:dyDescent="0.25" r="77" customHeight="1" ht="15.75">
      <c r="A77" s="123"/>
      <c r="B77" s="123"/>
      <c r="C77" s="124"/>
      <c r="D77" s="124"/>
      <c r="E77" s="124"/>
      <c r="F77" s="113"/>
      <c r="G77" s="113"/>
      <c r="H77" s="113"/>
      <c r="I77" s="113"/>
      <c r="J77" s="113"/>
      <c r="K77" s="113"/>
      <c r="L77" s="113"/>
      <c r="M77" s="113"/>
      <c r="N77" s="113"/>
      <c r="O77" s="124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</row>
    <row x14ac:dyDescent="0.25" r="78" customHeight="1" ht="15.75">
      <c r="A78" s="123"/>
      <c r="B78" s="123"/>
      <c r="C78" s="124"/>
      <c r="D78" s="124"/>
      <c r="E78" s="124"/>
      <c r="F78" s="113"/>
      <c r="G78" s="113"/>
      <c r="H78" s="113"/>
      <c r="I78" s="113"/>
      <c r="J78" s="113"/>
      <c r="K78" s="113"/>
      <c r="L78" s="113"/>
      <c r="M78" s="113"/>
      <c r="N78" s="113"/>
      <c r="O78" s="124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</row>
    <row x14ac:dyDescent="0.25" r="79" customHeight="1" ht="15.75">
      <c r="A79" s="123"/>
      <c r="B79" s="123"/>
      <c r="C79" s="124"/>
      <c r="D79" s="124"/>
      <c r="E79" s="124"/>
      <c r="F79" s="113"/>
      <c r="G79" s="113"/>
      <c r="H79" s="113"/>
      <c r="I79" s="113"/>
      <c r="J79" s="113"/>
      <c r="K79" s="113"/>
      <c r="L79" s="113"/>
      <c r="M79" s="113"/>
      <c r="N79" s="113"/>
      <c r="O79" s="124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</row>
    <row x14ac:dyDescent="0.25" r="80" customHeight="1" ht="15.75">
      <c r="A80" s="123"/>
      <c r="B80" s="123"/>
      <c r="C80" s="124"/>
      <c r="D80" s="124"/>
      <c r="E80" s="124"/>
      <c r="F80" s="113"/>
      <c r="G80" s="113"/>
      <c r="H80" s="113"/>
      <c r="I80" s="113"/>
      <c r="J80" s="113"/>
      <c r="K80" s="113"/>
      <c r="L80" s="113"/>
      <c r="M80" s="113"/>
      <c r="N80" s="113"/>
      <c r="O80" s="124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</row>
    <row x14ac:dyDescent="0.25" r="81" customHeight="1" ht="15.75">
      <c r="A81" s="123"/>
      <c r="B81" s="123"/>
      <c r="C81" s="124"/>
      <c r="D81" s="124"/>
      <c r="E81" s="124"/>
      <c r="F81" s="113"/>
      <c r="G81" s="113"/>
      <c r="H81" s="113"/>
      <c r="I81" s="113"/>
      <c r="J81" s="113"/>
      <c r="K81" s="113"/>
      <c r="L81" s="113"/>
      <c r="M81" s="113"/>
      <c r="N81" s="113"/>
      <c r="O81" s="124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</row>
    <row x14ac:dyDescent="0.25" r="82" customHeight="1" ht="15.75">
      <c r="A82" s="123"/>
      <c r="B82" s="123"/>
      <c r="C82" s="124"/>
      <c r="D82" s="124"/>
      <c r="E82" s="124"/>
      <c r="F82" s="113"/>
      <c r="G82" s="113"/>
      <c r="H82" s="113"/>
      <c r="I82" s="113"/>
      <c r="J82" s="113"/>
      <c r="K82" s="113"/>
      <c r="L82" s="113"/>
      <c r="M82" s="113"/>
      <c r="N82" s="113"/>
      <c r="O82" s="124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</row>
    <row x14ac:dyDescent="0.25" r="83" customHeight="1" ht="15.75">
      <c r="A83" s="123"/>
      <c r="B83" s="123"/>
      <c r="C83" s="124"/>
      <c r="D83" s="124"/>
      <c r="E83" s="124"/>
      <c r="F83" s="113"/>
      <c r="G83" s="113"/>
      <c r="H83" s="113"/>
      <c r="I83" s="113"/>
      <c r="J83" s="113"/>
      <c r="K83" s="113"/>
      <c r="L83" s="113"/>
      <c r="M83" s="113"/>
      <c r="N83" s="113"/>
      <c r="O83" s="124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</row>
    <row x14ac:dyDescent="0.25" r="84" customHeight="1" ht="15.75">
      <c r="A84" s="123"/>
      <c r="B84" s="123"/>
      <c r="C84" s="124"/>
      <c r="D84" s="124"/>
      <c r="E84" s="124"/>
      <c r="F84" s="113"/>
      <c r="G84" s="113"/>
      <c r="H84" s="113"/>
      <c r="I84" s="113"/>
      <c r="J84" s="113"/>
      <c r="K84" s="113"/>
      <c r="L84" s="113"/>
      <c r="M84" s="113"/>
      <c r="N84" s="113"/>
      <c r="O84" s="124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</row>
    <row x14ac:dyDescent="0.25" r="85" customHeight="1" ht="15.75">
      <c r="A85" s="123"/>
      <c r="B85" s="123"/>
      <c r="C85" s="124"/>
      <c r="D85" s="124"/>
      <c r="E85" s="124"/>
      <c r="F85" s="113"/>
      <c r="G85" s="113"/>
      <c r="H85" s="113"/>
      <c r="I85" s="113"/>
      <c r="J85" s="113"/>
      <c r="K85" s="113"/>
      <c r="L85" s="113"/>
      <c r="M85" s="113"/>
      <c r="N85" s="113"/>
      <c r="O85" s="124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</row>
    <row x14ac:dyDescent="0.25" r="86" customHeight="1" ht="15.75">
      <c r="A86" s="123"/>
      <c r="B86" s="123"/>
      <c r="C86" s="124"/>
      <c r="D86" s="124"/>
      <c r="E86" s="124"/>
      <c r="F86" s="113"/>
      <c r="G86" s="113"/>
      <c r="H86" s="113"/>
      <c r="I86" s="113"/>
      <c r="J86" s="113"/>
      <c r="K86" s="113"/>
      <c r="L86" s="113"/>
      <c r="M86" s="113"/>
      <c r="N86" s="113"/>
      <c r="O86" s="124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</row>
    <row x14ac:dyDescent="0.25" r="87" customHeight="1" ht="15.75">
      <c r="A87" s="123"/>
      <c r="B87" s="123"/>
      <c r="C87" s="124"/>
      <c r="D87" s="124"/>
      <c r="E87" s="124"/>
      <c r="F87" s="113"/>
      <c r="G87" s="113"/>
      <c r="H87" s="113"/>
      <c r="I87" s="113"/>
      <c r="J87" s="113"/>
      <c r="K87" s="113"/>
      <c r="L87" s="113"/>
      <c r="M87" s="113"/>
      <c r="N87" s="113"/>
      <c r="O87" s="124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</row>
    <row x14ac:dyDescent="0.25" r="88" customHeight="1" ht="15.75">
      <c r="A88" s="123"/>
      <c r="B88" s="123"/>
      <c r="C88" s="124"/>
      <c r="D88" s="124"/>
      <c r="E88" s="124"/>
      <c r="F88" s="113"/>
      <c r="G88" s="113"/>
      <c r="H88" s="113"/>
      <c r="I88" s="113"/>
      <c r="J88" s="113"/>
      <c r="K88" s="113"/>
      <c r="L88" s="113"/>
      <c r="M88" s="113"/>
      <c r="N88" s="113"/>
      <c r="O88" s="124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</row>
    <row x14ac:dyDescent="0.25" r="89" customHeight="1" ht="15.75">
      <c r="A89" s="123"/>
      <c r="B89" s="123"/>
      <c r="C89" s="124"/>
      <c r="D89" s="124"/>
      <c r="E89" s="124"/>
      <c r="F89" s="113"/>
      <c r="G89" s="113"/>
      <c r="H89" s="113"/>
      <c r="I89" s="113"/>
      <c r="J89" s="113"/>
      <c r="K89" s="113"/>
      <c r="L89" s="113"/>
      <c r="M89" s="113"/>
      <c r="N89" s="113"/>
      <c r="O89" s="124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</row>
    <row x14ac:dyDescent="0.25" r="90" customHeight="1" ht="15.75">
      <c r="A90" s="123"/>
      <c r="B90" s="123"/>
      <c r="C90" s="124"/>
      <c r="D90" s="124"/>
      <c r="E90" s="124"/>
      <c r="F90" s="113"/>
      <c r="G90" s="113"/>
      <c r="H90" s="113"/>
      <c r="I90" s="113"/>
      <c r="J90" s="113"/>
      <c r="K90" s="113"/>
      <c r="L90" s="113"/>
      <c r="M90" s="113"/>
      <c r="N90" s="113"/>
      <c r="O90" s="124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</row>
    <row x14ac:dyDescent="0.25" r="91" customHeight="1" ht="15.75">
      <c r="A91" s="123"/>
      <c r="B91" s="123"/>
      <c r="C91" s="124"/>
      <c r="D91" s="124"/>
      <c r="E91" s="124"/>
      <c r="F91" s="113"/>
      <c r="G91" s="113"/>
      <c r="H91" s="113"/>
      <c r="I91" s="113"/>
      <c r="J91" s="113"/>
      <c r="K91" s="113"/>
      <c r="L91" s="113"/>
      <c r="M91" s="113"/>
      <c r="N91" s="113"/>
      <c r="O91" s="124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</row>
    <row x14ac:dyDescent="0.25" r="92" customHeight="1" ht="15.75">
      <c r="A92" s="123"/>
      <c r="B92" s="123"/>
      <c r="C92" s="124"/>
      <c r="D92" s="124"/>
      <c r="E92" s="124"/>
      <c r="F92" s="113"/>
      <c r="G92" s="113"/>
      <c r="H92" s="113"/>
      <c r="I92" s="113"/>
      <c r="J92" s="113"/>
      <c r="K92" s="113"/>
      <c r="L92" s="113"/>
      <c r="M92" s="113"/>
      <c r="N92" s="113"/>
      <c r="O92" s="124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</row>
    <row x14ac:dyDescent="0.25" r="93" customHeight="1" ht="15.75">
      <c r="A93" s="123"/>
      <c r="B93" s="123"/>
      <c r="C93" s="124"/>
      <c r="D93" s="124"/>
      <c r="E93" s="124"/>
      <c r="F93" s="113"/>
      <c r="G93" s="113"/>
      <c r="H93" s="113"/>
      <c r="I93" s="113"/>
      <c r="J93" s="113"/>
      <c r="K93" s="113"/>
      <c r="L93" s="113"/>
      <c r="M93" s="113"/>
      <c r="N93" s="113"/>
      <c r="O93" s="124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</row>
    <row x14ac:dyDescent="0.25" r="94" customHeight="1" ht="15.75">
      <c r="A94" s="123"/>
      <c r="B94" s="123"/>
      <c r="C94" s="124"/>
      <c r="D94" s="124"/>
      <c r="E94" s="124"/>
      <c r="F94" s="113"/>
      <c r="G94" s="113"/>
      <c r="H94" s="113"/>
      <c r="I94" s="113"/>
      <c r="J94" s="113"/>
      <c r="K94" s="113"/>
      <c r="L94" s="113"/>
      <c r="M94" s="113"/>
      <c r="N94" s="113"/>
      <c r="O94" s="124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</row>
    <row x14ac:dyDescent="0.25" r="95" customHeight="1" ht="15.75">
      <c r="A95" s="123"/>
      <c r="B95" s="123"/>
      <c r="C95" s="124"/>
      <c r="D95" s="124"/>
      <c r="E95" s="124"/>
      <c r="F95" s="113"/>
      <c r="G95" s="113"/>
      <c r="H95" s="113"/>
      <c r="I95" s="113"/>
      <c r="J95" s="113"/>
      <c r="K95" s="113"/>
      <c r="L95" s="113"/>
      <c r="M95" s="113"/>
      <c r="N95" s="113"/>
      <c r="O95" s="124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</row>
    <row x14ac:dyDescent="0.25" r="96" customHeight="1" ht="15.75">
      <c r="A96" s="123"/>
      <c r="B96" s="123"/>
      <c r="C96" s="124"/>
      <c r="D96" s="124"/>
      <c r="E96" s="124"/>
      <c r="F96" s="113"/>
      <c r="G96" s="113"/>
      <c r="H96" s="113"/>
      <c r="I96" s="113"/>
      <c r="J96" s="113"/>
      <c r="K96" s="113"/>
      <c r="L96" s="113"/>
      <c r="M96" s="113"/>
      <c r="N96" s="113"/>
      <c r="O96" s="124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</row>
    <row x14ac:dyDescent="0.25" r="97" customHeight="1" ht="15.75">
      <c r="A97" s="123"/>
      <c r="B97" s="123"/>
      <c r="C97" s="124"/>
      <c r="D97" s="124"/>
      <c r="E97" s="124"/>
      <c r="F97" s="113"/>
      <c r="G97" s="113"/>
      <c r="H97" s="113"/>
      <c r="I97" s="113"/>
      <c r="J97" s="113"/>
      <c r="K97" s="113"/>
      <c r="L97" s="113"/>
      <c r="M97" s="113"/>
      <c r="N97" s="113"/>
      <c r="O97" s="124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</row>
    <row x14ac:dyDescent="0.25" r="98" customHeight="1" ht="15.75">
      <c r="A98" s="123"/>
      <c r="B98" s="123"/>
      <c r="C98" s="124"/>
      <c r="D98" s="124"/>
      <c r="E98" s="124"/>
      <c r="F98" s="113"/>
      <c r="G98" s="113"/>
      <c r="H98" s="113"/>
      <c r="I98" s="113"/>
      <c r="J98" s="113"/>
      <c r="K98" s="113"/>
      <c r="L98" s="113"/>
      <c r="M98" s="113"/>
      <c r="N98" s="113"/>
      <c r="O98" s="124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</row>
    <row x14ac:dyDescent="0.25" r="99" customHeight="1" ht="15.75">
      <c r="A99" s="123"/>
      <c r="B99" s="123"/>
      <c r="C99" s="124"/>
      <c r="D99" s="124"/>
      <c r="E99" s="124"/>
      <c r="F99" s="113"/>
      <c r="G99" s="113"/>
      <c r="H99" s="113"/>
      <c r="I99" s="113"/>
      <c r="J99" s="113"/>
      <c r="K99" s="113"/>
      <c r="L99" s="113"/>
      <c r="M99" s="113"/>
      <c r="N99" s="113"/>
      <c r="O99" s="124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</row>
    <row x14ac:dyDescent="0.25" r="100" customHeight="1" ht="15.75">
      <c r="A100" s="123"/>
      <c r="B100" s="123"/>
      <c r="C100" s="124"/>
      <c r="D100" s="124"/>
      <c r="E100" s="124"/>
      <c r="F100" s="113"/>
      <c r="G100" s="113"/>
      <c r="H100" s="113"/>
      <c r="I100" s="113"/>
      <c r="J100" s="113"/>
      <c r="K100" s="113"/>
      <c r="L100" s="113"/>
      <c r="M100" s="113"/>
      <c r="N100" s="113"/>
      <c r="O100" s="124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</row>
    <row x14ac:dyDescent="0.25" r="101" customHeight="1" ht="15.75">
      <c r="A101" s="123"/>
      <c r="B101" s="123"/>
      <c r="C101" s="124"/>
      <c r="D101" s="124"/>
      <c r="E101" s="124"/>
      <c r="F101" s="113"/>
      <c r="G101" s="113"/>
      <c r="H101" s="113"/>
      <c r="I101" s="113"/>
      <c r="J101" s="113"/>
      <c r="K101" s="113"/>
      <c r="L101" s="113"/>
      <c r="M101" s="113"/>
      <c r="N101" s="113"/>
      <c r="O101" s="124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</row>
    <row x14ac:dyDescent="0.25" r="102" customHeight="1" ht="15.75">
      <c r="A102" s="123"/>
      <c r="B102" s="123"/>
      <c r="C102" s="124"/>
      <c r="D102" s="124"/>
      <c r="E102" s="124"/>
      <c r="F102" s="113"/>
      <c r="G102" s="113"/>
      <c r="H102" s="113"/>
      <c r="I102" s="113"/>
      <c r="J102" s="113"/>
      <c r="K102" s="113"/>
      <c r="L102" s="113"/>
      <c r="M102" s="113"/>
      <c r="N102" s="113"/>
      <c r="O102" s="124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</row>
    <row x14ac:dyDescent="0.25" r="103" customHeight="1" ht="15.75">
      <c r="A103" s="123"/>
      <c r="B103" s="123"/>
      <c r="C103" s="124"/>
      <c r="D103" s="124"/>
      <c r="E103" s="124"/>
      <c r="F103" s="113"/>
      <c r="G103" s="113"/>
      <c r="H103" s="113"/>
      <c r="I103" s="113"/>
      <c r="J103" s="113"/>
      <c r="K103" s="113"/>
      <c r="L103" s="113"/>
      <c r="M103" s="113"/>
      <c r="N103" s="113"/>
      <c r="O103" s="124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</row>
    <row x14ac:dyDescent="0.25" r="104" customHeight="1" ht="15.75">
      <c r="A104" s="123"/>
      <c r="B104" s="123"/>
      <c r="C104" s="124"/>
      <c r="D104" s="124"/>
      <c r="E104" s="124"/>
      <c r="F104" s="113"/>
      <c r="G104" s="113"/>
      <c r="H104" s="113"/>
      <c r="I104" s="113"/>
      <c r="J104" s="113"/>
      <c r="K104" s="113"/>
      <c r="L104" s="113"/>
      <c r="M104" s="113"/>
      <c r="N104" s="113"/>
      <c r="O104" s="124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</row>
    <row x14ac:dyDescent="0.25" r="105" customHeight="1" ht="15.75">
      <c r="A105" s="123"/>
      <c r="B105" s="123"/>
      <c r="C105" s="124"/>
      <c r="D105" s="124"/>
      <c r="E105" s="124"/>
      <c r="F105" s="113"/>
      <c r="G105" s="113"/>
      <c r="H105" s="113"/>
      <c r="I105" s="113"/>
      <c r="J105" s="113"/>
      <c r="K105" s="113"/>
      <c r="L105" s="113"/>
      <c r="M105" s="113"/>
      <c r="N105" s="113"/>
      <c r="O105" s="124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</row>
    <row x14ac:dyDescent="0.25" r="106" customHeight="1" ht="15.75">
      <c r="A106" s="123"/>
      <c r="B106" s="123"/>
      <c r="C106" s="124"/>
      <c r="D106" s="124"/>
      <c r="E106" s="124"/>
      <c r="F106" s="113"/>
      <c r="G106" s="113"/>
      <c r="H106" s="113"/>
      <c r="I106" s="113"/>
      <c r="J106" s="113"/>
      <c r="K106" s="113"/>
      <c r="L106" s="113"/>
      <c r="M106" s="113"/>
      <c r="N106" s="113"/>
      <c r="O106" s="124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</row>
    <row x14ac:dyDescent="0.25" r="107" customHeight="1" ht="15.75">
      <c r="A107" s="123"/>
      <c r="B107" s="123"/>
      <c r="C107" s="124"/>
      <c r="D107" s="124"/>
      <c r="E107" s="124"/>
      <c r="F107" s="113"/>
      <c r="G107" s="113"/>
      <c r="H107" s="113"/>
      <c r="I107" s="113"/>
      <c r="J107" s="113"/>
      <c r="K107" s="113"/>
      <c r="L107" s="113"/>
      <c r="M107" s="113"/>
      <c r="N107" s="113"/>
      <c r="O107" s="124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</row>
    <row x14ac:dyDescent="0.25" r="108" customHeight="1" ht="15.75">
      <c r="A108" s="123"/>
      <c r="B108" s="123"/>
      <c r="C108" s="124"/>
      <c r="D108" s="124"/>
      <c r="E108" s="124"/>
      <c r="F108" s="113"/>
      <c r="G108" s="113"/>
      <c r="H108" s="113"/>
      <c r="I108" s="113"/>
      <c r="J108" s="113"/>
      <c r="K108" s="113"/>
      <c r="L108" s="113"/>
      <c r="M108" s="113"/>
      <c r="N108" s="113"/>
      <c r="O108" s="124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</row>
    <row x14ac:dyDescent="0.25" r="109" customHeight="1" ht="15.75">
      <c r="A109" s="123"/>
      <c r="B109" s="123"/>
      <c r="C109" s="124"/>
      <c r="D109" s="124"/>
      <c r="E109" s="124"/>
      <c r="F109" s="113"/>
      <c r="G109" s="113"/>
      <c r="H109" s="113"/>
      <c r="I109" s="113"/>
      <c r="J109" s="113"/>
      <c r="K109" s="113"/>
      <c r="L109" s="113"/>
      <c r="M109" s="113"/>
      <c r="N109" s="113"/>
      <c r="O109" s="124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</row>
    <row x14ac:dyDescent="0.25" r="110" customHeight="1" ht="15.75">
      <c r="A110" s="123"/>
      <c r="B110" s="123"/>
      <c r="C110" s="124"/>
      <c r="D110" s="124"/>
      <c r="E110" s="124"/>
      <c r="F110" s="113"/>
      <c r="G110" s="113"/>
      <c r="H110" s="113"/>
      <c r="I110" s="113"/>
      <c r="J110" s="113"/>
      <c r="K110" s="113"/>
      <c r="L110" s="113"/>
      <c r="M110" s="113"/>
      <c r="N110" s="113"/>
      <c r="O110" s="124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</row>
    <row x14ac:dyDescent="0.25" r="111" customHeight="1" ht="15.75">
      <c r="A111" s="123"/>
      <c r="B111" s="123"/>
      <c r="C111" s="124"/>
      <c r="D111" s="124"/>
      <c r="E111" s="124"/>
      <c r="F111" s="113"/>
      <c r="G111" s="113"/>
      <c r="H111" s="113"/>
      <c r="I111" s="113"/>
      <c r="J111" s="113"/>
      <c r="K111" s="113"/>
      <c r="L111" s="113"/>
      <c r="M111" s="113"/>
      <c r="N111" s="113"/>
      <c r="O111" s="124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</row>
    <row x14ac:dyDescent="0.25" r="112" customHeight="1" ht="15.75">
      <c r="A112" s="123"/>
      <c r="B112" s="123"/>
      <c r="C112" s="124"/>
      <c r="D112" s="124"/>
      <c r="E112" s="124"/>
      <c r="F112" s="113"/>
      <c r="G112" s="113"/>
      <c r="H112" s="113"/>
      <c r="I112" s="113"/>
      <c r="J112" s="113"/>
      <c r="K112" s="113"/>
      <c r="L112" s="113"/>
      <c r="M112" s="113"/>
      <c r="N112" s="113"/>
      <c r="O112" s="124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</row>
    <row x14ac:dyDescent="0.25" r="113" customHeight="1" ht="15.75">
      <c r="A113" s="123"/>
      <c r="B113" s="123"/>
      <c r="C113" s="124"/>
      <c r="D113" s="124"/>
      <c r="E113" s="124"/>
      <c r="F113" s="113"/>
      <c r="G113" s="113"/>
      <c r="H113" s="113"/>
      <c r="I113" s="113"/>
      <c r="J113" s="113"/>
      <c r="K113" s="113"/>
      <c r="L113" s="113"/>
      <c r="M113" s="113"/>
      <c r="N113" s="113"/>
      <c r="O113" s="124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</row>
    <row x14ac:dyDescent="0.25" r="114" customHeight="1" ht="15.75">
      <c r="A114" s="123"/>
      <c r="B114" s="123"/>
      <c r="C114" s="124"/>
      <c r="D114" s="124"/>
      <c r="E114" s="124"/>
      <c r="F114" s="113"/>
      <c r="G114" s="113"/>
      <c r="H114" s="113"/>
      <c r="I114" s="113"/>
      <c r="J114" s="113"/>
      <c r="K114" s="113"/>
      <c r="L114" s="113"/>
      <c r="M114" s="113"/>
      <c r="N114" s="113"/>
      <c r="O114" s="124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</row>
    <row x14ac:dyDescent="0.25" r="115" customHeight="1" ht="15.75">
      <c r="A115" s="123"/>
      <c r="B115" s="123"/>
      <c r="C115" s="124"/>
      <c r="D115" s="124"/>
      <c r="E115" s="124"/>
      <c r="F115" s="113"/>
      <c r="G115" s="113"/>
      <c r="H115" s="113"/>
      <c r="I115" s="113"/>
      <c r="J115" s="113"/>
      <c r="K115" s="113"/>
      <c r="L115" s="113"/>
      <c r="M115" s="113"/>
      <c r="N115" s="113"/>
      <c r="O115" s="124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</row>
    <row x14ac:dyDescent="0.25" r="116" customHeight="1" ht="15.75">
      <c r="A116" s="123"/>
      <c r="B116" s="123"/>
      <c r="C116" s="124"/>
      <c r="D116" s="124"/>
      <c r="E116" s="124"/>
      <c r="F116" s="113"/>
      <c r="G116" s="113"/>
      <c r="H116" s="113"/>
      <c r="I116" s="113"/>
      <c r="J116" s="113"/>
      <c r="K116" s="113"/>
      <c r="L116" s="113"/>
      <c r="M116" s="113"/>
      <c r="N116" s="113"/>
      <c r="O116" s="124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</row>
    <row x14ac:dyDescent="0.25" r="117" customHeight="1" ht="15.75">
      <c r="A117" s="123"/>
      <c r="B117" s="123"/>
      <c r="C117" s="124"/>
      <c r="D117" s="124"/>
      <c r="E117" s="124"/>
      <c r="F117" s="113"/>
      <c r="G117" s="113"/>
      <c r="H117" s="113"/>
      <c r="I117" s="113"/>
      <c r="J117" s="113"/>
      <c r="K117" s="113"/>
      <c r="L117" s="113"/>
      <c r="M117" s="113"/>
      <c r="N117" s="113"/>
      <c r="O117" s="124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</row>
    <row x14ac:dyDescent="0.25" r="118" customHeight="1" ht="15.75">
      <c r="A118" s="123"/>
      <c r="B118" s="123"/>
      <c r="C118" s="124"/>
      <c r="D118" s="124"/>
      <c r="E118" s="124"/>
      <c r="F118" s="113"/>
      <c r="G118" s="113"/>
      <c r="H118" s="113"/>
      <c r="I118" s="113"/>
      <c r="J118" s="113"/>
      <c r="K118" s="113"/>
      <c r="L118" s="113"/>
      <c r="M118" s="113"/>
      <c r="N118" s="113"/>
      <c r="O118" s="124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</row>
    <row x14ac:dyDescent="0.25" r="119" customHeight="1" ht="15.75">
      <c r="A119" s="123"/>
      <c r="B119" s="123"/>
      <c r="C119" s="124"/>
      <c r="D119" s="124"/>
      <c r="E119" s="124"/>
      <c r="F119" s="113"/>
      <c r="G119" s="113"/>
      <c r="H119" s="113"/>
      <c r="I119" s="113"/>
      <c r="J119" s="113"/>
      <c r="K119" s="113"/>
      <c r="L119" s="113"/>
      <c r="M119" s="113"/>
      <c r="N119" s="113"/>
      <c r="O119" s="124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</row>
    <row x14ac:dyDescent="0.25" r="120" customHeight="1" ht="15.75">
      <c r="A120" s="123"/>
      <c r="B120" s="123"/>
      <c r="C120" s="124"/>
      <c r="D120" s="124"/>
      <c r="E120" s="124"/>
      <c r="F120" s="113"/>
      <c r="G120" s="113"/>
      <c r="H120" s="113"/>
      <c r="I120" s="113"/>
      <c r="J120" s="113"/>
      <c r="K120" s="113"/>
      <c r="L120" s="113"/>
      <c r="M120" s="113"/>
      <c r="N120" s="113"/>
      <c r="O120" s="124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</row>
    <row x14ac:dyDescent="0.25" r="121" customHeight="1" ht="15.75">
      <c r="A121" s="123"/>
      <c r="B121" s="123"/>
      <c r="C121" s="124"/>
      <c r="D121" s="124"/>
      <c r="E121" s="124"/>
      <c r="F121" s="113"/>
      <c r="G121" s="113"/>
      <c r="H121" s="113"/>
      <c r="I121" s="113"/>
      <c r="J121" s="113"/>
      <c r="K121" s="113"/>
      <c r="L121" s="113"/>
      <c r="M121" s="113"/>
      <c r="N121" s="113"/>
      <c r="O121" s="124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</row>
    <row x14ac:dyDescent="0.25" r="122" customHeight="1" ht="15.75">
      <c r="A122" s="123"/>
      <c r="B122" s="123"/>
      <c r="C122" s="124"/>
      <c r="D122" s="124"/>
      <c r="E122" s="124"/>
      <c r="F122" s="113"/>
      <c r="G122" s="113"/>
      <c r="H122" s="113"/>
      <c r="I122" s="113"/>
      <c r="J122" s="113"/>
      <c r="K122" s="113"/>
      <c r="L122" s="113"/>
      <c r="M122" s="113"/>
      <c r="N122" s="113"/>
      <c r="O122" s="124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</row>
    <row x14ac:dyDescent="0.25" r="123" customHeight="1" ht="15.75">
      <c r="A123" s="123"/>
      <c r="B123" s="123"/>
      <c r="C123" s="124"/>
      <c r="D123" s="124"/>
      <c r="E123" s="124"/>
      <c r="F123" s="113"/>
      <c r="G123" s="113"/>
      <c r="H123" s="113"/>
      <c r="I123" s="113"/>
      <c r="J123" s="113"/>
      <c r="K123" s="113"/>
      <c r="L123" s="113"/>
      <c r="M123" s="113"/>
      <c r="N123" s="113"/>
      <c r="O123" s="124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</row>
    <row x14ac:dyDescent="0.25" r="124" customHeight="1" ht="15.75">
      <c r="A124" s="123"/>
      <c r="B124" s="123"/>
      <c r="C124" s="124"/>
      <c r="D124" s="124"/>
      <c r="E124" s="124"/>
      <c r="F124" s="113"/>
      <c r="G124" s="113"/>
      <c r="H124" s="113"/>
      <c r="I124" s="113"/>
      <c r="J124" s="113"/>
      <c r="K124" s="113"/>
      <c r="L124" s="113"/>
      <c r="M124" s="113"/>
      <c r="N124" s="113"/>
      <c r="O124" s="124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</row>
    <row x14ac:dyDescent="0.25" r="125" customHeight="1" ht="15.75">
      <c r="A125" s="123"/>
      <c r="B125" s="123"/>
      <c r="C125" s="124"/>
      <c r="D125" s="124"/>
      <c r="E125" s="124"/>
      <c r="F125" s="113"/>
      <c r="G125" s="113"/>
      <c r="H125" s="113"/>
      <c r="I125" s="113"/>
      <c r="J125" s="113"/>
      <c r="K125" s="113"/>
      <c r="L125" s="113"/>
      <c r="M125" s="113"/>
      <c r="N125" s="113"/>
      <c r="O125" s="124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</row>
    <row x14ac:dyDescent="0.25" r="126" customHeight="1" ht="15.75">
      <c r="A126" s="123"/>
      <c r="B126" s="123"/>
      <c r="C126" s="124"/>
      <c r="D126" s="124"/>
      <c r="E126" s="124"/>
      <c r="F126" s="113"/>
      <c r="G126" s="113"/>
      <c r="H126" s="113"/>
      <c r="I126" s="113"/>
      <c r="J126" s="113"/>
      <c r="K126" s="113"/>
      <c r="L126" s="113"/>
      <c r="M126" s="113"/>
      <c r="N126" s="113"/>
      <c r="O126" s="124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</row>
    <row x14ac:dyDescent="0.25" r="127" customHeight="1" ht="15.75">
      <c r="A127" s="123"/>
      <c r="B127" s="123"/>
      <c r="C127" s="124"/>
      <c r="D127" s="124"/>
      <c r="E127" s="124"/>
      <c r="F127" s="113"/>
      <c r="G127" s="113"/>
      <c r="H127" s="113"/>
      <c r="I127" s="113"/>
      <c r="J127" s="113"/>
      <c r="K127" s="113"/>
      <c r="L127" s="113"/>
      <c r="M127" s="113"/>
      <c r="N127" s="113"/>
      <c r="O127" s="124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</row>
    <row x14ac:dyDescent="0.25" r="128" customHeight="1" ht="15.75">
      <c r="A128" s="123"/>
      <c r="B128" s="123"/>
      <c r="C128" s="124"/>
      <c r="D128" s="124"/>
      <c r="E128" s="124"/>
      <c r="F128" s="113"/>
      <c r="G128" s="113"/>
      <c r="H128" s="113"/>
      <c r="I128" s="113"/>
      <c r="J128" s="113"/>
      <c r="K128" s="113"/>
      <c r="L128" s="113"/>
      <c r="M128" s="113"/>
      <c r="N128" s="113"/>
      <c r="O128" s="124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</row>
    <row x14ac:dyDescent="0.25" r="129" customHeight="1" ht="15.75">
      <c r="A129" s="123"/>
      <c r="B129" s="123"/>
      <c r="C129" s="124"/>
      <c r="D129" s="124"/>
      <c r="E129" s="124"/>
      <c r="F129" s="113"/>
      <c r="G129" s="113"/>
      <c r="H129" s="113"/>
      <c r="I129" s="113"/>
      <c r="J129" s="113"/>
      <c r="K129" s="113"/>
      <c r="L129" s="113"/>
      <c r="M129" s="113"/>
      <c r="N129" s="113"/>
      <c r="O129" s="124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</row>
    <row x14ac:dyDescent="0.25" r="130" customHeight="1" ht="15.75">
      <c r="A130" s="123"/>
      <c r="B130" s="123"/>
      <c r="C130" s="124"/>
      <c r="D130" s="124"/>
      <c r="E130" s="124"/>
      <c r="F130" s="113"/>
      <c r="G130" s="113"/>
      <c r="H130" s="113"/>
      <c r="I130" s="113"/>
      <c r="J130" s="113"/>
      <c r="K130" s="113"/>
      <c r="L130" s="113"/>
      <c r="M130" s="113"/>
      <c r="N130" s="113"/>
      <c r="O130" s="124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</row>
    <row x14ac:dyDescent="0.25" r="131" customHeight="1" ht="15.75">
      <c r="A131" s="123"/>
      <c r="B131" s="123"/>
      <c r="C131" s="124"/>
      <c r="D131" s="124"/>
      <c r="E131" s="124"/>
      <c r="F131" s="113"/>
      <c r="G131" s="113"/>
      <c r="H131" s="113"/>
      <c r="I131" s="113"/>
      <c r="J131" s="113"/>
      <c r="K131" s="113"/>
      <c r="L131" s="113"/>
      <c r="M131" s="113"/>
      <c r="N131" s="113"/>
      <c r="O131" s="124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</row>
    <row x14ac:dyDescent="0.25" r="132" customHeight="1" ht="15.75">
      <c r="A132" s="123"/>
      <c r="B132" s="123"/>
      <c r="C132" s="124"/>
      <c r="D132" s="124"/>
      <c r="E132" s="124"/>
      <c r="F132" s="113"/>
      <c r="G132" s="113"/>
      <c r="H132" s="113"/>
      <c r="I132" s="113"/>
      <c r="J132" s="113"/>
      <c r="K132" s="113"/>
      <c r="L132" s="113"/>
      <c r="M132" s="113"/>
      <c r="N132" s="113"/>
      <c r="O132" s="124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</row>
    <row x14ac:dyDescent="0.25" r="133" customHeight="1" ht="15.75">
      <c r="A133" s="123"/>
      <c r="B133" s="123"/>
      <c r="C133" s="124"/>
      <c r="D133" s="124"/>
      <c r="E133" s="124"/>
      <c r="F133" s="113"/>
      <c r="G133" s="113"/>
      <c r="H133" s="113"/>
      <c r="I133" s="113"/>
      <c r="J133" s="113"/>
      <c r="K133" s="113"/>
      <c r="L133" s="113"/>
      <c r="M133" s="113"/>
      <c r="N133" s="113"/>
      <c r="O133" s="124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</row>
    <row x14ac:dyDescent="0.25" r="134" customHeight="1" ht="15.75">
      <c r="A134" s="123"/>
      <c r="B134" s="123"/>
      <c r="C134" s="124"/>
      <c r="D134" s="124"/>
      <c r="E134" s="124"/>
      <c r="F134" s="113"/>
      <c r="G134" s="113"/>
      <c r="H134" s="113"/>
      <c r="I134" s="113"/>
      <c r="J134" s="113"/>
      <c r="K134" s="113"/>
      <c r="L134" s="113"/>
      <c r="M134" s="113"/>
      <c r="N134" s="113"/>
      <c r="O134" s="124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</row>
    <row x14ac:dyDescent="0.25" r="135" customHeight="1" ht="15.75">
      <c r="A135" s="123"/>
      <c r="B135" s="123"/>
      <c r="C135" s="124"/>
      <c r="D135" s="124"/>
      <c r="E135" s="124"/>
      <c r="F135" s="113"/>
      <c r="G135" s="113"/>
      <c r="H135" s="113"/>
      <c r="I135" s="113"/>
      <c r="J135" s="113"/>
      <c r="K135" s="113"/>
      <c r="L135" s="113"/>
      <c r="M135" s="113"/>
      <c r="N135" s="113"/>
      <c r="O135" s="124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</row>
    <row x14ac:dyDescent="0.25" r="136" customHeight="1" ht="15.75">
      <c r="A136" s="123"/>
      <c r="B136" s="123"/>
      <c r="C136" s="124"/>
      <c r="D136" s="124"/>
      <c r="E136" s="124"/>
      <c r="F136" s="113"/>
      <c r="G136" s="113"/>
      <c r="H136" s="113"/>
      <c r="I136" s="113"/>
      <c r="J136" s="113"/>
      <c r="K136" s="113"/>
      <c r="L136" s="113"/>
      <c r="M136" s="113"/>
      <c r="N136" s="113"/>
      <c r="O136" s="124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</row>
    <row x14ac:dyDescent="0.25" r="137" customHeight="1" ht="15.75">
      <c r="A137" s="123"/>
      <c r="B137" s="123"/>
      <c r="C137" s="124"/>
      <c r="D137" s="124"/>
      <c r="E137" s="124"/>
      <c r="F137" s="113"/>
      <c r="G137" s="113"/>
      <c r="H137" s="113"/>
      <c r="I137" s="113"/>
      <c r="J137" s="113"/>
      <c r="K137" s="113"/>
      <c r="L137" s="113"/>
      <c r="M137" s="113"/>
      <c r="N137" s="113"/>
      <c r="O137" s="124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</row>
    <row x14ac:dyDescent="0.25" r="138" customHeight="1" ht="15.75">
      <c r="A138" s="123"/>
      <c r="B138" s="123"/>
      <c r="C138" s="124"/>
      <c r="D138" s="124"/>
      <c r="E138" s="124"/>
      <c r="F138" s="113"/>
      <c r="G138" s="113"/>
      <c r="H138" s="113"/>
      <c r="I138" s="113"/>
      <c r="J138" s="113"/>
      <c r="K138" s="113"/>
      <c r="L138" s="113"/>
      <c r="M138" s="113"/>
      <c r="N138" s="113"/>
      <c r="O138" s="124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</row>
    <row x14ac:dyDescent="0.25" r="139" customHeight="1" ht="15.75">
      <c r="A139" s="123"/>
      <c r="B139" s="123"/>
      <c r="C139" s="124"/>
      <c r="D139" s="124"/>
      <c r="E139" s="124"/>
      <c r="F139" s="113"/>
      <c r="G139" s="113"/>
      <c r="H139" s="113"/>
      <c r="I139" s="113"/>
      <c r="J139" s="113"/>
      <c r="K139" s="113"/>
      <c r="L139" s="113"/>
      <c r="M139" s="113"/>
      <c r="N139" s="113"/>
      <c r="O139" s="124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</row>
    <row x14ac:dyDescent="0.25" r="140" customHeight="1" ht="15.75">
      <c r="A140" s="123"/>
      <c r="B140" s="123"/>
      <c r="C140" s="124"/>
      <c r="D140" s="124"/>
      <c r="E140" s="124"/>
      <c r="F140" s="113"/>
      <c r="G140" s="113"/>
      <c r="H140" s="113"/>
      <c r="I140" s="113"/>
      <c r="J140" s="113"/>
      <c r="K140" s="113"/>
      <c r="L140" s="113"/>
      <c r="M140" s="113"/>
      <c r="N140" s="113"/>
      <c r="O140" s="124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</row>
    <row x14ac:dyDescent="0.25" r="141" customHeight="1" ht="15.75">
      <c r="A141" s="123"/>
      <c r="B141" s="123"/>
      <c r="C141" s="124"/>
      <c r="D141" s="124"/>
      <c r="E141" s="124"/>
      <c r="F141" s="113"/>
      <c r="G141" s="113"/>
      <c r="H141" s="113"/>
      <c r="I141" s="113"/>
      <c r="J141" s="113"/>
      <c r="K141" s="113"/>
      <c r="L141" s="113"/>
      <c r="M141" s="113"/>
      <c r="N141" s="113"/>
      <c r="O141" s="124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</row>
    <row x14ac:dyDescent="0.25" r="142" customHeight="1" ht="15.75">
      <c r="A142" s="123"/>
      <c r="B142" s="123"/>
      <c r="C142" s="124"/>
      <c r="D142" s="124"/>
      <c r="E142" s="124"/>
      <c r="F142" s="113"/>
      <c r="G142" s="113"/>
      <c r="H142" s="113"/>
      <c r="I142" s="113"/>
      <c r="J142" s="113"/>
      <c r="K142" s="113"/>
      <c r="L142" s="113"/>
      <c r="M142" s="113"/>
      <c r="N142" s="113"/>
      <c r="O142" s="124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</row>
    <row x14ac:dyDescent="0.25" r="143" customHeight="1" ht="15.75">
      <c r="A143" s="123"/>
      <c r="B143" s="123"/>
      <c r="C143" s="124"/>
      <c r="D143" s="124"/>
      <c r="E143" s="124"/>
      <c r="F143" s="113"/>
      <c r="G143" s="113"/>
      <c r="H143" s="113"/>
      <c r="I143" s="113"/>
      <c r="J143" s="113"/>
      <c r="K143" s="113"/>
      <c r="L143" s="113"/>
      <c r="M143" s="113"/>
      <c r="N143" s="113"/>
      <c r="O143" s="124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</row>
    <row x14ac:dyDescent="0.25" r="144" customHeight="1" ht="15.75">
      <c r="A144" s="123"/>
      <c r="B144" s="123"/>
      <c r="C144" s="124"/>
      <c r="D144" s="124"/>
      <c r="E144" s="124"/>
      <c r="F144" s="113"/>
      <c r="G144" s="113"/>
      <c r="H144" s="113"/>
      <c r="I144" s="113"/>
      <c r="J144" s="113"/>
      <c r="K144" s="113"/>
      <c r="L144" s="113"/>
      <c r="M144" s="113"/>
      <c r="N144" s="113"/>
      <c r="O144" s="124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</row>
    <row x14ac:dyDescent="0.25" r="145" customHeight="1" ht="15.75">
      <c r="A145" s="123"/>
      <c r="B145" s="123"/>
      <c r="C145" s="124"/>
      <c r="D145" s="124"/>
      <c r="E145" s="124"/>
      <c r="F145" s="113"/>
      <c r="G145" s="113"/>
      <c r="H145" s="113"/>
      <c r="I145" s="113"/>
      <c r="J145" s="113"/>
      <c r="K145" s="113"/>
      <c r="L145" s="113"/>
      <c r="M145" s="113"/>
      <c r="N145" s="113"/>
      <c r="O145" s="124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</row>
    <row x14ac:dyDescent="0.25" r="146" customHeight="1" ht="15.75">
      <c r="A146" s="123"/>
      <c r="B146" s="123"/>
      <c r="C146" s="124"/>
      <c r="D146" s="124"/>
      <c r="E146" s="124"/>
      <c r="F146" s="113"/>
      <c r="G146" s="113"/>
      <c r="H146" s="113"/>
      <c r="I146" s="113"/>
      <c r="J146" s="113"/>
      <c r="K146" s="113"/>
      <c r="L146" s="113"/>
      <c r="M146" s="113"/>
      <c r="N146" s="113"/>
      <c r="O146" s="124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</row>
    <row x14ac:dyDescent="0.25" r="147" customHeight="1" ht="15.75">
      <c r="A147" s="123"/>
      <c r="B147" s="123"/>
      <c r="C147" s="124"/>
      <c r="D147" s="124"/>
      <c r="E147" s="124"/>
      <c r="F147" s="113"/>
      <c r="G147" s="113"/>
      <c r="H147" s="113"/>
      <c r="I147" s="113"/>
      <c r="J147" s="113"/>
      <c r="K147" s="113"/>
      <c r="L147" s="113"/>
      <c r="M147" s="113"/>
      <c r="N147" s="113"/>
      <c r="O147" s="124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</row>
    <row x14ac:dyDescent="0.25" r="148" customHeight="1" ht="15.75">
      <c r="A148" s="123"/>
      <c r="B148" s="123"/>
      <c r="C148" s="124"/>
      <c r="D148" s="124"/>
      <c r="E148" s="124"/>
      <c r="F148" s="113"/>
      <c r="G148" s="113"/>
      <c r="H148" s="113"/>
      <c r="I148" s="113"/>
      <c r="J148" s="113"/>
      <c r="K148" s="113"/>
      <c r="L148" s="113"/>
      <c r="M148" s="113"/>
      <c r="N148" s="113"/>
      <c r="O148" s="124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</row>
    <row x14ac:dyDescent="0.25" r="149" customHeight="1" ht="15.75">
      <c r="A149" s="123"/>
      <c r="B149" s="123"/>
      <c r="C149" s="124"/>
      <c r="D149" s="124"/>
      <c r="E149" s="124"/>
      <c r="F149" s="113"/>
      <c r="G149" s="113"/>
      <c r="H149" s="113"/>
      <c r="I149" s="113"/>
      <c r="J149" s="113"/>
      <c r="K149" s="113"/>
      <c r="L149" s="113"/>
      <c r="M149" s="113"/>
      <c r="N149" s="113"/>
      <c r="O149" s="124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</row>
    <row x14ac:dyDescent="0.25" r="150" customHeight="1" ht="15.75">
      <c r="A150" s="123"/>
      <c r="B150" s="123"/>
      <c r="C150" s="124"/>
      <c r="D150" s="124"/>
      <c r="E150" s="124"/>
      <c r="F150" s="113"/>
      <c r="G150" s="113"/>
      <c r="H150" s="113"/>
      <c r="I150" s="113"/>
      <c r="J150" s="113"/>
      <c r="K150" s="113"/>
      <c r="L150" s="113"/>
      <c r="M150" s="113"/>
      <c r="N150" s="113"/>
      <c r="O150" s="124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</row>
    <row x14ac:dyDescent="0.25" r="151" customHeight="1" ht="15.75">
      <c r="A151" s="123"/>
      <c r="B151" s="123"/>
      <c r="C151" s="124"/>
      <c r="D151" s="124"/>
      <c r="E151" s="124"/>
      <c r="F151" s="113"/>
      <c r="G151" s="113"/>
      <c r="H151" s="113"/>
      <c r="I151" s="113"/>
      <c r="J151" s="113"/>
      <c r="K151" s="113"/>
      <c r="L151" s="113"/>
      <c r="M151" s="113"/>
      <c r="N151" s="113"/>
      <c r="O151" s="124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</row>
    <row x14ac:dyDescent="0.25" r="152" customHeight="1" ht="15.75">
      <c r="A152" s="123"/>
      <c r="B152" s="123"/>
      <c r="C152" s="124"/>
      <c r="D152" s="124"/>
      <c r="E152" s="124"/>
      <c r="F152" s="113"/>
      <c r="G152" s="113"/>
      <c r="H152" s="113"/>
      <c r="I152" s="113"/>
      <c r="J152" s="113"/>
      <c r="K152" s="113"/>
      <c r="L152" s="113"/>
      <c r="M152" s="113"/>
      <c r="N152" s="113"/>
      <c r="O152" s="124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</row>
    <row x14ac:dyDescent="0.25" r="153" customHeight="1" ht="15.75">
      <c r="A153" s="123"/>
      <c r="B153" s="123"/>
      <c r="C153" s="124"/>
      <c r="D153" s="124"/>
      <c r="E153" s="124"/>
      <c r="F153" s="113"/>
      <c r="G153" s="113"/>
      <c r="H153" s="113"/>
      <c r="I153" s="113"/>
      <c r="J153" s="113"/>
      <c r="K153" s="113"/>
      <c r="L153" s="113"/>
      <c r="M153" s="113"/>
      <c r="N153" s="113"/>
      <c r="O153" s="124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</row>
    <row x14ac:dyDescent="0.25" r="154" customHeight="1" ht="15.75">
      <c r="A154" s="123"/>
      <c r="B154" s="123"/>
      <c r="C154" s="124"/>
      <c r="D154" s="124"/>
      <c r="E154" s="124"/>
      <c r="F154" s="113"/>
      <c r="G154" s="113"/>
      <c r="H154" s="113"/>
      <c r="I154" s="113"/>
      <c r="J154" s="113"/>
      <c r="K154" s="113"/>
      <c r="L154" s="113"/>
      <c r="M154" s="113"/>
      <c r="N154" s="113"/>
      <c r="O154" s="124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</row>
    <row x14ac:dyDescent="0.25" r="155" customHeight="1" ht="15.75">
      <c r="A155" s="123"/>
      <c r="B155" s="123"/>
      <c r="C155" s="124"/>
      <c r="D155" s="124"/>
      <c r="E155" s="124"/>
      <c r="F155" s="113"/>
      <c r="G155" s="113"/>
      <c r="H155" s="113"/>
      <c r="I155" s="113"/>
      <c r="J155" s="113"/>
      <c r="K155" s="113"/>
      <c r="L155" s="113"/>
      <c r="M155" s="113"/>
      <c r="N155" s="113"/>
      <c r="O155" s="124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</row>
    <row x14ac:dyDescent="0.25" r="156" customHeight="1" ht="15.75">
      <c r="A156" s="123"/>
      <c r="B156" s="123"/>
      <c r="C156" s="124"/>
      <c r="D156" s="124"/>
      <c r="E156" s="124"/>
      <c r="F156" s="113"/>
      <c r="G156" s="113"/>
      <c r="H156" s="113"/>
      <c r="I156" s="113"/>
      <c r="J156" s="113"/>
      <c r="K156" s="113"/>
      <c r="L156" s="113"/>
      <c r="M156" s="113"/>
      <c r="N156" s="113"/>
      <c r="O156" s="124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</row>
    <row x14ac:dyDescent="0.25" r="157" customHeight="1" ht="15.75">
      <c r="A157" s="123"/>
      <c r="B157" s="123"/>
      <c r="C157" s="124"/>
      <c r="D157" s="124"/>
      <c r="E157" s="124"/>
      <c r="F157" s="113"/>
      <c r="G157" s="113"/>
      <c r="H157" s="113"/>
      <c r="I157" s="113"/>
      <c r="J157" s="113"/>
      <c r="K157" s="113"/>
      <c r="L157" s="113"/>
      <c r="M157" s="113"/>
      <c r="N157" s="113"/>
      <c r="O157" s="124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</row>
    <row x14ac:dyDescent="0.25" r="158" customHeight="1" ht="15.75">
      <c r="A158" s="123"/>
      <c r="B158" s="123"/>
      <c r="C158" s="124"/>
      <c r="D158" s="124"/>
      <c r="E158" s="124"/>
      <c r="F158" s="113"/>
      <c r="G158" s="113"/>
      <c r="H158" s="113"/>
      <c r="I158" s="113"/>
      <c r="J158" s="113"/>
      <c r="K158" s="113"/>
      <c r="L158" s="113"/>
      <c r="M158" s="113"/>
      <c r="N158" s="113"/>
      <c r="O158" s="124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</row>
    <row x14ac:dyDescent="0.25" r="159" customHeight="1" ht="15.75">
      <c r="A159" s="123"/>
      <c r="B159" s="123"/>
      <c r="C159" s="124"/>
      <c r="D159" s="124"/>
      <c r="E159" s="124"/>
      <c r="F159" s="113"/>
      <c r="G159" s="113"/>
      <c r="H159" s="113"/>
      <c r="I159" s="113"/>
      <c r="J159" s="113"/>
      <c r="K159" s="113"/>
      <c r="L159" s="113"/>
      <c r="M159" s="113"/>
      <c r="N159" s="113"/>
      <c r="O159" s="124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</row>
    <row x14ac:dyDescent="0.25" r="160" customHeight="1" ht="15.75">
      <c r="A160" s="123"/>
      <c r="B160" s="123"/>
      <c r="C160" s="124"/>
      <c r="D160" s="124"/>
      <c r="E160" s="124"/>
      <c r="F160" s="113"/>
      <c r="G160" s="113"/>
      <c r="H160" s="113"/>
      <c r="I160" s="113"/>
      <c r="J160" s="113"/>
      <c r="K160" s="113"/>
      <c r="L160" s="113"/>
      <c r="M160" s="113"/>
      <c r="N160" s="113"/>
      <c r="O160" s="124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</row>
    <row x14ac:dyDescent="0.25" r="161" customHeight="1" ht="15.75">
      <c r="A161" s="123"/>
      <c r="B161" s="123"/>
      <c r="C161" s="124"/>
      <c r="D161" s="124"/>
      <c r="E161" s="124"/>
      <c r="F161" s="113"/>
      <c r="G161" s="113"/>
      <c r="H161" s="113"/>
      <c r="I161" s="113"/>
      <c r="J161" s="113"/>
      <c r="K161" s="113"/>
      <c r="L161" s="113"/>
      <c r="M161" s="113"/>
      <c r="N161" s="113"/>
      <c r="O161" s="124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</row>
    <row x14ac:dyDescent="0.25" r="162" customHeight="1" ht="15.75">
      <c r="A162" s="123"/>
      <c r="B162" s="123"/>
      <c r="C162" s="124"/>
      <c r="D162" s="124"/>
      <c r="E162" s="124"/>
      <c r="F162" s="113"/>
      <c r="G162" s="113"/>
      <c r="H162" s="113"/>
      <c r="I162" s="113"/>
      <c r="J162" s="113"/>
      <c r="K162" s="113"/>
      <c r="L162" s="113"/>
      <c r="M162" s="113"/>
      <c r="N162" s="113"/>
      <c r="O162" s="124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</row>
    <row x14ac:dyDescent="0.25" r="163" customHeight="1" ht="15.75">
      <c r="A163" s="123"/>
      <c r="B163" s="123"/>
      <c r="C163" s="124"/>
      <c r="D163" s="124"/>
      <c r="E163" s="124"/>
      <c r="F163" s="113"/>
      <c r="G163" s="113"/>
      <c r="H163" s="113"/>
      <c r="I163" s="113"/>
      <c r="J163" s="113"/>
      <c r="K163" s="113"/>
      <c r="L163" s="113"/>
      <c r="M163" s="113"/>
      <c r="N163" s="113"/>
      <c r="O163" s="124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</row>
    <row x14ac:dyDescent="0.25" r="164" customHeight="1" ht="15.75">
      <c r="A164" s="123"/>
      <c r="B164" s="123"/>
      <c r="C164" s="124"/>
      <c r="D164" s="124"/>
      <c r="E164" s="124"/>
      <c r="F164" s="113"/>
      <c r="G164" s="113"/>
      <c r="H164" s="113"/>
      <c r="I164" s="113"/>
      <c r="J164" s="113"/>
      <c r="K164" s="113"/>
      <c r="L164" s="113"/>
      <c r="M164" s="113"/>
      <c r="N164" s="113"/>
      <c r="O164" s="124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</row>
    <row x14ac:dyDescent="0.25" r="165" customHeight="1" ht="15.75">
      <c r="A165" s="123"/>
      <c r="B165" s="123"/>
      <c r="C165" s="124"/>
      <c r="D165" s="124"/>
      <c r="E165" s="124"/>
      <c r="F165" s="113"/>
      <c r="G165" s="113"/>
      <c r="H165" s="113"/>
      <c r="I165" s="113"/>
      <c r="J165" s="113"/>
      <c r="K165" s="113"/>
      <c r="L165" s="113"/>
      <c r="M165" s="113"/>
      <c r="N165" s="113"/>
      <c r="O165" s="124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</row>
    <row x14ac:dyDescent="0.25" r="166" customHeight="1" ht="15.75">
      <c r="A166" s="123"/>
      <c r="B166" s="123"/>
      <c r="C166" s="124"/>
      <c r="D166" s="124"/>
      <c r="E166" s="124"/>
      <c r="F166" s="113"/>
      <c r="G166" s="113"/>
      <c r="H166" s="113"/>
      <c r="I166" s="113"/>
      <c r="J166" s="113"/>
      <c r="K166" s="113"/>
      <c r="L166" s="113"/>
      <c r="M166" s="113"/>
      <c r="N166" s="113"/>
      <c r="O166" s="124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</row>
    <row x14ac:dyDescent="0.25" r="167" customHeight="1" ht="15.75">
      <c r="A167" s="123"/>
      <c r="B167" s="123"/>
      <c r="C167" s="124"/>
      <c r="D167" s="124"/>
      <c r="E167" s="124"/>
      <c r="F167" s="113"/>
      <c r="G167" s="113"/>
      <c r="H167" s="113"/>
      <c r="I167" s="113"/>
      <c r="J167" s="113"/>
      <c r="K167" s="113"/>
      <c r="L167" s="113"/>
      <c r="M167" s="113"/>
      <c r="N167" s="113"/>
      <c r="O167" s="124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</row>
    <row x14ac:dyDescent="0.25" r="168" customHeight="1" ht="15.75">
      <c r="A168" s="123"/>
      <c r="B168" s="123"/>
      <c r="C168" s="124"/>
      <c r="D168" s="124"/>
      <c r="E168" s="124"/>
      <c r="F168" s="113"/>
      <c r="G168" s="113"/>
      <c r="H168" s="113"/>
      <c r="I168" s="113"/>
      <c r="J168" s="113"/>
      <c r="K168" s="113"/>
      <c r="L168" s="113"/>
      <c r="M168" s="113"/>
      <c r="N168" s="113"/>
      <c r="O168" s="124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</row>
    <row x14ac:dyDescent="0.25" r="169" customHeight="1" ht="15.75">
      <c r="A169" s="123"/>
      <c r="B169" s="123"/>
      <c r="C169" s="124"/>
      <c r="D169" s="124"/>
      <c r="E169" s="124"/>
      <c r="F169" s="113"/>
      <c r="G169" s="113"/>
      <c r="H169" s="113"/>
      <c r="I169" s="113"/>
      <c r="J169" s="113"/>
      <c r="K169" s="113"/>
      <c r="L169" s="113"/>
      <c r="M169" s="113"/>
      <c r="N169" s="113"/>
      <c r="O169" s="124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</row>
    <row x14ac:dyDescent="0.25" r="170" customHeight="1" ht="15.75">
      <c r="A170" s="123"/>
      <c r="B170" s="123"/>
      <c r="C170" s="124"/>
      <c r="D170" s="124"/>
      <c r="E170" s="124"/>
      <c r="F170" s="113"/>
      <c r="G170" s="113"/>
      <c r="H170" s="113"/>
      <c r="I170" s="113"/>
      <c r="J170" s="113"/>
      <c r="K170" s="113"/>
      <c r="L170" s="113"/>
      <c r="M170" s="113"/>
      <c r="N170" s="113"/>
      <c r="O170" s="124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</row>
    <row x14ac:dyDescent="0.25" r="171" customHeight="1" ht="15.75">
      <c r="A171" s="123"/>
      <c r="B171" s="123"/>
      <c r="C171" s="124"/>
      <c r="D171" s="124"/>
      <c r="E171" s="124"/>
      <c r="F171" s="113"/>
      <c r="G171" s="113"/>
      <c r="H171" s="113"/>
      <c r="I171" s="113"/>
      <c r="J171" s="113"/>
      <c r="K171" s="113"/>
      <c r="L171" s="113"/>
      <c r="M171" s="113"/>
      <c r="N171" s="113"/>
      <c r="O171" s="124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</row>
    <row x14ac:dyDescent="0.25" r="172" customHeight="1" ht="15.75">
      <c r="A172" s="123"/>
      <c r="B172" s="123"/>
      <c r="C172" s="124"/>
      <c r="D172" s="124"/>
      <c r="E172" s="124"/>
      <c r="F172" s="113"/>
      <c r="G172" s="113"/>
      <c r="H172" s="113"/>
      <c r="I172" s="113"/>
      <c r="J172" s="113"/>
      <c r="K172" s="113"/>
      <c r="L172" s="113"/>
      <c r="M172" s="113"/>
      <c r="N172" s="113"/>
      <c r="O172" s="124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</row>
    <row x14ac:dyDescent="0.25" r="173" customHeight="1" ht="15.75">
      <c r="A173" s="123"/>
      <c r="B173" s="123"/>
      <c r="C173" s="124"/>
      <c r="D173" s="124"/>
      <c r="E173" s="124"/>
      <c r="F173" s="113"/>
      <c r="G173" s="113"/>
      <c r="H173" s="113"/>
      <c r="I173" s="113"/>
      <c r="J173" s="113"/>
      <c r="K173" s="113"/>
      <c r="L173" s="113"/>
      <c r="M173" s="113"/>
      <c r="N173" s="113"/>
      <c r="O173" s="124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</row>
    <row x14ac:dyDescent="0.25" r="174" customHeight="1" ht="15.75">
      <c r="A174" s="123"/>
      <c r="B174" s="123"/>
      <c r="C174" s="124"/>
      <c r="D174" s="124"/>
      <c r="E174" s="124"/>
      <c r="F174" s="113"/>
      <c r="G174" s="113"/>
      <c r="H174" s="113"/>
      <c r="I174" s="113"/>
      <c r="J174" s="113"/>
      <c r="K174" s="113"/>
      <c r="L174" s="113"/>
      <c r="M174" s="113"/>
      <c r="N174" s="113"/>
      <c r="O174" s="124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</row>
    <row x14ac:dyDescent="0.25" r="175" customHeight="1" ht="15.75">
      <c r="A175" s="123"/>
      <c r="B175" s="123"/>
      <c r="C175" s="124"/>
      <c r="D175" s="124"/>
      <c r="E175" s="124"/>
      <c r="F175" s="113"/>
      <c r="G175" s="113"/>
      <c r="H175" s="113"/>
      <c r="I175" s="113"/>
      <c r="J175" s="113"/>
      <c r="K175" s="113"/>
      <c r="L175" s="113"/>
      <c r="M175" s="113"/>
      <c r="N175" s="113"/>
      <c r="O175" s="124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</row>
    <row x14ac:dyDescent="0.25" r="176" customHeight="1" ht="15.75">
      <c r="A176" s="123"/>
      <c r="B176" s="123"/>
      <c r="C176" s="124"/>
      <c r="D176" s="124"/>
      <c r="E176" s="124"/>
      <c r="F176" s="113"/>
      <c r="G176" s="113"/>
      <c r="H176" s="113"/>
      <c r="I176" s="113"/>
      <c r="J176" s="113"/>
      <c r="K176" s="113"/>
      <c r="L176" s="113"/>
      <c r="M176" s="113"/>
      <c r="N176" s="113"/>
      <c r="O176" s="124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</row>
    <row x14ac:dyDescent="0.25" r="177" customHeight="1" ht="15.75">
      <c r="A177" s="123"/>
      <c r="B177" s="123"/>
      <c r="C177" s="124"/>
      <c r="D177" s="124"/>
      <c r="E177" s="124"/>
      <c r="F177" s="113"/>
      <c r="G177" s="113"/>
      <c r="H177" s="113"/>
      <c r="I177" s="113"/>
      <c r="J177" s="113"/>
      <c r="K177" s="113"/>
      <c r="L177" s="113"/>
      <c r="M177" s="113"/>
      <c r="N177" s="113"/>
      <c r="O177" s="124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</row>
    <row x14ac:dyDescent="0.25" r="178" customHeight="1" ht="15.75">
      <c r="A178" s="123"/>
      <c r="B178" s="123"/>
      <c r="C178" s="124"/>
      <c r="D178" s="124"/>
      <c r="E178" s="124"/>
      <c r="F178" s="113"/>
      <c r="G178" s="113"/>
      <c r="H178" s="113"/>
      <c r="I178" s="113"/>
      <c r="J178" s="113"/>
      <c r="K178" s="113"/>
      <c r="L178" s="113"/>
      <c r="M178" s="113"/>
      <c r="N178" s="113"/>
      <c r="O178" s="124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</row>
    <row x14ac:dyDescent="0.25" r="179" customHeight="1" ht="15.75">
      <c r="A179" s="123"/>
      <c r="B179" s="123"/>
      <c r="C179" s="124"/>
      <c r="D179" s="124"/>
      <c r="E179" s="124"/>
      <c r="F179" s="113"/>
      <c r="G179" s="113"/>
      <c r="H179" s="113"/>
      <c r="I179" s="113"/>
      <c r="J179" s="113"/>
      <c r="K179" s="113"/>
      <c r="L179" s="113"/>
      <c r="M179" s="113"/>
      <c r="N179" s="113"/>
      <c r="O179" s="124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</row>
    <row x14ac:dyDescent="0.25" r="180" customHeight="1" ht="15.75">
      <c r="A180" s="123"/>
      <c r="B180" s="123"/>
      <c r="C180" s="124"/>
      <c r="D180" s="124"/>
      <c r="E180" s="124"/>
      <c r="F180" s="113"/>
      <c r="G180" s="113"/>
      <c r="H180" s="113"/>
      <c r="I180" s="113"/>
      <c r="J180" s="113"/>
      <c r="K180" s="113"/>
      <c r="L180" s="113"/>
      <c r="M180" s="113"/>
      <c r="N180" s="113"/>
      <c r="O180" s="124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</row>
    <row x14ac:dyDescent="0.25" r="181" customHeight="1" ht="15.75">
      <c r="A181" s="123"/>
      <c r="B181" s="123"/>
      <c r="C181" s="124"/>
      <c r="D181" s="124"/>
      <c r="E181" s="124"/>
      <c r="F181" s="113"/>
      <c r="G181" s="113"/>
      <c r="H181" s="113"/>
      <c r="I181" s="113"/>
      <c r="J181" s="113"/>
      <c r="K181" s="113"/>
      <c r="L181" s="113"/>
      <c r="M181" s="113"/>
      <c r="N181" s="113"/>
      <c r="O181" s="124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</row>
    <row x14ac:dyDescent="0.25" r="182" customHeight="1" ht="15.75">
      <c r="A182" s="123"/>
      <c r="B182" s="123"/>
      <c r="C182" s="124"/>
      <c r="D182" s="124"/>
      <c r="E182" s="124"/>
      <c r="F182" s="113"/>
      <c r="G182" s="113"/>
      <c r="H182" s="113"/>
      <c r="I182" s="113"/>
      <c r="J182" s="113"/>
      <c r="K182" s="113"/>
      <c r="L182" s="113"/>
      <c r="M182" s="113"/>
      <c r="N182" s="113"/>
      <c r="O182" s="124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</row>
    <row x14ac:dyDescent="0.25" r="183" customHeight="1" ht="15.75">
      <c r="A183" s="123"/>
      <c r="B183" s="123"/>
      <c r="C183" s="124"/>
      <c r="D183" s="124"/>
      <c r="E183" s="124"/>
      <c r="F183" s="113"/>
      <c r="G183" s="113"/>
      <c r="H183" s="113"/>
      <c r="I183" s="113"/>
      <c r="J183" s="113"/>
      <c r="K183" s="113"/>
      <c r="L183" s="113"/>
      <c r="M183" s="113"/>
      <c r="N183" s="113"/>
      <c r="O183" s="124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</row>
    <row x14ac:dyDescent="0.25" r="184" customHeight="1" ht="15.75">
      <c r="A184" s="123"/>
      <c r="B184" s="123"/>
      <c r="C184" s="124"/>
      <c r="D184" s="124"/>
      <c r="E184" s="124"/>
      <c r="F184" s="113"/>
      <c r="G184" s="113"/>
      <c r="H184" s="113"/>
      <c r="I184" s="113"/>
      <c r="J184" s="113"/>
      <c r="K184" s="113"/>
      <c r="L184" s="113"/>
      <c r="M184" s="113"/>
      <c r="N184" s="113"/>
      <c r="O184" s="124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</row>
    <row x14ac:dyDescent="0.25" r="185" customHeight="1" ht="15.75">
      <c r="A185" s="123"/>
      <c r="B185" s="123"/>
      <c r="C185" s="124"/>
      <c r="D185" s="124"/>
      <c r="E185" s="124"/>
      <c r="F185" s="113"/>
      <c r="G185" s="113"/>
      <c r="H185" s="113"/>
      <c r="I185" s="113"/>
      <c r="J185" s="113"/>
      <c r="K185" s="113"/>
      <c r="L185" s="113"/>
      <c r="M185" s="113"/>
      <c r="N185" s="113"/>
      <c r="O185" s="124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</row>
    <row x14ac:dyDescent="0.25" r="186" customHeight="1" ht="15.75">
      <c r="A186" s="123"/>
      <c r="B186" s="123"/>
      <c r="C186" s="124"/>
      <c r="D186" s="124"/>
      <c r="E186" s="124"/>
      <c r="F186" s="113"/>
      <c r="G186" s="113"/>
      <c r="H186" s="113"/>
      <c r="I186" s="113"/>
      <c r="J186" s="113"/>
      <c r="K186" s="113"/>
      <c r="L186" s="113"/>
      <c r="M186" s="113"/>
      <c r="N186" s="113"/>
      <c r="O186" s="124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</row>
    <row x14ac:dyDescent="0.25" r="187" customHeight="1" ht="15.75">
      <c r="A187" s="123"/>
      <c r="B187" s="123"/>
      <c r="C187" s="124"/>
      <c r="D187" s="124"/>
      <c r="E187" s="124"/>
      <c r="F187" s="113"/>
      <c r="G187" s="113"/>
      <c r="H187" s="113"/>
      <c r="I187" s="113"/>
      <c r="J187" s="113"/>
      <c r="K187" s="113"/>
      <c r="L187" s="113"/>
      <c r="M187" s="113"/>
      <c r="N187" s="113"/>
      <c r="O187" s="124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</row>
    <row x14ac:dyDescent="0.25" r="188" customHeight="1" ht="15.75">
      <c r="A188" s="123"/>
      <c r="B188" s="123"/>
      <c r="C188" s="124"/>
      <c r="D188" s="124"/>
      <c r="E188" s="124"/>
      <c r="F188" s="113"/>
      <c r="G188" s="113"/>
      <c r="H188" s="113"/>
      <c r="I188" s="113"/>
      <c r="J188" s="113"/>
      <c r="K188" s="113"/>
      <c r="L188" s="113"/>
      <c r="M188" s="113"/>
      <c r="N188" s="113"/>
      <c r="O188" s="124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</row>
    <row x14ac:dyDescent="0.25" r="189" customHeight="1" ht="15.75">
      <c r="A189" s="123"/>
      <c r="B189" s="123"/>
      <c r="C189" s="124"/>
      <c r="D189" s="124"/>
      <c r="E189" s="124"/>
      <c r="F189" s="113"/>
      <c r="G189" s="113"/>
      <c r="H189" s="113"/>
      <c r="I189" s="113"/>
      <c r="J189" s="113"/>
      <c r="K189" s="113"/>
      <c r="L189" s="113"/>
      <c r="M189" s="113"/>
      <c r="N189" s="113"/>
      <c r="O189" s="124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</row>
    <row x14ac:dyDescent="0.25" r="190" customHeight="1" ht="15.75">
      <c r="A190" s="123"/>
      <c r="B190" s="123"/>
      <c r="C190" s="124"/>
      <c r="D190" s="124"/>
      <c r="E190" s="124"/>
      <c r="F190" s="113"/>
      <c r="G190" s="113"/>
      <c r="H190" s="113"/>
      <c r="I190" s="113"/>
      <c r="J190" s="113"/>
      <c r="K190" s="113"/>
      <c r="L190" s="113"/>
      <c r="M190" s="113"/>
      <c r="N190" s="113"/>
      <c r="O190" s="124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</row>
    <row x14ac:dyDescent="0.25" r="191" customHeight="1" ht="15.75">
      <c r="A191" s="123"/>
      <c r="B191" s="123"/>
      <c r="C191" s="124"/>
      <c r="D191" s="124"/>
      <c r="E191" s="124"/>
      <c r="F191" s="113"/>
      <c r="G191" s="113"/>
      <c r="H191" s="113"/>
      <c r="I191" s="113"/>
      <c r="J191" s="113"/>
      <c r="K191" s="113"/>
      <c r="L191" s="113"/>
      <c r="M191" s="113"/>
      <c r="N191" s="113"/>
      <c r="O191" s="124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</row>
    <row x14ac:dyDescent="0.25" r="192" customHeight="1" ht="15.75">
      <c r="A192" s="123"/>
      <c r="B192" s="123"/>
      <c r="C192" s="124"/>
      <c r="D192" s="124"/>
      <c r="E192" s="124"/>
      <c r="F192" s="113"/>
      <c r="G192" s="113"/>
      <c r="H192" s="113"/>
      <c r="I192" s="113"/>
      <c r="J192" s="113"/>
      <c r="K192" s="113"/>
      <c r="L192" s="113"/>
      <c r="M192" s="113"/>
      <c r="N192" s="113"/>
      <c r="O192" s="124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</row>
    <row x14ac:dyDescent="0.25" r="193" customHeight="1" ht="15.75">
      <c r="A193" s="123"/>
      <c r="B193" s="123"/>
      <c r="C193" s="124"/>
      <c r="D193" s="124"/>
      <c r="E193" s="124"/>
      <c r="F193" s="113"/>
      <c r="G193" s="113"/>
      <c r="H193" s="113"/>
      <c r="I193" s="113"/>
      <c r="J193" s="113"/>
      <c r="K193" s="113"/>
      <c r="L193" s="113"/>
      <c r="M193" s="113"/>
      <c r="N193" s="113"/>
      <c r="O193" s="124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</row>
    <row x14ac:dyDescent="0.25" r="194" customHeight="1" ht="15.75">
      <c r="A194" s="123"/>
      <c r="B194" s="123"/>
      <c r="C194" s="124"/>
      <c r="D194" s="124"/>
      <c r="E194" s="124"/>
      <c r="F194" s="113"/>
      <c r="G194" s="113"/>
      <c r="H194" s="113"/>
      <c r="I194" s="113"/>
      <c r="J194" s="113"/>
      <c r="K194" s="113"/>
      <c r="L194" s="113"/>
      <c r="M194" s="113"/>
      <c r="N194" s="113"/>
      <c r="O194" s="124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</row>
    <row x14ac:dyDescent="0.25" r="195" customHeight="1" ht="15.75">
      <c r="A195" s="123"/>
      <c r="B195" s="123"/>
      <c r="C195" s="124"/>
      <c r="D195" s="124"/>
      <c r="E195" s="124"/>
      <c r="F195" s="113"/>
      <c r="G195" s="113"/>
      <c r="H195" s="113"/>
      <c r="I195" s="113"/>
      <c r="J195" s="113"/>
      <c r="K195" s="113"/>
      <c r="L195" s="113"/>
      <c r="M195" s="113"/>
      <c r="N195" s="113"/>
      <c r="O195" s="124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</row>
    <row x14ac:dyDescent="0.25" r="196" customHeight="1" ht="15.75">
      <c r="A196" s="123"/>
      <c r="B196" s="123"/>
      <c r="C196" s="124"/>
      <c r="D196" s="124"/>
      <c r="E196" s="124"/>
      <c r="F196" s="113"/>
      <c r="G196" s="113"/>
      <c r="H196" s="113"/>
      <c r="I196" s="113"/>
      <c r="J196" s="113"/>
      <c r="K196" s="113"/>
      <c r="L196" s="113"/>
      <c r="M196" s="113"/>
      <c r="N196" s="113"/>
      <c r="O196" s="124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</row>
    <row x14ac:dyDescent="0.25" r="197" customHeight="1" ht="15.75">
      <c r="A197" s="123"/>
      <c r="B197" s="123"/>
      <c r="C197" s="124"/>
      <c r="D197" s="124"/>
      <c r="E197" s="124"/>
      <c r="F197" s="113"/>
      <c r="G197" s="113"/>
      <c r="H197" s="113"/>
      <c r="I197" s="113"/>
      <c r="J197" s="113"/>
      <c r="K197" s="113"/>
      <c r="L197" s="113"/>
      <c r="M197" s="113"/>
      <c r="N197" s="113"/>
      <c r="O197" s="124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</row>
    <row x14ac:dyDescent="0.25" r="198" customHeight="1" ht="15.75">
      <c r="A198" s="123"/>
      <c r="B198" s="123"/>
      <c r="C198" s="124"/>
      <c r="D198" s="124"/>
      <c r="E198" s="124"/>
      <c r="F198" s="113"/>
      <c r="G198" s="113"/>
      <c r="H198" s="113"/>
      <c r="I198" s="113"/>
      <c r="J198" s="113"/>
      <c r="K198" s="113"/>
      <c r="L198" s="113"/>
      <c r="M198" s="113"/>
      <c r="N198" s="113"/>
      <c r="O198" s="124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</row>
    <row x14ac:dyDescent="0.25" r="199" customHeight="1" ht="15.75">
      <c r="A199" s="123"/>
      <c r="B199" s="123"/>
      <c r="C199" s="124"/>
      <c r="D199" s="124"/>
      <c r="E199" s="124"/>
      <c r="F199" s="113"/>
      <c r="G199" s="113"/>
      <c r="H199" s="113"/>
      <c r="I199" s="113"/>
      <c r="J199" s="113"/>
      <c r="K199" s="113"/>
      <c r="L199" s="113"/>
      <c r="M199" s="113"/>
      <c r="N199" s="113"/>
      <c r="O199" s="124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</row>
    <row x14ac:dyDescent="0.25" r="200" customHeight="1" ht="15.75">
      <c r="A200" s="123"/>
      <c r="B200" s="123"/>
      <c r="C200" s="124"/>
      <c r="D200" s="124"/>
      <c r="E200" s="124"/>
      <c r="F200" s="113"/>
      <c r="G200" s="113"/>
      <c r="H200" s="113"/>
      <c r="I200" s="113"/>
      <c r="J200" s="113"/>
      <c r="K200" s="113"/>
      <c r="L200" s="113"/>
      <c r="M200" s="113"/>
      <c r="N200" s="113"/>
      <c r="O200" s="124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</row>
    <row x14ac:dyDescent="0.25" r="201" customHeight="1" ht="15.75">
      <c r="A201" s="123"/>
      <c r="B201" s="123"/>
      <c r="C201" s="124"/>
      <c r="D201" s="124"/>
      <c r="E201" s="124"/>
      <c r="F201" s="113"/>
      <c r="G201" s="113"/>
      <c r="H201" s="113"/>
      <c r="I201" s="113"/>
      <c r="J201" s="113"/>
      <c r="K201" s="113"/>
      <c r="L201" s="113"/>
      <c r="M201" s="113"/>
      <c r="N201" s="113"/>
      <c r="O201" s="124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</row>
    <row x14ac:dyDescent="0.25" r="202" customHeight="1" ht="15.75">
      <c r="A202" s="123"/>
      <c r="B202" s="123"/>
      <c r="C202" s="124"/>
      <c r="D202" s="124"/>
      <c r="E202" s="124"/>
      <c r="F202" s="113"/>
      <c r="G202" s="113"/>
      <c r="H202" s="113"/>
      <c r="I202" s="113"/>
      <c r="J202" s="113"/>
      <c r="K202" s="113"/>
      <c r="L202" s="113"/>
      <c r="M202" s="113"/>
      <c r="N202" s="113"/>
      <c r="O202" s="124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</row>
    <row x14ac:dyDescent="0.25" r="203" customHeight="1" ht="15.75">
      <c r="A203" s="123"/>
      <c r="B203" s="123"/>
      <c r="C203" s="124"/>
      <c r="D203" s="124"/>
      <c r="E203" s="124"/>
      <c r="F203" s="113"/>
      <c r="G203" s="113"/>
      <c r="H203" s="113"/>
      <c r="I203" s="113"/>
      <c r="J203" s="113"/>
      <c r="K203" s="113"/>
      <c r="L203" s="113"/>
      <c r="M203" s="113"/>
      <c r="N203" s="113"/>
      <c r="O203" s="124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</row>
    <row x14ac:dyDescent="0.25" r="204" customHeight="1" ht="15.75">
      <c r="A204" s="123"/>
      <c r="B204" s="123"/>
      <c r="C204" s="124"/>
      <c r="D204" s="124"/>
      <c r="E204" s="124"/>
      <c r="F204" s="113"/>
      <c r="G204" s="113"/>
      <c r="H204" s="113"/>
      <c r="I204" s="113"/>
      <c r="J204" s="113"/>
      <c r="K204" s="113"/>
      <c r="L204" s="113"/>
      <c r="M204" s="113"/>
      <c r="N204" s="113"/>
      <c r="O204" s="124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</row>
    <row x14ac:dyDescent="0.25" r="205" customHeight="1" ht="15.75">
      <c r="A205" s="123"/>
      <c r="B205" s="123"/>
      <c r="C205" s="124"/>
      <c r="D205" s="124"/>
      <c r="E205" s="124"/>
      <c r="F205" s="113"/>
      <c r="G205" s="113"/>
      <c r="H205" s="113"/>
      <c r="I205" s="113"/>
      <c r="J205" s="113"/>
      <c r="K205" s="113"/>
      <c r="L205" s="113"/>
      <c r="M205" s="113"/>
      <c r="N205" s="113"/>
      <c r="O205" s="124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</row>
    <row x14ac:dyDescent="0.25" r="206" customHeight="1" ht="15.75">
      <c r="A206" s="123"/>
      <c r="B206" s="123"/>
      <c r="C206" s="124"/>
      <c r="D206" s="124"/>
      <c r="E206" s="124"/>
      <c r="F206" s="113"/>
      <c r="G206" s="113"/>
      <c r="H206" s="113"/>
      <c r="I206" s="113"/>
      <c r="J206" s="113"/>
      <c r="K206" s="113"/>
      <c r="L206" s="113"/>
      <c r="M206" s="113"/>
      <c r="N206" s="113"/>
      <c r="O206" s="124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</row>
    <row x14ac:dyDescent="0.25" r="207" customHeight="1" ht="15.75">
      <c r="A207" s="123"/>
      <c r="B207" s="123"/>
      <c r="C207" s="124"/>
      <c r="D207" s="124"/>
      <c r="E207" s="124"/>
      <c r="F207" s="113"/>
      <c r="G207" s="113"/>
      <c r="H207" s="113"/>
      <c r="I207" s="113"/>
      <c r="J207" s="113"/>
      <c r="K207" s="113"/>
      <c r="L207" s="113"/>
      <c r="M207" s="113"/>
      <c r="N207" s="113"/>
      <c r="O207" s="124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</row>
    <row x14ac:dyDescent="0.25" r="208" customHeight="1" ht="15.75">
      <c r="A208" s="123"/>
      <c r="B208" s="123"/>
      <c r="C208" s="124"/>
      <c r="D208" s="124"/>
      <c r="E208" s="124"/>
      <c r="F208" s="113"/>
      <c r="G208" s="113"/>
      <c r="H208" s="113"/>
      <c r="I208" s="113"/>
      <c r="J208" s="113"/>
      <c r="K208" s="113"/>
      <c r="L208" s="113"/>
      <c r="M208" s="113"/>
      <c r="N208" s="113"/>
      <c r="O208" s="124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</row>
    <row x14ac:dyDescent="0.25" r="209" customHeight="1" ht="15.75">
      <c r="A209" s="123"/>
      <c r="B209" s="123"/>
      <c r="C209" s="124"/>
      <c r="D209" s="124"/>
      <c r="E209" s="124"/>
      <c r="F209" s="113"/>
      <c r="G209" s="113"/>
      <c r="H209" s="113"/>
      <c r="I209" s="113"/>
      <c r="J209" s="113"/>
      <c r="K209" s="113"/>
      <c r="L209" s="113"/>
      <c r="M209" s="113"/>
      <c r="N209" s="113"/>
      <c r="O209" s="124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</row>
    <row x14ac:dyDescent="0.25" r="210" customHeight="1" ht="15.75">
      <c r="A210" s="123"/>
      <c r="B210" s="123"/>
      <c r="C210" s="124"/>
      <c r="D210" s="124"/>
      <c r="E210" s="124"/>
      <c r="F210" s="113"/>
      <c r="G210" s="113"/>
      <c r="H210" s="113"/>
      <c r="I210" s="113"/>
      <c r="J210" s="113"/>
      <c r="K210" s="113"/>
      <c r="L210" s="113"/>
      <c r="M210" s="113"/>
      <c r="N210" s="113"/>
      <c r="O210" s="124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</row>
    <row x14ac:dyDescent="0.25" r="211" customHeight="1" ht="15.75">
      <c r="A211" s="123"/>
      <c r="B211" s="123"/>
      <c r="C211" s="124"/>
      <c r="D211" s="124"/>
      <c r="E211" s="124"/>
      <c r="F211" s="113"/>
      <c r="G211" s="113"/>
      <c r="H211" s="113"/>
      <c r="I211" s="113"/>
      <c r="J211" s="113"/>
      <c r="K211" s="113"/>
      <c r="L211" s="113"/>
      <c r="M211" s="113"/>
      <c r="N211" s="113"/>
      <c r="O211" s="124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</row>
    <row x14ac:dyDescent="0.25" r="212" customHeight="1" ht="15.75">
      <c r="A212" s="123"/>
      <c r="B212" s="123"/>
      <c r="C212" s="124"/>
      <c r="D212" s="124"/>
      <c r="E212" s="124"/>
      <c r="F212" s="113"/>
      <c r="G212" s="113"/>
      <c r="H212" s="113"/>
      <c r="I212" s="113"/>
      <c r="J212" s="113"/>
      <c r="K212" s="113"/>
      <c r="L212" s="113"/>
      <c r="M212" s="113"/>
      <c r="N212" s="113"/>
      <c r="O212" s="124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</row>
    <row x14ac:dyDescent="0.25" r="213" customHeight="1" ht="15.75">
      <c r="A213" s="123"/>
      <c r="B213" s="123"/>
      <c r="C213" s="124"/>
      <c r="D213" s="124"/>
      <c r="E213" s="124"/>
      <c r="F213" s="113"/>
      <c r="G213" s="113"/>
      <c r="H213" s="113"/>
      <c r="I213" s="113"/>
      <c r="J213" s="113"/>
      <c r="K213" s="113"/>
      <c r="L213" s="113"/>
      <c r="M213" s="113"/>
      <c r="N213" s="113"/>
      <c r="O213" s="124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</row>
    <row x14ac:dyDescent="0.25" r="214" customHeight="1" ht="15.75">
      <c r="A214" s="123"/>
      <c r="B214" s="123"/>
      <c r="C214" s="124"/>
      <c r="D214" s="124"/>
      <c r="E214" s="124"/>
      <c r="F214" s="113"/>
      <c r="G214" s="113"/>
      <c r="H214" s="113"/>
      <c r="I214" s="113"/>
      <c r="J214" s="113"/>
      <c r="K214" s="113"/>
      <c r="L214" s="113"/>
      <c r="M214" s="113"/>
      <c r="N214" s="113"/>
      <c r="O214" s="124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</row>
    <row x14ac:dyDescent="0.25" r="215" customHeight="1" ht="15.75">
      <c r="A215" s="123"/>
      <c r="B215" s="123"/>
      <c r="C215" s="124"/>
      <c r="D215" s="124"/>
      <c r="E215" s="124"/>
      <c r="F215" s="113"/>
      <c r="G215" s="113"/>
      <c r="H215" s="113"/>
      <c r="I215" s="113"/>
      <c r="J215" s="113"/>
      <c r="K215" s="113"/>
      <c r="L215" s="113"/>
      <c r="M215" s="113"/>
      <c r="N215" s="113"/>
      <c r="O215" s="124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</row>
    <row x14ac:dyDescent="0.25" r="216" customHeight="1" ht="15.75">
      <c r="A216" s="123"/>
      <c r="B216" s="123"/>
      <c r="C216" s="124"/>
      <c r="D216" s="124"/>
      <c r="E216" s="124"/>
      <c r="F216" s="113"/>
      <c r="G216" s="113"/>
      <c r="H216" s="113"/>
      <c r="I216" s="113"/>
      <c r="J216" s="113"/>
      <c r="K216" s="113"/>
      <c r="L216" s="113"/>
      <c r="M216" s="113"/>
      <c r="N216" s="113"/>
      <c r="O216" s="124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</row>
    <row x14ac:dyDescent="0.25" r="217" customHeight="1" ht="15.75">
      <c r="A217" s="123"/>
      <c r="B217" s="123"/>
      <c r="C217" s="124"/>
      <c r="D217" s="124"/>
      <c r="E217" s="124"/>
      <c r="F217" s="113"/>
      <c r="G217" s="113"/>
      <c r="H217" s="113"/>
      <c r="I217" s="113"/>
      <c r="J217" s="113"/>
      <c r="K217" s="113"/>
      <c r="L217" s="113"/>
      <c r="M217" s="113"/>
      <c r="N217" s="113"/>
      <c r="O217" s="124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</row>
    <row x14ac:dyDescent="0.25" r="218" customHeight="1" ht="15.75">
      <c r="A218" s="123"/>
      <c r="B218" s="123"/>
      <c r="C218" s="124"/>
      <c r="D218" s="124"/>
      <c r="E218" s="124"/>
      <c r="F218" s="113"/>
      <c r="G218" s="113"/>
      <c r="H218" s="113"/>
      <c r="I218" s="113"/>
      <c r="J218" s="113"/>
      <c r="K218" s="113"/>
      <c r="L218" s="113"/>
      <c r="M218" s="113"/>
      <c r="N218" s="113"/>
      <c r="O218" s="124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</row>
    <row x14ac:dyDescent="0.25" r="219" customHeight="1" ht="15.75">
      <c r="A219" s="123"/>
      <c r="B219" s="123"/>
      <c r="C219" s="124"/>
      <c r="D219" s="124"/>
      <c r="E219" s="124"/>
      <c r="F219" s="113"/>
      <c r="G219" s="113"/>
      <c r="H219" s="113"/>
      <c r="I219" s="113"/>
      <c r="J219" s="113"/>
      <c r="K219" s="113"/>
      <c r="L219" s="113"/>
      <c r="M219" s="113"/>
      <c r="N219" s="113"/>
      <c r="O219" s="124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</row>
    <row x14ac:dyDescent="0.25" r="220" customHeight="1" ht="15.75">
      <c r="A220" s="123"/>
      <c r="B220" s="123"/>
      <c r="C220" s="124"/>
      <c r="D220" s="124"/>
      <c r="E220" s="124"/>
      <c r="F220" s="113"/>
      <c r="G220" s="113"/>
      <c r="H220" s="113"/>
      <c r="I220" s="113"/>
      <c r="J220" s="113"/>
      <c r="K220" s="113"/>
      <c r="L220" s="113"/>
      <c r="M220" s="113"/>
      <c r="N220" s="113"/>
      <c r="O220" s="124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</row>
    <row x14ac:dyDescent="0.25" r="221" customHeight="1" ht="15.75">
      <c r="A221" s="123"/>
      <c r="B221" s="123"/>
      <c r="C221" s="124"/>
      <c r="D221" s="124"/>
      <c r="E221" s="124"/>
      <c r="F221" s="113"/>
      <c r="G221" s="113"/>
      <c r="H221" s="113"/>
      <c r="I221" s="113"/>
      <c r="J221" s="113"/>
      <c r="K221" s="113"/>
      <c r="L221" s="113"/>
      <c r="M221" s="113"/>
      <c r="N221" s="113"/>
      <c r="O221" s="124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</row>
    <row x14ac:dyDescent="0.25" r="222" customHeight="1" ht="15.75">
      <c r="A222" s="123"/>
      <c r="B222" s="123"/>
      <c r="C222" s="124"/>
      <c r="D222" s="124"/>
      <c r="E222" s="124"/>
      <c r="F222" s="113"/>
      <c r="G222" s="113"/>
      <c r="H222" s="113"/>
      <c r="I222" s="113"/>
      <c r="J222" s="113"/>
      <c r="K222" s="113"/>
      <c r="L222" s="113"/>
      <c r="M222" s="113"/>
      <c r="N222" s="113"/>
      <c r="O222" s="124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</row>
    <row x14ac:dyDescent="0.25" r="223" customHeight="1" ht="15.75">
      <c r="A223" s="123"/>
      <c r="B223" s="123"/>
      <c r="C223" s="124"/>
      <c r="D223" s="124"/>
      <c r="E223" s="124"/>
      <c r="F223" s="113"/>
      <c r="G223" s="113"/>
      <c r="H223" s="113"/>
      <c r="I223" s="113"/>
      <c r="J223" s="113"/>
      <c r="K223" s="113"/>
      <c r="L223" s="113"/>
      <c r="M223" s="113"/>
      <c r="N223" s="113"/>
      <c r="O223" s="124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</row>
    <row x14ac:dyDescent="0.25" r="224" customHeight="1" ht="15.75">
      <c r="A224" s="123"/>
      <c r="B224" s="123"/>
      <c r="C224" s="124"/>
      <c r="D224" s="124"/>
      <c r="E224" s="124"/>
      <c r="F224" s="113"/>
      <c r="G224" s="113"/>
      <c r="H224" s="113"/>
      <c r="I224" s="113"/>
      <c r="J224" s="113"/>
      <c r="K224" s="113"/>
      <c r="L224" s="113"/>
      <c r="M224" s="113"/>
      <c r="N224" s="113"/>
      <c r="O224" s="124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</row>
    <row x14ac:dyDescent="0.25" r="225" customHeight="1" ht="15.75">
      <c r="A225" s="123"/>
      <c r="B225" s="123"/>
      <c r="C225" s="124"/>
      <c r="D225" s="124"/>
      <c r="E225" s="124"/>
      <c r="F225" s="113"/>
      <c r="G225" s="113"/>
      <c r="H225" s="113"/>
      <c r="I225" s="113"/>
      <c r="J225" s="113"/>
      <c r="K225" s="113"/>
      <c r="L225" s="113"/>
      <c r="M225" s="113"/>
      <c r="N225" s="113"/>
      <c r="O225" s="124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</row>
    <row x14ac:dyDescent="0.25" r="226" customHeight="1" ht="15.75">
      <c r="A226" s="123"/>
      <c r="B226" s="123"/>
      <c r="C226" s="124"/>
      <c r="D226" s="124"/>
      <c r="E226" s="124"/>
      <c r="F226" s="113"/>
      <c r="G226" s="113"/>
      <c r="H226" s="113"/>
      <c r="I226" s="113"/>
      <c r="J226" s="113"/>
      <c r="K226" s="113"/>
      <c r="L226" s="113"/>
      <c r="M226" s="113"/>
      <c r="N226" s="113"/>
      <c r="O226" s="124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</row>
    <row x14ac:dyDescent="0.25" r="227" customHeight="1" ht="15.75">
      <c r="A227" s="123"/>
      <c r="B227" s="123"/>
      <c r="C227" s="124"/>
      <c r="D227" s="124"/>
      <c r="E227" s="124"/>
      <c r="F227" s="113"/>
      <c r="G227" s="113"/>
      <c r="H227" s="113"/>
      <c r="I227" s="113"/>
      <c r="J227" s="113"/>
      <c r="K227" s="113"/>
      <c r="L227" s="113"/>
      <c r="M227" s="113"/>
      <c r="N227" s="113"/>
      <c r="O227" s="124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</row>
    <row x14ac:dyDescent="0.25" r="228" customHeight="1" ht="15.75">
      <c r="A228" s="123"/>
      <c r="B228" s="123"/>
      <c r="C228" s="124"/>
      <c r="D228" s="124"/>
      <c r="E228" s="124"/>
      <c r="F228" s="113"/>
      <c r="G228" s="113"/>
      <c r="H228" s="113"/>
      <c r="I228" s="113"/>
      <c r="J228" s="113"/>
      <c r="K228" s="113"/>
      <c r="L228" s="113"/>
      <c r="M228" s="113"/>
      <c r="N228" s="113"/>
      <c r="O228" s="124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</row>
    <row x14ac:dyDescent="0.25" r="229" customHeight="1" ht="15.75">
      <c r="A229" s="123"/>
      <c r="B229" s="123"/>
      <c r="C229" s="124"/>
      <c r="D229" s="124"/>
      <c r="E229" s="124"/>
      <c r="F229" s="113"/>
      <c r="G229" s="113"/>
      <c r="H229" s="113"/>
      <c r="I229" s="113"/>
      <c r="J229" s="113"/>
      <c r="K229" s="113"/>
      <c r="L229" s="113"/>
      <c r="M229" s="113"/>
      <c r="N229" s="113"/>
      <c r="O229" s="124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</row>
    <row x14ac:dyDescent="0.25" r="230" customHeight="1" ht="15.75">
      <c r="A230" s="123"/>
      <c r="B230" s="123"/>
      <c r="C230" s="124"/>
      <c r="D230" s="124"/>
      <c r="E230" s="124"/>
      <c r="F230" s="113"/>
      <c r="G230" s="113"/>
      <c r="H230" s="113"/>
      <c r="I230" s="113"/>
      <c r="J230" s="113"/>
      <c r="K230" s="113"/>
      <c r="L230" s="113"/>
      <c r="M230" s="113"/>
      <c r="N230" s="113"/>
      <c r="O230" s="124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</row>
    <row x14ac:dyDescent="0.25" r="231" customHeight="1" ht="15.75">
      <c r="A231" s="123"/>
      <c r="B231" s="123"/>
      <c r="C231" s="124"/>
      <c r="D231" s="124"/>
      <c r="E231" s="124"/>
      <c r="F231" s="113"/>
      <c r="G231" s="113"/>
      <c r="H231" s="113"/>
      <c r="I231" s="113"/>
      <c r="J231" s="113"/>
      <c r="K231" s="113"/>
      <c r="L231" s="113"/>
      <c r="M231" s="113"/>
      <c r="N231" s="113"/>
      <c r="O231" s="124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</row>
    <row x14ac:dyDescent="0.25" r="232" customHeight="1" ht="15.75">
      <c r="A232" s="123"/>
      <c r="B232" s="123"/>
      <c r="C232" s="124"/>
      <c r="D232" s="124"/>
      <c r="E232" s="124"/>
      <c r="F232" s="113"/>
      <c r="G232" s="113"/>
      <c r="H232" s="113"/>
      <c r="I232" s="113"/>
      <c r="J232" s="113"/>
      <c r="K232" s="113"/>
      <c r="L232" s="113"/>
      <c r="M232" s="113"/>
      <c r="N232" s="113"/>
      <c r="O232" s="124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</row>
    <row x14ac:dyDescent="0.25" r="233" customHeight="1" ht="15.75">
      <c r="A233" s="123"/>
      <c r="B233" s="123"/>
      <c r="C233" s="124"/>
      <c r="D233" s="124"/>
      <c r="E233" s="124"/>
      <c r="F233" s="113"/>
      <c r="G233" s="113"/>
      <c r="H233" s="113"/>
      <c r="I233" s="113"/>
      <c r="J233" s="113"/>
      <c r="K233" s="113"/>
      <c r="L233" s="113"/>
      <c r="M233" s="113"/>
      <c r="N233" s="113"/>
      <c r="O233" s="124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</row>
    <row x14ac:dyDescent="0.25" r="234" customHeight="1" ht="15.75">
      <c r="A234" s="123"/>
      <c r="B234" s="123"/>
      <c r="C234" s="124"/>
      <c r="D234" s="124"/>
      <c r="E234" s="124"/>
      <c r="F234" s="113"/>
      <c r="G234" s="113"/>
      <c r="H234" s="113"/>
      <c r="I234" s="113"/>
      <c r="J234" s="113"/>
      <c r="K234" s="113"/>
      <c r="L234" s="113"/>
      <c r="M234" s="113"/>
      <c r="N234" s="113"/>
      <c r="O234" s="124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</row>
    <row x14ac:dyDescent="0.25" r="235" customHeight="1" ht="15.75">
      <c r="A235" s="123"/>
      <c r="B235" s="123"/>
      <c r="C235" s="124"/>
      <c r="D235" s="124"/>
      <c r="E235" s="124"/>
      <c r="F235" s="113"/>
      <c r="G235" s="113"/>
      <c r="H235" s="113"/>
      <c r="I235" s="113"/>
      <c r="J235" s="113"/>
      <c r="K235" s="113"/>
      <c r="L235" s="113"/>
      <c r="M235" s="113"/>
      <c r="N235" s="113"/>
      <c r="O235" s="124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</row>
    <row x14ac:dyDescent="0.25" r="236" customHeight="1" ht="15.75">
      <c r="A236" s="123"/>
      <c r="B236" s="123"/>
      <c r="C236" s="124"/>
      <c r="D236" s="124"/>
      <c r="E236" s="124"/>
      <c r="F236" s="113"/>
      <c r="G236" s="113"/>
      <c r="H236" s="113"/>
      <c r="I236" s="113"/>
      <c r="J236" s="113"/>
      <c r="K236" s="113"/>
      <c r="L236" s="113"/>
      <c r="M236" s="113"/>
      <c r="N236" s="113"/>
      <c r="O236" s="124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</row>
    <row x14ac:dyDescent="0.25" r="237" customHeight="1" ht="15.75">
      <c r="A237" s="123"/>
      <c r="B237" s="123"/>
      <c r="C237" s="124"/>
      <c r="D237" s="124"/>
      <c r="E237" s="124"/>
      <c r="F237" s="113"/>
      <c r="G237" s="113"/>
      <c r="H237" s="113"/>
      <c r="I237" s="113"/>
      <c r="J237" s="113"/>
      <c r="K237" s="113"/>
      <c r="L237" s="113"/>
      <c r="M237" s="113"/>
      <c r="N237" s="113"/>
      <c r="O237" s="124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</row>
    <row x14ac:dyDescent="0.25" r="238" customHeight="1" ht="15.75">
      <c r="A238" s="123"/>
      <c r="B238" s="123"/>
      <c r="C238" s="124"/>
      <c r="D238" s="124"/>
      <c r="E238" s="124"/>
      <c r="F238" s="113"/>
      <c r="G238" s="113"/>
      <c r="H238" s="113"/>
      <c r="I238" s="113"/>
      <c r="J238" s="113"/>
      <c r="K238" s="113"/>
      <c r="L238" s="113"/>
      <c r="M238" s="113"/>
      <c r="N238" s="113"/>
      <c r="O238" s="124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</row>
    <row x14ac:dyDescent="0.25" r="239" customHeight="1" ht="15.75">
      <c r="A239" s="123"/>
      <c r="B239" s="123"/>
      <c r="C239" s="124"/>
      <c r="D239" s="124"/>
      <c r="E239" s="124"/>
      <c r="F239" s="113"/>
      <c r="G239" s="113"/>
      <c r="H239" s="113"/>
      <c r="I239" s="113"/>
      <c r="J239" s="113"/>
      <c r="K239" s="113"/>
      <c r="L239" s="113"/>
      <c r="M239" s="113"/>
      <c r="N239" s="113"/>
      <c r="O239" s="124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</row>
    <row x14ac:dyDescent="0.25" r="240" customHeight="1" ht="15.75">
      <c r="A240" s="123"/>
      <c r="B240" s="123"/>
      <c r="C240" s="124"/>
      <c r="D240" s="124"/>
      <c r="E240" s="124"/>
      <c r="F240" s="113"/>
      <c r="G240" s="113"/>
      <c r="H240" s="113"/>
      <c r="I240" s="113"/>
      <c r="J240" s="113"/>
      <c r="K240" s="113"/>
      <c r="L240" s="113"/>
      <c r="M240" s="113"/>
      <c r="N240" s="113"/>
      <c r="O240" s="124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</row>
    <row x14ac:dyDescent="0.25" r="241" customHeight="1" ht="15.75">
      <c r="A241" s="123"/>
      <c r="B241" s="123"/>
      <c r="C241" s="124"/>
      <c r="D241" s="124"/>
      <c r="E241" s="124"/>
      <c r="F241" s="113"/>
      <c r="G241" s="113"/>
      <c r="H241" s="113"/>
      <c r="I241" s="113"/>
      <c r="J241" s="113"/>
      <c r="K241" s="113"/>
      <c r="L241" s="113"/>
      <c r="M241" s="113"/>
      <c r="N241" s="113"/>
      <c r="O241" s="124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</row>
    <row x14ac:dyDescent="0.25" r="242" customHeight="1" ht="15.75">
      <c r="A242" s="123"/>
      <c r="B242" s="123"/>
      <c r="C242" s="124"/>
      <c r="D242" s="124"/>
      <c r="E242" s="124"/>
      <c r="F242" s="113"/>
      <c r="G242" s="113"/>
      <c r="H242" s="113"/>
      <c r="I242" s="113"/>
      <c r="J242" s="113"/>
      <c r="K242" s="113"/>
      <c r="L242" s="113"/>
      <c r="M242" s="113"/>
      <c r="N242" s="113"/>
      <c r="O242" s="124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</row>
    <row x14ac:dyDescent="0.25" r="243" customHeight="1" ht="15.75">
      <c r="A243" s="123"/>
      <c r="B243" s="123"/>
      <c r="C243" s="124"/>
      <c r="D243" s="124"/>
      <c r="E243" s="124"/>
      <c r="F243" s="113"/>
      <c r="G243" s="113"/>
      <c r="H243" s="113"/>
      <c r="I243" s="113"/>
      <c r="J243" s="113"/>
      <c r="K243" s="113"/>
      <c r="L243" s="113"/>
      <c r="M243" s="113"/>
      <c r="N243" s="113"/>
      <c r="O243" s="124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</row>
    <row x14ac:dyDescent="0.25" r="244" customHeight="1" ht="15.75">
      <c r="A244" s="123"/>
      <c r="B244" s="123"/>
      <c r="C244" s="124"/>
      <c r="D244" s="124"/>
      <c r="E244" s="124"/>
      <c r="F244" s="113"/>
      <c r="G244" s="113"/>
      <c r="H244" s="113"/>
      <c r="I244" s="113"/>
      <c r="J244" s="113"/>
      <c r="K244" s="113"/>
      <c r="L244" s="113"/>
      <c r="M244" s="113"/>
      <c r="N244" s="113"/>
      <c r="O244" s="124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</row>
    <row x14ac:dyDescent="0.25" r="245" customHeight="1" ht="15.75">
      <c r="A245" s="123"/>
      <c r="B245" s="123"/>
      <c r="C245" s="124"/>
      <c r="D245" s="124"/>
      <c r="E245" s="124"/>
      <c r="F245" s="113"/>
      <c r="G245" s="113"/>
      <c r="H245" s="113"/>
      <c r="I245" s="113"/>
      <c r="J245" s="113"/>
      <c r="K245" s="113"/>
      <c r="L245" s="113"/>
      <c r="M245" s="113"/>
      <c r="N245" s="113"/>
      <c r="O245" s="124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</row>
    <row x14ac:dyDescent="0.25" r="246" customHeight="1" ht="15.75">
      <c r="A246" s="123"/>
      <c r="B246" s="123"/>
      <c r="C246" s="124"/>
      <c r="D246" s="124"/>
      <c r="E246" s="124"/>
      <c r="F246" s="113"/>
      <c r="G246" s="113"/>
      <c r="H246" s="113"/>
      <c r="I246" s="113"/>
      <c r="J246" s="113"/>
      <c r="K246" s="113"/>
      <c r="L246" s="113"/>
      <c r="M246" s="113"/>
      <c r="N246" s="113"/>
      <c r="O246" s="124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</row>
    <row x14ac:dyDescent="0.25" r="247" customHeight="1" ht="15.75">
      <c r="A247" s="123"/>
      <c r="B247" s="123"/>
      <c r="C247" s="124"/>
      <c r="D247" s="124"/>
      <c r="E247" s="124"/>
      <c r="F247" s="113"/>
      <c r="G247" s="113"/>
      <c r="H247" s="113"/>
      <c r="I247" s="113"/>
      <c r="J247" s="113"/>
      <c r="K247" s="113"/>
      <c r="L247" s="113"/>
      <c r="M247" s="113"/>
      <c r="N247" s="113"/>
      <c r="O247" s="124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</row>
    <row x14ac:dyDescent="0.25" r="248" customHeight="1" ht="15.75">
      <c r="A248" s="123"/>
      <c r="B248" s="123"/>
      <c r="C248" s="124"/>
      <c r="D248" s="124"/>
      <c r="E248" s="124"/>
      <c r="F248" s="113"/>
      <c r="G248" s="113"/>
      <c r="H248" s="113"/>
      <c r="I248" s="113"/>
      <c r="J248" s="113"/>
      <c r="K248" s="113"/>
      <c r="L248" s="113"/>
      <c r="M248" s="113"/>
      <c r="N248" s="113"/>
      <c r="O248" s="124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</row>
    <row x14ac:dyDescent="0.25" r="249" customHeight="1" ht="15.75">
      <c r="A249" s="123"/>
      <c r="B249" s="123"/>
      <c r="C249" s="124"/>
      <c r="D249" s="124"/>
      <c r="E249" s="124"/>
      <c r="F249" s="113"/>
      <c r="G249" s="113"/>
      <c r="H249" s="113"/>
      <c r="I249" s="113"/>
      <c r="J249" s="113"/>
      <c r="K249" s="113"/>
      <c r="L249" s="113"/>
      <c r="M249" s="113"/>
      <c r="N249" s="113"/>
      <c r="O249" s="124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</row>
    <row x14ac:dyDescent="0.25" r="250" customHeight="1" ht="15.75">
      <c r="A250" s="123"/>
      <c r="B250" s="123"/>
      <c r="C250" s="124"/>
      <c r="D250" s="124"/>
      <c r="E250" s="124"/>
      <c r="F250" s="113"/>
      <c r="G250" s="113"/>
      <c r="H250" s="113"/>
      <c r="I250" s="113"/>
      <c r="J250" s="113"/>
      <c r="K250" s="113"/>
      <c r="L250" s="113"/>
      <c r="M250" s="113"/>
      <c r="N250" s="113"/>
      <c r="O250" s="124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</row>
    <row x14ac:dyDescent="0.25" r="251" customHeight="1" ht="15.75">
      <c r="A251" s="123"/>
      <c r="B251" s="123"/>
      <c r="C251" s="124"/>
      <c r="D251" s="124"/>
      <c r="E251" s="124"/>
      <c r="F251" s="113"/>
      <c r="G251" s="113"/>
      <c r="H251" s="113"/>
      <c r="I251" s="113"/>
      <c r="J251" s="113"/>
      <c r="K251" s="113"/>
      <c r="L251" s="113"/>
      <c r="M251" s="113"/>
      <c r="N251" s="113"/>
      <c r="O251" s="124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</row>
    <row x14ac:dyDescent="0.25" r="252" customHeight="1" ht="15.75">
      <c r="A252" s="123"/>
      <c r="B252" s="123"/>
      <c r="C252" s="124"/>
      <c r="D252" s="124"/>
      <c r="E252" s="124"/>
      <c r="F252" s="113"/>
      <c r="G252" s="113"/>
      <c r="H252" s="113"/>
      <c r="I252" s="113"/>
      <c r="J252" s="113"/>
      <c r="K252" s="113"/>
      <c r="L252" s="113"/>
      <c r="M252" s="113"/>
      <c r="N252" s="113"/>
      <c r="O252" s="124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</row>
    <row x14ac:dyDescent="0.25" r="253" customHeight="1" ht="15.75">
      <c r="A253" s="123"/>
      <c r="B253" s="123"/>
      <c r="C253" s="124"/>
      <c r="D253" s="124"/>
      <c r="E253" s="124"/>
      <c r="F253" s="113"/>
      <c r="G253" s="113"/>
      <c r="H253" s="113"/>
      <c r="I253" s="113"/>
      <c r="J253" s="113"/>
      <c r="K253" s="113"/>
      <c r="L253" s="113"/>
      <c r="M253" s="113"/>
      <c r="N253" s="113"/>
      <c r="O253" s="124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</row>
    <row x14ac:dyDescent="0.25" r="254" customHeight="1" ht="15.75">
      <c r="A254" s="123"/>
      <c r="B254" s="123"/>
      <c r="C254" s="124"/>
      <c r="D254" s="124"/>
      <c r="E254" s="124"/>
      <c r="F254" s="113"/>
      <c r="G254" s="113"/>
      <c r="H254" s="113"/>
      <c r="I254" s="113"/>
      <c r="J254" s="113"/>
      <c r="K254" s="113"/>
      <c r="L254" s="113"/>
      <c r="M254" s="113"/>
      <c r="N254" s="113"/>
      <c r="O254" s="124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</row>
    <row x14ac:dyDescent="0.25" r="255" customHeight="1" ht="15.75">
      <c r="A255" s="123"/>
      <c r="B255" s="123"/>
      <c r="C255" s="124"/>
      <c r="D255" s="124"/>
      <c r="E255" s="124"/>
      <c r="F255" s="113"/>
      <c r="G255" s="113"/>
      <c r="H255" s="113"/>
      <c r="I255" s="113"/>
      <c r="J255" s="113"/>
      <c r="K255" s="113"/>
      <c r="L255" s="113"/>
      <c r="M255" s="113"/>
      <c r="N255" s="113"/>
      <c r="O255" s="124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</row>
    <row x14ac:dyDescent="0.25" r="256" customHeight="1" ht="15.75">
      <c r="A256" s="123"/>
      <c r="B256" s="123"/>
      <c r="C256" s="124"/>
      <c r="D256" s="124"/>
      <c r="E256" s="124"/>
      <c r="F256" s="113"/>
      <c r="G256" s="113"/>
      <c r="H256" s="113"/>
      <c r="I256" s="113"/>
      <c r="J256" s="113"/>
      <c r="K256" s="113"/>
      <c r="L256" s="113"/>
      <c r="M256" s="113"/>
      <c r="N256" s="113"/>
      <c r="O256" s="124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</row>
    <row x14ac:dyDescent="0.25" r="257" customHeight="1" ht="15.75">
      <c r="A257" s="123"/>
      <c r="B257" s="123"/>
      <c r="C257" s="124"/>
      <c r="D257" s="124"/>
      <c r="E257" s="124"/>
      <c r="F257" s="113"/>
      <c r="G257" s="113"/>
      <c r="H257" s="113"/>
      <c r="I257" s="113"/>
      <c r="J257" s="113"/>
      <c r="K257" s="113"/>
      <c r="L257" s="113"/>
      <c r="M257" s="113"/>
      <c r="N257" s="113"/>
      <c r="O257" s="124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</row>
    <row x14ac:dyDescent="0.25" r="258" customHeight="1" ht="15.75">
      <c r="A258" s="123"/>
      <c r="B258" s="123"/>
      <c r="C258" s="124"/>
      <c r="D258" s="124"/>
      <c r="E258" s="124"/>
      <c r="F258" s="113"/>
      <c r="G258" s="113"/>
      <c r="H258" s="113"/>
      <c r="I258" s="113"/>
      <c r="J258" s="113"/>
      <c r="K258" s="113"/>
      <c r="L258" s="113"/>
      <c r="M258" s="113"/>
      <c r="N258" s="113"/>
      <c r="O258" s="124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</row>
    <row x14ac:dyDescent="0.25" r="259" customHeight="1" ht="15.75">
      <c r="A259" s="123"/>
      <c r="B259" s="123"/>
      <c r="C259" s="124"/>
      <c r="D259" s="124"/>
      <c r="E259" s="124"/>
      <c r="F259" s="113"/>
      <c r="G259" s="113"/>
      <c r="H259" s="113"/>
      <c r="I259" s="113"/>
      <c r="J259" s="113"/>
      <c r="K259" s="113"/>
      <c r="L259" s="113"/>
      <c r="M259" s="113"/>
      <c r="N259" s="113"/>
      <c r="O259" s="124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</row>
    <row x14ac:dyDescent="0.25" r="260" customHeight="1" ht="15.75">
      <c r="A260" s="123"/>
      <c r="B260" s="123"/>
      <c r="C260" s="124"/>
      <c r="D260" s="124"/>
      <c r="E260" s="124"/>
      <c r="F260" s="113"/>
      <c r="G260" s="113"/>
      <c r="H260" s="113"/>
      <c r="I260" s="113"/>
      <c r="J260" s="113"/>
      <c r="K260" s="113"/>
      <c r="L260" s="113"/>
      <c r="M260" s="113"/>
      <c r="N260" s="113"/>
      <c r="O260" s="124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</row>
    <row x14ac:dyDescent="0.25" r="261" customHeight="1" ht="15.75">
      <c r="A261" s="123"/>
      <c r="B261" s="123"/>
      <c r="C261" s="124"/>
      <c r="D261" s="124"/>
      <c r="E261" s="124"/>
      <c r="F261" s="113"/>
      <c r="G261" s="113"/>
      <c r="H261" s="113"/>
      <c r="I261" s="113"/>
      <c r="J261" s="113"/>
      <c r="K261" s="113"/>
      <c r="L261" s="113"/>
      <c r="M261" s="113"/>
      <c r="N261" s="113"/>
      <c r="O261" s="124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</row>
    <row x14ac:dyDescent="0.25" r="262" customHeight="1" ht="15.75">
      <c r="A262" s="123"/>
      <c r="B262" s="123"/>
      <c r="C262" s="124"/>
      <c r="D262" s="124"/>
      <c r="E262" s="124"/>
      <c r="F262" s="113"/>
      <c r="G262" s="113"/>
      <c r="H262" s="113"/>
      <c r="I262" s="113"/>
      <c r="J262" s="113"/>
      <c r="K262" s="113"/>
      <c r="L262" s="113"/>
      <c r="M262" s="113"/>
      <c r="N262" s="113"/>
      <c r="O262" s="124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</row>
    <row x14ac:dyDescent="0.25" r="263" customHeight="1" ht="15.75">
      <c r="A263" s="123"/>
      <c r="B263" s="123"/>
      <c r="C263" s="124"/>
      <c r="D263" s="124"/>
      <c r="E263" s="124"/>
      <c r="F263" s="113"/>
      <c r="G263" s="113"/>
      <c r="H263" s="113"/>
      <c r="I263" s="113"/>
      <c r="J263" s="113"/>
      <c r="K263" s="113"/>
      <c r="L263" s="113"/>
      <c r="M263" s="113"/>
      <c r="N263" s="113"/>
      <c r="O263" s="124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</row>
    <row x14ac:dyDescent="0.25" r="264" customHeight="1" ht="15.75">
      <c r="A264" s="123"/>
      <c r="B264" s="123"/>
      <c r="C264" s="124"/>
      <c r="D264" s="124"/>
      <c r="E264" s="124"/>
      <c r="F264" s="113"/>
      <c r="G264" s="113"/>
      <c r="H264" s="113"/>
      <c r="I264" s="113"/>
      <c r="J264" s="113"/>
      <c r="K264" s="113"/>
      <c r="L264" s="113"/>
      <c r="M264" s="113"/>
      <c r="N264" s="113"/>
      <c r="O264" s="124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</row>
    <row x14ac:dyDescent="0.25" r="265" customHeight="1" ht="15.75">
      <c r="A265" s="123"/>
      <c r="B265" s="123"/>
      <c r="C265" s="124"/>
      <c r="D265" s="124"/>
      <c r="E265" s="124"/>
      <c r="F265" s="113"/>
      <c r="G265" s="113"/>
      <c r="H265" s="113"/>
      <c r="I265" s="113"/>
      <c r="J265" s="113"/>
      <c r="K265" s="113"/>
      <c r="L265" s="113"/>
      <c r="M265" s="113"/>
      <c r="N265" s="113"/>
      <c r="O265" s="124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</row>
    <row x14ac:dyDescent="0.25" r="266" customHeight="1" ht="15.75">
      <c r="A266" s="123"/>
      <c r="B266" s="123"/>
      <c r="C266" s="124"/>
      <c r="D266" s="124"/>
      <c r="E266" s="124"/>
      <c r="F266" s="113"/>
      <c r="G266" s="113"/>
      <c r="H266" s="113"/>
      <c r="I266" s="113"/>
      <c r="J266" s="113"/>
      <c r="K266" s="113"/>
      <c r="L266" s="113"/>
      <c r="M266" s="113"/>
      <c r="N266" s="113"/>
      <c r="O266" s="124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</row>
    <row x14ac:dyDescent="0.25" r="267" customHeight="1" ht="15.75">
      <c r="A267" s="123"/>
      <c r="B267" s="123"/>
      <c r="C267" s="124"/>
      <c r="D267" s="124"/>
      <c r="E267" s="124"/>
      <c r="F267" s="113"/>
      <c r="G267" s="113"/>
      <c r="H267" s="113"/>
      <c r="I267" s="113"/>
      <c r="J267" s="113"/>
      <c r="K267" s="113"/>
      <c r="L267" s="113"/>
      <c r="M267" s="113"/>
      <c r="N267" s="113"/>
      <c r="O267" s="124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</row>
    <row x14ac:dyDescent="0.25" r="268" customHeight="1" ht="15.75">
      <c r="A268" s="123"/>
      <c r="B268" s="123"/>
      <c r="C268" s="124"/>
      <c r="D268" s="124"/>
      <c r="E268" s="124"/>
      <c r="F268" s="113"/>
      <c r="G268" s="113"/>
      <c r="H268" s="113"/>
      <c r="I268" s="113"/>
      <c r="J268" s="113"/>
      <c r="K268" s="113"/>
      <c r="L268" s="113"/>
      <c r="M268" s="113"/>
      <c r="N268" s="113"/>
      <c r="O268" s="124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</row>
    <row x14ac:dyDescent="0.25" r="269" customHeight="1" ht="15.75">
      <c r="A269" s="123"/>
      <c r="B269" s="123"/>
      <c r="C269" s="124"/>
      <c r="D269" s="124"/>
      <c r="E269" s="124"/>
      <c r="F269" s="113"/>
      <c r="G269" s="113"/>
      <c r="H269" s="113"/>
      <c r="I269" s="113"/>
      <c r="J269" s="113"/>
      <c r="K269" s="113"/>
      <c r="L269" s="113"/>
      <c r="M269" s="113"/>
      <c r="N269" s="113"/>
      <c r="O269" s="124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</row>
    <row x14ac:dyDescent="0.25" r="270" customHeight="1" ht="15.75">
      <c r="A270" s="123"/>
      <c r="B270" s="123"/>
      <c r="C270" s="124"/>
      <c r="D270" s="124"/>
      <c r="E270" s="124"/>
      <c r="F270" s="113"/>
      <c r="G270" s="113"/>
      <c r="H270" s="113"/>
      <c r="I270" s="113"/>
      <c r="J270" s="113"/>
      <c r="K270" s="113"/>
      <c r="L270" s="113"/>
      <c r="M270" s="113"/>
      <c r="N270" s="113"/>
      <c r="O270" s="124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</row>
    <row x14ac:dyDescent="0.25" r="271" customHeight="1" ht="15.75">
      <c r="A271" s="123"/>
      <c r="B271" s="123"/>
      <c r="C271" s="124"/>
      <c r="D271" s="124"/>
      <c r="E271" s="124"/>
      <c r="F271" s="113"/>
      <c r="G271" s="113"/>
      <c r="H271" s="113"/>
      <c r="I271" s="113"/>
      <c r="J271" s="113"/>
      <c r="K271" s="113"/>
      <c r="L271" s="113"/>
      <c r="M271" s="113"/>
      <c r="N271" s="113"/>
      <c r="O271" s="124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</row>
    <row x14ac:dyDescent="0.25" r="272" customHeight="1" ht="15.75">
      <c r="A272" s="123"/>
      <c r="B272" s="123"/>
      <c r="C272" s="124"/>
      <c r="D272" s="124"/>
      <c r="E272" s="124"/>
      <c r="F272" s="113"/>
      <c r="G272" s="113"/>
      <c r="H272" s="113"/>
      <c r="I272" s="113"/>
      <c r="J272" s="113"/>
      <c r="K272" s="113"/>
      <c r="L272" s="113"/>
      <c r="M272" s="113"/>
      <c r="N272" s="113"/>
      <c r="O272" s="124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</row>
    <row x14ac:dyDescent="0.25" r="273" customHeight="1" ht="15.75">
      <c r="A273" s="123"/>
      <c r="B273" s="123"/>
      <c r="C273" s="124"/>
      <c r="D273" s="124"/>
      <c r="E273" s="124"/>
      <c r="F273" s="113"/>
      <c r="G273" s="113"/>
      <c r="H273" s="113"/>
      <c r="I273" s="113"/>
      <c r="J273" s="113"/>
      <c r="K273" s="113"/>
      <c r="L273" s="113"/>
      <c r="M273" s="113"/>
      <c r="N273" s="113"/>
      <c r="O273" s="124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</row>
    <row x14ac:dyDescent="0.25" r="274" customHeight="1" ht="15.75">
      <c r="A274" s="123"/>
      <c r="B274" s="123"/>
      <c r="C274" s="124"/>
      <c r="D274" s="124"/>
      <c r="E274" s="124"/>
      <c r="F274" s="113"/>
      <c r="G274" s="113"/>
      <c r="H274" s="113"/>
      <c r="I274" s="113"/>
      <c r="J274" s="113"/>
      <c r="K274" s="113"/>
      <c r="L274" s="113"/>
      <c r="M274" s="113"/>
      <c r="N274" s="113"/>
      <c r="O274" s="124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</row>
    <row x14ac:dyDescent="0.25" r="275" customHeight="1" ht="15.75">
      <c r="A275" s="123"/>
      <c r="B275" s="123"/>
      <c r="C275" s="124"/>
      <c r="D275" s="124"/>
      <c r="E275" s="124"/>
      <c r="F275" s="113"/>
      <c r="G275" s="113"/>
      <c r="H275" s="113"/>
      <c r="I275" s="113"/>
      <c r="J275" s="113"/>
      <c r="K275" s="113"/>
      <c r="L275" s="113"/>
      <c r="M275" s="113"/>
      <c r="N275" s="113"/>
      <c r="O275" s="124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</row>
    <row x14ac:dyDescent="0.25" r="276" customHeight="1" ht="15.75">
      <c r="A276" s="123"/>
      <c r="B276" s="123"/>
      <c r="C276" s="124"/>
      <c r="D276" s="124"/>
      <c r="E276" s="124"/>
      <c r="F276" s="113"/>
      <c r="G276" s="113"/>
      <c r="H276" s="113"/>
      <c r="I276" s="113"/>
      <c r="J276" s="113"/>
      <c r="K276" s="113"/>
      <c r="L276" s="113"/>
      <c r="M276" s="113"/>
      <c r="N276" s="113"/>
      <c r="O276" s="124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</row>
    <row x14ac:dyDescent="0.25" r="277" customHeight="1" ht="15.75">
      <c r="A277" s="123"/>
      <c r="B277" s="123"/>
      <c r="C277" s="124"/>
      <c r="D277" s="124"/>
      <c r="E277" s="124"/>
      <c r="F277" s="113"/>
      <c r="G277" s="113"/>
      <c r="H277" s="113"/>
      <c r="I277" s="113"/>
      <c r="J277" s="113"/>
      <c r="K277" s="113"/>
      <c r="L277" s="113"/>
      <c r="M277" s="113"/>
      <c r="N277" s="113"/>
      <c r="O277" s="124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</row>
    <row x14ac:dyDescent="0.25" r="278" customHeight="1" ht="15.75">
      <c r="A278" s="123"/>
      <c r="B278" s="123"/>
      <c r="C278" s="124"/>
      <c r="D278" s="124"/>
      <c r="E278" s="124"/>
      <c r="F278" s="113"/>
      <c r="G278" s="113"/>
      <c r="H278" s="113"/>
      <c r="I278" s="113"/>
      <c r="J278" s="113"/>
      <c r="K278" s="113"/>
      <c r="L278" s="113"/>
      <c r="M278" s="113"/>
      <c r="N278" s="113"/>
      <c r="O278" s="124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</row>
    <row x14ac:dyDescent="0.25" r="279" customHeight="1" ht="15.75">
      <c r="A279" s="123"/>
      <c r="B279" s="123"/>
      <c r="C279" s="124"/>
      <c r="D279" s="124"/>
      <c r="E279" s="124"/>
      <c r="F279" s="113"/>
      <c r="G279" s="113"/>
      <c r="H279" s="113"/>
      <c r="I279" s="113"/>
      <c r="J279" s="113"/>
      <c r="K279" s="113"/>
      <c r="L279" s="113"/>
      <c r="M279" s="113"/>
      <c r="N279" s="113"/>
      <c r="O279" s="124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</row>
    <row x14ac:dyDescent="0.25" r="280" customHeight="1" ht="15.75">
      <c r="A280" s="123"/>
      <c r="B280" s="123"/>
      <c r="C280" s="124"/>
      <c r="D280" s="124"/>
      <c r="E280" s="124"/>
      <c r="F280" s="113"/>
      <c r="G280" s="113"/>
      <c r="H280" s="113"/>
      <c r="I280" s="113"/>
      <c r="J280" s="113"/>
      <c r="K280" s="113"/>
      <c r="L280" s="113"/>
      <c r="M280" s="113"/>
      <c r="N280" s="113"/>
      <c r="O280" s="124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</row>
    <row x14ac:dyDescent="0.25" r="281" customHeight="1" ht="15.75">
      <c r="A281" s="123"/>
      <c r="B281" s="123"/>
      <c r="C281" s="124"/>
      <c r="D281" s="124"/>
      <c r="E281" s="124"/>
      <c r="F281" s="113"/>
      <c r="G281" s="113"/>
      <c r="H281" s="113"/>
      <c r="I281" s="113"/>
      <c r="J281" s="113"/>
      <c r="K281" s="113"/>
      <c r="L281" s="113"/>
      <c r="M281" s="113"/>
      <c r="N281" s="113"/>
      <c r="O281" s="124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</row>
    <row x14ac:dyDescent="0.25" r="282" customHeight="1" ht="15.75">
      <c r="A282" s="123"/>
      <c r="B282" s="123"/>
      <c r="C282" s="124"/>
      <c r="D282" s="124"/>
      <c r="E282" s="124"/>
      <c r="F282" s="113"/>
      <c r="G282" s="113"/>
      <c r="H282" s="113"/>
      <c r="I282" s="113"/>
      <c r="J282" s="113"/>
      <c r="K282" s="113"/>
      <c r="L282" s="113"/>
      <c r="M282" s="113"/>
      <c r="N282" s="113"/>
      <c r="O282" s="124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</row>
    <row x14ac:dyDescent="0.25" r="283" customHeight="1" ht="15.75">
      <c r="A283" s="123"/>
      <c r="B283" s="123"/>
      <c r="C283" s="124"/>
      <c r="D283" s="124"/>
      <c r="E283" s="124"/>
      <c r="F283" s="113"/>
      <c r="G283" s="113"/>
      <c r="H283" s="113"/>
      <c r="I283" s="113"/>
      <c r="J283" s="113"/>
      <c r="K283" s="113"/>
      <c r="L283" s="113"/>
      <c r="M283" s="113"/>
      <c r="N283" s="113"/>
      <c r="O283" s="124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</row>
    <row x14ac:dyDescent="0.25" r="284" customHeight="1" ht="15.75">
      <c r="A284" s="123"/>
      <c r="B284" s="123"/>
      <c r="C284" s="124"/>
      <c r="D284" s="124"/>
      <c r="E284" s="124"/>
      <c r="F284" s="113"/>
      <c r="G284" s="113"/>
      <c r="H284" s="113"/>
      <c r="I284" s="113"/>
      <c r="J284" s="113"/>
      <c r="K284" s="113"/>
      <c r="L284" s="113"/>
      <c r="M284" s="113"/>
      <c r="N284" s="113"/>
      <c r="O284" s="124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</row>
    <row x14ac:dyDescent="0.25" r="285" customHeight="1" ht="15.75">
      <c r="A285" s="123"/>
      <c r="B285" s="123"/>
      <c r="C285" s="124"/>
      <c r="D285" s="124"/>
      <c r="E285" s="124"/>
      <c r="F285" s="113"/>
      <c r="G285" s="113"/>
      <c r="H285" s="113"/>
      <c r="I285" s="113"/>
      <c r="J285" s="113"/>
      <c r="K285" s="113"/>
      <c r="L285" s="113"/>
      <c r="M285" s="113"/>
      <c r="N285" s="113"/>
      <c r="O285" s="124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</row>
    <row x14ac:dyDescent="0.25" r="286" customHeight="1" ht="15.75">
      <c r="A286" s="123"/>
      <c r="B286" s="123"/>
      <c r="C286" s="124"/>
      <c r="D286" s="124"/>
      <c r="E286" s="124"/>
      <c r="F286" s="113"/>
      <c r="G286" s="113"/>
      <c r="H286" s="113"/>
      <c r="I286" s="113"/>
      <c r="J286" s="113"/>
      <c r="K286" s="113"/>
      <c r="L286" s="113"/>
      <c r="M286" s="113"/>
      <c r="N286" s="113"/>
      <c r="O286" s="124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</row>
    <row x14ac:dyDescent="0.25" r="287" customHeight="1" ht="15.75">
      <c r="A287" s="123"/>
      <c r="B287" s="123"/>
      <c r="C287" s="124"/>
      <c r="D287" s="124"/>
      <c r="E287" s="124"/>
      <c r="F287" s="113"/>
      <c r="G287" s="113"/>
      <c r="H287" s="113"/>
      <c r="I287" s="113"/>
      <c r="J287" s="113"/>
      <c r="K287" s="113"/>
      <c r="L287" s="113"/>
      <c r="M287" s="113"/>
      <c r="N287" s="113"/>
      <c r="O287" s="124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</row>
    <row x14ac:dyDescent="0.25" r="288" customHeight="1" ht="15.75">
      <c r="A288" s="123"/>
      <c r="B288" s="123"/>
      <c r="C288" s="124"/>
      <c r="D288" s="124"/>
      <c r="E288" s="124"/>
      <c r="F288" s="113"/>
      <c r="G288" s="113"/>
      <c r="H288" s="113"/>
      <c r="I288" s="113"/>
      <c r="J288" s="113"/>
      <c r="K288" s="113"/>
      <c r="L288" s="113"/>
      <c r="M288" s="113"/>
      <c r="N288" s="113"/>
      <c r="O288" s="124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</row>
    <row x14ac:dyDescent="0.25" r="289" customHeight="1" ht="15.75">
      <c r="A289" s="123"/>
      <c r="B289" s="123"/>
      <c r="C289" s="124"/>
      <c r="D289" s="124"/>
      <c r="E289" s="124"/>
      <c r="F289" s="113"/>
      <c r="G289" s="113"/>
      <c r="H289" s="113"/>
      <c r="I289" s="113"/>
      <c r="J289" s="113"/>
      <c r="K289" s="113"/>
      <c r="L289" s="113"/>
      <c r="M289" s="113"/>
      <c r="N289" s="113"/>
      <c r="O289" s="124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</row>
    <row x14ac:dyDescent="0.25" r="290" customHeight="1" ht="15.75">
      <c r="A290" s="123"/>
      <c r="B290" s="123"/>
      <c r="C290" s="124"/>
      <c r="D290" s="124"/>
      <c r="E290" s="124"/>
      <c r="F290" s="113"/>
      <c r="G290" s="113"/>
      <c r="H290" s="113"/>
      <c r="I290" s="113"/>
      <c r="J290" s="113"/>
      <c r="K290" s="113"/>
      <c r="L290" s="113"/>
      <c r="M290" s="113"/>
      <c r="N290" s="113"/>
      <c r="O290" s="124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</row>
    <row x14ac:dyDescent="0.25" r="291" customHeight="1" ht="15.75">
      <c r="A291" s="123"/>
      <c r="B291" s="123"/>
      <c r="C291" s="124"/>
      <c r="D291" s="124"/>
      <c r="E291" s="124"/>
      <c r="F291" s="113"/>
      <c r="G291" s="113"/>
      <c r="H291" s="113"/>
      <c r="I291" s="113"/>
      <c r="J291" s="113"/>
      <c r="K291" s="113"/>
      <c r="L291" s="113"/>
      <c r="M291" s="113"/>
      <c r="N291" s="113"/>
      <c r="O291" s="124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</row>
    <row x14ac:dyDescent="0.25" r="292" customHeight="1" ht="15.75">
      <c r="A292" s="123"/>
      <c r="B292" s="123"/>
      <c r="C292" s="124"/>
      <c r="D292" s="124"/>
      <c r="E292" s="124"/>
      <c r="F292" s="113"/>
      <c r="G292" s="113"/>
      <c r="H292" s="113"/>
      <c r="I292" s="113"/>
      <c r="J292" s="113"/>
      <c r="K292" s="113"/>
      <c r="L292" s="113"/>
      <c r="M292" s="113"/>
      <c r="N292" s="113"/>
      <c r="O292" s="124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</row>
    <row x14ac:dyDescent="0.25" r="293" customHeight="1" ht="15.75">
      <c r="A293" s="123"/>
      <c r="B293" s="123"/>
      <c r="C293" s="124"/>
      <c r="D293" s="124"/>
      <c r="E293" s="124"/>
      <c r="F293" s="113"/>
      <c r="G293" s="113"/>
      <c r="H293" s="113"/>
      <c r="I293" s="113"/>
      <c r="J293" s="113"/>
      <c r="K293" s="113"/>
      <c r="L293" s="113"/>
      <c r="M293" s="113"/>
      <c r="N293" s="113"/>
      <c r="O293" s="124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</row>
    <row x14ac:dyDescent="0.25" r="294" customHeight="1" ht="15.75">
      <c r="A294" s="123"/>
      <c r="B294" s="123"/>
      <c r="C294" s="124"/>
      <c r="D294" s="124"/>
      <c r="E294" s="124"/>
      <c r="F294" s="113"/>
      <c r="G294" s="113"/>
      <c r="H294" s="113"/>
      <c r="I294" s="113"/>
      <c r="J294" s="113"/>
      <c r="K294" s="113"/>
      <c r="L294" s="113"/>
      <c r="M294" s="113"/>
      <c r="N294" s="113"/>
      <c r="O294" s="124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</row>
    <row x14ac:dyDescent="0.25" r="295" customHeight="1" ht="15.75">
      <c r="A295" s="123"/>
      <c r="B295" s="123"/>
      <c r="C295" s="124"/>
      <c r="D295" s="124"/>
      <c r="E295" s="124"/>
      <c r="F295" s="113"/>
      <c r="G295" s="113"/>
      <c r="H295" s="113"/>
      <c r="I295" s="113"/>
      <c r="J295" s="113"/>
      <c r="K295" s="113"/>
      <c r="L295" s="113"/>
      <c r="M295" s="113"/>
      <c r="N295" s="113"/>
      <c r="O295" s="124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</row>
    <row x14ac:dyDescent="0.25" r="296" customHeight="1" ht="15.75">
      <c r="A296" s="123"/>
      <c r="B296" s="123"/>
      <c r="C296" s="124"/>
      <c r="D296" s="124"/>
      <c r="E296" s="124"/>
      <c r="F296" s="113"/>
      <c r="G296" s="113"/>
      <c r="H296" s="113"/>
      <c r="I296" s="113"/>
      <c r="J296" s="113"/>
      <c r="K296" s="113"/>
      <c r="L296" s="113"/>
      <c r="M296" s="113"/>
      <c r="N296" s="113"/>
      <c r="O296" s="124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</row>
    <row x14ac:dyDescent="0.25" r="297" customHeight="1" ht="15.75">
      <c r="A297" s="123"/>
      <c r="B297" s="123"/>
      <c r="C297" s="124"/>
      <c r="D297" s="124"/>
      <c r="E297" s="124"/>
      <c r="F297" s="113"/>
      <c r="G297" s="113"/>
      <c r="H297" s="113"/>
      <c r="I297" s="113"/>
      <c r="J297" s="113"/>
      <c r="K297" s="113"/>
      <c r="L297" s="113"/>
      <c r="M297" s="113"/>
      <c r="N297" s="113"/>
      <c r="O297" s="124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</row>
    <row x14ac:dyDescent="0.25" r="298" customHeight="1" ht="15.75">
      <c r="A298" s="123"/>
      <c r="B298" s="123"/>
      <c r="C298" s="124"/>
      <c r="D298" s="124"/>
      <c r="E298" s="124"/>
      <c r="F298" s="113"/>
      <c r="G298" s="113"/>
      <c r="H298" s="113"/>
      <c r="I298" s="113"/>
      <c r="J298" s="113"/>
      <c r="K298" s="113"/>
      <c r="L298" s="113"/>
      <c r="M298" s="113"/>
      <c r="N298" s="113"/>
      <c r="O298" s="124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</row>
    <row x14ac:dyDescent="0.25" r="299" customHeight="1" ht="15.75">
      <c r="A299" s="123"/>
      <c r="B299" s="123"/>
      <c r="C299" s="124"/>
      <c r="D299" s="124"/>
      <c r="E299" s="124"/>
      <c r="F299" s="113"/>
      <c r="G299" s="113"/>
      <c r="H299" s="113"/>
      <c r="I299" s="113"/>
      <c r="J299" s="113"/>
      <c r="K299" s="113"/>
      <c r="L299" s="113"/>
      <c r="M299" s="113"/>
      <c r="N299" s="113"/>
      <c r="O299" s="124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</row>
    <row x14ac:dyDescent="0.25" r="300" customHeight="1" ht="15.75">
      <c r="A300" s="123"/>
      <c r="B300" s="123"/>
      <c r="C300" s="124"/>
      <c r="D300" s="124"/>
      <c r="E300" s="124"/>
      <c r="F300" s="113"/>
      <c r="G300" s="113"/>
      <c r="H300" s="113"/>
      <c r="I300" s="113"/>
      <c r="J300" s="113"/>
      <c r="K300" s="113"/>
      <c r="L300" s="113"/>
      <c r="M300" s="113"/>
      <c r="N300" s="113"/>
      <c r="O300" s="124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</row>
    <row x14ac:dyDescent="0.25" r="301" customHeight="1" ht="15.75">
      <c r="A301" s="123"/>
      <c r="B301" s="123"/>
      <c r="C301" s="124"/>
      <c r="D301" s="124"/>
      <c r="E301" s="124"/>
      <c r="F301" s="113"/>
      <c r="G301" s="113"/>
      <c r="H301" s="113"/>
      <c r="I301" s="113"/>
      <c r="J301" s="113"/>
      <c r="K301" s="113"/>
      <c r="L301" s="113"/>
      <c r="M301" s="113"/>
      <c r="N301" s="113"/>
      <c r="O301" s="124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</row>
    <row x14ac:dyDescent="0.25" r="302" customHeight="1" ht="15.75">
      <c r="A302" s="123"/>
      <c r="B302" s="123"/>
      <c r="C302" s="124"/>
      <c r="D302" s="124"/>
      <c r="E302" s="124"/>
      <c r="F302" s="113"/>
      <c r="G302" s="113"/>
      <c r="H302" s="113"/>
      <c r="I302" s="113"/>
      <c r="J302" s="113"/>
      <c r="K302" s="113"/>
      <c r="L302" s="113"/>
      <c r="M302" s="113"/>
      <c r="N302" s="113"/>
      <c r="O302" s="124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</row>
    <row x14ac:dyDescent="0.25" r="303" customHeight="1" ht="15.75">
      <c r="A303" s="123"/>
      <c r="B303" s="123"/>
      <c r="C303" s="124"/>
      <c r="D303" s="124"/>
      <c r="E303" s="124"/>
      <c r="F303" s="113"/>
      <c r="G303" s="113"/>
      <c r="H303" s="113"/>
      <c r="I303" s="113"/>
      <c r="J303" s="113"/>
      <c r="K303" s="113"/>
      <c r="L303" s="113"/>
      <c r="M303" s="113"/>
      <c r="N303" s="113"/>
      <c r="O303" s="124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</row>
    <row x14ac:dyDescent="0.25" r="304" customHeight="1" ht="15.75">
      <c r="A304" s="123"/>
      <c r="B304" s="123"/>
      <c r="C304" s="124"/>
      <c r="D304" s="124"/>
      <c r="E304" s="124"/>
      <c r="F304" s="113"/>
      <c r="G304" s="113"/>
      <c r="H304" s="113"/>
      <c r="I304" s="113"/>
      <c r="J304" s="113"/>
      <c r="K304" s="113"/>
      <c r="L304" s="113"/>
      <c r="M304" s="113"/>
      <c r="N304" s="113"/>
      <c r="O304" s="124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</row>
    <row x14ac:dyDescent="0.25" r="305" customHeight="1" ht="15.75">
      <c r="A305" s="123"/>
      <c r="B305" s="123"/>
      <c r="C305" s="124"/>
      <c r="D305" s="124"/>
      <c r="E305" s="124"/>
      <c r="F305" s="113"/>
      <c r="G305" s="113"/>
      <c r="H305" s="113"/>
      <c r="I305" s="113"/>
      <c r="J305" s="113"/>
      <c r="K305" s="113"/>
      <c r="L305" s="113"/>
      <c r="M305" s="113"/>
      <c r="N305" s="113"/>
      <c r="O305" s="124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</row>
    <row x14ac:dyDescent="0.25" r="306" customHeight="1" ht="15.75">
      <c r="A306" s="123"/>
      <c r="B306" s="123"/>
      <c r="C306" s="124"/>
      <c r="D306" s="124"/>
      <c r="E306" s="124"/>
      <c r="F306" s="113"/>
      <c r="G306" s="113"/>
      <c r="H306" s="113"/>
      <c r="I306" s="113"/>
      <c r="J306" s="113"/>
      <c r="K306" s="113"/>
      <c r="L306" s="113"/>
      <c r="M306" s="113"/>
      <c r="N306" s="113"/>
      <c r="O306" s="124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</row>
    <row x14ac:dyDescent="0.25" r="307" customHeight="1" ht="15.75">
      <c r="A307" s="123"/>
      <c r="B307" s="123"/>
      <c r="C307" s="124"/>
      <c r="D307" s="124"/>
      <c r="E307" s="124"/>
      <c r="F307" s="113"/>
      <c r="G307" s="113"/>
      <c r="H307" s="113"/>
      <c r="I307" s="113"/>
      <c r="J307" s="113"/>
      <c r="K307" s="113"/>
      <c r="L307" s="113"/>
      <c r="M307" s="113"/>
      <c r="N307" s="113"/>
      <c r="O307" s="124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</row>
    <row x14ac:dyDescent="0.25" r="308" customHeight="1" ht="15.75">
      <c r="A308" s="123"/>
      <c r="B308" s="123"/>
      <c r="C308" s="124"/>
      <c r="D308" s="124"/>
      <c r="E308" s="124"/>
      <c r="F308" s="113"/>
      <c r="G308" s="113"/>
      <c r="H308" s="113"/>
      <c r="I308" s="113"/>
      <c r="J308" s="113"/>
      <c r="K308" s="113"/>
      <c r="L308" s="113"/>
      <c r="M308" s="113"/>
      <c r="N308" s="113"/>
      <c r="O308" s="124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</row>
    <row x14ac:dyDescent="0.25" r="309" customHeight="1" ht="15.75">
      <c r="A309" s="123"/>
      <c r="B309" s="123"/>
      <c r="C309" s="124"/>
      <c r="D309" s="124"/>
      <c r="E309" s="124"/>
      <c r="F309" s="113"/>
      <c r="G309" s="113"/>
      <c r="H309" s="113"/>
      <c r="I309" s="113"/>
      <c r="J309" s="113"/>
      <c r="K309" s="113"/>
      <c r="L309" s="113"/>
      <c r="M309" s="113"/>
      <c r="N309" s="113"/>
      <c r="O309" s="124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</row>
    <row x14ac:dyDescent="0.25" r="310" customHeight="1" ht="15.75">
      <c r="A310" s="123"/>
      <c r="B310" s="123"/>
      <c r="C310" s="124"/>
      <c r="D310" s="124"/>
      <c r="E310" s="124"/>
      <c r="F310" s="113"/>
      <c r="G310" s="113"/>
      <c r="H310" s="113"/>
      <c r="I310" s="113"/>
      <c r="J310" s="113"/>
      <c r="K310" s="113"/>
      <c r="L310" s="113"/>
      <c r="M310" s="113"/>
      <c r="N310" s="113"/>
      <c r="O310" s="124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</row>
    <row x14ac:dyDescent="0.25" r="311" customHeight="1" ht="15.75">
      <c r="A311" s="123"/>
      <c r="B311" s="123"/>
      <c r="C311" s="124"/>
      <c r="D311" s="124"/>
      <c r="E311" s="124"/>
      <c r="F311" s="113"/>
      <c r="G311" s="113"/>
      <c r="H311" s="113"/>
      <c r="I311" s="113"/>
      <c r="J311" s="113"/>
      <c r="K311" s="113"/>
      <c r="L311" s="113"/>
      <c r="M311" s="113"/>
      <c r="N311" s="113"/>
      <c r="O311" s="124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</row>
    <row x14ac:dyDescent="0.25" r="312" customHeight="1" ht="15.75">
      <c r="A312" s="123"/>
      <c r="B312" s="123"/>
      <c r="C312" s="124"/>
      <c r="D312" s="124"/>
      <c r="E312" s="124"/>
      <c r="F312" s="113"/>
      <c r="G312" s="113"/>
      <c r="H312" s="113"/>
      <c r="I312" s="113"/>
      <c r="J312" s="113"/>
      <c r="K312" s="113"/>
      <c r="L312" s="113"/>
      <c r="M312" s="113"/>
      <c r="N312" s="113"/>
      <c r="O312" s="124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</row>
    <row x14ac:dyDescent="0.25" r="313" customHeight="1" ht="15.75">
      <c r="A313" s="123"/>
      <c r="B313" s="123"/>
      <c r="C313" s="124"/>
      <c r="D313" s="124"/>
      <c r="E313" s="124"/>
      <c r="F313" s="113"/>
      <c r="G313" s="113"/>
      <c r="H313" s="113"/>
      <c r="I313" s="113"/>
      <c r="J313" s="113"/>
      <c r="K313" s="113"/>
      <c r="L313" s="113"/>
      <c r="M313" s="113"/>
      <c r="N313" s="113"/>
      <c r="O313" s="124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</row>
    <row x14ac:dyDescent="0.25" r="314" customHeight="1" ht="15.75">
      <c r="A314" s="123"/>
      <c r="B314" s="123"/>
      <c r="C314" s="124"/>
      <c r="D314" s="124"/>
      <c r="E314" s="124"/>
      <c r="F314" s="113"/>
      <c r="G314" s="113"/>
      <c r="H314" s="113"/>
      <c r="I314" s="113"/>
      <c r="J314" s="113"/>
      <c r="K314" s="113"/>
      <c r="L314" s="113"/>
      <c r="M314" s="113"/>
      <c r="N314" s="113"/>
      <c r="O314" s="124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</row>
    <row x14ac:dyDescent="0.25" r="315" customHeight="1" ht="15.75">
      <c r="A315" s="123"/>
      <c r="B315" s="123"/>
      <c r="C315" s="124"/>
      <c r="D315" s="124"/>
      <c r="E315" s="124"/>
      <c r="F315" s="113"/>
      <c r="G315" s="113"/>
      <c r="H315" s="113"/>
      <c r="I315" s="113"/>
      <c r="J315" s="113"/>
      <c r="K315" s="113"/>
      <c r="L315" s="113"/>
      <c r="M315" s="113"/>
      <c r="N315" s="113"/>
      <c r="O315" s="124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</row>
    <row x14ac:dyDescent="0.25" r="316" customHeight="1" ht="15.75">
      <c r="A316" s="123"/>
      <c r="B316" s="123"/>
      <c r="C316" s="124"/>
      <c r="D316" s="124"/>
      <c r="E316" s="124"/>
      <c r="F316" s="113"/>
      <c r="G316" s="113"/>
      <c r="H316" s="113"/>
      <c r="I316" s="113"/>
      <c r="J316" s="113"/>
      <c r="K316" s="113"/>
      <c r="L316" s="113"/>
      <c r="M316" s="113"/>
      <c r="N316" s="113"/>
      <c r="O316" s="124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</row>
    <row x14ac:dyDescent="0.25" r="317" customHeight="1" ht="15.75">
      <c r="A317" s="123"/>
      <c r="B317" s="123"/>
      <c r="C317" s="124"/>
      <c r="D317" s="124"/>
      <c r="E317" s="124"/>
      <c r="F317" s="113"/>
      <c r="G317" s="113"/>
      <c r="H317" s="113"/>
      <c r="I317" s="113"/>
      <c r="J317" s="113"/>
      <c r="K317" s="113"/>
      <c r="L317" s="113"/>
      <c r="M317" s="113"/>
      <c r="N317" s="113"/>
      <c r="O317" s="124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</row>
    <row x14ac:dyDescent="0.25" r="318" customHeight="1" ht="15.75">
      <c r="A318" s="123"/>
      <c r="B318" s="123"/>
      <c r="C318" s="124"/>
      <c r="D318" s="124"/>
      <c r="E318" s="124"/>
      <c r="F318" s="113"/>
      <c r="G318" s="113"/>
      <c r="H318" s="113"/>
      <c r="I318" s="113"/>
      <c r="J318" s="113"/>
      <c r="K318" s="113"/>
      <c r="L318" s="113"/>
      <c r="M318" s="113"/>
      <c r="N318" s="113"/>
      <c r="O318" s="124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</row>
    <row x14ac:dyDescent="0.25" r="319" customHeight="1" ht="15.75">
      <c r="A319" s="123"/>
      <c r="B319" s="123"/>
      <c r="C319" s="124"/>
      <c r="D319" s="124"/>
      <c r="E319" s="124"/>
      <c r="F319" s="113"/>
      <c r="G319" s="113"/>
      <c r="H319" s="113"/>
      <c r="I319" s="113"/>
      <c r="J319" s="113"/>
      <c r="K319" s="113"/>
      <c r="L319" s="113"/>
      <c r="M319" s="113"/>
      <c r="N319" s="113"/>
      <c r="O319" s="124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</row>
    <row x14ac:dyDescent="0.25" r="320" customHeight="1" ht="15.75">
      <c r="A320" s="123"/>
      <c r="B320" s="123"/>
      <c r="C320" s="124"/>
      <c r="D320" s="124"/>
      <c r="E320" s="124"/>
      <c r="F320" s="113"/>
      <c r="G320" s="113"/>
      <c r="H320" s="113"/>
      <c r="I320" s="113"/>
      <c r="J320" s="113"/>
      <c r="K320" s="113"/>
      <c r="L320" s="113"/>
      <c r="M320" s="113"/>
      <c r="N320" s="113"/>
      <c r="O320" s="124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</row>
    <row x14ac:dyDescent="0.25" r="321" customHeight="1" ht="15.75">
      <c r="A321" s="123"/>
      <c r="B321" s="123"/>
      <c r="C321" s="124"/>
      <c r="D321" s="124"/>
      <c r="E321" s="124"/>
      <c r="F321" s="113"/>
      <c r="G321" s="113"/>
      <c r="H321" s="113"/>
      <c r="I321" s="113"/>
      <c r="J321" s="113"/>
      <c r="K321" s="113"/>
      <c r="L321" s="113"/>
      <c r="M321" s="113"/>
      <c r="N321" s="113"/>
      <c r="O321" s="124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</row>
    <row x14ac:dyDescent="0.25" r="322" customHeight="1" ht="15.75">
      <c r="A322" s="123"/>
      <c r="B322" s="123"/>
      <c r="C322" s="124"/>
      <c r="D322" s="124"/>
      <c r="E322" s="124"/>
      <c r="F322" s="113"/>
      <c r="G322" s="113"/>
      <c r="H322" s="113"/>
      <c r="I322" s="113"/>
      <c r="J322" s="113"/>
      <c r="K322" s="113"/>
      <c r="L322" s="113"/>
      <c r="M322" s="113"/>
      <c r="N322" s="113"/>
      <c r="O322" s="124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</row>
    <row x14ac:dyDescent="0.25" r="323" customHeight="1" ht="15.75">
      <c r="A323" s="123"/>
      <c r="B323" s="123"/>
      <c r="C323" s="124"/>
      <c r="D323" s="124"/>
      <c r="E323" s="124"/>
      <c r="F323" s="113"/>
      <c r="G323" s="113"/>
      <c r="H323" s="113"/>
      <c r="I323" s="113"/>
      <c r="J323" s="113"/>
      <c r="K323" s="113"/>
      <c r="L323" s="113"/>
      <c r="M323" s="113"/>
      <c r="N323" s="113"/>
      <c r="O323" s="124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</row>
    <row x14ac:dyDescent="0.25" r="324" customHeight="1" ht="15.75">
      <c r="A324" s="123"/>
      <c r="B324" s="123"/>
      <c r="C324" s="124"/>
      <c r="D324" s="124"/>
      <c r="E324" s="124"/>
      <c r="F324" s="113"/>
      <c r="G324" s="113"/>
      <c r="H324" s="113"/>
      <c r="I324" s="113"/>
      <c r="J324" s="113"/>
      <c r="K324" s="113"/>
      <c r="L324" s="113"/>
      <c r="M324" s="113"/>
      <c r="N324" s="113"/>
      <c r="O324" s="124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</row>
    <row x14ac:dyDescent="0.25" r="325" customHeight="1" ht="15.75">
      <c r="A325" s="123"/>
      <c r="B325" s="123"/>
      <c r="C325" s="124"/>
      <c r="D325" s="124"/>
      <c r="E325" s="124"/>
      <c r="F325" s="113"/>
      <c r="G325" s="113"/>
      <c r="H325" s="113"/>
      <c r="I325" s="113"/>
      <c r="J325" s="113"/>
      <c r="K325" s="113"/>
      <c r="L325" s="113"/>
      <c r="M325" s="113"/>
      <c r="N325" s="113"/>
      <c r="O325" s="124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</row>
    <row x14ac:dyDescent="0.25" r="326" customHeight="1" ht="15.75">
      <c r="A326" s="123"/>
      <c r="B326" s="123"/>
      <c r="C326" s="124"/>
      <c r="D326" s="124"/>
      <c r="E326" s="124"/>
      <c r="F326" s="113"/>
      <c r="G326" s="113"/>
      <c r="H326" s="113"/>
      <c r="I326" s="113"/>
      <c r="J326" s="113"/>
      <c r="K326" s="113"/>
      <c r="L326" s="113"/>
      <c r="M326" s="113"/>
      <c r="N326" s="113"/>
      <c r="O326" s="124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</row>
    <row x14ac:dyDescent="0.25" r="327" customHeight="1" ht="15.75">
      <c r="A327" s="123"/>
      <c r="B327" s="123"/>
      <c r="C327" s="124"/>
      <c r="D327" s="124"/>
      <c r="E327" s="124"/>
      <c r="F327" s="113"/>
      <c r="G327" s="113"/>
      <c r="H327" s="113"/>
      <c r="I327" s="113"/>
      <c r="J327" s="113"/>
      <c r="K327" s="113"/>
      <c r="L327" s="113"/>
      <c r="M327" s="113"/>
      <c r="N327" s="113"/>
      <c r="O327" s="124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</row>
    <row x14ac:dyDescent="0.25" r="328" customHeight="1" ht="15.75">
      <c r="A328" s="123"/>
      <c r="B328" s="123"/>
      <c r="C328" s="124"/>
      <c r="D328" s="124"/>
      <c r="E328" s="124"/>
      <c r="F328" s="113"/>
      <c r="G328" s="113"/>
      <c r="H328" s="113"/>
      <c r="I328" s="113"/>
      <c r="J328" s="113"/>
      <c r="K328" s="113"/>
      <c r="L328" s="113"/>
      <c r="M328" s="113"/>
      <c r="N328" s="113"/>
      <c r="O328" s="124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</row>
    <row x14ac:dyDescent="0.25" r="329" customHeight="1" ht="15.75">
      <c r="A329" s="123"/>
      <c r="B329" s="123"/>
      <c r="C329" s="124"/>
      <c r="D329" s="124"/>
      <c r="E329" s="124"/>
      <c r="F329" s="113"/>
      <c r="G329" s="113"/>
      <c r="H329" s="113"/>
      <c r="I329" s="113"/>
      <c r="J329" s="113"/>
      <c r="K329" s="113"/>
      <c r="L329" s="113"/>
      <c r="M329" s="113"/>
      <c r="N329" s="113"/>
      <c r="O329" s="124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</row>
    <row x14ac:dyDescent="0.25" r="330" customHeight="1" ht="15.75">
      <c r="A330" s="123"/>
      <c r="B330" s="123"/>
      <c r="C330" s="124"/>
      <c r="D330" s="124"/>
      <c r="E330" s="124"/>
      <c r="F330" s="113"/>
      <c r="G330" s="113"/>
      <c r="H330" s="113"/>
      <c r="I330" s="113"/>
      <c r="J330" s="113"/>
      <c r="K330" s="113"/>
      <c r="L330" s="113"/>
      <c r="M330" s="113"/>
      <c r="N330" s="113"/>
      <c r="O330" s="124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</row>
    <row x14ac:dyDescent="0.25" r="331" customHeight="1" ht="15.75">
      <c r="A331" s="123"/>
      <c r="B331" s="123"/>
      <c r="C331" s="124"/>
      <c r="D331" s="124"/>
      <c r="E331" s="124"/>
      <c r="F331" s="113"/>
      <c r="G331" s="113"/>
      <c r="H331" s="113"/>
      <c r="I331" s="113"/>
      <c r="J331" s="113"/>
      <c r="K331" s="113"/>
      <c r="L331" s="113"/>
      <c r="M331" s="113"/>
      <c r="N331" s="113"/>
      <c r="O331" s="124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</row>
    <row x14ac:dyDescent="0.25" r="332" customHeight="1" ht="15.75">
      <c r="A332" s="123"/>
      <c r="B332" s="123"/>
      <c r="C332" s="124"/>
      <c r="D332" s="124"/>
      <c r="E332" s="124"/>
      <c r="F332" s="113"/>
      <c r="G332" s="113"/>
      <c r="H332" s="113"/>
      <c r="I332" s="113"/>
      <c r="J332" s="113"/>
      <c r="K332" s="113"/>
      <c r="L332" s="113"/>
      <c r="M332" s="113"/>
      <c r="N332" s="113"/>
      <c r="O332" s="124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</row>
    <row x14ac:dyDescent="0.25" r="333" customHeight="1" ht="15.75">
      <c r="A333" s="123"/>
      <c r="B333" s="123"/>
      <c r="C333" s="124"/>
      <c r="D333" s="124"/>
      <c r="E333" s="124"/>
      <c r="F333" s="113"/>
      <c r="G333" s="113"/>
      <c r="H333" s="113"/>
      <c r="I333" s="113"/>
      <c r="J333" s="113"/>
      <c r="K333" s="113"/>
      <c r="L333" s="113"/>
      <c r="M333" s="113"/>
      <c r="N333" s="113"/>
      <c r="O333" s="124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</row>
    <row x14ac:dyDescent="0.25" r="334" customHeight="1" ht="15.75">
      <c r="A334" s="123"/>
      <c r="B334" s="123"/>
      <c r="C334" s="124"/>
      <c r="D334" s="124"/>
      <c r="E334" s="124"/>
      <c r="F334" s="113"/>
      <c r="G334" s="113"/>
      <c r="H334" s="113"/>
      <c r="I334" s="113"/>
      <c r="J334" s="113"/>
      <c r="K334" s="113"/>
      <c r="L334" s="113"/>
      <c r="M334" s="113"/>
      <c r="N334" s="113"/>
      <c r="O334" s="124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</row>
    <row x14ac:dyDescent="0.25" r="335" customHeight="1" ht="15.75">
      <c r="A335" s="123"/>
      <c r="B335" s="123"/>
      <c r="C335" s="124"/>
      <c r="D335" s="124"/>
      <c r="E335" s="124"/>
      <c r="F335" s="113"/>
      <c r="G335" s="113"/>
      <c r="H335" s="113"/>
      <c r="I335" s="113"/>
      <c r="J335" s="113"/>
      <c r="K335" s="113"/>
      <c r="L335" s="113"/>
      <c r="M335" s="113"/>
      <c r="N335" s="113"/>
      <c r="O335" s="124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</row>
    <row x14ac:dyDescent="0.25" r="336" customHeight="1" ht="15.75">
      <c r="A336" s="123"/>
      <c r="B336" s="123"/>
      <c r="C336" s="124"/>
      <c r="D336" s="124"/>
      <c r="E336" s="124"/>
      <c r="F336" s="113"/>
      <c r="G336" s="113"/>
      <c r="H336" s="113"/>
      <c r="I336" s="113"/>
      <c r="J336" s="113"/>
      <c r="K336" s="113"/>
      <c r="L336" s="113"/>
      <c r="M336" s="113"/>
      <c r="N336" s="113"/>
      <c r="O336" s="124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</row>
    <row x14ac:dyDescent="0.25" r="337" customHeight="1" ht="15.75">
      <c r="A337" s="123"/>
      <c r="B337" s="123"/>
      <c r="C337" s="124"/>
      <c r="D337" s="124"/>
      <c r="E337" s="124"/>
      <c r="F337" s="113"/>
      <c r="G337" s="113"/>
      <c r="H337" s="113"/>
      <c r="I337" s="113"/>
      <c r="J337" s="113"/>
      <c r="K337" s="113"/>
      <c r="L337" s="113"/>
      <c r="M337" s="113"/>
      <c r="N337" s="113"/>
      <c r="O337" s="124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</row>
    <row x14ac:dyDescent="0.25" r="338" customHeight="1" ht="15.75">
      <c r="A338" s="123"/>
      <c r="B338" s="123"/>
      <c r="C338" s="124"/>
      <c r="D338" s="124"/>
      <c r="E338" s="124"/>
      <c r="F338" s="113"/>
      <c r="G338" s="113"/>
      <c r="H338" s="113"/>
      <c r="I338" s="113"/>
      <c r="J338" s="113"/>
      <c r="K338" s="113"/>
      <c r="L338" s="113"/>
      <c r="M338" s="113"/>
      <c r="N338" s="113"/>
      <c r="O338" s="124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</row>
    <row x14ac:dyDescent="0.25" r="339" customHeight="1" ht="15.75">
      <c r="A339" s="123"/>
      <c r="B339" s="123"/>
      <c r="C339" s="124"/>
      <c r="D339" s="124"/>
      <c r="E339" s="124"/>
      <c r="F339" s="113"/>
      <c r="G339" s="113"/>
      <c r="H339" s="113"/>
      <c r="I339" s="113"/>
      <c r="J339" s="113"/>
      <c r="K339" s="113"/>
      <c r="L339" s="113"/>
      <c r="M339" s="113"/>
      <c r="N339" s="113"/>
      <c r="O339" s="124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</row>
    <row x14ac:dyDescent="0.25" r="340" customHeight="1" ht="15.75">
      <c r="A340" s="123"/>
      <c r="B340" s="123"/>
      <c r="C340" s="124"/>
      <c r="D340" s="124"/>
      <c r="E340" s="124"/>
      <c r="F340" s="113"/>
      <c r="G340" s="113"/>
      <c r="H340" s="113"/>
      <c r="I340" s="113"/>
      <c r="J340" s="113"/>
      <c r="K340" s="113"/>
      <c r="L340" s="113"/>
      <c r="M340" s="113"/>
      <c r="N340" s="113"/>
      <c r="O340" s="124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</row>
    <row x14ac:dyDescent="0.25" r="341" customHeight="1" ht="15.75">
      <c r="A341" s="123"/>
      <c r="B341" s="123"/>
      <c r="C341" s="124"/>
      <c r="D341" s="124"/>
      <c r="E341" s="124"/>
      <c r="F341" s="113"/>
      <c r="G341" s="113"/>
      <c r="H341" s="113"/>
      <c r="I341" s="113"/>
      <c r="J341" s="113"/>
      <c r="K341" s="113"/>
      <c r="L341" s="113"/>
      <c r="M341" s="113"/>
      <c r="N341" s="113"/>
      <c r="O341" s="124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</row>
    <row x14ac:dyDescent="0.25" r="342" customHeight="1" ht="15.75">
      <c r="A342" s="123"/>
      <c r="B342" s="123"/>
      <c r="C342" s="124"/>
      <c r="D342" s="124"/>
      <c r="E342" s="124"/>
      <c r="F342" s="113"/>
      <c r="G342" s="113"/>
      <c r="H342" s="113"/>
      <c r="I342" s="113"/>
      <c r="J342" s="113"/>
      <c r="K342" s="113"/>
      <c r="L342" s="113"/>
      <c r="M342" s="113"/>
      <c r="N342" s="113"/>
      <c r="O342" s="124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</row>
    <row x14ac:dyDescent="0.25" r="343" customHeight="1" ht="15.75">
      <c r="A343" s="123"/>
      <c r="B343" s="123"/>
      <c r="C343" s="124"/>
      <c r="D343" s="124"/>
      <c r="E343" s="124"/>
      <c r="F343" s="113"/>
      <c r="G343" s="113"/>
      <c r="H343" s="113"/>
      <c r="I343" s="113"/>
      <c r="J343" s="113"/>
      <c r="K343" s="113"/>
      <c r="L343" s="113"/>
      <c r="M343" s="113"/>
      <c r="N343" s="113"/>
      <c r="O343" s="124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</row>
    <row x14ac:dyDescent="0.25" r="344" customHeight="1" ht="15.75">
      <c r="A344" s="123"/>
      <c r="B344" s="123"/>
      <c r="C344" s="124"/>
      <c r="D344" s="124"/>
      <c r="E344" s="124"/>
      <c r="F344" s="113"/>
      <c r="G344" s="113"/>
      <c r="H344" s="113"/>
      <c r="I344" s="113"/>
      <c r="J344" s="113"/>
      <c r="K344" s="113"/>
      <c r="L344" s="113"/>
      <c r="M344" s="113"/>
      <c r="N344" s="113"/>
      <c r="O344" s="124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</row>
    <row x14ac:dyDescent="0.25" r="345" customHeight="1" ht="15.75">
      <c r="A345" s="123"/>
      <c r="B345" s="123"/>
      <c r="C345" s="124"/>
      <c r="D345" s="124"/>
      <c r="E345" s="124"/>
      <c r="F345" s="113"/>
      <c r="G345" s="113"/>
      <c r="H345" s="113"/>
      <c r="I345" s="113"/>
      <c r="J345" s="113"/>
      <c r="K345" s="113"/>
      <c r="L345" s="113"/>
      <c r="M345" s="113"/>
      <c r="N345" s="113"/>
      <c r="O345" s="124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</row>
    <row x14ac:dyDescent="0.25" r="346" customHeight="1" ht="15.75">
      <c r="A346" s="123"/>
      <c r="B346" s="123"/>
      <c r="C346" s="124"/>
      <c r="D346" s="124"/>
      <c r="E346" s="124"/>
      <c r="F346" s="113"/>
      <c r="G346" s="113"/>
      <c r="H346" s="113"/>
      <c r="I346" s="113"/>
      <c r="J346" s="113"/>
      <c r="K346" s="113"/>
      <c r="L346" s="113"/>
      <c r="M346" s="113"/>
      <c r="N346" s="113"/>
      <c r="O346" s="124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</row>
    <row x14ac:dyDescent="0.25" r="347" customHeight="1" ht="15.75">
      <c r="A347" s="123"/>
      <c r="B347" s="123"/>
      <c r="C347" s="124"/>
      <c r="D347" s="124"/>
      <c r="E347" s="124"/>
      <c r="F347" s="113"/>
      <c r="G347" s="113"/>
      <c r="H347" s="113"/>
      <c r="I347" s="113"/>
      <c r="J347" s="113"/>
      <c r="K347" s="113"/>
      <c r="L347" s="113"/>
      <c r="M347" s="113"/>
      <c r="N347" s="113"/>
      <c r="O347" s="124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</row>
    <row x14ac:dyDescent="0.25" r="348" customHeight="1" ht="15.75">
      <c r="A348" s="123"/>
      <c r="B348" s="123"/>
      <c r="C348" s="124"/>
      <c r="D348" s="124"/>
      <c r="E348" s="124"/>
      <c r="F348" s="113"/>
      <c r="G348" s="113"/>
      <c r="H348" s="113"/>
      <c r="I348" s="113"/>
      <c r="J348" s="113"/>
      <c r="K348" s="113"/>
      <c r="L348" s="113"/>
      <c r="M348" s="113"/>
      <c r="N348" s="113"/>
      <c r="O348" s="124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</row>
    <row x14ac:dyDescent="0.25" r="349" customHeight="1" ht="15.75">
      <c r="A349" s="123"/>
      <c r="B349" s="123"/>
      <c r="C349" s="124"/>
      <c r="D349" s="124"/>
      <c r="E349" s="124"/>
      <c r="F349" s="113"/>
      <c r="G349" s="113"/>
      <c r="H349" s="113"/>
      <c r="I349" s="113"/>
      <c r="J349" s="113"/>
      <c r="K349" s="113"/>
      <c r="L349" s="113"/>
      <c r="M349" s="113"/>
      <c r="N349" s="113"/>
      <c r="O349" s="124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</row>
    <row x14ac:dyDescent="0.25" r="350" customHeight="1" ht="15.75">
      <c r="A350" s="123"/>
      <c r="B350" s="123"/>
      <c r="C350" s="124"/>
      <c r="D350" s="124"/>
      <c r="E350" s="124"/>
      <c r="F350" s="113"/>
      <c r="G350" s="113"/>
      <c r="H350" s="113"/>
      <c r="I350" s="113"/>
      <c r="J350" s="113"/>
      <c r="K350" s="113"/>
      <c r="L350" s="113"/>
      <c r="M350" s="113"/>
      <c r="N350" s="113"/>
      <c r="O350" s="124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</row>
    <row x14ac:dyDescent="0.25" r="351" customHeight="1" ht="15.75">
      <c r="A351" s="123"/>
      <c r="B351" s="123"/>
      <c r="C351" s="124"/>
      <c r="D351" s="124"/>
      <c r="E351" s="124"/>
      <c r="F351" s="113"/>
      <c r="G351" s="113"/>
      <c r="H351" s="113"/>
      <c r="I351" s="113"/>
      <c r="J351" s="113"/>
      <c r="K351" s="113"/>
      <c r="L351" s="113"/>
      <c r="M351" s="113"/>
      <c r="N351" s="113"/>
      <c r="O351" s="124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</row>
    <row x14ac:dyDescent="0.25" r="352" customHeight="1" ht="15.75">
      <c r="A352" s="123"/>
      <c r="B352" s="123"/>
      <c r="C352" s="124"/>
      <c r="D352" s="124"/>
      <c r="E352" s="124"/>
      <c r="F352" s="113"/>
      <c r="G352" s="113"/>
      <c r="H352" s="113"/>
      <c r="I352" s="113"/>
      <c r="J352" s="113"/>
      <c r="K352" s="113"/>
      <c r="L352" s="113"/>
      <c r="M352" s="113"/>
      <c r="N352" s="113"/>
      <c r="O352" s="124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</row>
    <row x14ac:dyDescent="0.25" r="353" customHeight="1" ht="15.75">
      <c r="A353" s="123"/>
      <c r="B353" s="123"/>
      <c r="C353" s="124"/>
      <c r="D353" s="124"/>
      <c r="E353" s="124"/>
      <c r="F353" s="113"/>
      <c r="G353" s="113"/>
      <c r="H353" s="113"/>
      <c r="I353" s="113"/>
      <c r="J353" s="113"/>
      <c r="K353" s="113"/>
      <c r="L353" s="113"/>
      <c r="M353" s="113"/>
      <c r="N353" s="113"/>
      <c r="O353" s="124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</row>
    <row x14ac:dyDescent="0.25" r="354" customHeight="1" ht="15.75">
      <c r="A354" s="123"/>
      <c r="B354" s="123"/>
      <c r="C354" s="124"/>
      <c r="D354" s="124"/>
      <c r="E354" s="124"/>
      <c r="F354" s="113"/>
      <c r="G354" s="113"/>
      <c r="H354" s="113"/>
      <c r="I354" s="113"/>
      <c r="J354" s="113"/>
      <c r="K354" s="113"/>
      <c r="L354" s="113"/>
      <c r="M354" s="113"/>
      <c r="N354" s="113"/>
      <c r="O354" s="124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</row>
    <row x14ac:dyDescent="0.25" r="355" customHeight="1" ht="15.75">
      <c r="A355" s="123"/>
      <c r="B355" s="123"/>
      <c r="C355" s="124"/>
      <c r="D355" s="124"/>
      <c r="E355" s="124"/>
      <c r="F355" s="113"/>
      <c r="G355" s="113"/>
      <c r="H355" s="113"/>
      <c r="I355" s="113"/>
      <c r="J355" s="113"/>
      <c r="K355" s="113"/>
      <c r="L355" s="113"/>
      <c r="M355" s="113"/>
      <c r="N355" s="113"/>
      <c r="O355" s="124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</row>
    <row x14ac:dyDescent="0.25" r="356" customHeight="1" ht="15.75">
      <c r="A356" s="123"/>
      <c r="B356" s="123"/>
      <c r="C356" s="124"/>
      <c r="D356" s="124"/>
      <c r="E356" s="124"/>
      <c r="F356" s="113"/>
      <c r="G356" s="113"/>
      <c r="H356" s="113"/>
      <c r="I356" s="113"/>
      <c r="J356" s="113"/>
      <c r="K356" s="113"/>
      <c r="L356" s="113"/>
      <c r="M356" s="113"/>
      <c r="N356" s="113"/>
      <c r="O356" s="124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</row>
    <row x14ac:dyDescent="0.25" r="357" customHeight="1" ht="15.75">
      <c r="A357" s="123"/>
      <c r="B357" s="123"/>
      <c r="C357" s="124"/>
      <c r="D357" s="124"/>
      <c r="E357" s="124"/>
      <c r="F357" s="113"/>
      <c r="G357" s="113"/>
      <c r="H357" s="113"/>
      <c r="I357" s="113"/>
      <c r="J357" s="113"/>
      <c r="K357" s="113"/>
      <c r="L357" s="113"/>
      <c r="M357" s="113"/>
      <c r="N357" s="113"/>
      <c r="O357" s="124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</row>
    <row x14ac:dyDescent="0.25" r="358" customHeight="1" ht="15.75">
      <c r="A358" s="123"/>
      <c r="B358" s="123"/>
      <c r="C358" s="124"/>
      <c r="D358" s="124"/>
      <c r="E358" s="124"/>
      <c r="F358" s="113"/>
      <c r="G358" s="113"/>
      <c r="H358" s="113"/>
      <c r="I358" s="113"/>
      <c r="J358" s="113"/>
      <c r="K358" s="113"/>
      <c r="L358" s="113"/>
      <c r="M358" s="113"/>
      <c r="N358" s="113"/>
      <c r="O358" s="124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</row>
    <row x14ac:dyDescent="0.25" r="359" customHeight="1" ht="15.75">
      <c r="A359" s="123"/>
      <c r="B359" s="123"/>
      <c r="C359" s="124"/>
      <c r="D359" s="124"/>
      <c r="E359" s="124"/>
      <c r="F359" s="113"/>
      <c r="G359" s="113"/>
      <c r="H359" s="113"/>
      <c r="I359" s="113"/>
      <c r="J359" s="113"/>
      <c r="K359" s="113"/>
      <c r="L359" s="113"/>
      <c r="M359" s="113"/>
      <c r="N359" s="113"/>
      <c r="O359" s="124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</row>
    <row x14ac:dyDescent="0.25" r="360" customHeight="1" ht="15.75">
      <c r="A360" s="123"/>
      <c r="B360" s="123"/>
      <c r="C360" s="124"/>
      <c r="D360" s="124"/>
      <c r="E360" s="124"/>
      <c r="F360" s="113"/>
      <c r="G360" s="113"/>
      <c r="H360" s="113"/>
      <c r="I360" s="113"/>
      <c r="J360" s="113"/>
      <c r="K360" s="113"/>
      <c r="L360" s="113"/>
      <c r="M360" s="113"/>
      <c r="N360" s="113"/>
      <c r="O360" s="124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</row>
    <row x14ac:dyDescent="0.25" r="361" customHeight="1" ht="15.75">
      <c r="A361" s="123"/>
      <c r="B361" s="123"/>
      <c r="C361" s="124"/>
      <c r="D361" s="124"/>
      <c r="E361" s="124"/>
      <c r="F361" s="113"/>
      <c r="G361" s="113"/>
      <c r="H361" s="113"/>
      <c r="I361" s="113"/>
      <c r="J361" s="113"/>
      <c r="K361" s="113"/>
      <c r="L361" s="113"/>
      <c r="M361" s="113"/>
      <c r="N361" s="113"/>
      <c r="O361" s="124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</row>
    <row x14ac:dyDescent="0.25" r="362" customHeight="1" ht="15.75">
      <c r="A362" s="123"/>
      <c r="B362" s="123"/>
      <c r="C362" s="124"/>
      <c r="D362" s="124"/>
      <c r="E362" s="124"/>
      <c r="F362" s="113"/>
      <c r="G362" s="113"/>
      <c r="H362" s="113"/>
      <c r="I362" s="113"/>
      <c r="J362" s="113"/>
      <c r="K362" s="113"/>
      <c r="L362" s="113"/>
      <c r="M362" s="113"/>
      <c r="N362" s="113"/>
      <c r="O362" s="124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</row>
    <row x14ac:dyDescent="0.25" r="363" customHeight="1" ht="15.75">
      <c r="A363" s="123"/>
      <c r="B363" s="123"/>
      <c r="C363" s="124"/>
      <c r="D363" s="124"/>
      <c r="E363" s="124"/>
      <c r="F363" s="113"/>
      <c r="G363" s="113"/>
      <c r="H363" s="113"/>
      <c r="I363" s="113"/>
      <c r="J363" s="113"/>
      <c r="K363" s="113"/>
      <c r="L363" s="113"/>
      <c r="M363" s="113"/>
      <c r="N363" s="113"/>
      <c r="O363" s="124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</row>
    <row x14ac:dyDescent="0.25" r="364" customHeight="1" ht="15.75">
      <c r="A364" s="123"/>
      <c r="B364" s="123"/>
      <c r="C364" s="124"/>
      <c r="D364" s="124"/>
      <c r="E364" s="124"/>
      <c r="F364" s="113"/>
      <c r="G364" s="113"/>
      <c r="H364" s="113"/>
      <c r="I364" s="113"/>
      <c r="J364" s="113"/>
      <c r="K364" s="113"/>
      <c r="L364" s="113"/>
      <c r="M364" s="113"/>
      <c r="N364" s="113"/>
      <c r="O364" s="124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</row>
    <row x14ac:dyDescent="0.25" r="365" customHeight="1" ht="15.75">
      <c r="A365" s="123"/>
      <c r="B365" s="123"/>
      <c r="C365" s="124"/>
      <c r="D365" s="124"/>
      <c r="E365" s="124"/>
      <c r="F365" s="113"/>
      <c r="G365" s="113"/>
      <c r="H365" s="113"/>
      <c r="I365" s="113"/>
      <c r="J365" s="113"/>
      <c r="K365" s="113"/>
      <c r="L365" s="113"/>
      <c r="M365" s="113"/>
      <c r="N365" s="113"/>
      <c r="O365" s="124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</row>
    <row x14ac:dyDescent="0.25" r="366" customHeight="1" ht="15.75">
      <c r="A366" s="123"/>
      <c r="B366" s="123"/>
      <c r="C366" s="124"/>
      <c r="D366" s="124"/>
      <c r="E366" s="124"/>
      <c r="F366" s="113"/>
      <c r="G366" s="113"/>
      <c r="H366" s="113"/>
      <c r="I366" s="113"/>
      <c r="J366" s="113"/>
      <c r="K366" s="113"/>
      <c r="L366" s="113"/>
      <c r="M366" s="113"/>
      <c r="N366" s="113"/>
      <c r="O366" s="124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</row>
    <row x14ac:dyDescent="0.25" r="367" customHeight="1" ht="15.75">
      <c r="A367" s="123"/>
      <c r="B367" s="123"/>
      <c r="C367" s="124"/>
      <c r="D367" s="124"/>
      <c r="E367" s="124"/>
      <c r="F367" s="113"/>
      <c r="G367" s="113"/>
      <c r="H367" s="113"/>
      <c r="I367" s="113"/>
      <c r="J367" s="113"/>
      <c r="K367" s="113"/>
      <c r="L367" s="113"/>
      <c r="M367" s="113"/>
      <c r="N367" s="113"/>
      <c r="O367" s="124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</row>
    <row x14ac:dyDescent="0.25" r="368" customHeight="1" ht="15.75">
      <c r="A368" s="123"/>
      <c r="B368" s="123"/>
      <c r="C368" s="124"/>
      <c r="D368" s="124"/>
      <c r="E368" s="124"/>
      <c r="F368" s="113"/>
      <c r="G368" s="113"/>
      <c r="H368" s="113"/>
      <c r="I368" s="113"/>
      <c r="J368" s="113"/>
      <c r="K368" s="113"/>
      <c r="L368" s="113"/>
      <c r="M368" s="113"/>
      <c r="N368" s="113"/>
      <c r="O368" s="124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</row>
    <row x14ac:dyDescent="0.25" r="369" customHeight="1" ht="15.75">
      <c r="A369" s="123"/>
      <c r="B369" s="123"/>
      <c r="C369" s="124"/>
      <c r="D369" s="124"/>
      <c r="E369" s="124"/>
      <c r="F369" s="113"/>
      <c r="G369" s="113"/>
      <c r="H369" s="113"/>
      <c r="I369" s="113"/>
      <c r="J369" s="113"/>
      <c r="K369" s="113"/>
      <c r="L369" s="113"/>
      <c r="M369" s="113"/>
      <c r="N369" s="113"/>
      <c r="O369" s="124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</row>
    <row x14ac:dyDescent="0.25" r="370" customHeight="1" ht="15.75">
      <c r="A370" s="123"/>
      <c r="B370" s="123"/>
      <c r="C370" s="124"/>
      <c r="D370" s="124"/>
      <c r="E370" s="124"/>
      <c r="F370" s="113"/>
      <c r="G370" s="113"/>
      <c r="H370" s="113"/>
      <c r="I370" s="113"/>
      <c r="J370" s="113"/>
      <c r="K370" s="113"/>
      <c r="L370" s="113"/>
      <c r="M370" s="113"/>
      <c r="N370" s="113"/>
      <c r="O370" s="124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</row>
    <row x14ac:dyDescent="0.25" r="371" customHeight="1" ht="15.75">
      <c r="A371" s="123"/>
      <c r="B371" s="123"/>
      <c r="C371" s="124"/>
      <c r="D371" s="124"/>
      <c r="E371" s="124"/>
      <c r="F371" s="113"/>
      <c r="G371" s="113"/>
      <c r="H371" s="113"/>
      <c r="I371" s="113"/>
      <c r="J371" s="113"/>
      <c r="K371" s="113"/>
      <c r="L371" s="113"/>
      <c r="M371" s="113"/>
      <c r="N371" s="113"/>
      <c r="O371" s="124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</row>
    <row x14ac:dyDescent="0.25" r="372" customHeight="1" ht="15.75">
      <c r="A372" s="123"/>
      <c r="B372" s="123"/>
      <c r="C372" s="124"/>
      <c r="D372" s="124"/>
      <c r="E372" s="124"/>
      <c r="F372" s="113"/>
      <c r="G372" s="113"/>
      <c r="H372" s="113"/>
      <c r="I372" s="113"/>
      <c r="J372" s="113"/>
      <c r="K372" s="113"/>
      <c r="L372" s="113"/>
      <c r="M372" s="113"/>
      <c r="N372" s="113"/>
      <c r="O372" s="124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</row>
    <row x14ac:dyDescent="0.25" r="373" customHeight="1" ht="15.75">
      <c r="A373" s="123"/>
      <c r="B373" s="123"/>
      <c r="C373" s="124"/>
      <c r="D373" s="124"/>
      <c r="E373" s="124"/>
      <c r="F373" s="113"/>
      <c r="G373" s="113"/>
      <c r="H373" s="113"/>
      <c r="I373" s="113"/>
      <c r="J373" s="113"/>
      <c r="K373" s="113"/>
      <c r="L373" s="113"/>
      <c r="M373" s="113"/>
      <c r="N373" s="113"/>
      <c r="O373" s="124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</row>
    <row x14ac:dyDescent="0.25" r="374" customHeight="1" ht="15.75">
      <c r="A374" s="123"/>
      <c r="B374" s="123"/>
      <c r="C374" s="124"/>
      <c r="D374" s="124"/>
      <c r="E374" s="124"/>
      <c r="F374" s="113"/>
      <c r="G374" s="113"/>
      <c r="H374" s="113"/>
      <c r="I374" s="113"/>
      <c r="J374" s="113"/>
      <c r="K374" s="113"/>
      <c r="L374" s="113"/>
      <c r="M374" s="113"/>
      <c r="N374" s="113"/>
      <c r="O374" s="124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</row>
    <row x14ac:dyDescent="0.25" r="375" customHeight="1" ht="15.75">
      <c r="A375" s="123"/>
      <c r="B375" s="123"/>
      <c r="C375" s="124"/>
      <c r="D375" s="124"/>
      <c r="E375" s="124"/>
      <c r="F375" s="113"/>
      <c r="G375" s="113"/>
      <c r="H375" s="113"/>
      <c r="I375" s="113"/>
      <c r="J375" s="113"/>
      <c r="K375" s="113"/>
      <c r="L375" s="113"/>
      <c r="M375" s="113"/>
      <c r="N375" s="113"/>
      <c r="O375" s="124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</row>
    <row x14ac:dyDescent="0.25" r="376" customHeight="1" ht="15.75">
      <c r="A376" s="123"/>
      <c r="B376" s="123"/>
      <c r="C376" s="124"/>
      <c r="D376" s="124"/>
      <c r="E376" s="124"/>
      <c r="F376" s="113"/>
      <c r="G376" s="113"/>
      <c r="H376" s="113"/>
      <c r="I376" s="113"/>
      <c r="J376" s="113"/>
      <c r="K376" s="113"/>
      <c r="L376" s="113"/>
      <c r="M376" s="113"/>
      <c r="N376" s="113"/>
      <c r="O376" s="124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</row>
    <row x14ac:dyDescent="0.25" r="377" customHeight="1" ht="15.75">
      <c r="A377" s="123"/>
      <c r="B377" s="123"/>
      <c r="C377" s="124"/>
      <c r="D377" s="124"/>
      <c r="E377" s="124"/>
      <c r="F377" s="113"/>
      <c r="G377" s="113"/>
      <c r="H377" s="113"/>
      <c r="I377" s="113"/>
      <c r="J377" s="113"/>
      <c r="K377" s="113"/>
      <c r="L377" s="113"/>
      <c r="M377" s="113"/>
      <c r="N377" s="113"/>
      <c r="O377" s="124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</row>
    <row x14ac:dyDescent="0.25" r="378" customHeight="1" ht="15.75">
      <c r="A378" s="123"/>
      <c r="B378" s="123"/>
      <c r="C378" s="124"/>
      <c r="D378" s="124"/>
      <c r="E378" s="124"/>
      <c r="F378" s="113"/>
      <c r="G378" s="113"/>
      <c r="H378" s="113"/>
      <c r="I378" s="113"/>
      <c r="J378" s="113"/>
      <c r="K378" s="113"/>
      <c r="L378" s="113"/>
      <c r="M378" s="113"/>
      <c r="N378" s="113"/>
      <c r="O378" s="124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</row>
    <row x14ac:dyDescent="0.25" r="379" customHeight="1" ht="15.75">
      <c r="A379" s="123"/>
      <c r="B379" s="123"/>
      <c r="C379" s="124"/>
      <c r="D379" s="124"/>
      <c r="E379" s="124"/>
      <c r="F379" s="113"/>
      <c r="G379" s="113"/>
      <c r="H379" s="113"/>
      <c r="I379" s="113"/>
      <c r="J379" s="113"/>
      <c r="K379" s="113"/>
      <c r="L379" s="113"/>
      <c r="M379" s="113"/>
      <c r="N379" s="113"/>
      <c r="O379" s="124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</row>
    <row x14ac:dyDescent="0.25" r="380" customHeight="1" ht="15.75">
      <c r="A380" s="123"/>
      <c r="B380" s="123"/>
      <c r="C380" s="124"/>
      <c r="D380" s="124"/>
      <c r="E380" s="124"/>
      <c r="F380" s="113"/>
      <c r="G380" s="113"/>
      <c r="H380" s="113"/>
      <c r="I380" s="113"/>
      <c r="J380" s="113"/>
      <c r="K380" s="113"/>
      <c r="L380" s="113"/>
      <c r="M380" s="113"/>
      <c r="N380" s="113"/>
      <c r="O380" s="124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</row>
    <row x14ac:dyDescent="0.25" r="381" customHeight="1" ht="15.75">
      <c r="A381" s="123"/>
      <c r="B381" s="123"/>
      <c r="C381" s="124"/>
      <c r="D381" s="124"/>
      <c r="E381" s="124"/>
      <c r="F381" s="113"/>
      <c r="G381" s="113"/>
      <c r="H381" s="113"/>
      <c r="I381" s="113"/>
      <c r="J381" s="113"/>
      <c r="K381" s="113"/>
      <c r="L381" s="113"/>
      <c r="M381" s="113"/>
      <c r="N381" s="113"/>
      <c r="O381" s="124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</row>
    <row x14ac:dyDescent="0.25" r="382" customHeight="1" ht="15.75">
      <c r="A382" s="123"/>
      <c r="B382" s="123"/>
      <c r="C382" s="124"/>
      <c r="D382" s="124"/>
      <c r="E382" s="124"/>
      <c r="F382" s="113"/>
      <c r="G382" s="113"/>
      <c r="H382" s="113"/>
      <c r="I382" s="113"/>
      <c r="J382" s="113"/>
      <c r="K382" s="113"/>
      <c r="L382" s="113"/>
      <c r="M382" s="113"/>
      <c r="N382" s="113"/>
      <c r="O382" s="124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</row>
    <row x14ac:dyDescent="0.25" r="383" customHeight="1" ht="15.75">
      <c r="A383" s="123"/>
      <c r="B383" s="123"/>
      <c r="C383" s="124"/>
      <c r="D383" s="124"/>
      <c r="E383" s="124"/>
      <c r="F383" s="113"/>
      <c r="G383" s="113"/>
      <c r="H383" s="113"/>
      <c r="I383" s="113"/>
      <c r="J383" s="113"/>
      <c r="K383" s="113"/>
      <c r="L383" s="113"/>
      <c r="M383" s="113"/>
      <c r="N383" s="113"/>
      <c r="O383" s="124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</row>
    <row x14ac:dyDescent="0.25" r="384" customHeight="1" ht="15.75">
      <c r="A384" s="123"/>
      <c r="B384" s="123"/>
      <c r="C384" s="124"/>
      <c r="D384" s="124"/>
      <c r="E384" s="124"/>
      <c r="F384" s="113"/>
      <c r="G384" s="113"/>
      <c r="H384" s="113"/>
      <c r="I384" s="113"/>
      <c r="J384" s="113"/>
      <c r="K384" s="113"/>
      <c r="L384" s="113"/>
      <c r="M384" s="113"/>
      <c r="N384" s="113"/>
      <c r="O384" s="124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</row>
    <row x14ac:dyDescent="0.25" r="385" customHeight="1" ht="15.75">
      <c r="A385" s="123"/>
      <c r="B385" s="123"/>
      <c r="C385" s="124"/>
      <c r="D385" s="124"/>
      <c r="E385" s="124"/>
      <c r="F385" s="113"/>
      <c r="G385" s="113"/>
      <c r="H385" s="113"/>
      <c r="I385" s="113"/>
      <c r="J385" s="113"/>
      <c r="K385" s="113"/>
      <c r="L385" s="113"/>
      <c r="M385" s="113"/>
      <c r="N385" s="113"/>
      <c r="O385" s="124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</row>
    <row x14ac:dyDescent="0.25" r="386" customHeight="1" ht="15.75">
      <c r="A386" s="123"/>
      <c r="B386" s="123"/>
      <c r="C386" s="124"/>
      <c r="D386" s="124"/>
      <c r="E386" s="124"/>
      <c r="F386" s="113"/>
      <c r="G386" s="113"/>
      <c r="H386" s="113"/>
      <c r="I386" s="113"/>
      <c r="J386" s="113"/>
      <c r="K386" s="113"/>
      <c r="L386" s="113"/>
      <c r="M386" s="113"/>
      <c r="N386" s="113"/>
      <c r="O386" s="124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</row>
    <row x14ac:dyDescent="0.25" r="387" customHeight="1" ht="15.75">
      <c r="A387" s="123"/>
      <c r="B387" s="123"/>
      <c r="C387" s="124"/>
      <c r="D387" s="124"/>
      <c r="E387" s="124"/>
      <c r="F387" s="113"/>
      <c r="G387" s="113"/>
      <c r="H387" s="113"/>
      <c r="I387" s="113"/>
      <c r="J387" s="113"/>
      <c r="K387" s="113"/>
      <c r="L387" s="113"/>
      <c r="M387" s="113"/>
      <c r="N387" s="113"/>
      <c r="O387" s="124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</row>
    <row x14ac:dyDescent="0.25" r="388" customHeight="1" ht="15.75">
      <c r="A388" s="123"/>
      <c r="B388" s="123"/>
      <c r="C388" s="124"/>
      <c r="D388" s="124"/>
      <c r="E388" s="124"/>
      <c r="F388" s="113"/>
      <c r="G388" s="113"/>
      <c r="H388" s="113"/>
      <c r="I388" s="113"/>
      <c r="J388" s="113"/>
      <c r="K388" s="113"/>
      <c r="L388" s="113"/>
      <c r="M388" s="113"/>
      <c r="N388" s="113"/>
      <c r="O388" s="124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</row>
    <row x14ac:dyDescent="0.25" r="389" customHeight="1" ht="15.75">
      <c r="A389" s="123"/>
      <c r="B389" s="123"/>
      <c r="C389" s="124"/>
      <c r="D389" s="124"/>
      <c r="E389" s="124"/>
      <c r="F389" s="113"/>
      <c r="G389" s="113"/>
      <c r="H389" s="113"/>
      <c r="I389" s="113"/>
      <c r="J389" s="113"/>
      <c r="K389" s="113"/>
      <c r="L389" s="113"/>
      <c r="M389" s="113"/>
      <c r="N389" s="113"/>
      <c r="O389" s="124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</row>
    <row x14ac:dyDescent="0.25" r="390" customHeight="1" ht="15.75">
      <c r="A390" s="123"/>
      <c r="B390" s="123"/>
      <c r="C390" s="124"/>
      <c r="D390" s="124"/>
      <c r="E390" s="124"/>
      <c r="F390" s="113"/>
      <c r="G390" s="113"/>
      <c r="H390" s="113"/>
      <c r="I390" s="113"/>
      <c r="J390" s="113"/>
      <c r="K390" s="113"/>
      <c r="L390" s="113"/>
      <c r="M390" s="113"/>
      <c r="N390" s="113"/>
      <c r="O390" s="124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</row>
    <row x14ac:dyDescent="0.25" r="391" customHeight="1" ht="15.75">
      <c r="A391" s="123"/>
      <c r="B391" s="123"/>
      <c r="C391" s="124"/>
      <c r="D391" s="124"/>
      <c r="E391" s="124"/>
      <c r="F391" s="113"/>
      <c r="G391" s="113"/>
      <c r="H391" s="113"/>
      <c r="I391" s="113"/>
      <c r="J391" s="113"/>
      <c r="K391" s="113"/>
      <c r="L391" s="113"/>
      <c r="M391" s="113"/>
      <c r="N391" s="113"/>
      <c r="O391" s="124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</row>
    <row x14ac:dyDescent="0.25" r="392" customHeight="1" ht="15.75">
      <c r="A392" s="123"/>
      <c r="B392" s="123"/>
      <c r="C392" s="124"/>
      <c r="D392" s="124"/>
      <c r="E392" s="124"/>
      <c r="F392" s="113"/>
      <c r="G392" s="113"/>
      <c r="H392" s="113"/>
      <c r="I392" s="113"/>
      <c r="J392" s="113"/>
      <c r="K392" s="113"/>
      <c r="L392" s="113"/>
      <c r="M392" s="113"/>
      <c r="N392" s="113"/>
      <c r="O392" s="124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</row>
    <row x14ac:dyDescent="0.25" r="393" customHeight="1" ht="15.75">
      <c r="A393" s="123"/>
      <c r="B393" s="123"/>
      <c r="C393" s="124"/>
      <c r="D393" s="124"/>
      <c r="E393" s="124"/>
      <c r="F393" s="113"/>
      <c r="G393" s="113"/>
      <c r="H393" s="113"/>
      <c r="I393" s="113"/>
      <c r="J393" s="113"/>
      <c r="K393" s="113"/>
      <c r="L393" s="113"/>
      <c r="M393" s="113"/>
      <c r="N393" s="113"/>
      <c r="O393" s="124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</row>
    <row x14ac:dyDescent="0.25" r="394" customHeight="1" ht="15.75">
      <c r="A394" s="123"/>
      <c r="B394" s="123"/>
      <c r="C394" s="124"/>
      <c r="D394" s="124"/>
      <c r="E394" s="124"/>
      <c r="F394" s="113"/>
      <c r="G394" s="113"/>
      <c r="H394" s="113"/>
      <c r="I394" s="113"/>
      <c r="J394" s="113"/>
      <c r="K394" s="113"/>
      <c r="L394" s="113"/>
      <c r="M394" s="113"/>
      <c r="N394" s="113"/>
      <c r="O394" s="124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</row>
    <row x14ac:dyDescent="0.25" r="395" customHeight="1" ht="15.75">
      <c r="A395" s="123"/>
      <c r="B395" s="123"/>
      <c r="C395" s="124"/>
      <c r="D395" s="124"/>
      <c r="E395" s="124"/>
      <c r="F395" s="113"/>
      <c r="G395" s="113"/>
      <c r="H395" s="113"/>
      <c r="I395" s="113"/>
      <c r="J395" s="113"/>
      <c r="K395" s="113"/>
      <c r="L395" s="113"/>
      <c r="M395" s="113"/>
      <c r="N395" s="113"/>
      <c r="O395" s="124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</row>
    <row x14ac:dyDescent="0.25" r="396" customHeight="1" ht="15.75">
      <c r="A396" s="123"/>
      <c r="B396" s="123"/>
      <c r="C396" s="124"/>
      <c r="D396" s="124"/>
      <c r="E396" s="124"/>
      <c r="F396" s="113"/>
      <c r="G396" s="113"/>
      <c r="H396" s="113"/>
      <c r="I396" s="113"/>
      <c r="J396" s="113"/>
      <c r="K396" s="113"/>
      <c r="L396" s="113"/>
      <c r="M396" s="113"/>
      <c r="N396" s="113"/>
      <c r="O396" s="124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</row>
    <row x14ac:dyDescent="0.25" r="397" customHeight="1" ht="15.75">
      <c r="A397" s="123"/>
      <c r="B397" s="123"/>
      <c r="C397" s="124"/>
      <c r="D397" s="124"/>
      <c r="E397" s="124"/>
      <c r="F397" s="113"/>
      <c r="G397" s="113"/>
      <c r="H397" s="113"/>
      <c r="I397" s="113"/>
      <c r="J397" s="113"/>
      <c r="K397" s="113"/>
      <c r="L397" s="113"/>
      <c r="M397" s="113"/>
      <c r="N397" s="113"/>
      <c r="O397" s="124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</row>
    <row x14ac:dyDescent="0.25" r="398" customHeight="1" ht="15.75">
      <c r="A398" s="123"/>
      <c r="B398" s="123"/>
      <c r="C398" s="124"/>
      <c r="D398" s="124"/>
      <c r="E398" s="124"/>
      <c r="F398" s="113"/>
      <c r="G398" s="113"/>
      <c r="H398" s="113"/>
      <c r="I398" s="113"/>
      <c r="J398" s="113"/>
      <c r="K398" s="113"/>
      <c r="L398" s="113"/>
      <c r="M398" s="113"/>
      <c r="N398" s="113"/>
      <c r="O398" s="124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</row>
    <row x14ac:dyDescent="0.25" r="399" customHeight="1" ht="15.75">
      <c r="A399" s="123"/>
      <c r="B399" s="123"/>
      <c r="C399" s="124"/>
      <c r="D399" s="124"/>
      <c r="E399" s="124"/>
      <c r="F399" s="113"/>
      <c r="G399" s="113"/>
      <c r="H399" s="113"/>
      <c r="I399" s="113"/>
      <c r="J399" s="113"/>
      <c r="K399" s="113"/>
      <c r="L399" s="113"/>
      <c r="M399" s="113"/>
      <c r="N399" s="113"/>
      <c r="O399" s="124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</row>
    <row x14ac:dyDescent="0.25" r="400" customHeight="1" ht="15.75">
      <c r="A400" s="123"/>
      <c r="B400" s="123"/>
      <c r="C400" s="124"/>
      <c r="D400" s="124"/>
      <c r="E400" s="124"/>
      <c r="F400" s="113"/>
      <c r="G400" s="113"/>
      <c r="H400" s="113"/>
      <c r="I400" s="113"/>
      <c r="J400" s="113"/>
      <c r="K400" s="113"/>
      <c r="L400" s="113"/>
      <c r="M400" s="113"/>
      <c r="N400" s="113"/>
      <c r="O400" s="124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</row>
    <row x14ac:dyDescent="0.25" r="401" customHeight="1" ht="15.75">
      <c r="A401" s="123"/>
      <c r="B401" s="123"/>
      <c r="C401" s="124"/>
      <c r="D401" s="124"/>
      <c r="E401" s="124"/>
      <c r="F401" s="113"/>
      <c r="G401" s="113"/>
      <c r="H401" s="113"/>
      <c r="I401" s="113"/>
      <c r="J401" s="113"/>
      <c r="K401" s="113"/>
      <c r="L401" s="113"/>
      <c r="M401" s="113"/>
      <c r="N401" s="113"/>
      <c r="O401" s="124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</row>
    <row x14ac:dyDescent="0.25" r="402" customHeight="1" ht="15.75">
      <c r="A402" s="123"/>
      <c r="B402" s="123"/>
      <c r="C402" s="124"/>
      <c r="D402" s="124"/>
      <c r="E402" s="124"/>
      <c r="F402" s="113"/>
      <c r="G402" s="113"/>
      <c r="H402" s="113"/>
      <c r="I402" s="113"/>
      <c r="J402" s="113"/>
      <c r="K402" s="113"/>
      <c r="L402" s="113"/>
      <c r="M402" s="113"/>
      <c r="N402" s="113"/>
      <c r="O402" s="124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</row>
    <row x14ac:dyDescent="0.25" r="403" customHeight="1" ht="15.75">
      <c r="A403" s="123"/>
      <c r="B403" s="123"/>
      <c r="C403" s="124"/>
      <c r="D403" s="124"/>
      <c r="E403" s="124"/>
      <c r="F403" s="113"/>
      <c r="G403" s="113"/>
      <c r="H403" s="113"/>
      <c r="I403" s="113"/>
      <c r="J403" s="113"/>
      <c r="K403" s="113"/>
      <c r="L403" s="113"/>
      <c r="M403" s="113"/>
      <c r="N403" s="113"/>
      <c r="O403" s="124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</row>
    <row x14ac:dyDescent="0.25" r="404" customHeight="1" ht="15.75">
      <c r="A404" s="123"/>
      <c r="B404" s="123"/>
      <c r="C404" s="124"/>
      <c r="D404" s="124"/>
      <c r="E404" s="124"/>
      <c r="F404" s="113"/>
      <c r="G404" s="113"/>
      <c r="H404" s="113"/>
      <c r="I404" s="113"/>
      <c r="J404" s="113"/>
      <c r="K404" s="113"/>
      <c r="L404" s="113"/>
      <c r="M404" s="113"/>
      <c r="N404" s="113"/>
      <c r="O404" s="124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</row>
    <row x14ac:dyDescent="0.25" r="405" customHeight="1" ht="15.75">
      <c r="A405" s="123"/>
      <c r="B405" s="123"/>
      <c r="C405" s="124"/>
      <c r="D405" s="124"/>
      <c r="E405" s="124"/>
      <c r="F405" s="113"/>
      <c r="G405" s="113"/>
      <c r="H405" s="113"/>
      <c r="I405" s="113"/>
      <c r="J405" s="113"/>
      <c r="K405" s="113"/>
      <c r="L405" s="113"/>
      <c r="M405" s="113"/>
      <c r="N405" s="113"/>
      <c r="O405" s="124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</row>
    <row x14ac:dyDescent="0.25" r="406" customHeight="1" ht="15.75">
      <c r="A406" s="123"/>
      <c r="B406" s="123"/>
      <c r="C406" s="124"/>
      <c r="D406" s="124"/>
      <c r="E406" s="124"/>
      <c r="F406" s="113"/>
      <c r="G406" s="113"/>
      <c r="H406" s="113"/>
      <c r="I406" s="113"/>
      <c r="J406" s="113"/>
      <c r="K406" s="113"/>
      <c r="L406" s="113"/>
      <c r="M406" s="113"/>
      <c r="N406" s="113"/>
      <c r="O406" s="124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</row>
    <row x14ac:dyDescent="0.25" r="407" customHeight="1" ht="15.75">
      <c r="A407" s="123"/>
      <c r="B407" s="123"/>
      <c r="C407" s="124"/>
      <c r="D407" s="124"/>
      <c r="E407" s="124"/>
      <c r="F407" s="113"/>
      <c r="G407" s="113"/>
      <c r="H407" s="113"/>
      <c r="I407" s="113"/>
      <c r="J407" s="113"/>
      <c r="K407" s="113"/>
      <c r="L407" s="113"/>
      <c r="M407" s="113"/>
      <c r="N407" s="113"/>
      <c r="O407" s="124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</row>
    <row x14ac:dyDescent="0.25" r="408" customHeight="1" ht="15.75">
      <c r="A408" s="123"/>
      <c r="B408" s="123"/>
      <c r="C408" s="124"/>
      <c r="D408" s="124"/>
      <c r="E408" s="124"/>
      <c r="F408" s="113"/>
      <c r="G408" s="113"/>
      <c r="H408" s="113"/>
      <c r="I408" s="113"/>
      <c r="J408" s="113"/>
      <c r="K408" s="113"/>
      <c r="L408" s="113"/>
      <c r="M408" s="113"/>
      <c r="N408" s="113"/>
      <c r="O408" s="124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</row>
    <row x14ac:dyDescent="0.25" r="409" customHeight="1" ht="15.75">
      <c r="A409" s="123"/>
      <c r="B409" s="123"/>
      <c r="C409" s="124"/>
      <c r="D409" s="124"/>
      <c r="E409" s="124"/>
      <c r="F409" s="113"/>
      <c r="G409" s="113"/>
      <c r="H409" s="113"/>
      <c r="I409" s="113"/>
      <c r="J409" s="113"/>
      <c r="K409" s="113"/>
      <c r="L409" s="113"/>
      <c r="M409" s="113"/>
      <c r="N409" s="113"/>
      <c r="O409" s="124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</row>
    <row x14ac:dyDescent="0.25" r="410" customHeight="1" ht="15.75">
      <c r="A410" s="123"/>
      <c r="B410" s="123"/>
      <c r="C410" s="124"/>
      <c r="D410" s="124"/>
      <c r="E410" s="124"/>
      <c r="F410" s="113"/>
      <c r="G410" s="113"/>
      <c r="H410" s="113"/>
      <c r="I410" s="113"/>
      <c r="J410" s="113"/>
      <c r="K410" s="113"/>
      <c r="L410" s="113"/>
      <c r="M410" s="113"/>
      <c r="N410" s="113"/>
      <c r="O410" s="124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</row>
    <row x14ac:dyDescent="0.25" r="411" customHeight="1" ht="15.75">
      <c r="A411" s="123"/>
      <c r="B411" s="123"/>
      <c r="C411" s="124"/>
      <c r="D411" s="124"/>
      <c r="E411" s="124"/>
      <c r="F411" s="113"/>
      <c r="G411" s="113"/>
      <c r="H411" s="113"/>
      <c r="I411" s="113"/>
      <c r="J411" s="113"/>
      <c r="K411" s="113"/>
      <c r="L411" s="113"/>
      <c r="M411" s="113"/>
      <c r="N411" s="113"/>
      <c r="O411" s="124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</row>
    <row x14ac:dyDescent="0.25" r="412" customHeight="1" ht="15.75">
      <c r="A412" s="123"/>
      <c r="B412" s="123"/>
      <c r="C412" s="124"/>
      <c r="D412" s="124"/>
      <c r="E412" s="124"/>
      <c r="F412" s="113"/>
      <c r="G412" s="113"/>
      <c r="H412" s="113"/>
      <c r="I412" s="113"/>
      <c r="J412" s="113"/>
      <c r="K412" s="113"/>
      <c r="L412" s="113"/>
      <c r="M412" s="113"/>
      <c r="N412" s="113"/>
      <c r="O412" s="124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</row>
    <row x14ac:dyDescent="0.25" r="413" customHeight="1" ht="15.75">
      <c r="A413" s="123"/>
      <c r="B413" s="123"/>
      <c r="C413" s="124"/>
      <c r="D413" s="124"/>
      <c r="E413" s="124"/>
      <c r="F413" s="113"/>
      <c r="G413" s="113"/>
      <c r="H413" s="113"/>
      <c r="I413" s="113"/>
      <c r="J413" s="113"/>
      <c r="K413" s="113"/>
      <c r="L413" s="113"/>
      <c r="M413" s="113"/>
      <c r="N413" s="113"/>
      <c r="O413" s="124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</row>
    <row x14ac:dyDescent="0.25" r="414" customHeight="1" ht="15.75">
      <c r="A414" s="123"/>
      <c r="B414" s="123"/>
      <c r="C414" s="124"/>
      <c r="D414" s="124"/>
      <c r="E414" s="124"/>
      <c r="F414" s="113"/>
      <c r="G414" s="113"/>
      <c r="H414" s="113"/>
      <c r="I414" s="113"/>
      <c r="J414" s="113"/>
      <c r="K414" s="113"/>
      <c r="L414" s="113"/>
      <c r="M414" s="113"/>
      <c r="N414" s="113"/>
      <c r="O414" s="124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</row>
    <row x14ac:dyDescent="0.25" r="415" customHeight="1" ht="15.75">
      <c r="A415" s="123"/>
      <c r="B415" s="123"/>
      <c r="C415" s="124"/>
      <c r="D415" s="124"/>
      <c r="E415" s="124"/>
      <c r="F415" s="113"/>
      <c r="G415" s="113"/>
      <c r="H415" s="113"/>
      <c r="I415" s="113"/>
      <c r="J415" s="113"/>
      <c r="K415" s="113"/>
      <c r="L415" s="113"/>
      <c r="M415" s="113"/>
      <c r="N415" s="113"/>
      <c r="O415" s="124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</row>
    <row x14ac:dyDescent="0.25" r="416" customHeight="1" ht="15.75">
      <c r="A416" s="123"/>
      <c r="B416" s="123"/>
      <c r="C416" s="124"/>
      <c r="D416" s="124"/>
      <c r="E416" s="124"/>
      <c r="F416" s="113"/>
      <c r="G416" s="113"/>
      <c r="H416" s="113"/>
      <c r="I416" s="113"/>
      <c r="J416" s="113"/>
      <c r="K416" s="113"/>
      <c r="L416" s="113"/>
      <c r="M416" s="113"/>
      <c r="N416" s="113"/>
      <c r="O416" s="124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</row>
    <row x14ac:dyDescent="0.25" r="417" customHeight="1" ht="15.75">
      <c r="A417" s="123"/>
      <c r="B417" s="123"/>
      <c r="C417" s="124"/>
      <c r="D417" s="124"/>
      <c r="E417" s="124"/>
      <c r="F417" s="113"/>
      <c r="G417" s="113"/>
      <c r="H417" s="113"/>
      <c r="I417" s="113"/>
      <c r="J417" s="113"/>
      <c r="K417" s="113"/>
      <c r="L417" s="113"/>
      <c r="M417" s="113"/>
      <c r="N417" s="113"/>
      <c r="O417" s="124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</row>
    <row x14ac:dyDescent="0.25" r="418" customHeight="1" ht="15.75">
      <c r="A418" s="123"/>
      <c r="B418" s="123"/>
      <c r="C418" s="124"/>
      <c r="D418" s="124"/>
      <c r="E418" s="124"/>
      <c r="F418" s="113"/>
      <c r="G418" s="113"/>
      <c r="H418" s="113"/>
      <c r="I418" s="113"/>
      <c r="J418" s="113"/>
      <c r="K418" s="113"/>
      <c r="L418" s="113"/>
      <c r="M418" s="113"/>
      <c r="N418" s="113"/>
      <c r="O418" s="124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</row>
    <row x14ac:dyDescent="0.25" r="419" customHeight="1" ht="15.75">
      <c r="A419" s="123"/>
      <c r="B419" s="123"/>
      <c r="C419" s="124"/>
      <c r="D419" s="124"/>
      <c r="E419" s="124"/>
      <c r="F419" s="113"/>
      <c r="G419" s="113"/>
      <c r="H419" s="113"/>
      <c r="I419" s="113"/>
      <c r="J419" s="113"/>
      <c r="K419" s="113"/>
      <c r="L419" s="113"/>
      <c r="M419" s="113"/>
      <c r="N419" s="113"/>
      <c r="O419" s="124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</row>
    <row x14ac:dyDescent="0.25" r="420" customHeight="1" ht="15.75">
      <c r="A420" s="123"/>
      <c r="B420" s="123"/>
      <c r="C420" s="124"/>
      <c r="D420" s="124"/>
      <c r="E420" s="124"/>
      <c r="F420" s="113"/>
      <c r="G420" s="113"/>
      <c r="H420" s="113"/>
      <c r="I420" s="113"/>
      <c r="J420" s="113"/>
      <c r="K420" s="113"/>
      <c r="L420" s="113"/>
      <c r="M420" s="113"/>
      <c r="N420" s="113"/>
      <c r="O420" s="124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</row>
    <row x14ac:dyDescent="0.25" r="421" customHeight="1" ht="15.75">
      <c r="A421" s="123"/>
      <c r="B421" s="123"/>
      <c r="C421" s="124"/>
      <c r="D421" s="124"/>
      <c r="E421" s="124"/>
      <c r="F421" s="113"/>
      <c r="G421" s="113"/>
      <c r="H421" s="113"/>
      <c r="I421" s="113"/>
      <c r="J421" s="113"/>
      <c r="K421" s="113"/>
      <c r="L421" s="113"/>
      <c r="M421" s="113"/>
      <c r="N421" s="113"/>
      <c r="O421" s="124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</row>
    <row x14ac:dyDescent="0.25" r="422" customHeight="1" ht="15.75">
      <c r="A422" s="123"/>
      <c r="B422" s="123"/>
      <c r="C422" s="124"/>
      <c r="D422" s="124"/>
      <c r="E422" s="124"/>
      <c r="F422" s="113"/>
      <c r="G422" s="113"/>
      <c r="H422" s="113"/>
      <c r="I422" s="113"/>
      <c r="J422" s="113"/>
      <c r="K422" s="113"/>
      <c r="L422" s="113"/>
      <c r="M422" s="113"/>
      <c r="N422" s="113"/>
      <c r="O422" s="124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</row>
    <row x14ac:dyDescent="0.25" r="423" customHeight="1" ht="15.75">
      <c r="A423" s="123"/>
      <c r="B423" s="123"/>
      <c r="C423" s="124"/>
      <c r="D423" s="124"/>
      <c r="E423" s="124"/>
      <c r="F423" s="113"/>
      <c r="G423" s="113"/>
      <c r="H423" s="113"/>
      <c r="I423" s="113"/>
      <c r="J423" s="113"/>
      <c r="K423" s="113"/>
      <c r="L423" s="113"/>
      <c r="M423" s="113"/>
      <c r="N423" s="113"/>
      <c r="O423" s="124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</row>
    <row x14ac:dyDescent="0.25" r="424" customHeight="1" ht="15.75">
      <c r="A424" s="123"/>
      <c r="B424" s="123"/>
      <c r="C424" s="124"/>
      <c r="D424" s="124"/>
      <c r="E424" s="124"/>
      <c r="F424" s="113"/>
      <c r="G424" s="113"/>
      <c r="H424" s="113"/>
      <c r="I424" s="113"/>
      <c r="J424" s="113"/>
      <c r="K424" s="113"/>
      <c r="L424" s="113"/>
      <c r="M424" s="113"/>
      <c r="N424" s="113"/>
      <c r="O424" s="124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</row>
    <row x14ac:dyDescent="0.25" r="425" customHeight="1" ht="15.75">
      <c r="A425" s="123"/>
      <c r="B425" s="123"/>
      <c r="C425" s="124"/>
      <c r="D425" s="124"/>
      <c r="E425" s="124"/>
      <c r="F425" s="113"/>
      <c r="G425" s="113"/>
      <c r="H425" s="113"/>
      <c r="I425" s="113"/>
      <c r="J425" s="113"/>
      <c r="K425" s="113"/>
      <c r="L425" s="113"/>
      <c r="M425" s="113"/>
      <c r="N425" s="113"/>
      <c r="O425" s="124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</row>
    <row x14ac:dyDescent="0.25" r="426" customHeight="1" ht="15.75">
      <c r="A426" s="123"/>
      <c r="B426" s="123"/>
      <c r="C426" s="124"/>
      <c r="D426" s="124"/>
      <c r="E426" s="124"/>
      <c r="F426" s="113"/>
      <c r="G426" s="113"/>
      <c r="H426" s="113"/>
      <c r="I426" s="113"/>
      <c r="J426" s="113"/>
      <c r="K426" s="113"/>
      <c r="L426" s="113"/>
      <c r="M426" s="113"/>
      <c r="N426" s="113"/>
      <c r="O426" s="124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</row>
    <row x14ac:dyDescent="0.25" r="427" customHeight="1" ht="15.75">
      <c r="A427" s="123"/>
      <c r="B427" s="123"/>
      <c r="C427" s="124"/>
      <c r="D427" s="124"/>
      <c r="E427" s="124"/>
      <c r="F427" s="113"/>
      <c r="G427" s="113"/>
      <c r="H427" s="113"/>
      <c r="I427" s="113"/>
      <c r="J427" s="113"/>
      <c r="K427" s="113"/>
      <c r="L427" s="113"/>
      <c r="M427" s="113"/>
      <c r="N427" s="113"/>
      <c r="O427" s="124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</row>
    <row x14ac:dyDescent="0.25" r="428" customHeight="1" ht="15.75">
      <c r="A428" s="123"/>
      <c r="B428" s="123"/>
      <c r="C428" s="124"/>
      <c r="D428" s="124"/>
      <c r="E428" s="124"/>
      <c r="F428" s="113"/>
      <c r="G428" s="113"/>
      <c r="H428" s="113"/>
      <c r="I428" s="113"/>
      <c r="J428" s="113"/>
      <c r="K428" s="113"/>
      <c r="L428" s="113"/>
      <c r="M428" s="113"/>
      <c r="N428" s="113"/>
      <c r="O428" s="124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</row>
    <row x14ac:dyDescent="0.25" r="429" customHeight="1" ht="15.75">
      <c r="A429" s="123"/>
      <c r="B429" s="123"/>
      <c r="C429" s="124"/>
      <c r="D429" s="124"/>
      <c r="E429" s="124"/>
      <c r="F429" s="113"/>
      <c r="G429" s="113"/>
      <c r="H429" s="113"/>
      <c r="I429" s="113"/>
      <c r="J429" s="113"/>
      <c r="K429" s="113"/>
      <c r="L429" s="113"/>
      <c r="M429" s="113"/>
      <c r="N429" s="113"/>
      <c r="O429" s="124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</row>
    <row x14ac:dyDescent="0.25" r="430" customHeight="1" ht="15.75">
      <c r="A430" s="123"/>
      <c r="B430" s="123"/>
      <c r="C430" s="124"/>
      <c r="D430" s="124"/>
      <c r="E430" s="124"/>
      <c r="F430" s="113"/>
      <c r="G430" s="113"/>
      <c r="H430" s="113"/>
      <c r="I430" s="113"/>
      <c r="J430" s="113"/>
      <c r="K430" s="113"/>
      <c r="L430" s="113"/>
      <c r="M430" s="113"/>
      <c r="N430" s="113"/>
      <c r="O430" s="124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</row>
    <row x14ac:dyDescent="0.25" r="431" customHeight="1" ht="15.75">
      <c r="A431" s="123"/>
      <c r="B431" s="123"/>
      <c r="C431" s="124"/>
      <c r="D431" s="124"/>
      <c r="E431" s="124"/>
      <c r="F431" s="113"/>
      <c r="G431" s="113"/>
      <c r="H431" s="113"/>
      <c r="I431" s="113"/>
      <c r="J431" s="113"/>
      <c r="K431" s="113"/>
      <c r="L431" s="113"/>
      <c r="M431" s="113"/>
      <c r="N431" s="113"/>
      <c r="O431" s="124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</row>
    <row x14ac:dyDescent="0.25" r="432" customHeight="1" ht="15.75">
      <c r="A432" s="123"/>
      <c r="B432" s="123"/>
      <c r="C432" s="124"/>
      <c r="D432" s="124"/>
      <c r="E432" s="124"/>
      <c r="F432" s="113"/>
      <c r="G432" s="113"/>
      <c r="H432" s="113"/>
      <c r="I432" s="113"/>
      <c r="J432" s="113"/>
      <c r="K432" s="113"/>
      <c r="L432" s="113"/>
      <c r="M432" s="113"/>
      <c r="N432" s="113"/>
      <c r="O432" s="124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</row>
    <row x14ac:dyDescent="0.25" r="433" customHeight="1" ht="15.75">
      <c r="A433" s="123"/>
      <c r="B433" s="123"/>
      <c r="C433" s="124"/>
      <c r="D433" s="124"/>
      <c r="E433" s="124"/>
      <c r="F433" s="113"/>
      <c r="G433" s="113"/>
      <c r="H433" s="113"/>
      <c r="I433" s="113"/>
      <c r="J433" s="113"/>
      <c r="K433" s="113"/>
      <c r="L433" s="113"/>
      <c r="M433" s="113"/>
      <c r="N433" s="113"/>
      <c r="O433" s="124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</row>
    <row x14ac:dyDescent="0.25" r="434" customHeight="1" ht="15.75">
      <c r="A434" s="123"/>
      <c r="B434" s="123"/>
      <c r="C434" s="124"/>
      <c r="D434" s="124"/>
      <c r="E434" s="124"/>
      <c r="F434" s="113"/>
      <c r="G434" s="113"/>
      <c r="H434" s="113"/>
      <c r="I434" s="113"/>
      <c r="J434" s="113"/>
      <c r="K434" s="113"/>
      <c r="L434" s="113"/>
      <c r="M434" s="113"/>
      <c r="N434" s="113"/>
      <c r="O434" s="124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</row>
    <row x14ac:dyDescent="0.25" r="435" customHeight="1" ht="15.75">
      <c r="A435" s="123"/>
      <c r="B435" s="123"/>
      <c r="C435" s="124"/>
      <c r="D435" s="124"/>
      <c r="E435" s="124"/>
      <c r="F435" s="113"/>
      <c r="G435" s="113"/>
      <c r="H435" s="113"/>
      <c r="I435" s="113"/>
      <c r="J435" s="113"/>
      <c r="K435" s="113"/>
      <c r="L435" s="113"/>
      <c r="M435" s="113"/>
      <c r="N435" s="113"/>
      <c r="O435" s="124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</row>
    <row x14ac:dyDescent="0.25" r="436" customHeight="1" ht="15.75">
      <c r="A436" s="123"/>
      <c r="B436" s="123"/>
      <c r="C436" s="124"/>
      <c r="D436" s="124"/>
      <c r="E436" s="124"/>
      <c r="F436" s="113"/>
      <c r="G436" s="113"/>
      <c r="H436" s="113"/>
      <c r="I436" s="113"/>
      <c r="J436" s="113"/>
      <c r="K436" s="113"/>
      <c r="L436" s="113"/>
      <c r="M436" s="113"/>
      <c r="N436" s="113"/>
      <c r="O436" s="124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</row>
    <row x14ac:dyDescent="0.25" r="437" customHeight="1" ht="15.75">
      <c r="A437" s="123"/>
      <c r="B437" s="123"/>
      <c r="C437" s="124"/>
      <c r="D437" s="124"/>
      <c r="E437" s="124"/>
      <c r="F437" s="113"/>
      <c r="G437" s="113"/>
      <c r="H437" s="113"/>
      <c r="I437" s="113"/>
      <c r="J437" s="113"/>
      <c r="K437" s="113"/>
      <c r="L437" s="113"/>
      <c r="M437" s="113"/>
      <c r="N437" s="113"/>
      <c r="O437" s="124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</row>
    <row x14ac:dyDescent="0.25" r="438" customHeight="1" ht="15.75">
      <c r="A438" s="123"/>
      <c r="B438" s="123"/>
      <c r="C438" s="124"/>
      <c r="D438" s="124"/>
      <c r="E438" s="124"/>
      <c r="F438" s="113"/>
      <c r="G438" s="113"/>
      <c r="H438" s="113"/>
      <c r="I438" s="113"/>
      <c r="J438" s="113"/>
      <c r="K438" s="113"/>
      <c r="L438" s="113"/>
      <c r="M438" s="113"/>
      <c r="N438" s="113"/>
      <c r="O438" s="124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</row>
    <row x14ac:dyDescent="0.25" r="439" customHeight="1" ht="15.75">
      <c r="A439" s="123"/>
      <c r="B439" s="123"/>
      <c r="C439" s="124"/>
      <c r="D439" s="124"/>
      <c r="E439" s="124"/>
      <c r="F439" s="113"/>
      <c r="G439" s="113"/>
      <c r="H439" s="113"/>
      <c r="I439" s="113"/>
      <c r="J439" s="113"/>
      <c r="K439" s="113"/>
      <c r="L439" s="113"/>
      <c r="M439" s="113"/>
      <c r="N439" s="113"/>
      <c r="O439" s="124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</row>
    <row x14ac:dyDescent="0.25" r="440" customHeight="1" ht="15.75">
      <c r="A440" s="123"/>
      <c r="B440" s="123"/>
      <c r="C440" s="124"/>
      <c r="D440" s="124"/>
      <c r="E440" s="124"/>
      <c r="F440" s="113"/>
      <c r="G440" s="113"/>
      <c r="H440" s="113"/>
      <c r="I440" s="113"/>
      <c r="J440" s="113"/>
      <c r="K440" s="113"/>
      <c r="L440" s="113"/>
      <c r="M440" s="113"/>
      <c r="N440" s="113"/>
      <c r="O440" s="124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</row>
    <row x14ac:dyDescent="0.25" r="441" customHeight="1" ht="15.75">
      <c r="A441" s="123"/>
      <c r="B441" s="123"/>
      <c r="C441" s="124"/>
      <c r="D441" s="124"/>
      <c r="E441" s="124"/>
      <c r="F441" s="113"/>
      <c r="G441" s="113"/>
      <c r="H441" s="113"/>
      <c r="I441" s="113"/>
      <c r="J441" s="113"/>
      <c r="K441" s="113"/>
      <c r="L441" s="113"/>
      <c r="M441" s="113"/>
      <c r="N441" s="113"/>
      <c r="O441" s="124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</row>
    <row x14ac:dyDescent="0.25" r="442" customHeight="1" ht="15.75">
      <c r="A442" s="123"/>
      <c r="B442" s="123"/>
      <c r="C442" s="124"/>
      <c r="D442" s="124"/>
      <c r="E442" s="124"/>
      <c r="F442" s="113"/>
      <c r="G442" s="113"/>
      <c r="H442" s="113"/>
      <c r="I442" s="113"/>
      <c r="J442" s="113"/>
      <c r="K442" s="113"/>
      <c r="L442" s="113"/>
      <c r="M442" s="113"/>
      <c r="N442" s="113"/>
      <c r="O442" s="124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</row>
    <row x14ac:dyDescent="0.25" r="443" customHeight="1" ht="15.75">
      <c r="A443" s="123"/>
      <c r="B443" s="123"/>
      <c r="C443" s="124"/>
      <c r="D443" s="124"/>
      <c r="E443" s="124"/>
      <c r="F443" s="113"/>
      <c r="G443" s="113"/>
      <c r="H443" s="113"/>
      <c r="I443" s="113"/>
      <c r="J443" s="113"/>
      <c r="K443" s="113"/>
      <c r="L443" s="113"/>
      <c r="M443" s="113"/>
      <c r="N443" s="113"/>
      <c r="O443" s="124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</row>
    <row x14ac:dyDescent="0.25" r="444" customHeight="1" ht="15.75">
      <c r="A444" s="123"/>
      <c r="B444" s="123"/>
      <c r="C444" s="124"/>
      <c r="D444" s="124"/>
      <c r="E444" s="124"/>
      <c r="F444" s="113"/>
      <c r="G444" s="113"/>
      <c r="H444" s="113"/>
      <c r="I444" s="113"/>
      <c r="J444" s="113"/>
      <c r="K444" s="113"/>
      <c r="L444" s="113"/>
      <c r="M444" s="113"/>
      <c r="N444" s="113"/>
      <c r="O444" s="124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</row>
    <row x14ac:dyDescent="0.25" r="445" customHeight="1" ht="15.75">
      <c r="A445" s="123"/>
      <c r="B445" s="123"/>
      <c r="C445" s="124"/>
      <c r="D445" s="124"/>
      <c r="E445" s="124"/>
      <c r="F445" s="113"/>
      <c r="G445" s="113"/>
      <c r="H445" s="113"/>
      <c r="I445" s="113"/>
      <c r="J445" s="113"/>
      <c r="K445" s="113"/>
      <c r="L445" s="113"/>
      <c r="M445" s="113"/>
      <c r="N445" s="113"/>
      <c r="O445" s="124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</row>
    <row x14ac:dyDescent="0.25" r="446" customHeight="1" ht="15.75">
      <c r="A446" s="123"/>
      <c r="B446" s="123"/>
      <c r="C446" s="124"/>
      <c r="D446" s="124"/>
      <c r="E446" s="124"/>
      <c r="F446" s="113"/>
      <c r="G446" s="113"/>
      <c r="H446" s="113"/>
      <c r="I446" s="113"/>
      <c r="J446" s="113"/>
      <c r="K446" s="113"/>
      <c r="L446" s="113"/>
      <c r="M446" s="113"/>
      <c r="N446" s="113"/>
      <c r="O446" s="124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</row>
    <row x14ac:dyDescent="0.25" r="447" customHeight="1" ht="15.75">
      <c r="A447" s="123"/>
      <c r="B447" s="123"/>
      <c r="C447" s="124"/>
      <c r="D447" s="124"/>
      <c r="E447" s="124"/>
      <c r="F447" s="113"/>
      <c r="G447" s="113"/>
      <c r="H447" s="113"/>
      <c r="I447" s="113"/>
      <c r="J447" s="113"/>
      <c r="K447" s="113"/>
      <c r="L447" s="113"/>
      <c r="M447" s="113"/>
      <c r="N447" s="113"/>
      <c r="O447" s="124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</row>
    <row x14ac:dyDescent="0.25" r="448" customHeight="1" ht="15.75">
      <c r="A448" s="123"/>
      <c r="B448" s="123"/>
      <c r="C448" s="124"/>
      <c r="D448" s="124"/>
      <c r="E448" s="124"/>
      <c r="F448" s="113"/>
      <c r="G448" s="113"/>
      <c r="H448" s="113"/>
      <c r="I448" s="113"/>
      <c r="J448" s="113"/>
      <c r="K448" s="113"/>
      <c r="L448" s="113"/>
      <c r="M448" s="113"/>
      <c r="N448" s="113"/>
      <c r="O448" s="124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</row>
    <row x14ac:dyDescent="0.25" r="449" customHeight="1" ht="15.75">
      <c r="A449" s="123"/>
      <c r="B449" s="123"/>
      <c r="C449" s="124"/>
      <c r="D449" s="124"/>
      <c r="E449" s="124"/>
      <c r="F449" s="113"/>
      <c r="G449" s="113"/>
      <c r="H449" s="113"/>
      <c r="I449" s="113"/>
      <c r="J449" s="113"/>
      <c r="K449" s="113"/>
      <c r="L449" s="113"/>
      <c r="M449" s="113"/>
      <c r="N449" s="113"/>
      <c r="O449" s="124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</row>
    <row x14ac:dyDescent="0.25" r="450" customHeight="1" ht="15.75">
      <c r="A450" s="123"/>
      <c r="B450" s="123"/>
      <c r="C450" s="124"/>
      <c r="D450" s="124"/>
      <c r="E450" s="124"/>
      <c r="F450" s="113"/>
      <c r="G450" s="113"/>
      <c r="H450" s="113"/>
      <c r="I450" s="113"/>
      <c r="J450" s="113"/>
      <c r="K450" s="113"/>
      <c r="L450" s="113"/>
      <c r="M450" s="113"/>
      <c r="N450" s="113"/>
      <c r="O450" s="124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</row>
    <row x14ac:dyDescent="0.25" r="451" customHeight="1" ht="15.75">
      <c r="A451" s="123"/>
      <c r="B451" s="123"/>
      <c r="C451" s="124"/>
      <c r="D451" s="124"/>
      <c r="E451" s="124"/>
      <c r="F451" s="113"/>
      <c r="G451" s="113"/>
      <c r="H451" s="113"/>
      <c r="I451" s="113"/>
      <c r="J451" s="113"/>
      <c r="K451" s="113"/>
      <c r="L451" s="113"/>
      <c r="M451" s="113"/>
      <c r="N451" s="113"/>
      <c r="O451" s="124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</row>
    <row x14ac:dyDescent="0.25" r="452" customHeight="1" ht="15.75">
      <c r="A452" s="123"/>
      <c r="B452" s="123"/>
      <c r="C452" s="124"/>
      <c r="D452" s="124"/>
      <c r="E452" s="124"/>
      <c r="F452" s="113"/>
      <c r="G452" s="113"/>
      <c r="H452" s="113"/>
      <c r="I452" s="113"/>
      <c r="J452" s="113"/>
      <c r="K452" s="113"/>
      <c r="L452" s="113"/>
      <c r="M452" s="113"/>
      <c r="N452" s="113"/>
      <c r="O452" s="124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</row>
    <row x14ac:dyDescent="0.25" r="453" customHeight="1" ht="15.75">
      <c r="A453" s="123"/>
      <c r="B453" s="123"/>
      <c r="C453" s="124"/>
      <c r="D453" s="124"/>
      <c r="E453" s="124"/>
      <c r="F453" s="113"/>
      <c r="G453" s="113"/>
      <c r="H453" s="113"/>
      <c r="I453" s="113"/>
      <c r="J453" s="113"/>
      <c r="K453" s="113"/>
      <c r="L453" s="113"/>
      <c r="M453" s="113"/>
      <c r="N453" s="113"/>
      <c r="O453" s="124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</row>
    <row x14ac:dyDescent="0.25" r="454" customHeight="1" ht="15.75">
      <c r="A454" s="123"/>
      <c r="B454" s="123"/>
      <c r="C454" s="124"/>
      <c r="D454" s="124"/>
      <c r="E454" s="124"/>
      <c r="F454" s="113"/>
      <c r="G454" s="113"/>
      <c r="H454" s="113"/>
      <c r="I454" s="113"/>
      <c r="J454" s="113"/>
      <c r="K454" s="113"/>
      <c r="L454" s="113"/>
      <c r="M454" s="113"/>
      <c r="N454" s="113"/>
      <c r="O454" s="124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</row>
    <row x14ac:dyDescent="0.25" r="455" customHeight="1" ht="15.75">
      <c r="A455" s="123"/>
      <c r="B455" s="123"/>
      <c r="C455" s="124"/>
      <c r="D455" s="124"/>
      <c r="E455" s="124"/>
      <c r="F455" s="113"/>
      <c r="G455" s="113"/>
      <c r="H455" s="113"/>
      <c r="I455" s="113"/>
      <c r="J455" s="113"/>
      <c r="K455" s="113"/>
      <c r="L455" s="113"/>
      <c r="M455" s="113"/>
      <c r="N455" s="113"/>
      <c r="O455" s="124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</row>
    <row x14ac:dyDescent="0.25" r="456" customHeight="1" ht="15.75">
      <c r="A456" s="123"/>
      <c r="B456" s="123"/>
      <c r="C456" s="124"/>
      <c r="D456" s="124"/>
      <c r="E456" s="124"/>
      <c r="F456" s="113"/>
      <c r="G456" s="113"/>
      <c r="H456" s="113"/>
      <c r="I456" s="113"/>
      <c r="J456" s="113"/>
      <c r="K456" s="113"/>
      <c r="L456" s="113"/>
      <c r="M456" s="113"/>
      <c r="N456" s="113"/>
      <c r="O456" s="124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</row>
    <row x14ac:dyDescent="0.25" r="457" customHeight="1" ht="15.75">
      <c r="A457" s="123"/>
      <c r="B457" s="123"/>
      <c r="C457" s="124"/>
      <c r="D457" s="124"/>
      <c r="E457" s="124"/>
      <c r="F457" s="113"/>
      <c r="G457" s="113"/>
      <c r="H457" s="113"/>
      <c r="I457" s="113"/>
      <c r="J457" s="113"/>
      <c r="K457" s="113"/>
      <c r="L457" s="113"/>
      <c r="M457" s="113"/>
      <c r="N457" s="113"/>
      <c r="O457" s="124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</row>
    <row x14ac:dyDescent="0.25" r="458" customHeight="1" ht="15.75">
      <c r="A458" s="123"/>
      <c r="B458" s="123"/>
      <c r="C458" s="124"/>
      <c r="D458" s="124"/>
      <c r="E458" s="124"/>
      <c r="F458" s="113"/>
      <c r="G458" s="113"/>
      <c r="H458" s="113"/>
      <c r="I458" s="113"/>
      <c r="J458" s="113"/>
      <c r="K458" s="113"/>
      <c r="L458" s="113"/>
      <c r="M458" s="113"/>
      <c r="N458" s="113"/>
      <c r="O458" s="124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</row>
    <row x14ac:dyDescent="0.25" r="459" customHeight="1" ht="15.75">
      <c r="A459" s="123"/>
      <c r="B459" s="123"/>
      <c r="C459" s="124"/>
      <c r="D459" s="124"/>
      <c r="E459" s="124"/>
      <c r="F459" s="113"/>
      <c r="G459" s="113"/>
      <c r="H459" s="113"/>
      <c r="I459" s="113"/>
      <c r="J459" s="113"/>
      <c r="K459" s="113"/>
      <c r="L459" s="113"/>
      <c r="M459" s="113"/>
      <c r="N459" s="113"/>
      <c r="O459" s="124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</row>
    <row x14ac:dyDescent="0.25" r="460" customHeight="1" ht="15.75">
      <c r="A460" s="123"/>
      <c r="B460" s="123"/>
      <c r="C460" s="124"/>
      <c r="D460" s="124"/>
      <c r="E460" s="124"/>
      <c r="F460" s="113"/>
      <c r="G460" s="113"/>
      <c r="H460" s="113"/>
      <c r="I460" s="113"/>
      <c r="J460" s="113"/>
      <c r="K460" s="113"/>
      <c r="L460" s="113"/>
      <c r="M460" s="113"/>
      <c r="N460" s="113"/>
      <c r="O460" s="124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</row>
    <row x14ac:dyDescent="0.25" r="461" customHeight="1" ht="15.75">
      <c r="A461" s="123"/>
      <c r="B461" s="123"/>
      <c r="C461" s="124"/>
      <c r="D461" s="124"/>
      <c r="E461" s="124"/>
      <c r="F461" s="113"/>
      <c r="G461" s="113"/>
      <c r="H461" s="113"/>
      <c r="I461" s="113"/>
      <c r="J461" s="113"/>
      <c r="K461" s="113"/>
      <c r="L461" s="113"/>
      <c r="M461" s="113"/>
      <c r="N461" s="113"/>
      <c r="O461" s="124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</row>
    <row x14ac:dyDescent="0.25" r="462" customHeight="1" ht="15.75">
      <c r="A462" s="123"/>
      <c r="B462" s="123"/>
      <c r="C462" s="124"/>
      <c r="D462" s="124"/>
      <c r="E462" s="124"/>
      <c r="F462" s="113"/>
      <c r="G462" s="113"/>
      <c r="H462" s="113"/>
      <c r="I462" s="113"/>
      <c r="J462" s="113"/>
      <c r="K462" s="113"/>
      <c r="L462" s="113"/>
      <c r="M462" s="113"/>
      <c r="N462" s="113"/>
      <c r="O462" s="124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</row>
    <row x14ac:dyDescent="0.25" r="463" customHeight="1" ht="15.75">
      <c r="A463" s="123"/>
      <c r="B463" s="123"/>
      <c r="C463" s="124"/>
      <c r="D463" s="124"/>
      <c r="E463" s="124"/>
      <c r="F463" s="113"/>
      <c r="G463" s="113"/>
      <c r="H463" s="113"/>
      <c r="I463" s="113"/>
      <c r="J463" s="113"/>
      <c r="K463" s="113"/>
      <c r="L463" s="113"/>
      <c r="M463" s="113"/>
      <c r="N463" s="113"/>
      <c r="O463" s="124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</row>
    <row x14ac:dyDescent="0.25" r="464" customHeight="1" ht="15.75">
      <c r="A464" s="123"/>
      <c r="B464" s="123"/>
      <c r="C464" s="124"/>
      <c r="D464" s="124"/>
      <c r="E464" s="124"/>
      <c r="F464" s="113"/>
      <c r="G464" s="113"/>
      <c r="H464" s="113"/>
      <c r="I464" s="113"/>
      <c r="J464" s="113"/>
      <c r="K464" s="113"/>
      <c r="L464" s="113"/>
      <c r="M464" s="113"/>
      <c r="N464" s="113"/>
      <c r="O464" s="124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</row>
    <row x14ac:dyDescent="0.25" r="465" customHeight="1" ht="15.75">
      <c r="A465" s="123"/>
      <c r="B465" s="123"/>
      <c r="C465" s="124"/>
      <c r="D465" s="124"/>
      <c r="E465" s="124"/>
      <c r="F465" s="113"/>
      <c r="G465" s="113"/>
      <c r="H465" s="113"/>
      <c r="I465" s="113"/>
      <c r="J465" s="113"/>
      <c r="K465" s="113"/>
      <c r="L465" s="113"/>
      <c r="M465" s="113"/>
      <c r="N465" s="113"/>
      <c r="O465" s="124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</row>
    <row x14ac:dyDescent="0.25" r="466" customHeight="1" ht="15.75">
      <c r="A466" s="123"/>
      <c r="B466" s="123"/>
      <c r="C466" s="124"/>
      <c r="D466" s="124"/>
      <c r="E466" s="124"/>
      <c r="F466" s="113"/>
      <c r="G466" s="113"/>
      <c r="H466" s="113"/>
      <c r="I466" s="113"/>
      <c r="J466" s="113"/>
      <c r="K466" s="113"/>
      <c r="L466" s="113"/>
      <c r="M466" s="113"/>
      <c r="N466" s="113"/>
      <c r="O466" s="124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</row>
    <row x14ac:dyDescent="0.25" r="467" customHeight="1" ht="15.75">
      <c r="A467" s="123"/>
      <c r="B467" s="123"/>
      <c r="C467" s="124"/>
      <c r="D467" s="124"/>
      <c r="E467" s="124"/>
      <c r="F467" s="113"/>
      <c r="G467" s="113"/>
      <c r="H467" s="113"/>
      <c r="I467" s="113"/>
      <c r="J467" s="113"/>
      <c r="K467" s="113"/>
      <c r="L467" s="113"/>
      <c r="M467" s="113"/>
      <c r="N467" s="113"/>
      <c r="O467" s="124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</row>
    <row x14ac:dyDescent="0.25" r="468" customHeight="1" ht="15.75">
      <c r="A468" s="123"/>
      <c r="B468" s="123"/>
      <c r="C468" s="124"/>
      <c r="D468" s="124"/>
      <c r="E468" s="124"/>
      <c r="F468" s="113"/>
      <c r="G468" s="113"/>
      <c r="H468" s="113"/>
      <c r="I468" s="113"/>
      <c r="J468" s="113"/>
      <c r="K468" s="113"/>
      <c r="L468" s="113"/>
      <c r="M468" s="113"/>
      <c r="N468" s="113"/>
      <c r="O468" s="124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</row>
    <row x14ac:dyDescent="0.25" r="469" customHeight="1" ht="15.75">
      <c r="A469" s="123"/>
      <c r="B469" s="123"/>
      <c r="C469" s="124"/>
      <c r="D469" s="124"/>
      <c r="E469" s="124"/>
      <c r="F469" s="113"/>
      <c r="G469" s="113"/>
      <c r="H469" s="113"/>
      <c r="I469" s="113"/>
      <c r="J469" s="113"/>
      <c r="K469" s="113"/>
      <c r="L469" s="113"/>
      <c r="M469" s="113"/>
      <c r="N469" s="113"/>
      <c r="O469" s="124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</row>
    <row x14ac:dyDescent="0.25" r="470" customHeight="1" ht="15.75">
      <c r="A470" s="123"/>
      <c r="B470" s="123"/>
      <c r="C470" s="124"/>
      <c r="D470" s="124"/>
      <c r="E470" s="124"/>
      <c r="F470" s="113"/>
      <c r="G470" s="113"/>
      <c r="H470" s="113"/>
      <c r="I470" s="113"/>
      <c r="J470" s="113"/>
      <c r="K470" s="113"/>
      <c r="L470" s="113"/>
      <c r="M470" s="113"/>
      <c r="N470" s="113"/>
      <c r="O470" s="124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</row>
    <row x14ac:dyDescent="0.25" r="471" customHeight="1" ht="15.75">
      <c r="A471" s="123"/>
      <c r="B471" s="123"/>
      <c r="C471" s="124"/>
      <c r="D471" s="124"/>
      <c r="E471" s="124"/>
      <c r="F471" s="113"/>
      <c r="G471" s="113"/>
      <c r="H471" s="113"/>
      <c r="I471" s="113"/>
      <c r="J471" s="113"/>
      <c r="K471" s="113"/>
      <c r="L471" s="113"/>
      <c r="M471" s="113"/>
      <c r="N471" s="113"/>
      <c r="O471" s="124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</row>
    <row x14ac:dyDescent="0.25" r="472" customHeight="1" ht="15.75">
      <c r="A472" s="123"/>
      <c r="B472" s="123"/>
      <c r="C472" s="124"/>
      <c r="D472" s="124"/>
      <c r="E472" s="124"/>
      <c r="F472" s="113"/>
      <c r="G472" s="113"/>
      <c r="H472" s="113"/>
      <c r="I472" s="113"/>
      <c r="J472" s="113"/>
      <c r="K472" s="113"/>
      <c r="L472" s="113"/>
      <c r="M472" s="113"/>
      <c r="N472" s="113"/>
      <c r="O472" s="124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</row>
    <row x14ac:dyDescent="0.25" r="473" customHeight="1" ht="15.75">
      <c r="A473" s="123"/>
      <c r="B473" s="123"/>
      <c r="C473" s="124"/>
      <c r="D473" s="124"/>
      <c r="E473" s="124"/>
      <c r="F473" s="113"/>
      <c r="G473" s="113"/>
      <c r="H473" s="113"/>
      <c r="I473" s="113"/>
      <c r="J473" s="113"/>
      <c r="K473" s="113"/>
      <c r="L473" s="113"/>
      <c r="M473" s="113"/>
      <c r="N473" s="113"/>
      <c r="O473" s="124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</row>
    <row x14ac:dyDescent="0.25" r="474" customHeight="1" ht="15.75">
      <c r="A474" s="123"/>
      <c r="B474" s="123"/>
      <c r="C474" s="124"/>
      <c r="D474" s="124"/>
      <c r="E474" s="124"/>
      <c r="F474" s="113"/>
      <c r="G474" s="113"/>
      <c r="H474" s="113"/>
      <c r="I474" s="113"/>
      <c r="J474" s="113"/>
      <c r="K474" s="113"/>
      <c r="L474" s="113"/>
      <c r="M474" s="113"/>
      <c r="N474" s="113"/>
      <c r="O474" s="124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</row>
    <row x14ac:dyDescent="0.25" r="475" customHeight="1" ht="15.75">
      <c r="A475" s="123"/>
      <c r="B475" s="123"/>
      <c r="C475" s="124"/>
      <c r="D475" s="124"/>
      <c r="E475" s="124"/>
      <c r="F475" s="113"/>
      <c r="G475" s="113"/>
      <c r="H475" s="113"/>
      <c r="I475" s="113"/>
      <c r="J475" s="113"/>
      <c r="K475" s="113"/>
      <c r="L475" s="113"/>
      <c r="M475" s="113"/>
      <c r="N475" s="113"/>
      <c r="O475" s="124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</row>
    <row x14ac:dyDescent="0.25" r="476" customHeight="1" ht="15.75">
      <c r="A476" s="123"/>
      <c r="B476" s="123"/>
      <c r="C476" s="124"/>
      <c r="D476" s="124"/>
      <c r="E476" s="124"/>
      <c r="F476" s="113"/>
      <c r="G476" s="113"/>
      <c r="H476" s="113"/>
      <c r="I476" s="113"/>
      <c r="J476" s="113"/>
      <c r="K476" s="113"/>
      <c r="L476" s="113"/>
      <c r="M476" s="113"/>
      <c r="N476" s="113"/>
      <c r="O476" s="124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</row>
    <row x14ac:dyDescent="0.25" r="477" customHeight="1" ht="15.75">
      <c r="A477" s="123"/>
      <c r="B477" s="123"/>
      <c r="C477" s="124"/>
      <c r="D477" s="124"/>
      <c r="E477" s="124"/>
      <c r="F477" s="113"/>
      <c r="G477" s="113"/>
      <c r="H477" s="113"/>
      <c r="I477" s="113"/>
      <c r="J477" s="113"/>
      <c r="K477" s="113"/>
      <c r="L477" s="113"/>
      <c r="M477" s="113"/>
      <c r="N477" s="113"/>
      <c r="O477" s="124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</row>
    <row x14ac:dyDescent="0.25" r="478" customHeight="1" ht="15.75">
      <c r="A478" s="123"/>
      <c r="B478" s="123"/>
      <c r="C478" s="124"/>
      <c r="D478" s="124"/>
      <c r="E478" s="124"/>
      <c r="F478" s="113"/>
      <c r="G478" s="113"/>
      <c r="H478" s="113"/>
      <c r="I478" s="113"/>
      <c r="J478" s="113"/>
      <c r="K478" s="113"/>
      <c r="L478" s="113"/>
      <c r="M478" s="113"/>
      <c r="N478" s="113"/>
      <c r="O478" s="124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</row>
    <row x14ac:dyDescent="0.25" r="479" customHeight="1" ht="15.75">
      <c r="A479" s="123"/>
      <c r="B479" s="123"/>
      <c r="C479" s="124"/>
      <c r="D479" s="124"/>
      <c r="E479" s="124"/>
      <c r="F479" s="113"/>
      <c r="G479" s="113"/>
      <c r="H479" s="113"/>
      <c r="I479" s="113"/>
      <c r="J479" s="113"/>
      <c r="K479" s="113"/>
      <c r="L479" s="113"/>
      <c r="M479" s="113"/>
      <c r="N479" s="113"/>
      <c r="O479" s="124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</row>
    <row x14ac:dyDescent="0.25" r="480" customHeight="1" ht="15.75">
      <c r="A480" s="123"/>
      <c r="B480" s="123"/>
      <c r="C480" s="124"/>
      <c r="D480" s="124"/>
      <c r="E480" s="124"/>
      <c r="F480" s="113"/>
      <c r="G480" s="113"/>
      <c r="H480" s="113"/>
      <c r="I480" s="113"/>
      <c r="J480" s="113"/>
      <c r="K480" s="113"/>
      <c r="L480" s="113"/>
      <c r="M480" s="113"/>
      <c r="N480" s="113"/>
      <c r="O480" s="124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</row>
    <row x14ac:dyDescent="0.25" r="481" customHeight="1" ht="15.75">
      <c r="A481" s="123"/>
      <c r="B481" s="123"/>
      <c r="C481" s="124"/>
      <c r="D481" s="124"/>
      <c r="E481" s="124"/>
      <c r="F481" s="113"/>
      <c r="G481" s="113"/>
      <c r="H481" s="113"/>
      <c r="I481" s="113"/>
      <c r="J481" s="113"/>
      <c r="K481" s="113"/>
      <c r="L481" s="113"/>
      <c r="M481" s="113"/>
      <c r="N481" s="113"/>
      <c r="O481" s="124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</row>
    <row x14ac:dyDescent="0.25" r="482" customHeight="1" ht="15.75">
      <c r="A482" s="123"/>
      <c r="B482" s="123"/>
      <c r="C482" s="124"/>
      <c r="D482" s="124"/>
      <c r="E482" s="124"/>
      <c r="F482" s="113"/>
      <c r="G482" s="113"/>
      <c r="H482" s="113"/>
      <c r="I482" s="113"/>
      <c r="J482" s="113"/>
      <c r="K482" s="113"/>
      <c r="L482" s="113"/>
      <c r="M482" s="113"/>
      <c r="N482" s="113"/>
      <c r="O482" s="124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</row>
    <row x14ac:dyDescent="0.25" r="483" customHeight="1" ht="15.75">
      <c r="A483" s="123"/>
      <c r="B483" s="123"/>
      <c r="C483" s="124"/>
      <c r="D483" s="124"/>
      <c r="E483" s="124"/>
      <c r="F483" s="113"/>
      <c r="G483" s="113"/>
      <c r="H483" s="113"/>
      <c r="I483" s="113"/>
      <c r="J483" s="113"/>
      <c r="K483" s="113"/>
      <c r="L483" s="113"/>
      <c r="M483" s="113"/>
      <c r="N483" s="113"/>
      <c r="O483" s="124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</row>
    <row x14ac:dyDescent="0.25" r="484" customHeight="1" ht="15.75">
      <c r="A484" s="123"/>
      <c r="B484" s="123"/>
      <c r="C484" s="124"/>
      <c r="D484" s="124"/>
      <c r="E484" s="124"/>
      <c r="F484" s="113"/>
      <c r="G484" s="113"/>
      <c r="H484" s="113"/>
      <c r="I484" s="113"/>
      <c r="J484" s="113"/>
      <c r="K484" s="113"/>
      <c r="L484" s="113"/>
      <c r="M484" s="113"/>
      <c r="N484" s="113"/>
      <c r="O484" s="124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</row>
    <row x14ac:dyDescent="0.25" r="485" customHeight="1" ht="15.75">
      <c r="A485" s="123"/>
      <c r="B485" s="123"/>
      <c r="C485" s="124"/>
      <c r="D485" s="124"/>
      <c r="E485" s="124"/>
      <c r="F485" s="113"/>
      <c r="G485" s="113"/>
      <c r="H485" s="113"/>
      <c r="I485" s="113"/>
      <c r="J485" s="113"/>
      <c r="K485" s="113"/>
      <c r="L485" s="113"/>
      <c r="M485" s="113"/>
      <c r="N485" s="113"/>
      <c r="O485" s="124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</row>
    <row x14ac:dyDescent="0.25" r="486" customHeight="1" ht="15.75">
      <c r="A486" s="123"/>
      <c r="B486" s="123"/>
      <c r="C486" s="124"/>
      <c r="D486" s="124"/>
      <c r="E486" s="124"/>
      <c r="F486" s="113"/>
      <c r="G486" s="113"/>
      <c r="H486" s="113"/>
      <c r="I486" s="113"/>
      <c r="J486" s="113"/>
      <c r="K486" s="113"/>
      <c r="L486" s="113"/>
      <c r="M486" s="113"/>
      <c r="N486" s="113"/>
      <c r="O486" s="124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</row>
    <row x14ac:dyDescent="0.25" r="487" customHeight="1" ht="15.75">
      <c r="A487" s="123"/>
      <c r="B487" s="123"/>
      <c r="C487" s="124"/>
      <c r="D487" s="124"/>
      <c r="E487" s="124"/>
      <c r="F487" s="113"/>
      <c r="G487" s="113"/>
      <c r="H487" s="113"/>
      <c r="I487" s="113"/>
      <c r="J487" s="113"/>
      <c r="K487" s="113"/>
      <c r="L487" s="113"/>
      <c r="M487" s="113"/>
      <c r="N487" s="113"/>
      <c r="O487" s="124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</row>
    <row x14ac:dyDescent="0.25" r="488" customHeight="1" ht="15.75">
      <c r="A488" s="123"/>
      <c r="B488" s="123"/>
      <c r="C488" s="124"/>
      <c r="D488" s="124"/>
      <c r="E488" s="124"/>
      <c r="F488" s="113"/>
      <c r="G488" s="113"/>
      <c r="H488" s="113"/>
      <c r="I488" s="113"/>
      <c r="J488" s="113"/>
      <c r="K488" s="113"/>
      <c r="L488" s="113"/>
      <c r="M488" s="113"/>
      <c r="N488" s="113"/>
      <c r="O488" s="124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</row>
    <row x14ac:dyDescent="0.25" r="489" customHeight="1" ht="15.75">
      <c r="A489" s="123"/>
      <c r="B489" s="123"/>
      <c r="C489" s="124"/>
      <c r="D489" s="124"/>
      <c r="E489" s="124"/>
      <c r="F489" s="113"/>
      <c r="G489" s="113"/>
      <c r="H489" s="113"/>
      <c r="I489" s="113"/>
      <c r="J489" s="113"/>
      <c r="K489" s="113"/>
      <c r="L489" s="113"/>
      <c r="M489" s="113"/>
      <c r="N489" s="113"/>
      <c r="O489" s="124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</row>
    <row x14ac:dyDescent="0.25" r="490" customHeight="1" ht="15.75">
      <c r="A490" s="123"/>
      <c r="B490" s="123"/>
      <c r="C490" s="124"/>
      <c r="D490" s="124"/>
      <c r="E490" s="124"/>
      <c r="F490" s="113"/>
      <c r="G490" s="113"/>
      <c r="H490" s="113"/>
      <c r="I490" s="113"/>
      <c r="J490" s="113"/>
      <c r="K490" s="113"/>
      <c r="L490" s="113"/>
      <c r="M490" s="113"/>
      <c r="N490" s="113"/>
      <c r="O490" s="124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</row>
    <row x14ac:dyDescent="0.25" r="491" customHeight="1" ht="15.75">
      <c r="A491" s="123"/>
      <c r="B491" s="123"/>
      <c r="C491" s="124"/>
      <c r="D491" s="124"/>
      <c r="E491" s="124"/>
      <c r="F491" s="113"/>
      <c r="G491" s="113"/>
      <c r="H491" s="113"/>
      <c r="I491" s="113"/>
      <c r="J491" s="113"/>
      <c r="K491" s="113"/>
      <c r="L491" s="113"/>
      <c r="M491" s="113"/>
      <c r="N491" s="113"/>
      <c r="O491" s="124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</row>
    <row x14ac:dyDescent="0.25" r="492" customHeight="1" ht="15.75">
      <c r="A492" s="123"/>
      <c r="B492" s="123"/>
      <c r="C492" s="124"/>
      <c r="D492" s="124"/>
      <c r="E492" s="124"/>
      <c r="F492" s="113"/>
      <c r="G492" s="113"/>
      <c r="H492" s="113"/>
      <c r="I492" s="113"/>
      <c r="J492" s="113"/>
      <c r="K492" s="113"/>
      <c r="L492" s="113"/>
      <c r="M492" s="113"/>
      <c r="N492" s="113"/>
      <c r="O492" s="124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</row>
    <row x14ac:dyDescent="0.25" r="493" customHeight="1" ht="15.75">
      <c r="A493" s="123"/>
      <c r="B493" s="123"/>
      <c r="C493" s="124"/>
      <c r="D493" s="124"/>
      <c r="E493" s="124"/>
      <c r="F493" s="113"/>
      <c r="G493" s="113"/>
      <c r="H493" s="113"/>
      <c r="I493" s="113"/>
      <c r="J493" s="113"/>
      <c r="K493" s="113"/>
      <c r="L493" s="113"/>
      <c r="M493" s="113"/>
      <c r="N493" s="113"/>
      <c r="O493" s="124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</row>
    <row x14ac:dyDescent="0.25" r="494" customHeight="1" ht="15.75">
      <c r="A494" s="123"/>
      <c r="B494" s="123"/>
      <c r="C494" s="124"/>
      <c r="D494" s="124"/>
      <c r="E494" s="124"/>
      <c r="F494" s="113"/>
      <c r="G494" s="113"/>
      <c r="H494" s="113"/>
      <c r="I494" s="113"/>
      <c r="J494" s="113"/>
      <c r="K494" s="113"/>
      <c r="L494" s="113"/>
      <c r="M494" s="113"/>
      <c r="N494" s="113"/>
      <c r="O494" s="124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</row>
    <row x14ac:dyDescent="0.25" r="495" customHeight="1" ht="15.75">
      <c r="A495" s="123"/>
      <c r="B495" s="123"/>
      <c r="C495" s="124"/>
      <c r="D495" s="124"/>
      <c r="E495" s="124"/>
      <c r="F495" s="113"/>
      <c r="G495" s="113"/>
      <c r="H495" s="113"/>
      <c r="I495" s="113"/>
      <c r="J495" s="113"/>
      <c r="K495" s="113"/>
      <c r="L495" s="113"/>
      <c r="M495" s="113"/>
      <c r="N495" s="113"/>
      <c r="O495" s="124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</row>
    <row x14ac:dyDescent="0.25" r="496" customHeight="1" ht="15.75">
      <c r="A496" s="123"/>
      <c r="B496" s="123"/>
      <c r="C496" s="124"/>
      <c r="D496" s="124"/>
      <c r="E496" s="124"/>
      <c r="F496" s="113"/>
      <c r="G496" s="113"/>
      <c r="H496" s="113"/>
      <c r="I496" s="113"/>
      <c r="J496" s="113"/>
      <c r="K496" s="113"/>
      <c r="L496" s="113"/>
      <c r="M496" s="113"/>
      <c r="N496" s="113"/>
      <c r="O496" s="124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</row>
    <row x14ac:dyDescent="0.25" r="497" customHeight="1" ht="15.75">
      <c r="A497" s="123"/>
      <c r="B497" s="123"/>
      <c r="C497" s="124"/>
      <c r="D497" s="124"/>
      <c r="E497" s="124"/>
      <c r="F497" s="113"/>
      <c r="G497" s="113"/>
      <c r="H497" s="113"/>
      <c r="I497" s="113"/>
      <c r="J497" s="113"/>
      <c r="K497" s="113"/>
      <c r="L497" s="113"/>
      <c r="M497" s="113"/>
      <c r="N497" s="113"/>
      <c r="O497" s="124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</row>
    <row x14ac:dyDescent="0.25" r="498" customHeight="1" ht="15.75">
      <c r="A498" s="123"/>
      <c r="B498" s="123"/>
      <c r="C498" s="124"/>
      <c r="D498" s="124"/>
      <c r="E498" s="124"/>
      <c r="F498" s="113"/>
      <c r="G498" s="113"/>
      <c r="H498" s="113"/>
      <c r="I498" s="113"/>
      <c r="J498" s="113"/>
      <c r="K498" s="113"/>
      <c r="L498" s="113"/>
      <c r="M498" s="113"/>
      <c r="N498" s="113"/>
      <c r="O498" s="124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</row>
    <row x14ac:dyDescent="0.25" r="499" customHeight="1" ht="15.75">
      <c r="A499" s="123"/>
      <c r="B499" s="123"/>
      <c r="C499" s="124"/>
      <c r="D499" s="124"/>
      <c r="E499" s="124"/>
      <c r="F499" s="113"/>
      <c r="G499" s="113"/>
      <c r="H499" s="113"/>
      <c r="I499" s="113"/>
      <c r="J499" s="113"/>
      <c r="K499" s="113"/>
      <c r="L499" s="113"/>
      <c r="M499" s="113"/>
      <c r="N499" s="113"/>
      <c r="O499" s="124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</row>
    <row x14ac:dyDescent="0.25" r="500" customHeight="1" ht="15.75">
      <c r="A500" s="123"/>
      <c r="B500" s="123"/>
      <c r="C500" s="124"/>
      <c r="D500" s="124"/>
      <c r="E500" s="124"/>
      <c r="F500" s="113"/>
      <c r="G500" s="113"/>
      <c r="H500" s="113"/>
      <c r="I500" s="113"/>
      <c r="J500" s="113"/>
      <c r="K500" s="113"/>
      <c r="L500" s="113"/>
      <c r="M500" s="113"/>
      <c r="N500" s="113"/>
      <c r="O500" s="124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</row>
    <row x14ac:dyDescent="0.25" r="501" customHeight="1" ht="15.75">
      <c r="A501" s="123"/>
      <c r="B501" s="123"/>
      <c r="C501" s="124"/>
      <c r="D501" s="124"/>
      <c r="E501" s="124"/>
      <c r="F501" s="113"/>
      <c r="G501" s="113"/>
      <c r="H501" s="113"/>
      <c r="I501" s="113"/>
      <c r="J501" s="113"/>
      <c r="K501" s="113"/>
      <c r="L501" s="113"/>
      <c r="M501" s="113"/>
      <c r="N501" s="113"/>
      <c r="O501" s="124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</row>
    <row x14ac:dyDescent="0.25" r="502" customHeight="1" ht="15.75">
      <c r="A502" s="123"/>
      <c r="B502" s="123"/>
      <c r="C502" s="124"/>
      <c r="D502" s="124"/>
      <c r="E502" s="124"/>
      <c r="F502" s="113"/>
      <c r="G502" s="113"/>
      <c r="H502" s="113"/>
      <c r="I502" s="113"/>
      <c r="J502" s="113"/>
      <c r="K502" s="113"/>
      <c r="L502" s="113"/>
      <c r="M502" s="113"/>
      <c r="N502" s="113"/>
      <c r="O502" s="124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</row>
    <row x14ac:dyDescent="0.25" r="503" customHeight="1" ht="15.75">
      <c r="A503" s="123"/>
      <c r="B503" s="123"/>
      <c r="C503" s="124"/>
      <c r="D503" s="124"/>
      <c r="E503" s="124"/>
      <c r="F503" s="113"/>
      <c r="G503" s="113"/>
      <c r="H503" s="113"/>
      <c r="I503" s="113"/>
      <c r="J503" s="113"/>
      <c r="K503" s="113"/>
      <c r="L503" s="113"/>
      <c r="M503" s="113"/>
      <c r="N503" s="113"/>
      <c r="O503" s="124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</row>
    <row x14ac:dyDescent="0.25" r="504" customHeight="1" ht="15.75">
      <c r="A504" s="123"/>
      <c r="B504" s="123"/>
      <c r="C504" s="124"/>
      <c r="D504" s="124"/>
      <c r="E504" s="124"/>
      <c r="F504" s="113"/>
      <c r="G504" s="113"/>
      <c r="H504" s="113"/>
      <c r="I504" s="113"/>
      <c r="J504" s="113"/>
      <c r="K504" s="113"/>
      <c r="L504" s="113"/>
      <c r="M504" s="113"/>
      <c r="N504" s="113"/>
      <c r="O504" s="124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</row>
    <row x14ac:dyDescent="0.25" r="505" customHeight="1" ht="15.75">
      <c r="A505" s="123"/>
      <c r="B505" s="123"/>
      <c r="C505" s="124"/>
      <c r="D505" s="124"/>
      <c r="E505" s="124"/>
      <c r="F505" s="113"/>
      <c r="G505" s="113"/>
      <c r="H505" s="113"/>
      <c r="I505" s="113"/>
      <c r="J505" s="113"/>
      <c r="K505" s="113"/>
      <c r="L505" s="113"/>
      <c r="M505" s="113"/>
      <c r="N505" s="113"/>
      <c r="O505" s="124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</row>
    <row x14ac:dyDescent="0.25" r="506" customHeight="1" ht="15.75">
      <c r="A506" s="123"/>
      <c r="B506" s="123"/>
      <c r="C506" s="124"/>
      <c r="D506" s="124"/>
      <c r="E506" s="124"/>
      <c r="F506" s="113"/>
      <c r="G506" s="113"/>
      <c r="H506" s="113"/>
      <c r="I506" s="113"/>
      <c r="J506" s="113"/>
      <c r="K506" s="113"/>
      <c r="L506" s="113"/>
      <c r="M506" s="113"/>
      <c r="N506" s="113"/>
      <c r="O506" s="124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</row>
    <row x14ac:dyDescent="0.25" r="507" customHeight="1" ht="15.75">
      <c r="A507" s="123"/>
      <c r="B507" s="123"/>
      <c r="C507" s="124"/>
      <c r="D507" s="124"/>
      <c r="E507" s="124"/>
      <c r="F507" s="113"/>
      <c r="G507" s="113"/>
      <c r="H507" s="113"/>
      <c r="I507" s="113"/>
      <c r="J507" s="113"/>
      <c r="K507" s="113"/>
      <c r="L507" s="113"/>
      <c r="M507" s="113"/>
      <c r="N507" s="113"/>
      <c r="O507" s="124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</row>
    <row x14ac:dyDescent="0.25" r="508" customHeight="1" ht="15.75">
      <c r="A508" s="123"/>
      <c r="B508" s="123"/>
      <c r="C508" s="124"/>
      <c r="D508" s="124"/>
      <c r="E508" s="124"/>
      <c r="F508" s="113"/>
      <c r="G508" s="113"/>
      <c r="H508" s="113"/>
      <c r="I508" s="113"/>
      <c r="J508" s="113"/>
      <c r="K508" s="113"/>
      <c r="L508" s="113"/>
      <c r="M508" s="113"/>
      <c r="N508" s="113"/>
      <c r="O508" s="124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</row>
    <row x14ac:dyDescent="0.25" r="509" customHeight="1" ht="15.75">
      <c r="A509" s="123"/>
      <c r="B509" s="123"/>
      <c r="C509" s="124"/>
      <c r="D509" s="124"/>
      <c r="E509" s="124"/>
      <c r="F509" s="113"/>
      <c r="G509" s="113"/>
      <c r="H509" s="113"/>
      <c r="I509" s="113"/>
      <c r="J509" s="113"/>
      <c r="K509" s="113"/>
      <c r="L509" s="113"/>
      <c r="M509" s="113"/>
      <c r="N509" s="113"/>
      <c r="O509" s="124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</row>
    <row x14ac:dyDescent="0.25" r="510" customHeight="1" ht="15.75">
      <c r="A510" s="123"/>
      <c r="B510" s="123"/>
      <c r="C510" s="124"/>
      <c r="D510" s="124"/>
      <c r="E510" s="124"/>
      <c r="F510" s="113"/>
      <c r="G510" s="113"/>
      <c r="H510" s="113"/>
      <c r="I510" s="113"/>
      <c r="J510" s="113"/>
      <c r="K510" s="113"/>
      <c r="L510" s="113"/>
      <c r="M510" s="113"/>
      <c r="N510" s="113"/>
      <c r="O510" s="124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</row>
    <row x14ac:dyDescent="0.25" r="511" customHeight="1" ht="15.75">
      <c r="A511" s="123"/>
      <c r="B511" s="123"/>
      <c r="C511" s="124"/>
      <c r="D511" s="124"/>
      <c r="E511" s="124"/>
      <c r="F511" s="113"/>
      <c r="G511" s="113"/>
      <c r="H511" s="113"/>
      <c r="I511" s="113"/>
      <c r="J511" s="113"/>
      <c r="K511" s="113"/>
      <c r="L511" s="113"/>
      <c r="M511" s="113"/>
      <c r="N511" s="113"/>
      <c r="O511" s="124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</row>
    <row x14ac:dyDescent="0.25" r="512" customHeight="1" ht="15.75">
      <c r="A512" s="123"/>
      <c r="B512" s="123"/>
      <c r="C512" s="124"/>
      <c r="D512" s="124"/>
      <c r="E512" s="124"/>
      <c r="F512" s="113"/>
      <c r="G512" s="113"/>
      <c r="H512" s="113"/>
      <c r="I512" s="113"/>
      <c r="J512" s="113"/>
      <c r="K512" s="113"/>
      <c r="L512" s="113"/>
      <c r="M512" s="113"/>
      <c r="N512" s="113"/>
      <c r="O512" s="124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</row>
    <row x14ac:dyDescent="0.25" r="513" customHeight="1" ht="15.75">
      <c r="A513" s="123"/>
      <c r="B513" s="123"/>
      <c r="C513" s="124"/>
      <c r="D513" s="124"/>
      <c r="E513" s="124"/>
      <c r="F513" s="113"/>
      <c r="G513" s="113"/>
      <c r="H513" s="113"/>
      <c r="I513" s="113"/>
      <c r="J513" s="113"/>
      <c r="K513" s="113"/>
      <c r="L513" s="113"/>
      <c r="M513" s="113"/>
      <c r="N513" s="113"/>
      <c r="O513" s="124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</row>
    <row x14ac:dyDescent="0.25" r="514" customHeight="1" ht="15.75">
      <c r="A514" s="123"/>
      <c r="B514" s="123"/>
      <c r="C514" s="124"/>
      <c r="D514" s="124"/>
      <c r="E514" s="124"/>
      <c r="F514" s="113"/>
      <c r="G514" s="113"/>
      <c r="H514" s="113"/>
      <c r="I514" s="113"/>
      <c r="J514" s="113"/>
      <c r="K514" s="113"/>
      <c r="L514" s="113"/>
      <c r="M514" s="113"/>
      <c r="N514" s="113"/>
      <c r="O514" s="124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</row>
    <row x14ac:dyDescent="0.25" r="515" customHeight="1" ht="15.75">
      <c r="A515" s="123"/>
      <c r="B515" s="123"/>
      <c r="C515" s="124"/>
      <c r="D515" s="124"/>
      <c r="E515" s="124"/>
      <c r="F515" s="113"/>
      <c r="G515" s="113"/>
      <c r="H515" s="113"/>
      <c r="I515" s="113"/>
      <c r="J515" s="113"/>
      <c r="K515" s="113"/>
      <c r="L515" s="113"/>
      <c r="M515" s="113"/>
      <c r="N515" s="113"/>
      <c r="O515" s="124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</row>
    <row x14ac:dyDescent="0.25" r="516" customHeight="1" ht="15.75">
      <c r="A516" s="123"/>
      <c r="B516" s="123"/>
      <c r="C516" s="124"/>
      <c r="D516" s="124"/>
      <c r="E516" s="124"/>
      <c r="F516" s="113"/>
      <c r="G516" s="113"/>
      <c r="H516" s="113"/>
      <c r="I516" s="113"/>
      <c r="J516" s="113"/>
      <c r="K516" s="113"/>
      <c r="L516" s="113"/>
      <c r="M516" s="113"/>
      <c r="N516" s="113"/>
      <c r="O516" s="124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</row>
    <row x14ac:dyDescent="0.25" r="517" customHeight="1" ht="15.75">
      <c r="A517" s="123"/>
      <c r="B517" s="123"/>
      <c r="C517" s="124"/>
      <c r="D517" s="124"/>
      <c r="E517" s="124"/>
      <c r="F517" s="113"/>
      <c r="G517" s="113"/>
      <c r="H517" s="113"/>
      <c r="I517" s="113"/>
      <c r="J517" s="113"/>
      <c r="K517" s="113"/>
      <c r="L517" s="113"/>
      <c r="M517" s="113"/>
      <c r="N517" s="113"/>
      <c r="O517" s="124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</row>
    <row x14ac:dyDescent="0.25" r="518" customHeight="1" ht="15.75">
      <c r="A518" s="123"/>
      <c r="B518" s="123"/>
      <c r="C518" s="124"/>
      <c r="D518" s="124"/>
      <c r="E518" s="124"/>
      <c r="F518" s="113"/>
      <c r="G518" s="113"/>
      <c r="H518" s="113"/>
      <c r="I518" s="113"/>
      <c r="J518" s="113"/>
      <c r="K518" s="113"/>
      <c r="L518" s="113"/>
      <c r="M518" s="113"/>
      <c r="N518" s="113"/>
      <c r="O518" s="124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</row>
    <row x14ac:dyDescent="0.25" r="519" customHeight="1" ht="15.75">
      <c r="A519" s="123"/>
      <c r="B519" s="123"/>
      <c r="C519" s="124"/>
      <c r="D519" s="124"/>
      <c r="E519" s="124"/>
      <c r="F519" s="113"/>
      <c r="G519" s="113"/>
      <c r="H519" s="113"/>
      <c r="I519" s="113"/>
      <c r="J519" s="113"/>
      <c r="K519" s="113"/>
      <c r="L519" s="113"/>
      <c r="M519" s="113"/>
      <c r="N519" s="113"/>
      <c r="O519" s="124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</row>
    <row x14ac:dyDescent="0.25" r="520" customHeight="1" ht="15.75">
      <c r="A520" s="123"/>
      <c r="B520" s="123"/>
      <c r="C520" s="124"/>
      <c r="D520" s="124"/>
      <c r="E520" s="124"/>
      <c r="F520" s="113"/>
      <c r="G520" s="113"/>
      <c r="H520" s="113"/>
      <c r="I520" s="113"/>
      <c r="J520" s="113"/>
      <c r="K520" s="113"/>
      <c r="L520" s="113"/>
      <c r="M520" s="113"/>
      <c r="N520" s="113"/>
      <c r="O520" s="124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</row>
    <row x14ac:dyDescent="0.25" r="521" customHeight="1" ht="15.75">
      <c r="A521" s="123"/>
      <c r="B521" s="123"/>
      <c r="C521" s="124"/>
      <c r="D521" s="124"/>
      <c r="E521" s="124"/>
      <c r="F521" s="113"/>
      <c r="G521" s="113"/>
      <c r="H521" s="113"/>
      <c r="I521" s="113"/>
      <c r="J521" s="113"/>
      <c r="K521" s="113"/>
      <c r="L521" s="113"/>
      <c r="M521" s="113"/>
      <c r="N521" s="113"/>
      <c r="O521" s="124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</row>
    <row x14ac:dyDescent="0.25" r="522" customHeight="1" ht="15.75">
      <c r="A522" s="123"/>
      <c r="B522" s="123"/>
      <c r="C522" s="124"/>
      <c r="D522" s="124"/>
      <c r="E522" s="124"/>
      <c r="F522" s="113"/>
      <c r="G522" s="113"/>
      <c r="H522" s="113"/>
      <c r="I522" s="113"/>
      <c r="J522" s="113"/>
      <c r="K522" s="113"/>
      <c r="L522" s="113"/>
      <c r="M522" s="113"/>
      <c r="N522" s="113"/>
      <c r="O522" s="124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</row>
    <row x14ac:dyDescent="0.25" r="523" customHeight="1" ht="15.75">
      <c r="A523" s="123"/>
      <c r="B523" s="123"/>
      <c r="C523" s="124"/>
      <c r="D523" s="124"/>
      <c r="E523" s="124"/>
      <c r="F523" s="113"/>
      <c r="G523" s="113"/>
      <c r="H523" s="113"/>
      <c r="I523" s="113"/>
      <c r="J523" s="113"/>
      <c r="K523" s="113"/>
      <c r="L523" s="113"/>
      <c r="M523" s="113"/>
      <c r="N523" s="113"/>
      <c r="O523" s="124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</row>
    <row x14ac:dyDescent="0.25" r="524" customHeight="1" ht="15.75">
      <c r="A524" s="123"/>
      <c r="B524" s="123"/>
      <c r="C524" s="124"/>
      <c r="D524" s="124"/>
      <c r="E524" s="124"/>
      <c r="F524" s="113"/>
      <c r="G524" s="113"/>
      <c r="H524" s="113"/>
      <c r="I524" s="113"/>
      <c r="J524" s="113"/>
      <c r="K524" s="113"/>
      <c r="L524" s="113"/>
      <c r="M524" s="113"/>
      <c r="N524" s="113"/>
      <c r="O524" s="124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</row>
    <row x14ac:dyDescent="0.25" r="525" customHeight="1" ht="15.75">
      <c r="A525" s="123"/>
      <c r="B525" s="123"/>
      <c r="C525" s="124"/>
      <c r="D525" s="124"/>
      <c r="E525" s="124"/>
      <c r="F525" s="113"/>
      <c r="G525" s="113"/>
      <c r="H525" s="113"/>
      <c r="I525" s="113"/>
      <c r="J525" s="113"/>
      <c r="K525" s="113"/>
      <c r="L525" s="113"/>
      <c r="M525" s="113"/>
      <c r="N525" s="113"/>
      <c r="O525" s="124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</row>
    <row x14ac:dyDescent="0.25" r="526" customHeight="1" ht="15.75">
      <c r="A526" s="123"/>
      <c r="B526" s="123"/>
      <c r="C526" s="124"/>
      <c r="D526" s="124"/>
      <c r="E526" s="124"/>
      <c r="F526" s="113"/>
      <c r="G526" s="113"/>
      <c r="H526" s="113"/>
      <c r="I526" s="113"/>
      <c r="J526" s="113"/>
      <c r="K526" s="113"/>
      <c r="L526" s="113"/>
      <c r="M526" s="113"/>
      <c r="N526" s="113"/>
      <c r="O526" s="124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</row>
    <row x14ac:dyDescent="0.25" r="527" customHeight="1" ht="15.75">
      <c r="A527" s="123"/>
      <c r="B527" s="123"/>
      <c r="C527" s="124"/>
      <c r="D527" s="124"/>
      <c r="E527" s="124"/>
      <c r="F527" s="113"/>
      <c r="G527" s="113"/>
      <c r="H527" s="113"/>
      <c r="I527" s="113"/>
      <c r="J527" s="113"/>
      <c r="K527" s="113"/>
      <c r="L527" s="113"/>
      <c r="M527" s="113"/>
      <c r="N527" s="113"/>
      <c r="O527" s="124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</row>
    <row x14ac:dyDescent="0.25" r="528" customHeight="1" ht="15.75">
      <c r="A528" s="123"/>
      <c r="B528" s="123"/>
      <c r="C528" s="124"/>
      <c r="D528" s="124"/>
      <c r="E528" s="124"/>
      <c r="F528" s="113"/>
      <c r="G528" s="113"/>
      <c r="H528" s="113"/>
      <c r="I528" s="113"/>
      <c r="J528" s="113"/>
      <c r="K528" s="113"/>
      <c r="L528" s="113"/>
      <c r="M528" s="113"/>
      <c r="N528" s="113"/>
      <c r="O528" s="124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</row>
    <row x14ac:dyDescent="0.25" r="529" customHeight="1" ht="15.75">
      <c r="A529" s="123"/>
      <c r="B529" s="123"/>
      <c r="C529" s="124"/>
      <c r="D529" s="124"/>
      <c r="E529" s="124"/>
      <c r="F529" s="113"/>
      <c r="G529" s="113"/>
      <c r="H529" s="113"/>
      <c r="I529" s="113"/>
      <c r="J529" s="113"/>
      <c r="K529" s="113"/>
      <c r="L529" s="113"/>
      <c r="M529" s="113"/>
      <c r="N529" s="113"/>
      <c r="O529" s="124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</row>
    <row x14ac:dyDescent="0.25" r="530" customHeight="1" ht="15.75">
      <c r="A530" s="123"/>
      <c r="B530" s="123"/>
      <c r="C530" s="124"/>
      <c r="D530" s="124"/>
      <c r="E530" s="124"/>
      <c r="F530" s="113"/>
      <c r="G530" s="113"/>
      <c r="H530" s="113"/>
      <c r="I530" s="113"/>
      <c r="J530" s="113"/>
      <c r="K530" s="113"/>
      <c r="L530" s="113"/>
      <c r="M530" s="113"/>
      <c r="N530" s="113"/>
      <c r="O530" s="124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</row>
    <row x14ac:dyDescent="0.25" r="531" customHeight="1" ht="15.75">
      <c r="A531" s="123"/>
      <c r="B531" s="123"/>
      <c r="C531" s="124"/>
      <c r="D531" s="124"/>
      <c r="E531" s="124"/>
      <c r="F531" s="113"/>
      <c r="G531" s="113"/>
      <c r="H531" s="113"/>
      <c r="I531" s="113"/>
      <c r="J531" s="113"/>
      <c r="K531" s="113"/>
      <c r="L531" s="113"/>
      <c r="M531" s="113"/>
      <c r="N531" s="113"/>
      <c r="O531" s="124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</row>
    <row x14ac:dyDescent="0.25" r="532" customHeight="1" ht="15.75">
      <c r="A532" s="123"/>
      <c r="B532" s="123"/>
      <c r="C532" s="124"/>
      <c r="D532" s="124"/>
      <c r="E532" s="124"/>
      <c r="F532" s="113"/>
      <c r="G532" s="113"/>
      <c r="H532" s="113"/>
      <c r="I532" s="113"/>
      <c r="J532" s="113"/>
      <c r="K532" s="113"/>
      <c r="L532" s="113"/>
      <c r="M532" s="113"/>
      <c r="N532" s="113"/>
      <c r="O532" s="124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</row>
    <row x14ac:dyDescent="0.25" r="533" customHeight="1" ht="15.75">
      <c r="A533" s="123"/>
      <c r="B533" s="123"/>
      <c r="C533" s="124"/>
      <c r="D533" s="124"/>
      <c r="E533" s="124"/>
      <c r="F533" s="113"/>
      <c r="G533" s="113"/>
      <c r="H533" s="113"/>
      <c r="I533" s="113"/>
      <c r="J533" s="113"/>
      <c r="K533" s="113"/>
      <c r="L533" s="113"/>
      <c r="M533" s="113"/>
      <c r="N533" s="113"/>
      <c r="O533" s="124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</row>
    <row x14ac:dyDescent="0.25" r="534" customHeight="1" ht="15.75">
      <c r="A534" s="123"/>
      <c r="B534" s="123"/>
      <c r="C534" s="124"/>
      <c r="D534" s="124"/>
      <c r="E534" s="124"/>
      <c r="F534" s="113"/>
      <c r="G534" s="113"/>
      <c r="H534" s="113"/>
      <c r="I534" s="113"/>
      <c r="J534" s="113"/>
      <c r="K534" s="113"/>
      <c r="L534" s="113"/>
      <c r="M534" s="113"/>
      <c r="N534" s="113"/>
      <c r="O534" s="124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</row>
    <row x14ac:dyDescent="0.25" r="535" customHeight="1" ht="15.75">
      <c r="A535" s="123"/>
      <c r="B535" s="123"/>
      <c r="C535" s="124"/>
      <c r="D535" s="124"/>
      <c r="E535" s="124"/>
      <c r="F535" s="113"/>
      <c r="G535" s="113"/>
      <c r="H535" s="113"/>
      <c r="I535" s="113"/>
      <c r="J535" s="113"/>
      <c r="K535" s="113"/>
      <c r="L535" s="113"/>
      <c r="M535" s="113"/>
      <c r="N535" s="113"/>
      <c r="O535" s="124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</row>
    <row x14ac:dyDescent="0.25" r="536" customHeight="1" ht="15.75">
      <c r="A536" s="123"/>
      <c r="B536" s="123"/>
      <c r="C536" s="124"/>
      <c r="D536" s="124"/>
      <c r="E536" s="124"/>
      <c r="F536" s="113"/>
      <c r="G536" s="113"/>
      <c r="H536" s="113"/>
      <c r="I536" s="113"/>
      <c r="J536" s="113"/>
      <c r="K536" s="113"/>
      <c r="L536" s="113"/>
      <c r="M536" s="113"/>
      <c r="N536" s="113"/>
      <c r="O536" s="124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</row>
    <row x14ac:dyDescent="0.25" r="537" customHeight="1" ht="15.75">
      <c r="A537" s="123"/>
      <c r="B537" s="123"/>
      <c r="C537" s="124"/>
      <c r="D537" s="124"/>
      <c r="E537" s="124"/>
      <c r="F537" s="113"/>
      <c r="G537" s="113"/>
      <c r="H537" s="113"/>
      <c r="I537" s="113"/>
      <c r="J537" s="113"/>
      <c r="K537" s="113"/>
      <c r="L537" s="113"/>
      <c r="M537" s="113"/>
      <c r="N537" s="113"/>
      <c r="O537" s="124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</row>
    <row x14ac:dyDescent="0.25" r="538" customHeight="1" ht="15.75">
      <c r="A538" s="123"/>
      <c r="B538" s="123"/>
      <c r="C538" s="124"/>
      <c r="D538" s="124"/>
      <c r="E538" s="124"/>
      <c r="F538" s="113"/>
      <c r="G538" s="113"/>
      <c r="H538" s="113"/>
      <c r="I538" s="113"/>
      <c r="J538" s="113"/>
      <c r="K538" s="113"/>
      <c r="L538" s="113"/>
      <c r="M538" s="113"/>
      <c r="N538" s="113"/>
      <c r="O538" s="124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</row>
    <row x14ac:dyDescent="0.25" r="539" customHeight="1" ht="15.75">
      <c r="A539" s="123"/>
      <c r="B539" s="123"/>
      <c r="C539" s="124"/>
      <c r="D539" s="124"/>
      <c r="E539" s="124"/>
      <c r="F539" s="113"/>
      <c r="G539" s="113"/>
      <c r="H539" s="113"/>
      <c r="I539" s="113"/>
      <c r="J539" s="113"/>
      <c r="K539" s="113"/>
      <c r="L539" s="113"/>
      <c r="M539" s="113"/>
      <c r="N539" s="113"/>
      <c r="O539" s="124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</row>
    <row x14ac:dyDescent="0.25" r="540" customHeight="1" ht="15.75">
      <c r="A540" s="123"/>
      <c r="B540" s="123"/>
      <c r="C540" s="124"/>
      <c r="D540" s="124"/>
      <c r="E540" s="124"/>
      <c r="F540" s="113"/>
      <c r="G540" s="113"/>
      <c r="H540" s="113"/>
      <c r="I540" s="113"/>
      <c r="J540" s="113"/>
      <c r="K540" s="113"/>
      <c r="L540" s="113"/>
      <c r="M540" s="113"/>
      <c r="N540" s="113"/>
      <c r="O540" s="124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</row>
    <row x14ac:dyDescent="0.25" r="541" customHeight="1" ht="15.75">
      <c r="A541" s="123"/>
      <c r="B541" s="123"/>
      <c r="C541" s="124"/>
      <c r="D541" s="124"/>
      <c r="E541" s="124"/>
      <c r="F541" s="113"/>
      <c r="G541" s="113"/>
      <c r="H541" s="113"/>
      <c r="I541" s="113"/>
      <c r="J541" s="113"/>
      <c r="K541" s="113"/>
      <c r="L541" s="113"/>
      <c r="M541" s="113"/>
      <c r="N541" s="113"/>
      <c r="O541" s="124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</row>
    <row x14ac:dyDescent="0.25" r="542" customHeight="1" ht="15.75">
      <c r="A542" s="123"/>
      <c r="B542" s="123"/>
      <c r="C542" s="124"/>
      <c r="D542" s="124"/>
      <c r="E542" s="124"/>
      <c r="F542" s="113"/>
      <c r="G542" s="113"/>
      <c r="H542" s="113"/>
      <c r="I542" s="113"/>
      <c r="J542" s="113"/>
      <c r="K542" s="113"/>
      <c r="L542" s="113"/>
      <c r="M542" s="113"/>
      <c r="N542" s="113"/>
      <c r="O542" s="124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</row>
    <row x14ac:dyDescent="0.25" r="543" customHeight="1" ht="15.75">
      <c r="A543" s="123"/>
      <c r="B543" s="123"/>
      <c r="C543" s="124"/>
      <c r="D543" s="124"/>
      <c r="E543" s="124"/>
      <c r="F543" s="113"/>
      <c r="G543" s="113"/>
      <c r="H543" s="113"/>
      <c r="I543" s="113"/>
      <c r="J543" s="113"/>
      <c r="K543" s="113"/>
      <c r="L543" s="113"/>
      <c r="M543" s="113"/>
      <c r="N543" s="113"/>
      <c r="O543" s="124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</row>
    <row x14ac:dyDescent="0.25" r="544" customHeight="1" ht="15.75">
      <c r="A544" s="123"/>
      <c r="B544" s="123"/>
      <c r="C544" s="124"/>
      <c r="D544" s="124"/>
      <c r="E544" s="124"/>
      <c r="F544" s="113"/>
      <c r="G544" s="113"/>
      <c r="H544" s="113"/>
      <c r="I544" s="113"/>
      <c r="J544" s="113"/>
      <c r="K544" s="113"/>
      <c r="L544" s="113"/>
      <c r="M544" s="113"/>
      <c r="N544" s="113"/>
      <c r="O544" s="124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</row>
    <row x14ac:dyDescent="0.25" r="545" customHeight="1" ht="15.75">
      <c r="A545" s="123"/>
      <c r="B545" s="123"/>
      <c r="C545" s="124"/>
      <c r="D545" s="124"/>
      <c r="E545" s="124"/>
      <c r="F545" s="113"/>
      <c r="G545" s="113"/>
      <c r="H545" s="113"/>
      <c r="I545" s="113"/>
      <c r="J545" s="113"/>
      <c r="K545" s="113"/>
      <c r="L545" s="113"/>
      <c r="M545" s="113"/>
      <c r="N545" s="113"/>
      <c r="O545" s="124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</row>
    <row x14ac:dyDescent="0.25" r="546" customHeight="1" ht="15.75">
      <c r="A546" s="123"/>
      <c r="B546" s="123"/>
      <c r="C546" s="124"/>
      <c r="D546" s="124"/>
      <c r="E546" s="124"/>
      <c r="F546" s="113"/>
      <c r="G546" s="113"/>
      <c r="H546" s="113"/>
      <c r="I546" s="113"/>
      <c r="J546" s="113"/>
      <c r="K546" s="113"/>
      <c r="L546" s="113"/>
      <c r="M546" s="113"/>
      <c r="N546" s="113"/>
      <c r="O546" s="124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</row>
    <row x14ac:dyDescent="0.25" r="547" customHeight="1" ht="15.75">
      <c r="A547" s="123"/>
      <c r="B547" s="123"/>
      <c r="C547" s="124"/>
      <c r="D547" s="124"/>
      <c r="E547" s="124"/>
      <c r="F547" s="113"/>
      <c r="G547" s="113"/>
      <c r="H547" s="113"/>
      <c r="I547" s="113"/>
      <c r="J547" s="113"/>
      <c r="K547" s="113"/>
      <c r="L547" s="113"/>
      <c r="M547" s="113"/>
      <c r="N547" s="113"/>
      <c r="O547" s="124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</row>
    <row x14ac:dyDescent="0.25" r="548" customHeight="1" ht="15.75">
      <c r="A548" s="123"/>
      <c r="B548" s="123"/>
      <c r="C548" s="124"/>
      <c r="D548" s="124"/>
      <c r="E548" s="124"/>
      <c r="F548" s="113"/>
      <c r="G548" s="113"/>
      <c r="H548" s="113"/>
      <c r="I548" s="113"/>
      <c r="J548" s="113"/>
      <c r="K548" s="113"/>
      <c r="L548" s="113"/>
      <c r="M548" s="113"/>
      <c r="N548" s="113"/>
      <c r="O548" s="124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</row>
    <row x14ac:dyDescent="0.25" r="549" customHeight="1" ht="15.75">
      <c r="A549" s="123"/>
      <c r="B549" s="123"/>
      <c r="C549" s="124"/>
      <c r="D549" s="124"/>
      <c r="E549" s="124"/>
      <c r="F549" s="113"/>
      <c r="G549" s="113"/>
      <c r="H549" s="113"/>
      <c r="I549" s="113"/>
      <c r="J549" s="113"/>
      <c r="K549" s="113"/>
      <c r="L549" s="113"/>
      <c r="M549" s="113"/>
      <c r="N549" s="113"/>
      <c r="O549" s="124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</row>
    <row x14ac:dyDescent="0.25" r="550" customHeight="1" ht="15.75">
      <c r="A550" s="123"/>
      <c r="B550" s="123"/>
      <c r="C550" s="124"/>
      <c r="D550" s="124"/>
      <c r="E550" s="124"/>
      <c r="F550" s="113"/>
      <c r="G550" s="113"/>
      <c r="H550" s="113"/>
      <c r="I550" s="113"/>
      <c r="J550" s="113"/>
      <c r="K550" s="113"/>
      <c r="L550" s="113"/>
      <c r="M550" s="113"/>
      <c r="N550" s="113"/>
      <c r="O550" s="124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</row>
    <row x14ac:dyDescent="0.25" r="551" customHeight="1" ht="15.75">
      <c r="A551" s="123"/>
      <c r="B551" s="123"/>
      <c r="C551" s="124"/>
      <c r="D551" s="124"/>
      <c r="E551" s="124"/>
      <c r="F551" s="113"/>
      <c r="G551" s="113"/>
      <c r="H551" s="113"/>
      <c r="I551" s="113"/>
      <c r="J551" s="113"/>
      <c r="K551" s="113"/>
      <c r="L551" s="113"/>
      <c r="M551" s="113"/>
      <c r="N551" s="113"/>
      <c r="O551" s="124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</row>
    <row x14ac:dyDescent="0.25" r="552" customHeight="1" ht="15.75">
      <c r="A552" s="123"/>
      <c r="B552" s="123"/>
      <c r="C552" s="124"/>
      <c r="D552" s="124"/>
      <c r="E552" s="124"/>
      <c r="F552" s="113"/>
      <c r="G552" s="113"/>
      <c r="H552" s="113"/>
      <c r="I552" s="113"/>
      <c r="J552" s="113"/>
      <c r="K552" s="113"/>
      <c r="L552" s="113"/>
      <c r="M552" s="113"/>
      <c r="N552" s="113"/>
      <c r="O552" s="124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</row>
    <row x14ac:dyDescent="0.25" r="553" customHeight="1" ht="15.75">
      <c r="A553" s="123"/>
      <c r="B553" s="123"/>
      <c r="C553" s="124"/>
      <c r="D553" s="124"/>
      <c r="E553" s="124"/>
      <c r="F553" s="113"/>
      <c r="G553" s="113"/>
      <c r="H553" s="113"/>
      <c r="I553" s="113"/>
      <c r="J553" s="113"/>
      <c r="K553" s="113"/>
      <c r="L553" s="113"/>
      <c r="M553" s="113"/>
      <c r="N553" s="113"/>
      <c r="O553" s="124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</row>
    <row x14ac:dyDescent="0.25" r="554" customHeight="1" ht="15.75">
      <c r="A554" s="123"/>
      <c r="B554" s="123"/>
      <c r="C554" s="124"/>
      <c r="D554" s="124"/>
      <c r="E554" s="124"/>
      <c r="F554" s="113"/>
      <c r="G554" s="113"/>
      <c r="H554" s="113"/>
      <c r="I554" s="113"/>
      <c r="J554" s="113"/>
      <c r="K554" s="113"/>
      <c r="L554" s="113"/>
      <c r="M554" s="113"/>
      <c r="N554" s="113"/>
      <c r="O554" s="124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</row>
    <row x14ac:dyDescent="0.25" r="555" customHeight="1" ht="15.75">
      <c r="A555" s="123"/>
      <c r="B555" s="123"/>
      <c r="C555" s="124"/>
      <c r="D555" s="124"/>
      <c r="E555" s="124"/>
      <c r="F555" s="113"/>
      <c r="G555" s="113"/>
      <c r="H555" s="113"/>
      <c r="I555" s="113"/>
      <c r="J555" s="113"/>
      <c r="K555" s="113"/>
      <c r="L555" s="113"/>
      <c r="M555" s="113"/>
      <c r="N555" s="113"/>
      <c r="O555" s="124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</row>
    <row x14ac:dyDescent="0.25" r="556" customHeight="1" ht="15.75">
      <c r="A556" s="123"/>
      <c r="B556" s="123"/>
      <c r="C556" s="124"/>
      <c r="D556" s="124"/>
      <c r="E556" s="124"/>
      <c r="F556" s="113"/>
      <c r="G556" s="113"/>
      <c r="H556" s="113"/>
      <c r="I556" s="113"/>
      <c r="J556" s="113"/>
      <c r="K556" s="113"/>
      <c r="L556" s="113"/>
      <c r="M556" s="113"/>
      <c r="N556" s="113"/>
      <c r="O556" s="124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</row>
    <row x14ac:dyDescent="0.25" r="557" customHeight="1" ht="15.75">
      <c r="A557" s="123"/>
      <c r="B557" s="123"/>
      <c r="C557" s="124"/>
      <c r="D557" s="124"/>
      <c r="E557" s="124"/>
      <c r="F557" s="113"/>
      <c r="G557" s="113"/>
      <c r="H557" s="113"/>
      <c r="I557" s="113"/>
      <c r="J557" s="113"/>
      <c r="K557" s="113"/>
      <c r="L557" s="113"/>
      <c r="M557" s="113"/>
      <c r="N557" s="113"/>
      <c r="O557" s="124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</row>
    <row x14ac:dyDescent="0.25" r="558" customHeight="1" ht="15.75">
      <c r="A558" s="123"/>
      <c r="B558" s="123"/>
      <c r="C558" s="124"/>
      <c r="D558" s="124"/>
      <c r="E558" s="124"/>
      <c r="F558" s="113"/>
      <c r="G558" s="113"/>
      <c r="H558" s="113"/>
      <c r="I558" s="113"/>
      <c r="J558" s="113"/>
      <c r="K558" s="113"/>
      <c r="L558" s="113"/>
      <c r="M558" s="113"/>
      <c r="N558" s="113"/>
      <c r="O558" s="124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</row>
    <row x14ac:dyDescent="0.25" r="559" customHeight="1" ht="15.75">
      <c r="A559" s="123"/>
      <c r="B559" s="123"/>
      <c r="C559" s="124"/>
      <c r="D559" s="124"/>
      <c r="E559" s="124"/>
      <c r="F559" s="113"/>
      <c r="G559" s="113"/>
      <c r="H559" s="113"/>
      <c r="I559" s="113"/>
      <c r="J559" s="113"/>
      <c r="K559" s="113"/>
      <c r="L559" s="113"/>
      <c r="M559" s="113"/>
      <c r="N559" s="113"/>
      <c r="O559" s="124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</row>
    <row x14ac:dyDescent="0.25" r="560" customHeight="1" ht="15.75">
      <c r="A560" s="123"/>
      <c r="B560" s="123"/>
      <c r="C560" s="124"/>
      <c r="D560" s="124"/>
      <c r="E560" s="124"/>
      <c r="F560" s="113"/>
      <c r="G560" s="113"/>
      <c r="H560" s="113"/>
      <c r="I560" s="113"/>
      <c r="J560" s="113"/>
      <c r="K560" s="113"/>
      <c r="L560" s="113"/>
      <c r="M560" s="113"/>
      <c r="N560" s="113"/>
      <c r="O560" s="124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</row>
    <row x14ac:dyDescent="0.25" r="561" customHeight="1" ht="15.75">
      <c r="A561" s="123"/>
      <c r="B561" s="123"/>
      <c r="C561" s="124"/>
      <c r="D561" s="124"/>
      <c r="E561" s="124"/>
      <c r="F561" s="113"/>
      <c r="G561" s="113"/>
      <c r="H561" s="113"/>
      <c r="I561" s="113"/>
      <c r="J561" s="113"/>
      <c r="K561" s="113"/>
      <c r="L561" s="113"/>
      <c r="M561" s="113"/>
      <c r="N561" s="113"/>
      <c r="O561" s="124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</row>
    <row x14ac:dyDescent="0.25" r="562" customHeight="1" ht="15.75">
      <c r="A562" s="123"/>
      <c r="B562" s="123"/>
      <c r="C562" s="124"/>
      <c r="D562" s="124"/>
      <c r="E562" s="124"/>
      <c r="F562" s="113"/>
      <c r="G562" s="113"/>
      <c r="H562" s="113"/>
      <c r="I562" s="113"/>
      <c r="J562" s="113"/>
      <c r="K562" s="113"/>
      <c r="L562" s="113"/>
      <c r="M562" s="113"/>
      <c r="N562" s="113"/>
      <c r="O562" s="124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</row>
    <row x14ac:dyDescent="0.25" r="563" customHeight="1" ht="15.75">
      <c r="A563" s="123"/>
      <c r="B563" s="123"/>
      <c r="C563" s="124"/>
      <c r="D563" s="124"/>
      <c r="E563" s="124"/>
      <c r="F563" s="113"/>
      <c r="G563" s="113"/>
      <c r="H563" s="113"/>
      <c r="I563" s="113"/>
      <c r="J563" s="113"/>
      <c r="K563" s="113"/>
      <c r="L563" s="113"/>
      <c r="M563" s="113"/>
      <c r="N563" s="113"/>
      <c r="O563" s="124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</row>
    <row x14ac:dyDescent="0.25" r="564" customHeight="1" ht="15.75">
      <c r="A564" s="123"/>
      <c r="B564" s="123"/>
      <c r="C564" s="124"/>
      <c r="D564" s="124"/>
      <c r="E564" s="124"/>
      <c r="F564" s="113"/>
      <c r="G564" s="113"/>
      <c r="H564" s="113"/>
      <c r="I564" s="113"/>
      <c r="J564" s="113"/>
      <c r="K564" s="113"/>
      <c r="L564" s="113"/>
      <c r="M564" s="113"/>
      <c r="N564" s="113"/>
      <c r="O564" s="124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</row>
    <row x14ac:dyDescent="0.25" r="565" customHeight="1" ht="15.75">
      <c r="A565" s="123"/>
      <c r="B565" s="123"/>
      <c r="C565" s="124"/>
      <c r="D565" s="124"/>
      <c r="E565" s="124"/>
      <c r="F565" s="113"/>
      <c r="G565" s="113"/>
      <c r="H565" s="113"/>
      <c r="I565" s="113"/>
      <c r="J565" s="113"/>
      <c r="K565" s="113"/>
      <c r="L565" s="113"/>
      <c r="M565" s="113"/>
      <c r="N565" s="113"/>
      <c r="O565" s="124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</row>
    <row x14ac:dyDescent="0.25" r="566" customHeight="1" ht="15.75">
      <c r="A566" s="123"/>
      <c r="B566" s="123"/>
      <c r="C566" s="124"/>
      <c r="D566" s="124"/>
      <c r="E566" s="124"/>
      <c r="F566" s="113"/>
      <c r="G566" s="113"/>
      <c r="H566" s="113"/>
      <c r="I566" s="113"/>
      <c r="J566" s="113"/>
      <c r="K566" s="113"/>
      <c r="L566" s="113"/>
      <c r="M566" s="113"/>
      <c r="N566" s="113"/>
      <c r="O566" s="124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</row>
    <row x14ac:dyDescent="0.25" r="567" customHeight="1" ht="15.75">
      <c r="A567" s="123"/>
      <c r="B567" s="123"/>
      <c r="C567" s="124"/>
      <c r="D567" s="124"/>
      <c r="E567" s="124"/>
      <c r="F567" s="113"/>
      <c r="G567" s="113"/>
      <c r="H567" s="113"/>
      <c r="I567" s="113"/>
      <c r="J567" s="113"/>
      <c r="K567" s="113"/>
      <c r="L567" s="113"/>
      <c r="M567" s="113"/>
      <c r="N567" s="113"/>
      <c r="O567" s="124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</row>
    <row x14ac:dyDescent="0.25" r="568" customHeight="1" ht="15.75">
      <c r="A568" s="123"/>
      <c r="B568" s="123"/>
      <c r="C568" s="124"/>
      <c r="D568" s="124"/>
      <c r="E568" s="124"/>
      <c r="F568" s="113"/>
      <c r="G568" s="113"/>
      <c r="H568" s="113"/>
      <c r="I568" s="113"/>
      <c r="J568" s="113"/>
      <c r="K568" s="113"/>
      <c r="L568" s="113"/>
      <c r="M568" s="113"/>
      <c r="N568" s="113"/>
      <c r="O568" s="124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</row>
    <row x14ac:dyDescent="0.25" r="569" customHeight="1" ht="15.75">
      <c r="A569" s="123"/>
      <c r="B569" s="123"/>
      <c r="C569" s="124"/>
      <c r="D569" s="124"/>
      <c r="E569" s="124"/>
      <c r="F569" s="113"/>
      <c r="G569" s="113"/>
      <c r="H569" s="113"/>
      <c r="I569" s="113"/>
      <c r="J569" s="113"/>
      <c r="K569" s="113"/>
      <c r="L569" s="113"/>
      <c r="M569" s="113"/>
      <c r="N569" s="113"/>
      <c r="O569" s="124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</row>
    <row x14ac:dyDescent="0.25" r="570" customHeight="1" ht="15.75">
      <c r="A570" s="123"/>
      <c r="B570" s="123"/>
      <c r="C570" s="124"/>
      <c r="D570" s="124"/>
      <c r="E570" s="124"/>
      <c r="F570" s="113"/>
      <c r="G570" s="113"/>
      <c r="H570" s="113"/>
      <c r="I570" s="113"/>
      <c r="J570" s="113"/>
      <c r="K570" s="113"/>
      <c r="L570" s="113"/>
      <c r="M570" s="113"/>
      <c r="N570" s="113"/>
      <c r="O570" s="124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</row>
    <row x14ac:dyDescent="0.25" r="571" customHeight="1" ht="15.75">
      <c r="A571" s="123"/>
      <c r="B571" s="123"/>
      <c r="C571" s="124"/>
      <c r="D571" s="124"/>
      <c r="E571" s="124"/>
      <c r="F571" s="113"/>
      <c r="G571" s="113"/>
      <c r="H571" s="113"/>
      <c r="I571" s="113"/>
      <c r="J571" s="113"/>
      <c r="K571" s="113"/>
      <c r="L571" s="113"/>
      <c r="M571" s="113"/>
      <c r="N571" s="113"/>
      <c r="O571" s="124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</row>
    <row x14ac:dyDescent="0.25" r="572" customHeight="1" ht="15.75">
      <c r="A572" s="123"/>
      <c r="B572" s="123"/>
      <c r="C572" s="124"/>
      <c r="D572" s="124"/>
      <c r="E572" s="124"/>
      <c r="F572" s="113"/>
      <c r="G572" s="113"/>
      <c r="H572" s="113"/>
      <c r="I572" s="113"/>
      <c r="J572" s="113"/>
      <c r="K572" s="113"/>
      <c r="L572" s="113"/>
      <c r="M572" s="113"/>
      <c r="N572" s="113"/>
      <c r="O572" s="124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</row>
    <row x14ac:dyDescent="0.25" r="573" customHeight="1" ht="15.75">
      <c r="A573" s="123"/>
      <c r="B573" s="123"/>
      <c r="C573" s="124"/>
      <c r="D573" s="124"/>
      <c r="E573" s="124"/>
      <c r="F573" s="113"/>
      <c r="G573" s="113"/>
      <c r="H573" s="113"/>
      <c r="I573" s="113"/>
      <c r="J573" s="113"/>
      <c r="K573" s="113"/>
      <c r="L573" s="113"/>
      <c r="M573" s="113"/>
      <c r="N573" s="113"/>
      <c r="O573" s="124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</row>
    <row x14ac:dyDescent="0.25" r="574" customHeight="1" ht="15.75">
      <c r="A574" s="123"/>
      <c r="B574" s="123"/>
      <c r="C574" s="124"/>
      <c r="D574" s="124"/>
      <c r="E574" s="124"/>
      <c r="F574" s="113"/>
      <c r="G574" s="113"/>
      <c r="H574" s="113"/>
      <c r="I574" s="113"/>
      <c r="J574" s="113"/>
      <c r="K574" s="113"/>
      <c r="L574" s="113"/>
      <c r="M574" s="113"/>
      <c r="N574" s="113"/>
      <c r="O574" s="124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</row>
    <row x14ac:dyDescent="0.25" r="575" customHeight="1" ht="15.75">
      <c r="A575" s="123"/>
      <c r="B575" s="123"/>
      <c r="C575" s="124"/>
      <c r="D575" s="124"/>
      <c r="E575" s="124"/>
      <c r="F575" s="113"/>
      <c r="G575" s="113"/>
      <c r="H575" s="113"/>
      <c r="I575" s="113"/>
      <c r="J575" s="113"/>
      <c r="K575" s="113"/>
      <c r="L575" s="113"/>
      <c r="M575" s="113"/>
      <c r="N575" s="113"/>
      <c r="O575" s="124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</row>
    <row x14ac:dyDescent="0.25" r="576" customHeight="1" ht="15.75">
      <c r="A576" s="123"/>
      <c r="B576" s="123"/>
      <c r="C576" s="124"/>
      <c r="D576" s="124"/>
      <c r="E576" s="124"/>
      <c r="F576" s="113"/>
      <c r="G576" s="113"/>
      <c r="H576" s="113"/>
      <c r="I576" s="113"/>
      <c r="J576" s="113"/>
      <c r="K576" s="113"/>
      <c r="L576" s="113"/>
      <c r="M576" s="113"/>
      <c r="N576" s="113"/>
      <c r="O576" s="124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</row>
    <row x14ac:dyDescent="0.25" r="577" customHeight="1" ht="15.75">
      <c r="A577" s="123"/>
      <c r="B577" s="123"/>
      <c r="C577" s="124"/>
      <c r="D577" s="124"/>
      <c r="E577" s="124"/>
      <c r="F577" s="113"/>
      <c r="G577" s="113"/>
      <c r="H577" s="113"/>
      <c r="I577" s="113"/>
      <c r="J577" s="113"/>
      <c r="K577" s="113"/>
      <c r="L577" s="113"/>
      <c r="M577" s="113"/>
      <c r="N577" s="113"/>
      <c r="O577" s="124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</row>
    <row x14ac:dyDescent="0.25" r="578" customHeight="1" ht="15.75">
      <c r="A578" s="123"/>
      <c r="B578" s="123"/>
      <c r="C578" s="124"/>
      <c r="D578" s="124"/>
      <c r="E578" s="124"/>
      <c r="F578" s="113"/>
      <c r="G578" s="113"/>
      <c r="H578" s="113"/>
      <c r="I578" s="113"/>
      <c r="J578" s="113"/>
      <c r="K578" s="113"/>
      <c r="L578" s="113"/>
      <c r="M578" s="113"/>
      <c r="N578" s="113"/>
      <c r="O578" s="124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</row>
    <row x14ac:dyDescent="0.25" r="579" customHeight="1" ht="15.75">
      <c r="A579" s="123"/>
      <c r="B579" s="123"/>
      <c r="C579" s="124"/>
      <c r="D579" s="124"/>
      <c r="E579" s="124"/>
      <c r="F579" s="113"/>
      <c r="G579" s="113"/>
      <c r="H579" s="113"/>
      <c r="I579" s="113"/>
      <c r="J579" s="113"/>
      <c r="K579" s="113"/>
      <c r="L579" s="113"/>
      <c r="M579" s="113"/>
      <c r="N579" s="113"/>
      <c r="O579" s="124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</row>
    <row x14ac:dyDescent="0.25" r="580" customHeight="1" ht="15.75">
      <c r="A580" s="123"/>
      <c r="B580" s="123"/>
      <c r="C580" s="124"/>
      <c r="D580" s="124"/>
      <c r="E580" s="124"/>
      <c r="F580" s="113"/>
      <c r="G580" s="113"/>
      <c r="H580" s="113"/>
      <c r="I580" s="113"/>
      <c r="J580" s="113"/>
      <c r="K580" s="113"/>
      <c r="L580" s="113"/>
      <c r="M580" s="113"/>
      <c r="N580" s="113"/>
      <c r="O580" s="124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</row>
    <row x14ac:dyDescent="0.25" r="581" customHeight="1" ht="15.75">
      <c r="A581" s="123"/>
      <c r="B581" s="123"/>
      <c r="C581" s="124"/>
      <c r="D581" s="124"/>
      <c r="E581" s="124"/>
      <c r="F581" s="113"/>
      <c r="G581" s="113"/>
      <c r="H581" s="113"/>
      <c r="I581" s="113"/>
      <c r="J581" s="113"/>
      <c r="K581" s="113"/>
      <c r="L581" s="113"/>
      <c r="M581" s="113"/>
      <c r="N581" s="113"/>
      <c r="O581" s="124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</row>
    <row x14ac:dyDescent="0.25" r="582" customHeight="1" ht="15.75">
      <c r="A582" s="123"/>
      <c r="B582" s="123"/>
      <c r="C582" s="124"/>
      <c r="D582" s="124"/>
      <c r="E582" s="124"/>
      <c r="F582" s="113"/>
      <c r="G582" s="113"/>
      <c r="H582" s="113"/>
      <c r="I582" s="113"/>
      <c r="J582" s="113"/>
      <c r="K582" s="113"/>
      <c r="L582" s="113"/>
      <c r="M582" s="113"/>
      <c r="N582" s="113"/>
      <c r="O582" s="124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</row>
    <row x14ac:dyDescent="0.25" r="583" customHeight="1" ht="15.75">
      <c r="A583" s="123"/>
      <c r="B583" s="123"/>
      <c r="C583" s="124"/>
      <c r="D583" s="124"/>
      <c r="E583" s="124"/>
      <c r="F583" s="113"/>
      <c r="G583" s="113"/>
      <c r="H583" s="113"/>
      <c r="I583" s="113"/>
      <c r="J583" s="113"/>
      <c r="K583" s="113"/>
      <c r="L583" s="113"/>
      <c r="M583" s="113"/>
      <c r="N583" s="113"/>
      <c r="O583" s="124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</row>
    <row x14ac:dyDescent="0.25" r="584" customHeight="1" ht="15.75">
      <c r="A584" s="123"/>
      <c r="B584" s="123"/>
      <c r="C584" s="124"/>
      <c r="D584" s="124"/>
      <c r="E584" s="124"/>
      <c r="F584" s="113"/>
      <c r="G584" s="113"/>
      <c r="H584" s="113"/>
      <c r="I584" s="113"/>
      <c r="J584" s="113"/>
      <c r="K584" s="113"/>
      <c r="L584" s="113"/>
      <c r="M584" s="113"/>
      <c r="N584" s="113"/>
      <c r="O584" s="124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</row>
    <row x14ac:dyDescent="0.25" r="585" customHeight="1" ht="15.75">
      <c r="A585" s="123"/>
      <c r="B585" s="123"/>
      <c r="C585" s="124"/>
      <c r="D585" s="124"/>
      <c r="E585" s="124"/>
      <c r="F585" s="113"/>
      <c r="G585" s="113"/>
      <c r="H585" s="113"/>
      <c r="I585" s="113"/>
      <c r="J585" s="113"/>
      <c r="K585" s="113"/>
      <c r="L585" s="113"/>
      <c r="M585" s="113"/>
      <c r="N585" s="113"/>
      <c r="O585" s="124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</row>
    <row x14ac:dyDescent="0.25" r="586" customHeight="1" ht="15.75">
      <c r="A586" s="123"/>
      <c r="B586" s="123"/>
      <c r="C586" s="124"/>
      <c r="D586" s="124"/>
      <c r="E586" s="124"/>
      <c r="F586" s="113"/>
      <c r="G586" s="113"/>
      <c r="H586" s="113"/>
      <c r="I586" s="113"/>
      <c r="J586" s="113"/>
      <c r="K586" s="113"/>
      <c r="L586" s="113"/>
      <c r="M586" s="113"/>
      <c r="N586" s="113"/>
      <c r="O586" s="124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</row>
    <row x14ac:dyDescent="0.25" r="587" customHeight="1" ht="15.75">
      <c r="A587" s="123"/>
      <c r="B587" s="123"/>
      <c r="C587" s="124"/>
      <c r="D587" s="124"/>
      <c r="E587" s="124"/>
      <c r="F587" s="113"/>
      <c r="G587" s="113"/>
      <c r="H587" s="113"/>
      <c r="I587" s="113"/>
      <c r="J587" s="113"/>
      <c r="K587" s="113"/>
      <c r="L587" s="113"/>
      <c r="M587" s="113"/>
      <c r="N587" s="113"/>
      <c r="O587" s="124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</row>
    <row x14ac:dyDescent="0.25" r="588" customHeight="1" ht="15.75">
      <c r="A588" s="123"/>
      <c r="B588" s="123"/>
      <c r="C588" s="124"/>
      <c r="D588" s="124"/>
      <c r="E588" s="124"/>
      <c r="F588" s="113"/>
      <c r="G588" s="113"/>
      <c r="H588" s="113"/>
      <c r="I588" s="113"/>
      <c r="J588" s="113"/>
      <c r="K588" s="113"/>
      <c r="L588" s="113"/>
      <c r="M588" s="113"/>
      <c r="N588" s="113"/>
      <c r="O588" s="124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</row>
    <row x14ac:dyDescent="0.25" r="589" customHeight="1" ht="15.75">
      <c r="A589" s="123"/>
      <c r="B589" s="123"/>
      <c r="C589" s="124"/>
      <c r="D589" s="124"/>
      <c r="E589" s="124"/>
      <c r="F589" s="113"/>
      <c r="G589" s="113"/>
      <c r="H589" s="113"/>
      <c r="I589" s="113"/>
      <c r="J589" s="113"/>
      <c r="K589" s="113"/>
      <c r="L589" s="113"/>
      <c r="M589" s="113"/>
      <c r="N589" s="113"/>
      <c r="O589" s="124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</row>
    <row x14ac:dyDescent="0.25" r="590" customHeight="1" ht="15.75">
      <c r="A590" s="123"/>
      <c r="B590" s="123"/>
      <c r="C590" s="124"/>
      <c r="D590" s="124"/>
      <c r="E590" s="124"/>
      <c r="F590" s="113"/>
      <c r="G590" s="113"/>
      <c r="H590" s="113"/>
      <c r="I590" s="113"/>
      <c r="J590" s="113"/>
      <c r="K590" s="113"/>
      <c r="L590" s="113"/>
      <c r="M590" s="113"/>
      <c r="N590" s="113"/>
      <c r="O590" s="124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</row>
    <row x14ac:dyDescent="0.25" r="591" customHeight="1" ht="15.75">
      <c r="A591" s="123"/>
      <c r="B591" s="123"/>
      <c r="C591" s="124"/>
      <c r="D591" s="124"/>
      <c r="E591" s="124"/>
      <c r="F591" s="113"/>
      <c r="G591" s="113"/>
      <c r="H591" s="113"/>
      <c r="I591" s="113"/>
      <c r="J591" s="113"/>
      <c r="K591" s="113"/>
      <c r="L591" s="113"/>
      <c r="M591" s="113"/>
      <c r="N591" s="113"/>
      <c r="O591" s="124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</row>
    <row x14ac:dyDescent="0.25" r="592" customHeight="1" ht="15.75">
      <c r="A592" s="123"/>
      <c r="B592" s="123"/>
      <c r="C592" s="124"/>
      <c r="D592" s="124"/>
      <c r="E592" s="124"/>
      <c r="F592" s="113"/>
      <c r="G592" s="113"/>
      <c r="H592" s="113"/>
      <c r="I592" s="113"/>
      <c r="J592" s="113"/>
      <c r="K592" s="113"/>
      <c r="L592" s="113"/>
      <c r="M592" s="113"/>
      <c r="N592" s="113"/>
      <c r="O592" s="124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</row>
    <row x14ac:dyDescent="0.25" r="593" customHeight="1" ht="15.75">
      <c r="A593" s="123"/>
      <c r="B593" s="123"/>
      <c r="C593" s="124"/>
      <c r="D593" s="124"/>
      <c r="E593" s="124"/>
      <c r="F593" s="113"/>
      <c r="G593" s="113"/>
      <c r="H593" s="113"/>
      <c r="I593" s="113"/>
      <c r="J593" s="113"/>
      <c r="K593" s="113"/>
      <c r="L593" s="113"/>
      <c r="M593" s="113"/>
      <c r="N593" s="113"/>
      <c r="O593" s="124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</row>
    <row x14ac:dyDescent="0.25" r="594" customHeight="1" ht="15.75">
      <c r="A594" s="123"/>
      <c r="B594" s="123"/>
      <c r="C594" s="124"/>
      <c r="D594" s="124"/>
      <c r="E594" s="124"/>
      <c r="F594" s="113"/>
      <c r="G594" s="113"/>
      <c r="H594" s="113"/>
      <c r="I594" s="113"/>
      <c r="J594" s="113"/>
      <c r="K594" s="113"/>
      <c r="L594" s="113"/>
      <c r="M594" s="113"/>
      <c r="N594" s="113"/>
      <c r="O594" s="124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</row>
    <row x14ac:dyDescent="0.25" r="595" customHeight="1" ht="15.75">
      <c r="A595" s="123"/>
      <c r="B595" s="123"/>
      <c r="C595" s="124"/>
      <c r="D595" s="124"/>
      <c r="E595" s="124"/>
      <c r="F595" s="113"/>
      <c r="G595" s="113"/>
      <c r="H595" s="113"/>
      <c r="I595" s="113"/>
      <c r="J595" s="113"/>
      <c r="K595" s="113"/>
      <c r="L595" s="113"/>
      <c r="M595" s="113"/>
      <c r="N595" s="113"/>
      <c r="O595" s="124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</row>
    <row x14ac:dyDescent="0.25" r="596" customHeight="1" ht="15.75">
      <c r="A596" s="123"/>
      <c r="B596" s="123"/>
      <c r="C596" s="124"/>
      <c r="D596" s="124"/>
      <c r="E596" s="124"/>
      <c r="F596" s="113"/>
      <c r="G596" s="113"/>
      <c r="H596" s="113"/>
      <c r="I596" s="113"/>
      <c r="J596" s="113"/>
      <c r="K596" s="113"/>
      <c r="L596" s="113"/>
      <c r="M596" s="113"/>
      <c r="N596" s="113"/>
      <c r="O596" s="124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</row>
    <row x14ac:dyDescent="0.25" r="597" customHeight="1" ht="15.75">
      <c r="A597" s="123"/>
      <c r="B597" s="123"/>
      <c r="C597" s="124"/>
      <c r="D597" s="124"/>
      <c r="E597" s="124"/>
      <c r="F597" s="113"/>
      <c r="G597" s="113"/>
      <c r="H597" s="113"/>
      <c r="I597" s="113"/>
      <c r="J597" s="113"/>
      <c r="K597" s="113"/>
      <c r="L597" s="113"/>
      <c r="M597" s="113"/>
      <c r="N597" s="113"/>
      <c r="O597" s="124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</row>
    <row x14ac:dyDescent="0.25" r="598" customHeight="1" ht="15.75">
      <c r="A598" s="123"/>
      <c r="B598" s="123"/>
      <c r="C598" s="124"/>
      <c r="D598" s="124"/>
      <c r="E598" s="124"/>
      <c r="F598" s="113"/>
      <c r="G598" s="113"/>
      <c r="H598" s="113"/>
      <c r="I598" s="113"/>
      <c r="J598" s="113"/>
      <c r="K598" s="113"/>
      <c r="L598" s="113"/>
      <c r="M598" s="113"/>
      <c r="N598" s="113"/>
      <c r="O598" s="124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</row>
    <row x14ac:dyDescent="0.25" r="599" customHeight="1" ht="15.75">
      <c r="A599" s="123"/>
      <c r="B599" s="123"/>
      <c r="C599" s="124"/>
      <c r="D599" s="124"/>
      <c r="E599" s="124"/>
      <c r="F599" s="113"/>
      <c r="G599" s="113"/>
      <c r="H599" s="113"/>
      <c r="I599" s="113"/>
      <c r="J599" s="113"/>
      <c r="K599" s="113"/>
      <c r="L599" s="113"/>
      <c r="M599" s="113"/>
      <c r="N599" s="113"/>
      <c r="O599" s="124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</row>
    <row x14ac:dyDescent="0.25" r="600" customHeight="1" ht="15.75">
      <c r="A600" s="123"/>
      <c r="B600" s="123"/>
      <c r="C600" s="124"/>
      <c r="D600" s="124"/>
      <c r="E600" s="124"/>
      <c r="F600" s="113"/>
      <c r="G600" s="113"/>
      <c r="H600" s="113"/>
      <c r="I600" s="113"/>
      <c r="J600" s="113"/>
      <c r="K600" s="113"/>
      <c r="L600" s="113"/>
      <c r="M600" s="113"/>
      <c r="N600" s="113"/>
      <c r="O600" s="124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</row>
    <row x14ac:dyDescent="0.25" r="601" customHeight="1" ht="15.75">
      <c r="A601" s="123"/>
      <c r="B601" s="123"/>
      <c r="C601" s="124"/>
      <c r="D601" s="124"/>
      <c r="E601" s="124"/>
      <c r="F601" s="113"/>
      <c r="G601" s="113"/>
      <c r="H601" s="113"/>
      <c r="I601" s="113"/>
      <c r="J601" s="113"/>
      <c r="K601" s="113"/>
      <c r="L601" s="113"/>
      <c r="M601" s="113"/>
      <c r="N601" s="113"/>
      <c r="O601" s="124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</row>
    <row x14ac:dyDescent="0.25" r="602" customHeight="1" ht="15.75">
      <c r="A602" s="123"/>
      <c r="B602" s="123"/>
      <c r="C602" s="124"/>
      <c r="D602" s="124"/>
      <c r="E602" s="124"/>
      <c r="F602" s="113"/>
      <c r="G602" s="113"/>
      <c r="H602" s="113"/>
      <c r="I602" s="113"/>
      <c r="J602" s="113"/>
      <c r="K602" s="113"/>
      <c r="L602" s="113"/>
      <c r="M602" s="113"/>
      <c r="N602" s="113"/>
      <c r="O602" s="124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</row>
    <row x14ac:dyDescent="0.25" r="603" customHeight="1" ht="15.75">
      <c r="A603" s="123"/>
      <c r="B603" s="123"/>
      <c r="C603" s="124"/>
      <c r="D603" s="124"/>
      <c r="E603" s="124"/>
      <c r="F603" s="113"/>
      <c r="G603" s="113"/>
      <c r="H603" s="113"/>
      <c r="I603" s="113"/>
      <c r="J603" s="113"/>
      <c r="K603" s="113"/>
      <c r="L603" s="113"/>
      <c r="M603" s="113"/>
      <c r="N603" s="113"/>
      <c r="O603" s="124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</row>
    <row x14ac:dyDescent="0.25" r="604" customHeight="1" ht="15.75">
      <c r="A604" s="123"/>
      <c r="B604" s="123"/>
      <c r="C604" s="124"/>
      <c r="D604" s="124"/>
      <c r="E604" s="124"/>
      <c r="F604" s="113"/>
      <c r="G604" s="113"/>
      <c r="H604" s="113"/>
      <c r="I604" s="113"/>
      <c r="J604" s="113"/>
      <c r="K604" s="113"/>
      <c r="L604" s="113"/>
      <c r="M604" s="113"/>
      <c r="N604" s="113"/>
      <c r="O604" s="124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</row>
    <row x14ac:dyDescent="0.25" r="605" customHeight="1" ht="15.75">
      <c r="A605" s="123"/>
      <c r="B605" s="123"/>
      <c r="C605" s="124"/>
      <c r="D605" s="124"/>
      <c r="E605" s="124"/>
      <c r="F605" s="113"/>
      <c r="G605" s="113"/>
      <c r="H605" s="113"/>
      <c r="I605" s="113"/>
      <c r="J605" s="113"/>
      <c r="K605" s="113"/>
      <c r="L605" s="113"/>
      <c r="M605" s="113"/>
      <c r="N605" s="113"/>
      <c r="O605" s="124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</row>
    <row x14ac:dyDescent="0.25" r="606" customHeight="1" ht="15.75">
      <c r="A606" s="123"/>
      <c r="B606" s="123"/>
      <c r="C606" s="124"/>
      <c r="D606" s="124"/>
      <c r="E606" s="124"/>
      <c r="F606" s="113"/>
      <c r="G606" s="113"/>
      <c r="H606" s="113"/>
      <c r="I606" s="113"/>
      <c r="J606" s="113"/>
      <c r="K606" s="113"/>
      <c r="L606" s="113"/>
      <c r="M606" s="113"/>
      <c r="N606" s="113"/>
      <c r="O606" s="124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</row>
    <row x14ac:dyDescent="0.25" r="607" customHeight="1" ht="15.75">
      <c r="A607" s="123"/>
      <c r="B607" s="123"/>
      <c r="C607" s="124"/>
      <c r="D607" s="124"/>
      <c r="E607" s="124"/>
      <c r="F607" s="113"/>
      <c r="G607" s="113"/>
      <c r="H607" s="113"/>
      <c r="I607" s="113"/>
      <c r="J607" s="113"/>
      <c r="K607" s="113"/>
      <c r="L607" s="113"/>
      <c r="M607" s="113"/>
      <c r="N607" s="113"/>
      <c r="O607" s="124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</row>
    <row x14ac:dyDescent="0.25" r="608" customHeight="1" ht="15.75">
      <c r="A608" s="123"/>
      <c r="B608" s="123"/>
      <c r="C608" s="124"/>
      <c r="D608" s="124"/>
      <c r="E608" s="124"/>
      <c r="F608" s="113"/>
      <c r="G608" s="113"/>
      <c r="H608" s="113"/>
      <c r="I608" s="113"/>
      <c r="J608" s="113"/>
      <c r="K608" s="113"/>
      <c r="L608" s="113"/>
      <c r="M608" s="113"/>
      <c r="N608" s="113"/>
      <c r="O608" s="124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</row>
    <row x14ac:dyDescent="0.25" r="609" customHeight="1" ht="15.75">
      <c r="A609" s="123"/>
      <c r="B609" s="123"/>
      <c r="C609" s="124"/>
      <c r="D609" s="124"/>
      <c r="E609" s="124"/>
      <c r="F609" s="113"/>
      <c r="G609" s="113"/>
      <c r="H609" s="113"/>
      <c r="I609" s="113"/>
      <c r="J609" s="113"/>
      <c r="K609" s="113"/>
      <c r="L609" s="113"/>
      <c r="M609" s="113"/>
      <c r="N609" s="113"/>
      <c r="O609" s="124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</row>
    <row x14ac:dyDescent="0.25" r="610" customHeight="1" ht="15.75">
      <c r="A610" s="123"/>
      <c r="B610" s="123"/>
      <c r="C610" s="124"/>
      <c r="D610" s="124"/>
      <c r="E610" s="124"/>
      <c r="F610" s="113"/>
      <c r="G610" s="113"/>
      <c r="H610" s="113"/>
      <c r="I610" s="113"/>
      <c r="J610" s="113"/>
      <c r="K610" s="113"/>
      <c r="L610" s="113"/>
      <c r="M610" s="113"/>
      <c r="N610" s="113"/>
      <c r="O610" s="124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</row>
    <row x14ac:dyDescent="0.25" r="611" customHeight="1" ht="15.75">
      <c r="A611" s="123"/>
      <c r="B611" s="123"/>
      <c r="C611" s="124"/>
      <c r="D611" s="124"/>
      <c r="E611" s="124"/>
      <c r="F611" s="113"/>
      <c r="G611" s="113"/>
      <c r="H611" s="113"/>
      <c r="I611" s="113"/>
      <c r="J611" s="113"/>
      <c r="K611" s="113"/>
      <c r="L611" s="113"/>
      <c r="M611" s="113"/>
      <c r="N611" s="113"/>
      <c r="O611" s="124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</row>
    <row x14ac:dyDescent="0.25" r="612" customHeight="1" ht="15.75">
      <c r="A612" s="123"/>
      <c r="B612" s="123"/>
      <c r="C612" s="124"/>
      <c r="D612" s="124"/>
      <c r="E612" s="124"/>
      <c r="F612" s="113"/>
      <c r="G612" s="113"/>
      <c r="H612" s="113"/>
      <c r="I612" s="113"/>
      <c r="J612" s="113"/>
      <c r="K612" s="113"/>
      <c r="L612" s="113"/>
      <c r="M612" s="113"/>
      <c r="N612" s="113"/>
      <c r="O612" s="124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</row>
    <row x14ac:dyDescent="0.25" r="613" customHeight="1" ht="15.75">
      <c r="A613" s="123"/>
      <c r="B613" s="123"/>
      <c r="C613" s="124"/>
      <c r="D613" s="124"/>
      <c r="E613" s="124"/>
      <c r="F613" s="113"/>
      <c r="G613" s="113"/>
      <c r="H613" s="113"/>
      <c r="I613" s="113"/>
      <c r="J613" s="113"/>
      <c r="K613" s="113"/>
      <c r="L613" s="113"/>
      <c r="M613" s="113"/>
      <c r="N613" s="113"/>
      <c r="O613" s="124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</row>
    <row x14ac:dyDescent="0.25" r="614" customHeight="1" ht="15.75">
      <c r="A614" s="123"/>
      <c r="B614" s="123"/>
      <c r="C614" s="124"/>
      <c r="D614" s="124"/>
      <c r="E614" s="124"/>
      <c r="F614" s="113"/>
      <c r="G614" s="113"/>
      <c r="H614" s="113"/>
      <c r="I614" s="113"/>
      <c r="J614" s="113"/>
      <c r="K614" s="113"/>
      <c r="L614" s="113"/>
      <c r="M614" s="113"/>
      <c r="N614" s="113"/>
      <c r="O614" s="124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</row>
    <row x14ac:dyDescent="0.25" r="615" customHeight="1" ht="15.75">
      <c r="A615" s="123"/>
      <c r="B615" s="123"/>
      <c r="C615" s="124"/>
      <c r="D615" s="124"/>
      <c r="E615" s="124"/>
      <c r="F615" s="113"/>
      <c r="G615" s="113"/>
      <c r="H615" s="113"/>
      <c r="I615" s="113"/>
      <c r="J615" s="113"/>
      <c r="K615" s="113"/>
      <c r="L615" s="113"/>
      <c r="M615" s="113"/>
      <c r="N615" s="113"/>
      <c r="O615" s="124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</row>
    <row x14ac:dyDescent="0.25" r="616" customHeight="1" ht="15.75">
      <c r="A616" s="123"/>
      <c r="B616" s="123"/>
      <c r="C616" s="124"/>
      <c r="D616" s="124"/>
      <c r="E616" s="124"/>
      <c r="F616" s="113"/>
      <c r="G616" s="113"/>
      <c r="H616" s="113"/>
      <c r="I616" s="113"/>
      <c r="J616" s="113"/>
      <c r="K616" s="113"/>
      <c r="L616" s="113"/>
      <c r="M616" s="113"/>
      <c r="N616" s="113"/>
      <c r="O616" s="124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</row>
    <row x14ac:dyDescent="0.25" r="617" customHeight="1" ht="15.75">
      <c r="A617" s="123"/>
      <c r="B617" s="123"/>
      <c r="C617" s="124"/>
      <c r="D617" s="124"/>
      <c r="E617" s="124"/>
      <c r="F617" s="113"/>
      <c r="G617" s="113"/>
      <c r="H617" s="113"/>
      <c r="I617" s="113"/>
      <c r="J617" s="113"/>
      <c r="K617" s="113"/>
      <c r="L617" s="113"/>
      <c r="M617" s="113"/>
      <c r="N617" s="113"/>
      <c r="O617" s="124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</row>
    <row x14ac:dyDescent="0.25" r="618" customHeight="1" ht="15.75">
      <c r="A618" s="123"/>
      <c r="B618" s="123"/>
      <c r="C618" s="124"/>
      <c r="D618" s="124"/>
      <c r="E618" s="124"/>
      <c r="F618" s="113"/>
      <c r="G618" s="113"/>
      <c r="H618" s="113"/>
      <c r="I618" s="113"/>
      <c r="J618" s="113"/>
      <c r="K618" s="113"/>
      <c r="L618" s="113"/>
      <c r="M618" s="113"/>
      <c r="N618" s="113"/>
      <c r="O618" s="124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</row>
    <row x14ac:dyDescent="0.25" r="619" customHeight="1" ht="15.75">
      <c r="A619" s="123"/>
      <c r="B619" s="123"/>
      <c r="C619" s="124"/>
      <c r="D619" s="124"/>
      <c r="E619" s="124"/>
      <c r="F619" s="113"/>
      <c r="G619" s="113"/>
      <c r="H619" s="113"/>
      <c r="I619" s="113"/>
      <c r="J619" s="113"/>
      <c r="K619" s="113"/>
      <c r="L619" s="113"/>
      <c r="M619" s="113"/>
      <c r="N619" s="113"/>
      <c r="O619" s="124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</row>
    <row x14ac:dyDescent="0.25" r="620" customHeight="1" ht="15.75">
      <c r="A620" s="123"/>
      <c r="B620" s="123"/>
      <c r="C620" s="124"/>
      <c r="D620" s="124"/>
      <c r="E620" s="124"/>
      <c r="F620" s="113"/>
      <c r="G620" s="113"/>
      <c r="H620" s="113"/>
      <c r="I620" s="113"/>
      <c r="J620" s="113"/>
      <c r="K620" s="113"/>
      <c r="L620" s="113"/>
      <c r="M620" s="113"/>
      <c r="N620" s="113"/>
      <c r="O620" s="124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</row>
    <row x14ac:dyDescent="0.25" r="621" customHeight="1" ht="15.75">
      <c r="A621" s="123"/>
      <c r="B621" s="123"/>
      <c r="C621" s="124"/>
      <c r="D621" s="124"/>
      <c r="E621" s="124"/>
      <c r="F621" s="113"/>
      <c r="G621" s="113"/>
      <c r="H621" s="113"/>
      <c r="I621" s="113"/>
      <c r="J621" s="113"/>
      <c r="K621" s="113"/>
      <c r="L621" s="113"/>
      <c r="M621" s="113"/>
      <c r="N621" s="113"/>
      <c r="O621" s="124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</row>
    <row x14ac:dyDescent="0.25" r="622" customHeight="1" ht="15.75">
      <c r="A622" s="123"/>
      <c r="B622" s="123"/>
      <c r="C622" s="124"/>
      <c r="D622" s="124"/>
      <c r="E622" s="124"/>
      <c r="F622" s="113"/>
      <c r="G622" s="113"/>
      <c r="H622" s="113"/>
      <c r="I622" s="113"/>
      <c r="J622" s="113"/>
      <c r="K622" s="113"/>
      <c r="L622" s="113"/>
      <c r="M622" s="113"/>
      <c r="N622" s="113"/>
      <c r="O622" s="124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</row>
    <row x14ac:dyDescent="0.25" r="623" customHeight="1" ht="15.75">
      <c r="A623" s="123"/>
      <c r="B623" s="123"/>
      <c r="C623" s="124"/>
      <c r="D623" s="124"/>
      <c r="E623" s="124"/>
      <c r="F623" s="113"/>
      <c r="G623" s="113"/>
      <c r="H623" s="113"/>
      <c r="I623" s="113"/>
      <c r="J623" s="113"/>
      <c r="K623" s="113"/>
      <c r="L623" s="113"/>
      <c r="M623" s="113"/>
      <c r="N623" s="113"/>
      <c r="O623" s="124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</row>
    <row x14ac:dyDescent="0.25" r="624" customHeight="1" ht="15.75">
      <c r="A624" s="123"/>
      <c r="B624" s="123"/>
      <c r="C624" s="124"/>
      <c r="D624" s="124"/>
      <c r="E624" s="124"/>
      <c r="F624" s="113"/>
      <c r="G624" s="113"/>
      <c r="H624" s="113"/>
      <c r="I624" s="113"/>
      <c r="J624" s="113"/>
      <c r="K624" s="113"/>
      <c r="L624" s="113"/>
      <c r="M624" s="113"/>
      <c r="N624" s="113"/>
      <c r="O624" s="124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</row>
    <row x14ac:dyDescent="0.25" r="625" customHeight="1" ht="15.75">
      <c r="A625" s="123"/>
      <c r="B625" s="123"/>
      <c r="C625" s="124"/>
      <c r="D625" s="124"/>
      <c r="E625" s="124"/>
      <c r="F625" s="113"/>
      <c r="G625" s="113"/>
      <c r="H625" s="113"/>
      <c r="I625" s="113"/>
      <c r="J625" s="113"/>
      <c r="K625" s="113"/>
      <c r="L625" s="113"/>
      <c r="M625" s="113"/>
      <c r="N625" s="113"/>
      <c r="O625" s="124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</row>
    <row x14ac:dyDescent="0.25" r="626" customHeight="1" ht="15.75">
      <c r="A626" s="123"/>
      <c r="B626" s="123"/>
      <c r="C626" s="124"/>
      <c r="D626" s="124"/>
      <c r="E626" s="124"/>
      <c r="F626" s="113"/>
      <c r="G626" s="113"/>
      <c r="H626" s="113"/>
      <c r="I626" s="113"/>
      <c r="J626" s="113"/>
      <c r="K626" s="113"/>
      <c r="L626" s="113"/>
      <c r="M626" s="113"/>
      <c r="N626" s="113"/>
      <c r="O626" s="124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</row>
    <row x14ac:dyDescent="0.25" r="627" customHeight="1" ht="15.75">
      <c r="A627" s="123"/>
      <c r="B627" s="123"/>
      <c r="C627" s="124"/>
      <c r="D627" s="124"/>
      <c r="E627" s="124"/>
      <c r="F627" s="113"/>
      <c r="G627" s="113"/>
      <c r="H627" s="113"/>
      <c r="I627" s="113"/>
      <c r="J627" s="113"/>
      <c r="K627" s="113"/>
      <c r="L627" s="113"/>
      <c r="M627" s="113"/>
      <c r="N627" s="113"/>
      <c r="O627" s="124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</row>
    <row x14ac:dyDescent="0.25" r="628" customHeight="1" ht="15.75">
      <c r="A628" s="123"/>
      <c r="B628" s="123"/>
      <c r="C628" s="124"/>
      <c r="D628" s="124"/>
      <c r="E628" s="124"/>
      <c r="F628" s="113"/>
      <c r="G628" s="113"/>
      <c r="H628" s="113"/>
      <c r="I628" s="113"/>
      <c r="J628" s="113"/>
      <c r="K628" s="113"/>
      <c r="L628" s="113"/>
      <c r="M628" s="113"/>
      <c r="N628" s="113"/>
      <c r="O628" s="124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</row>
    <row x14ac:dyDescent="0.25" r="629" customHeight="1" ht="15.75">
      <c r="A629" s="123"/>
      <c r="B629" s="123"/>
      <c r="C629" s="124"/>
      <c r="D629" s="124"/>
      <c r="E629" s="124"/>
      <c r="F629" s="113"/>
      <c r="G629" s="113"/>
      <c r="H629" s="113"/>
      <c r="I629" s="113"/>
      <c r="J629" s="113"/>
      <c r="K629" s="113"/>
      <c r="L629" s="113"/>
      <c r="M629" s="113"/>
      <c r="N629" s="113"/>
      <c r="O629" s="124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</row>
    <row x14ac:dyDescent="0.25" r="630" customHeight="1" ht="15.75">
      <c r="A630" s="123"/>
      <c r="B630" s="123"/>
      <c r="C630" s="124"/>
      <c r="D630" s="124"/>
      <c r="E630" s="124"/>
      <c r="F630" s="113"/>
      <c r="G630" s="113"/>
      <c r="H630" s="113"/>
      <c r="I630" s="113"/>
      <c r="J630" s="113"/>
      <c r="K630" s="113"/>
      <c r="L630" s="113"/>
      <c r="M630" s="113"/>
      <c r="N630" s="113"/>
      <c r="O630" s="124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</row>
    <row x14ac:dyDescent="0.25" r="631" customHeight="1" ht="15.75">
      <c r="A631" s="123"/>
      <c r="B631" s="123"/>
      <c r="C631" s="124"/>
      <c r="D631" s="124"/>
      <c r="E631" s="124"/>
      <c r="F631" s="113"/>
      <c r="G631" s="113"/>
      <c r="H631" s="113"/>
      <c r="I631" s="113"/>
      <c r="J631" s="113"/>
      <c r="K631" s="113"/>
      <c r="L631" s="113"/>
      <c r="M631" s="113"/>
      <c r="N631" s="113"/>
      <c r="O631" s="124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</row>
    <row x14ac:dyDescent="0.25" r="632" customHeight="1" ht="15.75">
      <c r="A632" s="123"/>
      <c r="B632" s="123"/>
      <c r="C632" s="124"/>
      <c r="D632" s="124"/>
      <c r="E632" s="124"/>
      <c r="F632" s="113"/>
      <c r="G632" s="113"/>
      <c r="H632" s="113"/>
      <c r="I632" s="113"/>
      <c r="J632" s="113"/>
      <c r="K632" s="113"/>
      <c r="L632" s="113"/>
      <c r="M632" s="113"/>
      <c r="N632" s="113"/>
      <c r="O632" s="124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</row>
    <row x14ac:dyDescent="0.25" r="633" customHeight="1" ht="15.75">
      <c r="A633" s="123"/>
      <c r="B633" s="123"/>
      <c r="C633" s="124"/>
      <c r="D633" s="124"/>
      <c r="E633" s="124"/>
      <c r="F633" s="113"/>
      <c r="G633" s="113"/>
      <c r="H633" s="113"/>
      <c r="I633" s="113"/>
      <c r="J633" s="113"/>
      <c r="K633" s="113"/>
      <c r="L633" s="113"/>
      <c r="M633" s="113"/>
      <c r="N633" s="113"/>
      <c r="O633" s="124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</row>
    <row x14ac:dyDescent="0.25" r="634" customHeight="1" ht="15.75">
      <c r="A634" s="123"/>
      <c r="B634" s="123"/>
      <c r="C634" s="124"/>
      <c r="D634" s="124"/>
      <c r="E634" s="124"/>
      <c r="F634" s="113"/>
      <c r="G634" s="113"/>
      <c r="H634" s="113"/>
      <c r="I634" s="113"/>
      <c r="J634" s="113"/>
      <c r="K634" s="113"/>
      <c r="L634" s="113"/>
      <c r="M634" s="113"/>
      <c r="N634" s="113"/>
      <c r="O634" s="124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</row>
    <row x14ac:dyDescent="0.25" r="635" customHeight="1" ht="15.75">
      <c r="A635" s="123"/>
      <c r="B635" s="123"/>
      <c r="C635" s="124"/>
      <c r="D635" s="124"/>
      <c r="E635" s="124"/>
      <c r="F635" s="113"/>
      <c r="G635" s="113"/>
      <c r="H635" s="113"/>
      <c r="I635" s="113"/>
      <c r="J635" s="113"/>
      <c r="K635" s="113"/>
      <c r="L635" s="113"/>
      <c r="M635" s="113"/>
      <c r="N635" s="113"/>
      <c r="O635" s="124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</row>
    <row x14ac:dyDescent="0.25" r="636" customHeight="1" ht="15.75">
      <c r="A636" s="123"/>
      <c r="B636" s="123"/>
      <c r="C636" s="124"/>
      <c r="D636" s="124"/>
      <c r="E636" s="124"/>
      <c r="F636" s="113"/>
      <c r="G636" s="113"/>
      <c r="H636" s="113"/>
      <c r="I636" s="113"/>
      <c r="J636" s="113"/>
      <c r="K636" s="113"/>
      <c r="L636" s="113"/>
      <c r="M636" s="113"/>
      <c r="N636" s="113"/>
      <c r="O636" s="124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</row>
    <row x14ac:dyDescent="0.25" r="637" customHeight="1" ht="15.75">
      <c r="A637" s="123"/>
      <c r="B637" s="123"/>
      <c r="C637" s="124"/>
      <c r="D637" s="124"/>
      <c r="E637" s="124"/>
      <c r="F637" s="113"/>
      <c r="G637" s="113"/>
      <c r="H637" s="113"/>
      <c r="I637" s="113"/>
      <c r="J637" s="113"/>
      <c r="K637" s="113"/>
      <c r="L637" s="113"/>
      <c r="M637" s="113"/>
      <c r="N637" s="113"/>
      <c r="O637" s="124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</row>
    <row x14ac:dyDescent="0.25" r="638" customHeight="1" ht="15.75">
      <c r="A638" s="123"/>
      <c r="B638" s="123"/>
      <c r="C638" s="124"/>
      <c r="D638" s="124"/>
      <c r="E638" s="124"/>
      <c r="F638" s="113"/>
      <c r="G638" s="113"/>
      <c r="H638" s="113"/>
      <c r="I638" s="113"/>
      <c r="J638" s="113"/>
      <c r="K638" s="113"/>
      <c r="L638" s="113"/>
      <c r="M638" s="113"/>
      <c r="N638" s="113"/>
      <c r="O638" s="124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</row>
    <row x14ac:dyDescent="0.25" r="639" customHeight="1" ht="15.75">
      <c r="A639" s="123"/>
      <c r="B639" s="123"/>
      <c r="C639" s="124"/>
      <c r="D639" s="124"/>
      <c r="E639" s="124"/>
      <c r="F639" s="113"/>
      <c r="G639" s="113"/>
      <c r="H639" s="113"/>
      <c r="I639" s="113"/>
      <c r="J639" s="113"/>
      <c r="K639" s="113"/>
      <c r="L639" s="113"/>
      <c r="M639" s="113"/>
      <c r="N639" s="113"/>
      <c r="O639" s="124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</row>
    <row x14ac:dyDescent="0.25" r="640" customHeight="1" ht="15.75">
      <c r="A640" s="123"/>
      <c r="B640" s="123"/>
      <c r="C640" s="124"/>
      <c r="D640" s="124"/>
      <c r="E640" s="124"/>
      <c r="F640" s="113"/>
      <c r="G640" s="113"/>
      <c r="H640" s="113"/>
      <c r="I640" s="113"/>
      <c r="J640" s="113"/>
      <c r="K640" s="113"/>
      <c r="L640" s="113"/>
      <c r="M640" s="113"/>
      <c r="N640" s="113"/>
      <c r="O640" s="124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</row>
    <row x14ac:dyDescent="0.25" r="641" customHeight="1" ht="15.75">
      <c r="A641" s="123"/>
      <c r="B641" s="123"/>
      <c r="C641" s="124"/>
      <c r="D641" s="124"/>
      <c r="E641" s="124"/>
      <c r="F641" s="113"/>
      <c r="G641" s="113"/>
      <c r="H641" s="113"/>
      <c r="I641" s="113"/>
      <c r="J641" s="113"/>
      <c r="K641" s="113"/>
      <c r="L641" s="113"/>
      <c r="M641" s="113"/>
      <c r="N641" s="113"/>
      <c r="O641" s="124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</row>
    <row x14ac:dyDescent="0.25" r="642" customHeight="1" ht="15.75">
      <c r="A642" s="123"/>
      <c r="B642" s="123"/>
      <c r="C642" s="124"/>
      <c r="D642" s="124"/>
      <c r="E642" s="124"/>
      <c r="F642" s="113"/>
      <c r="G642" s="113"/>
      <c r="H642" s="113"/>
      <c r="I642" s="113"/>
      <c r="J642" s="113"/>
      <c r="K642" s="113"/>
      <c r="L642" s="113"/>
      <c r="M642" s="113"/>
      <c r="N642" s="113"/>
      <c r="O642" s="124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</row>
    <row x14ac:dyDescent="0.25" r="643" customHeight="1" ht="15.75">
      <c r="A643" s="123"/>
      <c r="B643" s="123"/>
      <c r="C643" s="124"/>
      <c r="D643" s="124"/>
      <c r="E643" s="124"/>
      <c r="F643" s="113"/>
      <c r="G643" s="113"/>
      <c r="H643" s="113"/>
      <c r="I643" s="113"/>
      <c r="J643" s="113"/>
      <c r="K643" s="113"/>
      <c r="L643" s="113"/>
      <c r="M643" s="113"/>
      <c r="N643" s="113"/>
      <c r="O643" s="124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</row>
    <row x14ac:dyDescent="0.25" r="644" customHeight="1" ht="15.75">
      <c r="A644" s="123"/>
      <c r="B644" s="123"/>
      <c r="C644" s="124"/>
      <c r="D644" s="124"/>
      <c r="E644" s="124"/>
      <c r="F644" s="113"/>
      <c r="G644" s="113"/>
      <c r="H644" s="113"/>
      <c r="I644" s="113"/>
      <c r="J644" s="113"/>
      <c r="K644" s="113"/>
      <c r="L644" s="113"/>
      <c r="M644" s="113"/>
      <c r="N644" s="113"/>
      <c r="O644" s="124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</row>
    <row x14ac:dyDescent="0.25" r="645" customHeight="1" ht="15.75">
      <c r="A645" s="123"/>
      <c r="B645" s="123"/>
      <c r="C645" s="124"/>
      <c r="D645" s="124"/>
      <c r="E645" s="124"/>
      <c r="F645" s="113"/>
      <c r="G645" s="113"/>
      <c r="H645" s="113"/>
      <c r="I645" s="113"/>
      <c r="J645" s="113"/>
      <c r="K645" s="113"/>
      <c r="L645" s="113"/>
      <c r="M645" s="113"/>
      <c r="N645" s="113"/>
      <c r="O645" s="124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</row>
    <row x14ac:dyDescent="0.25" r="646" customHeight="1" ht="15.75">
      <c r="A646" s="123"/>
      <c r="B646" s="123"/>
      <c r="C646" s="124"/>
      <c r="D646" s="124"/>
      <c r="E646" s="124"/>
      <c r="F646" s="113"/>
      <c r="G646" s="113"/>
      <c r="H646" s="113"/>
      <c r="I646" s="113"/>
      <c r="J646" s="113"/>
      <c r="K646" s="113"/>
      <c r="L646" s="113"/>
      <c r="M646" s="113"/>
      <c r="N646" s="113"/>
      <c r="O646" s="124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</row>
    <row x14ac:dyDescent="0.25" r="647" customHeight="1" ht="15.75">
      <c r="A647" s="123"/>
      <c r="B647" s="123"/>
      <c r="C647" s="124"/>
      <c r="D647" s="124"/>
      <c r="E647" s="124"/>
      <c r="F647" s="113"/>
      <c r="G647" s="113"/>
      <c r="H647" s="113"/>
      <c r="I647" s="113"/>
      <c r="J647" s="113"/>
      <c r="K647" s="113"/>
      <c r="L647" s="113"/>
      <c r="M647" s="113"/>
      <c r="N647" s="113"/>
      <c r="O647" s="124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</row>
    <row x14ac:dyDescent="0.25" r="648" customHeight="1" ht="15.75">
      <c r="A648" s="123"/>
      <c r="B648" s="123"/>
      <c r="C648" s="124"/>
      <c r="D648" s="124"/>
      <c r="E648" s="124"/>
      <c r="F648" s="113"/>
      <c r="G648" s="113"/>
      <c r="H648" s="113"/>
      <c r="I648" s="113"/>
      <c r="J648" s="113"/>
      <c r="K648" s="113"/>
      <c r="L648" s="113"/>
      <c r="M648" s="113"/>
      <c r="N648" s="113"/>
      <c r="O648" s="124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</row>
    <row x14ac:dyDescent="0.25" r="649" customHeight="1" ht="15.75">
      <c r="A649" s="123"/>
      <c r="B649" s="123"/>
      <c r="C649" s="124"/>
      <c r="D649" s="124"/>
      <c r="E649" s="124"/>
      <c r="F649" s="113"/>
      <c r="G649" s="113"/>
      <c r="H649" s="113"/>
      <c r="I649" s="113"/>
      <c r="J649" s="113"/>
      <c r="K649" s="113"/>
      <c r="L649" s="113"/>
      <c r="M649" s="113"/>
      <c r="N649" s="113"/>
      <c r="O649" s="124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</row>
    <row x14ac:dyDescent="0.25" r="650" customHeight="1" ht="15.75">
      <c r="A650" s="123"/>
      <c r="B650" s="123"/>
      <c r="C650" s="124"/>
      <c r="D650" s="124"/>
      <c r="E650" s="124"/>
      <c r="F650" s="113"/>
      <c r="G650" s="113"/>
      <c r="H650" s="113"/>
      <c r="I650" s="113"/>
      <c r="J650" s="113"/>
      <c r="K650" s="113"/>
      <c r="L650" s="113"/>
      <c r="M650" s="113"/>
      <c r="N650" s="113"/>
      <c r="O650" s="124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</row>
    <row x14ac:dyDescent="0.25" r="651" customHeight="1" ht="15.75">
      <c r="A651" s="123"/>
      <c r="B651" s="123"/>
      <c r="C651" s="124"/>
      <c r="D651" s="124"/>
      <c r="E651" s="124"/>
      <c r="F651" s="113"/>
      <c r="G651" s="113"/>
      <c r="H651" s="113"/>
      <c r="I651" s="113"/>
      <c r="J651" s="113"/>
      <c r="K651" s="113"/>
      <c r="L651" s="113"/>
      <c r="M651" s="113"/>
      <c r="N651" s="113"/>
      <c r="O651" s="124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</row>
    <row x14ac:dyDescent="0.25" r="652" customHeight="1" ht="15.75">
      <c r="A652" s="123"/>
      <c r="B652" s="123"/>
      <c r="C652" s="124"/>
      <c r="D652" s="124"/>
      <c r="E652" s="124"/>
      <c r="F652" s="113"/>
      <c r="G652" s="113"/>
      <c r="H652" s="113"/>
      <c r="I652" s="113"/>
      <c r="J652" s="113"/>
      <c r="K652" s="113"/>
      <c r="L652" s="113"/>
      <c r="M652" s="113"/>
      <c r="N652" s="113"/>
      <c r="O652" s="124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</row>
    <row x14ac:dyDescent="0.25" r="653" customHeight="1" ht="15.75">
      <c r="A653" s="123"/>
      <c r="B653" s="123"/>
      <c r="C653" s="124"/>
      <c r="D653" s="124"/>
      <c r="E653" s="124"/>
      <c r="F653" s="113"/>
      <c r="G653" s="113"/>
      <c r="H653" s="113"/>
      <c r="I653" s="113"/>
      <c r="J653" s="113"/>
      <c r="K653" s="113"/>
      <c r="L653" s="113"/>
      <c r="M653" s="113"/>
      <c r="N653" s="113"/>
      <c r="O653" s="124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</row>
    <row x14ac:dyDescent="0.25" r="654" customHeight="1" ht="15.75">
      <c r="A654" s="123"/>
      <c r="B654" s="123"/>
      <c r="C654" s="124"/>
      <c r="D654" s="124"/>
      <c r="E654" s="124"/>
      <c r="F654" s="113"/>
      <c r="G654" s="113"/>
      <c r="H654" s="113"/>
      <c r="I654" s="113"/>
      <c r="J654" s="113"/>
      <c r="K654" s="113"/>
      <c r="L654" s="113"/>
      <c r="M654" s="113"/>
      <c r="N654" s="113"/>
      <c r="O654" s="124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</row>
    <row x14ac:dyDescent="0.25" r="655" customHeight="1" ht="15.75">
      <c r="A655" s="123"/>
      <c r="B655" s="123"/>
      <c r="C655" s="124"/>
      <c r="D655" s="124"/>
      <c r="E655" s="124"/>
      <c r="F655" s="113"/>
      <c r="G655" s="113"/>
      <c r="H655" s="113"/>
      <c r="I655" s="113"/>
      <c r="J655" s="113"/>
      <c r="K655" s="113"/>
      <c r="L655" s="113"/>
      <c r="M655" s="113"/>
      <c r="N655" s="113"/>
      <c r="O655" s="124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</row>
    <row x14ac:dyDescent="0.25" r="656" customHeight="1" ht="15.75">
      <c r="A656" s="123"/>
      <c r="B656" s="123"/>
      <c r="C656" s="124"/>
      <c r="D656" s="124"/>
      <c r="E656" s="124"/>
      <c r="F656" s="113"/>
      <c r="G656" s="113"/>
      <c r="H656" s="113"/>
      <c r="I656" s="113"/>
      <c r="J656" s="113"/>
      <c r="K656" s="113"/>
      <c r="L656" s="113"/>
      <c r="M656" s="113"/>
      <c r="N656" s="113"/>
      <c r="O656" s="124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</row>
    <row x14ac:dyDescent="0.25" r="657" customHeight="1" ht="15.75">
      <c r="A657" s="123"/>
      <c r="B657" s="123"/>
      <c r="C657" s="124"/>
      <c r="D657" s="124"/>
      <c r="E657" s="124"/>
      <c r="F657" s="113"/>
      <c r="G657" s="113"/>
      <c r="H657" s="113"/>
      <c r="I657" s="113"/>
      <c r="J657" s="113"/>
      <c r="K657" s="113"/>
      <c r="L657" s="113"/>
      <c r="M657" s="113"/>
      <c r="N657" s="113"/>
      <c r="O657" s="124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</row>
    <row x14ac:dyDescent="0.25" r="658" customHeight="1" ht="15.75">
      <c r="A658" s="123"/>
      <c r="B658" s="123"/>
      <c r="C658" s="124"/>
      <c r="D658" s="124"/>
      <c r="E658" s="124"/>
      <c r="F658" s="113"/>
      <c r="G658" s="113"/>
      <c r="H658" s="113"/>
      <c r="I658" s="113"/>
      <c r="J658" s="113"/>
      <c r="K658" s="113"/>
      <c r="L658" s="113"/>
      <c r="M658" s="113"/>
      <c r="N658" s="113"/>
      <c r="O658" s="124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</row>
    <row x14ac:dyDescent="0.25" r="659" customHeight="1" ht="15.75">
      <c r="A659" s="123"/>
      <c r="B659" s="123"/>
      <c r="C659" s="124"/>
      <c r="D659" s="124"/>
      <c r="E659" s="124"/>
      <c r="F659" s="113"/>
      <c r="G659" s="113"/>
      <c r="H659" s="113"/>
      <c r="I659" s="113"/>
      <c r="J659" s="113"/>
      <c r="K659" s="113"/>
      <c r="L659" s="113"/>
      <c r="M659" s="113"/>
      <c r="N659" s="113"/>
      <c r="O659" s="124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</row>
    <row x14ac:dyDescent="0.25" r="660" customHeight="1" ht="15.75">
      <c r="A660" s="123"/>
      <c r="B660" s="123"/>
      <c r="C660" s="124"/>
      <c r="D660" s="124"/>
      <c r="E660" s="124"/>
      <c r="F660" s="113"/>
      <c r="G660" s="113"/>
      <c r="H660" s="113"/>
      <c r="I660" s="113"/>
      <c r="J660" s="113"/>
      <c r="K660" s="113"/>
      <c r="L660" s="113"/>
      <c r="M660" s="113"/>
      <c r="N660" s="113"/>
      <c r="O660" s="124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</row>
    <row x14ac:dyDescent="0.25" r="661" customHeight="1" ht="15.75">
      <c r="A661" s="123"/>
      <c r="B661" s="123"/>
      <c r="C661" s="124"/>
      <c r="D661" s="124"/>
      <c r="E661" s="124"/>
      <c r="F661" s="113"/>
      <c r="G661" s="113"/>
      <c r="H661" s="113"/>
      <c r="I661" s="113"/>
      <c r="J661" s="113"/>
      <c r="K661" s="113"/>
      <c r="L661" s="113"/>
      <c r="M661" s="113"/>
      <c r="N661" s="113"/>
      <c r="O661" s="124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</row>
    <row x14ac:dyDescent="0.25" r="662" customHeight="1" ht="15.75">
      <c r="A662" s="123"/>
      <c r="B662" s="123"/>
      <c r="C662" s="124"/>
      <c r="D662" s="124"/>
      <c r="E662" s="124"/>
      <c r="F662" s="113"/>
      <c r="G662" s="113"/>
      <c r="H662" s="113"/>
      <c r="I662" s="113"/>
      <c r="J662" s="113"/>
      <c r="K662" s="113"/>
      <c r="L662" s="113"/>
      <c r="M662" s="113"/>
      <c r="N662" s="113"/>
      <c r="O662" s="124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</row>
    <row x14ac:dyDescent="0.25" r="663" customHeight="1" ht="15.75">
      <c r="A663" s="123"/>
      <c r="B663" s="123"/>
      <c r="C663" s="124"/>
      <c r="D663" s="124"/>
      <c r="E663" s="124"/>
      <c r="F663" s="113"/>
      <c r="G663" s="113"/>
      <c r="H663" s="113"/>
      <c r="I663" s="113"/>
      <c r="J663" s="113"/>
      <c r="K663" s="113"/>
      <c r="L663" s="113"/>
      <c r="M663" s="113"/>
      <c r="N663" s="113"/>
      <c r="O663" s="124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</row>
    <row x14ac:dyDescent="0.25" r="664" customHeight="1" ht="15.75">
      <c r="A664" s="123"/>
      <c r="B664" s="123"/>
      <c r="C664" s="124"/>
      <c r="D664" s="124"/>
      <c r="E664" s="124"/>
      <c r="F664" s="113"/>
      <c r="G664" s="113"/>
      <c r="H664" s="113"/>
      <c r="I664" s="113"/>
      <c r="J664" s="113"/>
      <c r="K664" s="113"/>
      <c r="L664" s="113"/>
      <c r="M664" s="113"/>
      <c r="N664" s="113"/>
      <c r="O664" s="124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</row>
    <row x14ac:dyDescent="0.25" r="665" customHeight="1" ht="15.75">
      <c r="A665" s="123"/>
      <c r="B665" s="123"/>
      <c r="C665" s="124"/>
      <c r="D665" s="124"/>
      <c r="E665" s="124"/>
      <c r="F665" s="113"/>
      <c r="G665" s="113"/>
      <c r="H665" s="113"/>
      <c r="I665" s="113"/>
      <c r="J665" s="113"/>
      <c r="K665" s="113"/>
      <c r="L665" s="113"/>
      <c r="M665" s="113"/>
      <c r="N665" s="113"/>
      <c r="O665" s="124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</row>
    <row x14ac:dyDescent="0.25" r="666" customHeight="1" ht="15.75">
      <c r="A666" s="123"/>
      <c r="B666" s="123"/>
      <c r="C666" s="124"/>
      <c r="D666" s="124"/>
      <c r="E666" s="124"/>
      <c r="F666" s="113"/>
      <c r="G666" s="113"/>
      <c r="H666" s="113"/>
      <c r="I666" s="113"/>
      <c r="J666" s="113"/>
      <c r="K666" s="113"/>
      <c r="L666" s="113"/>
      <c r="M666" s="113"/>
      <c r="N666" s="113"/>
      <c r="O666" s="124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</row>
    <row x14ac:dyDescent="0.25" r="667" customHeight="1" ht="15.75">
      <c r="A667" s="123"/>
      <c r="B667" s="123"/>
      <c r="C667" s="124"/>
      <c r="D667" s="124"/>
      <c r="E667" s="124"/>
      <c r="F667" s="113"/>
      <c r="G667" s="113"/>
      <c r="H667" s="113"/>
      <c r="I667" s="113"/>
      <c r="J667" s="113"/>
      <c r="K667" s="113"/>
      <c r="L667" s="113"/>
      <c r="M667" s="113"/>
      <c r="N667" s="113"/>
      <c r="O667" s="124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</row>
    <row x14ac:dyDescent="0.25" r="668" customHeight="1" ht="15.75">
      <c r="A668" s="123"/>
      <c r="B668" s="123"/>
      <c r="C668" s="124"/>
      <c r="D668" s="124"/>
      <c r="E668" s="124"/>
      <c r="F668" s="113"/>
      <c r="G668" s="113"/>
      <c r="H668" s="113"/>
      <c r="I668" s="113"/>
      <c r="J668" s="113"/>
      <c r="K668" s="113"/>
      <c r="L668" s="113"/>
      <c r="M668" s="113"/>
      <c r="N668" s="113"/>
      <c r="O668" s="124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</row>
    <row x14ac:dyDescent="0.25" r="669" customHeight="1" ht="15.75">
      <c r="A669" s="123"/>
      <c r="B669" s="123"/>
      <c r="C669" s="124"/>
      <c r="D669" s="124"/>
      <c r="E669" s="124"/>
      <c r="F669" s="113"/>
      <c r="G669" s="113"/>
      <c r="H669" s="113"/>
      <c r="I669" s="113"/>
      <c r="J669" s="113"/>
      <c r="K669" s="113"/>
      <c r="L669" s="113"/>
      <c r="M669" s="113"/>
      <c r="N669" s="113"/>
      <c r="O669" s="124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</row>
    <row x14ac:dyDescent="0.25" r="670" customHeight="1" ht="15.75">
      <c r="A670" s="123"/>
      <c r="B670" s="123"/>
      <c r="C670" s="124"/>
      <c r="D670" s="124"/>
      <c r="E670" s="124"/>
      <c r="F670" s="113"/>
      <c r="G670" s="113"/>
      <c r="H670" s="113"/>
      <c r="I670" s="113"/>
      <c r="J670" s="113"/>
      <c r="K670" s="113"/>
      <c r="L670" s="113"/>
      <c r="M670" s="113"/>
      <c r="N670" s="113"/>
      <c r="O670" s="124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</row>
    <row x14ac:dyDescent="0.25" r="671" customHeight="1" ht="15.75">
      <c r="A671" s="123"/>
      <c r="B671" s="123"/>
      <c r="C671" s="124"/>
      <c r="D671" s="124"/>
      <c r="E671" s="124"/>
      <c r="F671" s="113"/>
      <c r="G671" s="113"/>
      <c r="H671" s="113"/>
      <c r="I671" s="113"/>
      <c r="J671" s="113"/>
      <c r="K671" s="113"/>
      <c r="L671" s="113"/>
      <c r="M671" s="113"/>
      <c r="N671" s="113"/>
      <c r="O671" s="124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</row>
    <row x14ac:dyDescent="0.25" r="672" customHeight="1" ht="15.75">
      <c r="A672" s="123"/>
      <c r="B672" s="123"/>
      <c r="C672" s="124"/>
      <c r="D672" s="124"/>
      <c r="E672" s="124"/>
      <c r="F672" s="113"/>
      <c r="G672" s="113"/>
      <c r="H672" s="113"/>
      <c r="I672" s="113"/>
      <c r="J672" s="113"/>
      <c r="K672" s="113"/>
      <c r="L672" s="113"/>
      <c r="M672" s="113"/>
      <c r="N672" s="113"/>
      <c r="O672" s="124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</row>
    <row x14ac:dyDescent="0.25" r="673" customHeight="1" ht="15.75">
      <c r="A673" s="123"/>
      <c r="B673" s="123"/>
      <c r="C673" s="124"/>
      <c r="D673" s="124"/>
      <c r="E673" s="124"/>
      <c r="F673" s="113"/>
      <c r="G673" s="113"/>
      <c r="H673" s="113"/>
      <c r="I673" s="113"/>
      <c r="J673" s="113"/>
      <c r="K673" s="113"/>
      <c r="L673" s="113"/>
      <c r="M673" s="113"/>
      <c r="N673" s="113"/>
      <c r="O673" s="124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</row>
    <row x14ac:dyDescent="0.25" r="674" customHeight="1" ht="15.75">
      <c r="A674" s="123"/>
      <c r="B674" s="123"/>
      <c r="C674" s="124"/>
      <c r="D674" s="124"/>
      <c r="E674" s="124"/>
      <c r="F674" s="113"/>
      <c r="G674" s="113"/>
      <c r="H674" s="113"/>
      <c r="I674" s="113"/>
      <c r="J674" s="113"/>
      <c r="K674" s="113"/>
      <c r="L674" s="113"/>
      <c r="M674" s="113"/>
      <c r="N674" s="113"/>
      <c r="O674" s="124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</row>
    <row x14ac:dyDescent="0.25" r="675" customHeight="1" ht="15.75">
      <c r="A675" s="123"/>
      <c r="B675" s="123"/>
      <c r="C675" s="124"/>
      <c r="D675" s="124"/>
      <c r="E675" s="124"/>
      <c r="F675" s="113"/>
      <c r="G675" s="113"/>
      <c r="H675" s="113"/>
      <c r="I675" s="113"/>
      <c r="J675" s="113"/>
      <c r="K675" s="113"/>
      <c r="L675" s="113"/>
      <c r="M675" s="113"/>
      <c r="N675" s="113"/>
      <c r="O675" s="124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</row>
    <row x14ac:dyDescent="0.25" r="676" customHeight="1" ht="15.75">
      <c r="A676" s="123"/>
      <c r="B676" s="123"/>
      <c r="C676" s="124"/>
      <c r="D676" s="124"/>
      <c r="E676" s="124"/>
      <c r="F676" s="113"/>
      <c r="G676" s="113"/>
      <c r="H676" s="113"/>
      <c r="I676" s="113"/>
      <c r="J676" s="113"/>
      <c r="K676" s="113"/>
      <c r="L676" s="113"/>
      <c r="M676" s="113"/>
      <c r="N676" s="113"/>
      <c r="O676" s="124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</row>
    <row x14ac:dyDescent="0.25" r="677" customHeight="1" ht="15.75">
      <c r="A677" s="123"/>
      <c r="B677" s="123"/>
      <c r="C677" s="124"/>
      <c r="D677" s="124"/>
      <c r="E677" s="124"/>
      <c r="F677" s="113"/>
      <c r="G677" s="113"/>
      <c r="H677" s="113"/>
      <c r="I677" s="113"/>
      <c r="J677" s="113"/>
      <c r="K677" s="113"/>
      <c r="L677" s="113"/>
      <c r="M677" s="113"/>
      <c r="N677" s="113"/>
      <c r="O677" s="124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</row>
    <row x14ac:dyDescent="0.25" r="678" customHeight="1" ht="15.75">
      <c r="A678" s="123"/>
      <c r="B678" s="123"/>
      <c r="C678" s="124"/>
      <c r="D678" s="124"/>
      <c r="E678" s="124"/>
      <c r="F678" s="113"/>
      <c r="G678" s="113"/>
      <c r="H678" s="113"/>
      <c r="I678" s="113"/>
      <c r="J678" s="113"/>
      <c r="K678" s="113"/>
      <c r="L678" s="113"/>
      <c r="M678" s="113"/>
      <c r="N678" s="113"/>
      <c r="O678" s="124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</row>
    <row x14ac:dyDescent="0.25" r="679" customHeight="1" ht="15.75">
      <c r="A679" s="123"/>
      <c r="B679" s="123"/>
      <c r="C679" s="124"/>
      <c r="D679" s="124"/>
      <c r="E679" s="124"/>
      <c r="F679" s="113"/>
      <c r="G679" s="113"/>
      <c r="H679" s="113"/>
      <c r="I679" s="113"/>
      <c r="J679" s="113"/>
      <c r="K679" s="113"/>
      <c r="L679" s="113"/>
      <c r="M679" s="113"/>
      <c r="N679" s="113"/>
      <c r="O679" s="124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</row>
    <row x14ac:dyDescent="0.25" r="680" customHeight="1" ht="15.75">
      <c r="A680" s="123"/>
      <c r="B680" s="123"/>
      <c r="C680" s="124"/>
      <c r="D680" s="124"/>
      <c r="E680" s="124"/>
      <c r="F680" s="113"/>
      <c r="G680" s="113"/>
      <c r="H680" s="113"/>
      <c r="I680" s="113"/>
      <c r="J680" s="113"/>
      <c r="K680" s="113"/>
      <c r="L680" s="113"/>
      <c r="M680" s="113"/>
      <c r="N680" s="113"/>
      <c r="O680" s="124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</row>
    <row x14ac:dyDescent="0.25" r="681" customHeight="1" ht="15.75">
      <c r="A681" s="123"/>
      <c r="B681" s="123"/>
      <c r="C681" s="124"/>
      <c r="D681" s="124"/>
      <c r="E681" s="124"/>
      <c r="F681" s="113"/>
      <c r="G681" s="113"/>
      <c r="H681" s="113"/>
      <c r="I681" s="113"/>
      <c r="J681" s="113"/>
      <c r="K681" s="113"/>
      <c r="L681" s="113"/>
      <c r="M681" s="113"/>
      <c r="N681" s="113"/>
      <c r="O681" s="124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</row>
    <row x14ac:dyDescent="0.25" r="682" customHeight="1" ht="15.75">
      <c r="A682" s="123"/>
      <c r="B682" s="123"/>
      <c r="C682" s="124"/>
      <c r="D682" s="124"/>
      <c r="E682" s="124"/>
      <c r="F682" s="113"/>
      <c r="G682" s="113"/>
      <c r="H682" s="113"/>
      <c r="I682" s="113"/>
      <c r="J682" s="113"/>
      <c r="K682" s="113"/>
      <c r="L682" s="113"/>
      <c r="M682" s="113"/>
      <c r="N682" s="113"/>
      <c r="O682" s="124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</row>
    <row x14ac:dyDescent="0.25" r="683" customHeight="1" ht="15.75">
      <c r="A683" s="123"/>
      <c r="B683" s="123"/>
      <c r="C683" s="124"/>
      <c r="D683" s="124"/>
      <c r="E683" s="124"/>
      <c r="F683" s="113"/>
      <c r="G683" s="113"/>
      <c r="H683" s="113"/>
      <c r="I683" s="113"/>
      <c r="J683" s="113"/>
      <c r="K683" s="113"/>
      <c r="L683" s="113"/>
      <c r="M683" s="113"/>
      <c r="N683" s="113"/>
      <c r="O683" s="124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</row>
    <row x14ac:dyDescent="0.25" r="684" customHeight="1" ht="15.75">
      <c r="A684" s="123"/>
      <c r="B684" s="123"/>
      <c r="C684" s="124"/>
      <c r="D684" s="124"/>
      <c r="E684" s="124"/>
      <c r="F684" s="113"/>
      <c r="G684" s="113"/>
      <c r="H684" s="113"/>
      <c r="I684" s="113"/>
      <c r="J684" s="113"/>
      <c r="K684" s="113"/>
      <c r="L684" s="113"/>
      <c r="M684" s="113"/>
      <c r="N684" s="113"/>
      <c r="O684" s="124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</row>
    <row x14ac:dyDescent="0.25" r="685" customHeight="1" ht="15.75">
      <c r="A685" s="123"/>
      <c r="B685" s="123"/>
      <c r="C685" s="124"/>
      <c r="D685" s="124"/>
      <c r="E685" s="124"/>
      <c r="F685" s="113"/>
      <c r="G685" s="113"/>
      <c r="H685" s="113"/>
      <c r="I685" s="113"/>
      <c r="J685" s="113"/>
      <c r="K685" s="113"/>
      <c r="L685" s="113"/>
      <c r="M685" s="113"/>
      <c r="N685" s="113"/>
      <c r="O685" s="124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</row>
    <row x14ac:dyDescent="0.25" r="686" customHeight="1" ht="15.75">
      <c r="A686" s="123"/>
      <c r="B686" s="123"/>
      <c r="C686" s="124"/>
      <c r="D686" s="124"/>
      <c r="E686" s="124"/>
      <c r="F686" s="113"/>
      <c r="G686" s="113"/>
      <c r="H686" s="113"/>
      <c r="I686" s="113"/>
      <c r="J686" s="113"/>
      <c r="K686" s="113"/>
      <c r="L686" s="113"/>
      <c r="M686" s="113"/>
      <c r="N686" s="113"/>
      <c r="O686" s="124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</row>
    <row x14ac:dyDescent="0.25" r="687" customHeight="1" ht="15.75">
      <c r="A687" s="123"/>
      <c r="B687" s="123"/>
      <c r="C687" s="124"/>
      <c r="D687" s="124"/>
      <c r="E687" s="124"/>
      <c r="F687" s="113"/>
      <c r="G687" s="113"/>
      <c r="H687" s="113"/>
      <c r="I687" s="113"/>
      <c r="J687" s="113"/>
      <c r="K687" s="113"/>
      <c r="L687" s="113"/>
      <c r="M687" s="113"/>
      <c r="N687" s="113"/>
      <c r="O687" s="124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</row>
    <row x14ac:dyDescent="0.25" r="688" customHeight="1" ht="15.75">
      <c r="A688" s="123"/>
      <c r="B688" s="123"/>
      <c r="C688" s="124"/>
      <c r="D688" s="124"/>
      <c r="E688" s="124"/>
      <c r="F688" s="113"/>
      <c r="G688" s="113"/>
      <c r="H688" s="113"/>
      <c r="I688" s="113"/>
      <c r="J688" s="113"/>
      <c r="K688" s="113"/>
      <c r="L688" s="113"/>
      <c r="M688" s="113"/>
      <c r="N688" s="113"/>
      <c r="O688" s="124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</row>
    <row x14ac:dyDescent="0.25" r="689" customHeight="1" ht="15.75">
      <c r="A689" s="123"/>
      <c r="B689" s="123"/>
      <c r="C689" s="124"/>
      <c r="D689" s="124"/>
      <c r="E689" s="124"/>
      <c r="F689" s="113"/>
      <c r="G689" s="113"/>
      <c r="H689" s="113"/>
      <c r="I689" s="113"/>
      <c r="J689" s="113"/>
      <c r="K689" s="113"/>
      <c r="L689" s="113"/>
      <c r="M689" s="113"/>
      <c r="N689" s="113"/>
      <c r="O689" s="124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</row>
    <row x14ac:dyDescent="0.25" r="690" customHeight="1" ht="15.75">
      <c r="A690" s="123"/>
      <c r="B690" s="123"/>
      <c r="C690" s="124"/>
      <c r="D690" s="124"/>
      <c r="E690" s="124"/>
      <c r="F690" s="113"/>
      <c r="G690" s="113"/>
      <c r="H690" s="113"/>
      <c r="I690" s="113"/>
      <c r="J690" s="113"/>
      <c r="K690" s="113"/>
      <c r="L690" s="113"/>
      <c r="M690" s="113"/>
      <c r="N690" s="113"/>
      <c r="O690" s="124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</row>
    <row x14ac:dyDescent="0.25" r="691" customHeight="1" ht="15.75">
      <c r="A691" s="123"/>
      <c r="B691" s="123"/>
      <c r="C691" s="124"/>
      <c r="D691" s="124"/>
      <c r="E691" s="124"/>
      <c r="F691" s="113"/>
      <c r="G691" s="113"/>
      <c r="H691" s="113"/>
      <c r="I691" s="113"/>
      <c r="J691" s="113"/>
      <c r="K691" s="113"/>
      <c r="L691" s="113"/>
      <c r="M691" s="113"/>
      <c r="N691" s="113"/>
      <c r="O691" s="124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</row>
    <row x14ac:dyDescent="0.25" r="692" customHeight="1" ht="15.75">
      <c r="A692" s="123"/>
      <c r="B692" s="123"/>
      <c r="C692" s="124"/>
      <c r="D692" s="124"/>
      <c r="E692" s="124"/>
      <c r="F692" s="113"/>
      <c r="G692" s="113"/>
      <c r="H692" s="113"/>
      <c r="I692" s="113"/>
      <c r="J692" s="113"/>
      <c r="K692" s="113"/>
      <c r="L692" s="113"/>
      <c r="M692" s="113"/>
      <c r="N692" s="113"/>
      <c r="O692" s="124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</row>
    <row x14ac:dyDescent="0.25" r="693" customHeight="1" ht="15.75">
      <c r="A693" s="123"/>
      <c r="B693" s="123"/>
      <c r="C693" s="124"/>
      <c r="D693" s="124"/>
      <c r="E693" s="124"/>
      <c r="F693" s="113"/>
      <c r="G693" s="113"/>
      <c r="H693" s="113"/>
      <c r="I693" s="113"/>
      <c r="J693" s="113"/>
      <c r="K693" s="113"/>
      <c r="L693" s="113"/>
      <c r="M693" s="113"/>
      <c r="N693" s="113"/>
      <c r="O693" s="124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</row>
    <row x14ac:dyDescent="0.25" r="694" customHeight="1" ht="15.75">
      <c r="A694" s="123"/>
      <c r="B694" s="123"/>
      <c r="C694" s="124"/>
      <c r="D694" s="124"/>
      <c r="E694" s="124"/>
      <c r="F694" s="113"/>
      <c r="G694" s="113"/>
      <c r="H694" s="113"/>
      <c r="I694" s="113"/>
      <c r="J694" s="113"/>
      <c r="K694" s="113"/>
      <c r="L694" s="113"/>
      <c r="M694" s="113"/>
      <c r="N694" s="113"/>
      <c r="O694" s="124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</row>
    <row x14ac:dyDescent="0.25" r="695" customHeight="1" ht="15.75">
      <c r="A695" s="123"/>
      <c r="B695" s="123"/>
      <c r="C695" s="124"/>
      <c r="D695" s="124"/>
      <c r="E695" s="124"/>
      <c r="F695" s="113"/>
      <c r="G695" s="113"/>
      <c r="H695" s="113"/>
      <c r="I695" s="113"/>
      <c r="J695" s="113"/>
      <c r="K695" s="113"/>
      <c r="L695" s="113"/>
      <c r="M695" s="113"/>
      <c r="N695" s="113"/>
      <c r="O695" s="124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</row>
    <row x14ac:dyDescent="0.25" r="696" customHeight="1" ht="15.75">
      <c r="A696" s="123"/>
      <c r="B696" s="123"/>
      <c r="C696" s="124"/>
      <c r="D696" s="124"/>
      <c r="E696" s="124"/>
      <c r="F696" s="113"/>
      <c r="G696" s="113"/>
      <c r="H696" s="113"/>
      <c r="I696" s="113"/>
      <c r="J696" s="113"/>
      <c r="K696" s="113"/>
      <c r="L696" s="113"/>
      <c r="M696" s="113"/>
      <c r="N696" s="113"/>
      <c r="O696" s="124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</row>
    <row x14ac:dyDescent="0.25" r="697" customHeight="1" ht="15.75">
      <c r="A697" s="123"/>
      <c r="B697" s="123"/>
      <c r="C697" s="124"/>
      <c r="D697" s="124"/>
      <c r="E697" s="124"/>
      <c r="F697" s="113"/>
      <c r="G697" s="113"/>
      <c r="H697" s="113"/>
      <c r="I697" s="113"/>
      <c r="J697" s="113"/>
      <c r="K697" s="113"/>
      <c r="L697" s="113"/>
      <c r="M697" s="113"/>
      <c r="N697" s="113"/>
      <c r="O697" s="124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</row>
    <row x14ac:dyDescent="0.25" r="698" customHeight="1" ht="15.75">
      <c r="A698" s="123"/>
      <c r="B698" s="123"/>
      <c r="C698" s="124"/>
      <c r="D698" s="124"/>
      <c r="E698" s="124"/>
      <c r="F698" s="113"/>
      <c r="G698" s="113"/>
      <c r="H698" s="113"/>
      <c r="I698" s="113"/>
      <c r="J698" s="113"/>
      <c r="K698" s="113"/>
      <c r="L698" s="113"/>
      <c r="M698" s="113"/>
      <c r="N698" s="113"/>
      <c r="O698" s="124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</row>
    <row x14ac:dyDescent="0.25" r="699" customHeight="1" ht="15.75">
      <c r="A699" s="123"/>
      <c r="B699" s="123"/>
      <c r="C699" s="124"/>
      <c r="D699" s="124"/>
      <c r="E699" s="124"/>
      <c r="F699" s="113"/>
      <c r="G699" s="113"/>
      <c r="H699" s="113"/>
      <c r="I699" s="113"/>
      <c r="J699" s="113"/>
      <c r="K699" s="113"/>
      <c r="L699" s="113"/>
      <c r="M699" s="113"/>
      <c r="N699" s="113"/>
      <c r="O699" s="124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</row>
    <row x14ac:dyDescent="0.25" r="700" customHeight="1" ht="15.75">
      <c r="A700" s="123"/>
      <c r="B700" s="123"/>
      <c r="C700" s="124"/>
      <c r="D700" s="124"/>
      <c r="E700" s="124"/>
      <c r="F700" s="113"/>
      <c r="G700" s="113"/>
      <c r="H700" s="113"/>
      <c r="I700" s="113"/>
      <c r="J700" s="113"/>
      <c r="K700" s="113"/>
      <c r="L700" s="113"/>
      <c r="M700" s="113"/>
      <c r="N700" s="113"/>
      <c r="O700" s="124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</row>
    <row x14ac:dyDescent="0.25" r="701" customHeight="1" ht="15.75">
      <c r="A701" s="123"/>
      <c r="B701" s="123"/>
      <c r="C701" s="124"/>
      <c r="D701" s="124"/>
      <c r="E701" s="124"/>
      <c r="F701" s="113"/>
      <c r="G701" s="113"/>
      <c r="H701" s="113"/>
      <c r="I701" s="113"/>
      <c r="J701" s="113"/>
      <c r="K701" s="113"/>
      <c r="L701" s="113"/>
      <c r="M701" s="113"/>
      <c r="N701" s="113"/>
      <c r="O701" s="124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</row>
    <row x14ac:dyDescent="0.25" r="702" customHeight="1" ht="15.75">
      <c r="A702" s="123"/>
      <c r="B702" s="123"/>
      <c r="C702" s="124"/>
      <c r="D702" s="124"/>
      <c r="E702" s="124"/>
      <c r="F702" s="113"/>
      <c r="G702" s="113"/>
      <c r="H702" s="113"/>
      <c r="I702" s="113"/>
      <c r="J702" s="113"/>
      <c r="K702" s="113"/>
      <c r="L702" s="113"/>
      <c r="M702" s="113"/>
      <c r="N702" s="113"/>
      <c r="O702" s="124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</row>
    <row x14ac:dyDescent="0.25" r="703" customHeight="1" ht="15.75">
      <c r="A703" s="123"/>
      <c r="B703" s="123"/>
      <c r="C703" s="124"/>
      <c r="D703" s="124"/>
      <c r="E703" s="124"/>
      <c r="F703" s="113"/>
      <c r="G703" s="113"/>
      <c r="H703" s="113"/>
      <c r="I703" s="113"/>
      <c r="J703" s="113"/>
      <c r="K703" s="113"/>
      <c r="L703" s="113"/>
      <c r="M703" s="113"/>
      <c r="N703" s="113"/>
      <c r="O703" s="124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</row>
    <row x14ac:dyDescent="0.25" r="704" customHeight="1" ht="15.75">
      <c r="A704" s="123"/>
      <c r="B704" s="123"/>
      <c r="C704" s="124"/>
      <c r="D704" s="124"/>
      <c r="E704" s="124"/>
      <c r="F704" s="113"/>
      <c r="G704" s="113"/>
      <c r="H704" s="113"/>
      <c r="I704" s="113"/>
      <c r="J704" s="113"/>
      <c r="K704" s="113"/>
      <c r="L704" s="113"/>
      <c r="M704" s="113"/>
      <c r="N704" s="113"/>
      <c r="O704" s="124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</row>
    <row x14ac:dyDescent="0.25" r="705" customHeight="1" ht="15.75">
      <c r="A705" s="123"/>
      <c r="B705" s="123"/>
      <c r="C705" s="124"/>
      <c r="D705" s="124"/>
      <c r="E705" s="124"/>
      <c r="F705" s="113"/>
      <c r="G705" s="113"/>
      <c r="H705" s="113"/>
      <c r="I705" s="113"/>
      <c r="J705" s="113"/>
      <c r="K705" s="113"/>
      <c r="L705" s="113"/>
      <c r="M705" s="113"/>
      <c r="N705" s="113"/>
      <c r="O705" s="124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</row>
    <row x14ac:dyDescent="0.25" r="706" customHeight="1" ht="15.75">
      <c r="A706" s="123"/>
      <c r="B706" s="123"/>
      <c r="C706" s="124"/>
      <c r="D706" s="124"/>
      <c r="E706" s="124"/>
      <c r="F706" s="113"/>
      <c r="G706" s="113"/>
      <c r="H706" s="113"/>
      <c r="I706" s="113"/>
      <c r="J706" s="113"/>
      <c r="K706" s="113"/>
      <c r="L706" s="113"/>
      <c r="M706" s="113"/>
      <c r="N706" s="113"/>
      <c r="O706" s="124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</row>
    <row x14ac:dyDescent="0.25" r="707" customHeight="1" ht="15.75">
      <c r="A707" s="123"/>
      <c r="B707" s="123"/>
      <c r="C707" s="124"/>
      <c r="D707" s="124"/>
      <c r="E707" s="124"/>
      <c r="F707" s="113"/>
      <c r="G707" s="113"/>
      <c r="H707" s="113"/>
      <c r="I707" s="113"/>
      <c r="J707" s="113"/>
      <c r="K707" s="113"/>
      <c r="L707" s="113"/>
      <c r="M707" s="113"/>
      <c r="N707" s="113"/>
      <c r="O707" s="124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</row>
    <row x14ac:dyDescent="0.25" r="708" customHeight="1" ht="15.75">
      <c r="A708" s="123"/>
      <c r="B708" s="123"/>
      <c r="C708" s="124"/>
      <c r="D708" s="124"/>
      <c r="E708" s="124"/>
      <c r="F708" s="113"/>
      <c r="G708" s="113"/>
      <c r="H708" s="113"/>
      <c r="I708" s="113"/>
      <c r="J708" s="113"/>
      <c r="K708" s="113"/>
      <c r="L708" s="113"/>
      <c r="M708" s="113"/>
      <c r="N708" s="113"/>
      <c r="O708" s="124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</row>
    <row x14ac:dyDescent="0.25" r="709" customHeight="1" ht="15.75">
      <c r="A709" s="123"/>
      <c r="B709" s="123"/>
      <c r="C709" s="124"/>
      <c r="D709" s="124"/>
      <c r="E709" s="124"/>
      <c r="F709" s="113"/>
      <c r="G709" s="113"/>
      <c r="H709" s="113"/>
      <c r="I709" s="113"/>
      <c r="J709" s="113"/>
      <c r="K709" s="113"/>
      <c r="L709" s="113"/>
      <c r="M709" s="113"/>
      <c r="N709" s="113"/>
      <c r="O709" s="124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</row>
    <row x14ac:dyDescent="0.25" r="710" customHeight="1" ht="15.75">
      <c r="A710" s="123"/>
      <c r="B710" s="123"/>
      <c r="C710" s="124"/>
      <c r="D710" s="124"/>
      <c r="E710" s="124"/>
      <c r="F710" s="113"/>
      <c r="G710" s="113"/>
      <c r="H710" s="113"/>
      <c r="I710" s="113"/>
      <c r="J710" s="113"/>
      <c r="K710" s="113"/>
      <c r="L710" s="113"/>
      <c r="M710" s="113"/>
      <c r="N710" s="113"/>
      <c r="O710" s="124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</row>
    <row x14ac:dyDescent="0.25" r="711" customHeight="1" ht="15.75">
      <c r="A711" s="123"/>
      <c r="B711" s="123"/>
      <c r="C711" s="124"/>
      <c r="D711" s="124"/>
      <c r="E711" s="124"/>
      <c r="F711" s="113"/>
      <c r="G711" s="113"/>
      <c r="H711" s="113"/>
      <c r="I711" s="113"/>
      <c r="J711" s="113"/>
      <c r="K711" s="113"/>
      <c r="L711" s="113"/>
      <c r="M711" s="113"/>
      <c r="N711" s="113"/>
      <c r="O711" s="124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</row>
    <row x14ac:dyDescent="0.25" r="712" customHeight="1" ht="15.75">
      <c r="A712" s="123"/>
      <c r="B712" s="123"/>
      <c r="C712" s="124"/>
      <c r="D712" s="124"/>
      <c r="E712" s="124"/>
      <c r="F712" s="113"/>
      <c r="G712" s="113"/>
      <c r="H712" s="113"/>
      <c r="I712" s="113"/>
      <c r="J712" s="113"/>
      <c r="K712" s="113"/>
      <c r="L712" s="113"/>
      <c r="M712" s="113"/>
      <c r="N712" s="113"/>
      <c r="O712" s="124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</row>
    <row x14ac:dyDescent="0.25" r="713" customHeight="1" ht="15.75">
      <c r="A713" s="123"/>
      <c r="B713" s="123"/>
      <c r="C713" s="124"/>
      <c r="D713" s="124"/>
      <c r="E713" s="124"/>
      <c r="F713" s="113"/>
      <c r="G713" s="113"/>
      <c r="H713" s="113"/>
      <c r="I713" s="113"/>
      <c r="J713" s="113"/>
      <c r="K713" s="113"/>
      <c r="L713" s="113"/>
      <c r="M713" s="113"/>
      <c r="N713" s="113"/>
      <c r="O713" s="124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</row>
    <row x14ac:dyDescent="0.25" r="714" customHeight="1" ht="15.75">
      <c r="A714" s="123"/>
      <c r="B714" s="123"/>
      <c r="C714" s="124"/>
      <c r="D714" s="124"/>
      <c r="E714" s="124"/>
      <c r="F714" s="113"/>
      <c r="G714" s="113"/>
      <c r="H714" s="113"/>
      <c r="I714" s="113"/>
      <c r="J714" s="113"/>
      <c r="K714" s="113"/>
      <c r="L714" s="113"/>
      <c r="M714" s="113"/>
      <c r="N714" s="113"/>
      <c r="O714" s="124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</row>
    <row x14ac:dyDescent="0.25" r="715" customHeight="1" ht="15.75">
      <c r="A715" s="123"/>
      <c r="B715" s="123"/>
      <c r="C715" s="124"/>
      <c r="D715" s="124"/>
      <c r="E715" s="124"/>
      <c r="F715" s="113"/>
      <c r="G715" s="113"/>
      <c r="H715" s="113"/>
      <c r="I715" s="113"/>
      <c r="J715" s="113"/>
      <c r="K715" s="113"/>
      <c r="L715" s="113"/>
      <c r="M715" s="113"/>
      <c r="N715" s="113"/>
      <c r="O715" s="124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</row>
    <row x14ac:dyDescent="0.25" r="716" customHeight="1" ht="15.75">
      <c r="A716" s="123"/>
      <c r="B716" s="123"/>
      <c r="C716" s="124"/>
      <c r="D716" s="124"/>
      <c r="E716" s="124"/>
      <c r="F716" s="113"/>
      <c r="G716" s="113"/>
      <c r="H716" s="113"/>
      <c r="I716" s="113"/>
      <c r="J716" s="113"/>
      <c r="K716" s="113"/>
      <c r="L716" s="113"/>
      <c r="M716" s="113"/>
      <c r="N716" s="113"/>
      <c r="O716" s="124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</row>
    <row x14ac:dyDescent="0.25" r="717" customHeight="1" ht="15.75">
      <c r="A717" s="123"/>
      <c r="B717" s="123"/>
      <c r="C717" s="124"/>
      <c r="D717" s="124"/>
      <c r="E717" s="124"/>
      <c r="F717" s="113"/>
      <c r="G717" s="113"/>
      <c r="H717" s="113"/>
      <c r="I717" s="113"/>
      <c r="J717" s="113"/>
      <c r="K717" s="113"/>
      <c r="L717" s="113"/>
      <c r="M717" s="113"/>
      <c r="N717" s="113"/>
      <c r="O717" s="124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</row>
    <row x14ac:dyDescent="0.25" r="718" customHeight="1" ht="15.75">
      <c r="A718" s="123"/>
      <c r="B718" s="123"/>
      <c r="C718" s="124"/>
      <c r="D718" s="124"/>
      <c r="E718" s="124"/>
      <c r="F718" s="113"/>
      <c r="G718" s="113"/>
      <c r="H718" s="113"/>
      <c r="I718" s="113"/>
      <c r="J718" s="113"/>
      <c r="K718" s="113"/>
      <c r="L718" s="113"/>
      <c r="M718" s="113"/>
      <c r="N718" s="113"/>
      <c r="O718" s="124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</row>
    <row x14ac:dyDescent="0.25" r="719" customHeight="1" ht="15.75">
      <c r="A719" s="123"/>
      <c r="B719" s="123"/>
      <c r="C719" s="124"/>
      <c r="D719" s="124"/>
      <c r="E719" s="124"/>
      <c r="F719" s="113"/>
      <c r="G719" s="113"/>
      <c r="H719" s="113"/>
      <c r="I719" s="113"/>
      <c r="J719" s="113"/>
      <c r="K719" s="113"/>
      <c r="L719" s="113"/>
      <c r="M719" s="113"/>
      <c r="N719" s="113"/>
      <c r="O719" s="124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</row>
    <row x14ac:dyDescent="0.25" r="720" customHeight="1" ht="15.75">
      <c r="A720" s="123"/>
      <c r="B720" s="123"/>
      <c r="C720" s="124"/>
      <c r="D720" s="124"/>
      <c r="E720" s="124"/>
      <c r="F720" s="113"/>
      <c r="G720" s="113"/>
      <c r="H720" s="113"/>
      <c r="I720" s="113"/>
      <c r="J720" s="113"/>
      <c r="K720" s="113"/>
      <c r="L720" s="113"/>
      <c r="M720" s="113"/>
      <c r="N720" s="113"/>
      <c r="O720" s="124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</row>
    <row x14ac:dyDescent="0.25" r="721" customHeight="1" ht="15.75">
      <c r="A721" s="123"/>
      <c r="B721" s="123"/>
      <c r="C721" s="124"/>
      <c r="D721" s="124"/>
      <c r="E721" s="124"/>
      <c r="F721" s="113"/>
      <c r="G721" s="113"/>
      <c r="H721" s="113"/>
      <c r="I721" s="113"/>
      <c r="J721" s="113"/>
      <c r="K721" s="113"/>
      <c r="L721" s="113"/>
      <c r="M721" s="113"/>
      <c r="N721" s="113"/>
      <c r="O721" s="124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</row>
    <row x14ac:dyDescent="0.25" r="722" customHeight="1" ht="15.75">
      <c r="A722" s="123"/>
      <c r="B722" s="123"/>
      <c r="C722" s="124"/>
      <c r="D722" s="124"/>
      <c r="E722" s="124"/>
      <c r="F722" s="113"/>
      <c r="G722" s="113"/>
      <c r="H722" s="113"/>
      <c r="I722" s="113"/>
      <c r="J722" s="113"/>
      <c r="K722" s="113"/>
      <c r="L722" s="113"/>
      <c r="M722" s="113"/>
      <c r="N722" s="113"/>
      <c r="O722" s="124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</row>
    <row x14ac:dyDescent="0.25" r="723" customHeight="1" ht="15.75">
      <c r="A723" s="123"/>
      <c r="B723" s="123"/>
      <c r="C723" s="124"/>
      <c r="D723" s="124"/>
      <c r="E723" s="124"/>
      <c r="F723" s="113"/>
      <c r="G723" s="113"/>
      <c r="H723" s="113"/>
      <c r="I723" s="113"/>
      <c r="J723" s="113"/>
      <c r="K723" s="113"/>
      <c r="L723" s="113"/>
      <c r="M723" s="113"/>
      <c r="N723" s="113"/>
      <c r="O723" s="124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</row>
    <row x14ac:dyDescent="0.25" r="724" customHeight="1" ht="15.75">
      <c r="A724" s="123"/>
      <c r="B724" s="123"/>
      <c r="C724" s="124"/>
      <c r="D724" s="124"/>
      <c r="E724" s="124"/>
      <c r="F724" s="113"/>
      <c r="G724" s="113"/>
      <c r="H724" s="113"/>
      <c r="I724" s="113"/>
      <c r="J724" s="113"/>
      <c r="K724" s="113"/>
      <c r="L724" s="113"/>
      <c r="M724" s="113"/>
      <c r="N724" s="113"/>
      <c r="O724" s="124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</row>
    <row x14ac:dyDescent="0.25" r="725" customHeight="1" ht="15.75">
      <c r="A725" s="123"/>
      <c r="B725" s="123"/>
      <c r="C725" s="124"/>
      <c r="D725" s="124"/>
      <c r="E725" s="124"/>
      <c r="F725" s="113"/>
      <c r="G725" s="113"/>
      <c r="H725" s="113"/>
      <c r="I725" s="113"/>
      <c r="J725" s="113"/>
      <c r="K725" s="113"/>
      <c r="L725" s="113"/>
      <c r="M725" s="113"/>
      <c r="N725" s="113"/>
      <c r="O725" s="124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</row>
    <row x14ac:dyDescent="0.25" r="726" customHeight="1" ht="15.75">
      <c r="A726" s="123"/>
      <c r="B726" s="123"/>
      <c r="C726" s="124"/>
      <c r="D726" s="124"/>
      <c r="E726" s="124"/>
      <c r="F726" s="113"/>
      <c r="G726" s="113"/>
      <c r="H726" s="113"/>
      <c r="I726" s="113"/>
      <c r="J726" s="113"/>
      <c r="K726" s="113"/>
      <c r="L726" s="113"/>
      <c r="M726" s="113"/>
      <c r="N726" s="113"/>
      <c r="O726" s="124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</row>
    <row x14ac:dyDescent="0.25" r="727" customHeight="1" ht="15.75">
      <c r="A727" s="123"/>
      <c r="B727" s="123"/>
      <c r="C727" s="124"/>
      <c r="D727" s="124"/>
      <c r="E727" s="124"/>
      <c r="F727" s="113"/>
      <c r="G727" s="113"/>
      <c r="H727" s="113"/>
      <c r="I727" s="113"/>
      <c r="J727" s="113"/>
      <c r="K727" s="113"/>
      <c r="L727" s="113"/>
      <c r="M727" s="113"/>
      <c r="N727" s="113"/>
      <c r="O727" s="124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</row>
    <row x14ac:dyDescent="0.25" r="728" customHeight="1" ht="15.75">
      <c r="A728" s="123"/>
      <c r="B728" s="123"/>
      <c r="C728" s="124"/>
      <c r="D728" s="124"/>
      <c r="E728" s="124"/>
      <c r="F728" s="113"/>
      <c r="G728" s="113"/>
      <c r="H728" s="113"/>
      <c r="I728" s="113"/>
      <c r="J728" s="113"/>
      <c r="K728" s="113"/>
      <c r="L728" s="113"/>
      <c r="M728" s="113"/>
      <c r="N728" s="113"/>
      <c r="O728" s="124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</row>
    <row x14ac:dyDescent="0.25" r="729" customHeight="1" ht="15.75">
      <c r="A729" s="123"/>
      <c r="B729" s="123"/>
      <c r="C729" s="124"/>
      <c r="D729" s="124"/>
      <c r="E729" s="124"/>
      <c r="F729" s="113"/>
      <c r="G729" s="113"/>
      <c r="H729" s="113"/>
      <c r="I729" s="113"/>
      <c r="J729" s="113"/>
      <c r="K729" s="113"/>
      <c r="L729" s="113"/>
      <c r="M729" s="113"/>
      <c r="N729" s="113"/>
      <c r="O729" s="124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</row>
    <row x14ac:dyDescent="0.25" r="730" customHeight="1" ht="15.75">
      <c r="A730" s="123"/>
      <c r="B730" s="123"/>
      <c r="C730" s="124"/>
      <c r="D730" s="124"/>
      <c r="E730" s="124"/>
      <c r="F730" s="113"/>
      <c r="G730" s="113"/>
      <c r="H730" s="113"/>
      <c r="I730" s="113"/>
      <c r="J730" s="113"/>
      <c r="K730" s="113"/>
      <c r="L730" s="113"/>
      <c r="M730" s="113"/>
      <c r="N730" s="113"/>
      <c r="O730" s="124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</row>
    <row x14ac:dyDescent="0.25" r="731" customHeight="1" ht="15.75">
      <c r="A731" s="123"/>
      <c r="B731" s="123"/>
      <c r="C731" s="124"/>
      <c r="D731" s="124"/>
      <c r="E731" s="124"/>
      <c r="F731" s="113"/>
      <c r="G731" s="113"/>
      <c r="H731" s="113"/>
      <c r="I731" s="113"/>
      <c r="J731" s="113"/>
      <c r="K731" s="113"/>
      <c r="L731" s="113"/>
      <c r="M731" s="113"/>
      <c r="N731" s="113"/>
      <c r="O731" s="124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</row>
    <row x14ac:dyDescent="0.25" r="732" customHeight="1" ht="15.75">
      <c r="A732" s="123"/>
      <c r="B732" s="123"/>
      <c r="C732" s="124"/>
      <c r="D732" s="124"/>
      <c r="E732" s="124"/>
      <c r="F732" s="113"/>
      <c r="G732" s="113"/>
      <c r="H732" s="113"/>
      <c r="I732" s="113"/>
      <c r="J732" s="113"/>
      <c r="K732" s="113"/>
      <c r="L732" s="113"/>
      <c r="M732" s="113"/>
      <c r="N732" s="113"/>
      <c r="O732" s="124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</row>
    <row x14ac:dyDescent="0.25" r="733" customHeight="1" ht="15.75">
      <c r="A733" s="123"/>
      <c r="B733" s="123"/>
      <c r="C733" s="124"/>
      <c r="D733" s="124"/>
      <c r="E733" s="124"/>
      <c r="F733" s="113"/>
      <c r="G733" s="113"/>
      <c r="H733" s="113"/>
      <c r="I733" s="113"/>
      <c r="J733" s="113"/>
      <c r="K733" s="113"/>
      <c r="L733" s="113"/>
      <c r="M733" s="113"/>
      <c r="N733" s="113"/>
      <c r="O733" s="124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</row>
    <row x14ac:dyDescent="0.25" r="734" customHeight="1" ht="15.75">
      <c r="A734" s="123"/>
      <c r="B734" s="123"/>
      <c r="C734" s="124"/>
      <c r="D734" s="124"/>
      <c r="E734" s="124"/>
      <c r="F734" s="113"/>
      <c r="G734" s="113"/>
      <c r="H734" s="113"/>
      <c r="I734" s="113"/>
      <c r="J734" s="113"/>
      <c r="K734" s="113"/>
      <c r="L734" s="113"/>
      <c r="M734" s="113"/>
      <c r="N734" s="113"/>
      <c r="O734" s="124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</row>
    <row x14ac:dyDescent="0.25" r="735" customHeight="1" ht="15.75">
      <c r="A735" s="123"/>
      <c r="B735" s="123"/>
      <c r="C735" s="124"/>
      <c r="D735" s="124"/>
      <c r="E735" s="124"/>
      <c r="F735" s="113"/>
      <c r="G735" s="113"/>
      <c r="H735" s="113"/>
      <c r="I735" s="113"/>
      <c r="J735" s="113"/>
      <c r="K735" s="113"/>
      <c r="L735" s="113"/>
      <c r="M735" s="113"/>
      <c r="N735" s="113"/>
      <c r="O735" s="124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</row>
    <row x14ac:dyDescent="0.25" r="736" customHeight="1" ht="15.75">
      <c r="A736" s="123"/>
      <c r="B736" s="123"/>
      <c r="C736" s="124"/>
      <c r="D736" s="124"/>
      <c r="E736" s="124"/>
      <c r="F736" s="113"/>
      <c r="G736" s="113"/>
      <c r="H736" s="113"/>
      <c r="I736" s="113"/>
      <c r="J736" s="113"/>
      <c r="K736" s="113"/>
      <c r="L736" s="113"/>
      <c r="M736" s="113"/>
      <c r="N736" s="113"/>
      <c r="O736" s="124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</row>
    <row x14ac:dyDescent="0.25" r="737" customHeight="1" ht="15.75">
      <c r="A737" s="123"/>
      <c r="B737" s="123"/>
      <c r="C737" s="124"/>
      <c r="D737" s="124"/>
      <c r="E737" s="124"/>
      <c r="F737" s="113"/>
      <c r="G737" s="113"/>
      <c r="H737" s="113"/>
      <c r="I737" s="113"/>
      <c r="J737" s="113"/>
      <c r="K737" s="113"/>
      <c r="L737" s="113"/>
      <c r="M737" s="113"/>
      <c r="N737" s="113"/>
      <c r="O737" s="124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</row>
    <row x14ac:dyDescent="0.25" r="738" customHeight="1" ht="15.75">
      <c r="A738" s="123"/>
      <c r="B738" s="123"/>
      <c r="C738" s="124"/>
      <c r="D738" s="124"/>
      <c r="E738" s="124"/>
      <c r="F738" s="113"/>
      <c r="G738" s="113"/>
      <c r="H738" s="113"/>
      <c r="I738" s="113"/>
      <c r="J738" s="113"/>
      <c r="K738" s="113"/>
      <c r="L738" s="113"/>
      <c r="M738" s="113"/>
      <c r="N738" s="113"/>
      <c r="O738" s="124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</row>
    <row x14ac:dyDescent="0.25" r="739" customHeight="1" ht="15.75">
      <c r="A739" s="123"/>
      <c r="B739" s="123"/>
      <c r="C739" s="124"/>
      <c r="D739" s="124"/>
      <c r="E739" s="124"/>
      <c r="F739" s="113"/>
      <c r="G739" s="113"/>
      <c r="H739" s="113"/>
      <c r="I739" s="113"/>
      <c r="J739" s="113"/>
      <c r="K739" s="113"/>
      <c r="L739" s="113"/>
      <c r="M739" s="113"/>
      <c r="N739" s="113"/>
      <c r="O739" s="124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</row>
    <row x14ac:dyDescent="0.25" r="740" customHeight="1" ht="15.75">
      <c r="A740" s="123"/>
      <c r="B740" s="123"/>
      <c r="C740" s="124"/>
      <c r="D740" s="124"/>
      <c r="E740" s="124"/>
      <c r="F740" s="113"/>
      <c r="G740" s="113"/>
      <c r="H740" s="113"/>
      <c r="I740" s="113"/>
      <c r="J740" s="113"/>
      <c r="K740" s="113"/>
      <c r="L740" s="113"/>
      <c r="M740" s="113"/>
      <c r="N740" s="113"/>
      <c r="O740" s="124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</row>
    <row x14ac:dyDescent="0.25" r="741" customHeight="1" ht="15.75">
      <c r="A741" s="123"/>
      <c r="B741" s="123"/>
      <c r="C741" s="124"/>
      <c r="D741" s="124"/>
      <c r="E741" s="124"/>
      <c r="F741" s="113"/>
      <c r="G741" s="113"/>
      <c r="H741" s="113"/>
      <c r="I741" s="113"/>
      <c r="J741" s="113"/>
      <c r="K741" s="113"/>
      <c r="L741" s="113"/>
      <c r="M741" s="113"/>
      <c r="N741" s="113"/>
      <c r="O741" s="124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</row>
    <row x14ac:dyDescent="0.25" r="742" customHeight="1" ht="15.75">
      <c r="A742" s="123"/>
      <c r="B742" s="123"/>
      <c r="C742" s="124"/>
      <c r="D742" s="124"/>
      <c r="E742" s="124"/>
      <c r="F742" s="113"/>
      <c r="G742" s="113"/>
      <c r="H742" s="113"/>
      <c r="I742" s="113"/>
      <c r="J742" s="113"/>
      <c r="K742" s="113"/>
      <c r="L742" s="113"/>
      <c r="M742" s="113"/>
      <c r="N742" s="113"/>
      <c r="O742" s="124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</row>
    <row x14ac:dyDescent="0.25" r="743" customHeight="1" ht="15.75">
      <c r="A743" s="123"/>
      <c r="B743" s="123"/>
      <c r="C743" s="124"/>
      <c r="D743" s="124"/>
      <c r="E743" s="124"/>
      <c r="F743" s="113"/>
      <c r="G743" s="113"/>
      <c r="H743" s="113"/>
      <c r="I743" s="113"/>
      <c r="J743" s="113"/>
      <c r="K743" s="113"/>
      <c r="L743" s="113"/>
      <c r="M743" s="113"/>
      <c r="N743" s="113"/>
      <c r="O743" s="124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</row>
    <row x14ac:dyDescent="0.25" r="744" customHeight="1" ht="15.75">
      <c r="A744" s="123"/>
      <c r="B744" s="123"/>
      <c r="C744" s="124"/>
      <c r="D744" s="124"/>
      <c r="E744" s="124"/>
      <c r="F744" s="113"/>
      <c r="G744" s="113"/>
      <c r="H744" s="113"/>
      <c r="I744" s="113"/>
      <c r="J744" s="113"/>
      <c r="K744" s="113"/>
      <c r="L744" s="113"/>
      <c r="M744" s="113"/>
      <c r="N744" s="113"/>
      <c r="O744" s="124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</row>
    <row x14ac:dyDescent="0.25" r="745" customHeight="1" ht="15.75">
      <c r="A745" s="123"/>
      <c r="B745" s="123"/>
      <c r="C745" s="124"/>
      <c r="D745" s="124"/>
      <c r="E745" s="124"/>
      <c r="F745" s="113"/>
      <c r="G745" s="113"/>
      <c r="H745" s="113"/>
      <c r="I745" s="113"/>
      <c r="J745" s="113"/>
      <c r="K745" s="113"/>
      <c r="L745" s="113"/>
      <c r="M745" s="113"/>
      <c r="N745" s="113"/>
      <c r="O745" s="124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</row>
    <row x14ac:dyDescent="0.25" r="746" customHeight="1" ht="15.75">
      <c r="A746" s="123"/>
      <c r="B746" s="123"/>
      <c r="C746" s="124"/>
      <c r="D746" s="124"/>
      <c r="E746" s="124"/>
      <c r="F746" s="113"/>
      <c r="G746" s="113"/>
      <c r="H746" s="113"/>
      <c r="I746" s="113"/>
      <c r="J746" s="113"/>
      <c r="K746" s="113"/>
      <c r="L746" s="113"/>
      <c r="M746" s="113"/>
      <c r="N746" s="113"/>
      <c r="O746" s="124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</row>
    <row x14ac:dyDescent="0.25" r="747" customHeight="1" ht="15.75">
      <c r="A747" s="123"/>
      <c r="B747" s="123"/>
      <c r="C747" s="124"/>
      <c r="D747" s="124"/>
      <c r="E747" s="124"/>
      <c r="F747" s="113"/>
      <c r="G747" s="113"/>
      <c r="H747" s="113"/>
      <c r="I747" s="113"/>
      <c r="J747" s="113"/>
      <c r="K747" s="113"/>
      <c r="L747" s="113"/>
      <c r="M747" s="113"/>
      <c r="N747" s="113"/>
      <c r="O747" s="124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</row>
    <row x14ac:dyDescent="0.25" r="748" customHeight="1" ht="15.75">
      <c r="A748" s="123"/>
      <c r="B748" s="123"/>
      <c r="C748" s="124"/>
      <c r="D748" s="124"/>
      <c r="E748" s="124"/>
      <c r="F748" s="113"/>
      <c r="G748" s="113"/>
      <c r="H748" s="113"/>
      <c r="I748" s="113"/>
      <c r="J748" s="113"/>
      <c r="K748" s="113"/>
      <c r="L748" s="113"/>
      <c r="M748" s="113"/>
      <c r="N748" s="113"/>
      <c r="O748" s="124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</row>
    <row x14ac:dyDescent="0.25" r="749" customHeight="1" ht="15.75">
      <c r="A749" s="123"/>
      <c r="B749" s="123"/>
      <c r="C749" s="124"/>
      <c r="D749" s="124"/>
      <c r="E749" s="124"/>
      <c r="F749" s="113"/>
      <c r="G749" s="113"/>
      <c r="H749" s="113"/>
      <c r="I749" s="113"/>
      <c r="J749" s="113"/>
      <c r="K749" s="113"/>
      <c r="L749" s="113"/>
      <c r="M749" s="113"/>
      <c r="N749" s="113"/>
      <c r="O749" s="124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</row>
    <row x14ac:dyDescent="0.25" r="750" customHeight="1" ht="15.75">
      <c r="A750" s="123"/>
      <c r="B750" s="123"/>
      <c r="C750" s="124"/>
      <c r="D750" s="124"/>
      <c r="E750" s="124"/>
      <c r="F750" s="113"/>
      <c r="G750" s="113"/>
      <c r="H750" s="113"/>
      <c r="I750" s="113"/>
      <c r="J750" s="113"/>
      <c r="K750" s="113"/>
      <c r="L750" s="113"/>
      <c r="M750" s="113"/>
      <c r="N750" s="113"/>
      <c r="O750" s="124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</row>
    <row x14ac:dyDescent="0.25" r="751" customHeight="1" ht="15.75">
      <c r="A751" s="123"/>
      <c r="B751" s="123"/>
      <c r="C751" s="124"/>
      <c r="D751" s="124"/>
      <c r="E751" s="124"/>
      <c r="F751" s="113"/>
      <c r="G751" s="113"/>
      <c r="H751" s="113"/>
      <c r="I751" s="113"/>
      <c r="J751" s="113"/>
      <c r="K751" s="113"/>
      <c r="L751" s="113"/>
      <c r="M751" s="113"/>
      <c r="N751" s="113"/>
      <c r="O751" s="124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</row>
    <row x14ac:dyDescent="0.25" r="752" customHeight="1" ht="15.75">
      <c r="A752" s="123"/>
      <c r="B752" s="123"/>
      <c r="C752" s="124"/>
      <c r="D752" s="124"/>
      <c r="E752" s="124"/>
      <c r="F752" s="113"/>
      <c r="G752" s="113"/>
      <c r="H752" s="113"/>
      <c r="I752" s="113"/>
      <c r="J752" s="113"/>
      <c r="K752" s="113"/>
      <c r="L752" s="113"/>
      <c r="M752" s="113"/>
      <c r="N752" s="113"/>
      <c r="O752" s="124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</row>
    <row x14ac:dyDescent="0.25" r="753" customHeight="1" ht="15.75">
      <c r="A753" s="123"/>
      <c r="B753" s="123"/>
      <c r="C753" s="124"/>
      <c r="D753" s="124"/>
      <c r="E753" s="124"/>
      <c r="F753" s="113"/>
      <c r="G753" s="113"/>
      <c r="H753" s="113"/>
      <c r="I753" s="113"/>
      <c r="J753" s="113"/>
      <c r="K753" s="113"/>
      <c r="L753" s="113"/>
      <c r="M753" s="113"/>
      <c r="N753" s="113"/>
      <c r="O753" s="124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</row>
    <row x14ac:dyDescent="0.25" r="754" customHeight="1" ht="15.75">
      <c r="A754" s="123"/>
      <c r="B754" s="123"/>
      <c r="C754" s="124"/>
      <c r="D754" s="124"/>
      <c r="E754" s="124"/>
      <c r="F754" s="113"/>
      <c r="G754" s="113"/>
      <c r="H754" s="113"/>
      <c r="I754" s="113"/>
      <c r="J754" s="113"/>
      <c r="K754" s="113"/>
      <c r="L754" s="113"/>
      <c r="M754" s="113"/>
      <c r="N754" s="113"/>
      <c r="O754" s="124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</row>
    <row x14ac:dyDescent="0.25" r="755" customHeight="1" ht="15.75">
      <c r="A755" s="123"/>
      <c r="B755" s="123"/>
      <c r="C755" s="124"/>
      <c r="D755" s="124"/>
      <c r="E755" s="124"/>
      <c r="F755" s="113"/>
      <c r="G755" s="113"/>
      <c r="H755" s="113"/>
      <c r="I755" s="113"/>
      <c r="J755" s="113"/>
      <c r="K755" s="113"/>
      <c r="L755" s="113"/>
      <c r="M755" s="113"/>
      <c r="N755" s="113"/>
      <c r="O755" s="124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</row>
    <row x14ac:dyDescent="0.25" r="756" customHeight="1" ht="15.75">
      <c r="A756" s="123"/>
      <c r="B756" s="123"/>
      <c r="C756" s="124"/>
      <c r="D756" s="124"/>
      <c r="E756" s="124"/>
      <c r="F756" s="113"/>
      <c r="G756" s="113"/>
      <c r="H756" s="113"/>
      <c r="I756" s="113"/>
      <c r="J756" s="113"/>
      <c r="K756" s="113"/>
      <c r="L756" s="113"/>
      <c r="M756" s="113"/>
      <c r="N756" s="113"/>
      <c r="O756" s="124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</row>
    <row x14ac:dyDescent="0.25" r="757" customHeight="1" ht="15.75">
      <c r="A757" s="123"/>
      <c r="B757" s="123"/>
      <c r="C757" s="124"/>
      <c r="D757" s="124"/>
      <c r="E757" s="124"/>
      <c r="F757" s="113"/>
      <c r="G757" s="113"/>
      <c r="H757" s="113"/>
      <c r="I757" s="113"/>
      <c r="J757" s="113"/>
      <c r="K757" s="113"/>
      <c r="L757" s="113"/>
      <c r="M757" s="113"/>
      <c r="N757" s="113"/>
      <c r="O757" s="124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</row>
    <row x14ac:dyDescent="0.25" r="758" customHeight="1" ht="15.75">
      <c r="A758" s="123"/>
      <c r="B758" s="123"/>
      <c r="C758" s="124"/>
      <c r="D758" s="124"/>
      <c r="E758" s="124"/>
      <c r="F758" s="113"/>
      <c r="G758" s="113"/>
      <c r="H758" s="113"/>
      <c r="I758" s="113"/>
      <c r="J758" s="113"/>
      <c r="K758" s="113"/>
      <c r="L758" s="113"/>
      <c r="M758" s="113"/>
      <c r="N758" s="113"/>
      <c r="O758" s="124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</row>
    <row x14ac:dyDescent="0.25" r="759" customHeight="1" ht="15.75">
      <c r="A759" s="123"/>
      <c r="B759" s="123"/>
      <c r="C759" s="124"/>
      <c r="D759" s="124"/>
      <c r="E759" s="124"/>
      <c r="F759" s="113"/>
      <c r="G759" s="113"/>
      <c r="H759" s="113"/>
      <c r="I759" s="113"/>
      <c r="J759" s="113"/>
      <c r="K759" s="113"/>
      <c r="L759" s="113"/>
      <c r="M759" s="113"/>
      <c r="N759" s="113"/>
      <c r="O759" s="124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</row>
    <row x14ac:dyDescent="0.25" r="760" customHeight="1" ht="15.75">
      <c r="A760" s="123"/>
      <c r="B760" s="123"/>
      <c r="C760" s="124"/>
      <c r="D760" s="124"/>
      <c r="E760" s="124"/>
      <c r="F760" s="113"/>
      <c r="G760" s="113"/>
      <c r="H760" s="113"/>
      <c r="I760" s="113"/>
      <c r="J760" s="113"/>
      <c r="K760" s="113"/>
      <c r="L760" s="113"/>
      <c r="M760" s="113"/>
      <c r="N760" s="113"/>
      <c r="O760" s="124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</row>
    <row x14ac:dyDescent="0.25" r="761" customHeight="1" ht="15.75">
      <c r="A761" s="123"/>
      <c r="B761" s="123"/>
      <c r="C761" s="124"/>
      <c r="D761" s="124"/>
      <c r="E761" s="124"/>
      <c r="F761" s="113"/>
      <c r="G761" s="113"/>
      <c r="H761" s="113"/>
      <c r="I761" s="113"/>
      <c r="J761" s="113"/>
      <c r="K761" s="113"/>
      <c r="L761" s="113"/>
      <c r="M761" s="113"/>
      <c r="N761" s="113"/>
      <c r="O761" s="124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</row>
    <row x14ac:dyDescent="0.25" r="762" customHeight="1" ht="15.75">
      <c r="A762" s="123"/>
      <c r="B762" s="123"/>
      <c r="C762" s="124"/>
      <c r="D762" s="124"/>
      <c r="E762" s="124"/>
      <c r="F762" s="113"/>
      <c r="G762" s="113"/>
      <c r="H762" s="113"/>
      <c r="I762" s="113"/>
      <c r="J762" s="113"/>
      <c r="K762" s="113"/>
      <c r="L762" s="113"/>
      <c r="M762" s="113"/>
      <c r="N762" s="113"/>
      <c r="O762" s="124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</row>
    <row x14ac:dyDescent="0.25" r="763" customHeight="1" ht="15.75">
      <c r="A763" s="123"/>
      <c r="B763" s="123"/>
      <c r="C763" s="124"/>
      <c r="D763" s="124"/>
      <c r="E763" s="124"/>
      <c r="F763" s="113"/>
      <c r="G763" s="113"/>
      <c r="H763" s="113"/>
      <c r="I763" s="113"/>
      <c r="J763" s="113"/>
      <c r="K763" s="113"/>
      <c r="L763" s="113"/>
      <c r="M763" s="113"/>
      <c r="N763" s="113"/>
      <c r="O763" s="124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</row>
    <row x14ac:dyDescent="0.25" r="764" customHeight="1" ht="15.75">
      <c r="A764" s="123"/>
      <c r="B764" s="123"/>
      <c r="C764" s="124"/>
      <c r="D764" s="124"/>
      <c r="E764" s="124"/>
      <c r="F764" s="113"/>
      <c r="G764" s="113"/>
      <c r="H764" s="113"/>
      <c r="I764" s="113"/>
      <c r="J764" s="113"/>
      <c r="K764" s="113"/>
      <c r="L764" s="113"/>
      <c r="M764" s="113"/>
      <c r="N764" s="113"/>
      <c r="O764" s="124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</row>
    <row x14ac:dyDescent="0.25" r="765" customHeight="1" ht="15.75">
      <c r="A765" s="123"/>
      <c r="B765" s="123"/>
      <c r="C765" s="124"/>
      <c r="D765" s="124"/>
      <c r="E765" s="124"/>
      <c r="F765" s="113"/>
      <c r="G765" s="113"/>
      <c r="H765" s="113"/>
      <c r="I765" s="113"/>
      <c r="J765" s="113"/>
      <c r="K765" s="113"/>
      <c r="L765" s="113"/>
      <c r="M765" s="113"/>
      <c r="N765" s="113"/>
      <c r="O765" s="124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</row>
    <row x14ac:dyDescent="0.25" r="766" customHeight="1" ht="15.75">
      <c r="A766" s="123"/>
      <c r="B766" s="123"/>
      <c r="C766" s="124"/>
      <c r="D766" s="124"/>
      <c r="E766" s="124"/>
      <c r="F766" s="113"/>
      <c r="G766" s="113"/>
      <c r="H766" s="113"/>
      <c r="I766" s="113"/>
      <c r="J766" s="113"/>
      <c r="K766" s="113"/>
      <c r="L766" s="113"/>
      <c r="M766" s="113"/>
      <c r="N766" s="113"/>
      <c r="O766" s="124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</row>
    <row x14ac:dyDescent="0.25" r="767" customHeight="1" ht="15.75">
      <c r="A767" s="123"/>
      <c r="B767" s="123"/>
      <c r="C767" s="124"/>
      <c r="D767" s="124"/>
      <c r="E767" s="124"/>
      <c r="F767" s="113"/>
      <c r="G767" s="113"/>
      <c r="H767" s="113"/>
      <c r="I767" s="113"/>
      <c r="J767" s="113"/>
      <c r="K767" s="113"/>
      <c r="L767" s="113"/>
      <c r="M767" s="113"/>
      <c r="N767" s="113"/>
      <c r="O767" s="124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</row>
    <row x14ac:dyDescent="0.25" r="768" customHeight="1" ht="15.75">
      <c r="A768" s="123"/>
      <c r="B768" s="123"/>
      <c r="C768" s="124"/>
      <c r="D768" s="124"/>
      <c r="E768" s="124"/>
      <c r="F768" s="113"/>
      <c r="G768" s="113"/>
      <c r="H768" s="113"/>
      <c r="I768" s="113"/>
      <c r="J768" s="113"/>
      <c r="K768" s="113"/>
      <c r="L768" s="113"/>
      <c r="M768" s="113"/>
      <c r="N768" s="113"/>
      <c r="O768" s="124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</row>
    <row x14ac:dyDescent="0.25" r="769" customHeight="1" ht="15.75">
      <c r="A769" s="123"/>
      <c r="B769" s="123"/>
      <c r="C769" s="124"/>
      <c r="D769" s="124"/>
      <c r="E769" s="124"/>
      <c r="F769" s="113"/>
      <c r="G769" s="113"/>
      <c r="H769" s="113"/>
      <c r="I769" s="113"/>
      <c r="J769" s="113"/>
      <c r="K769" s="113"/>
      <c r="L769" s="113"/>
      <c r="M769" s="113"/>
      <c r="N769" s="113"/>
      <c r="O769" s="124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</row>
    <row x14ac:dyDescent="0.25" r="770" customHeight="1" ht="15.75">
      <c r="A770" s="123"/>
      <c r="B770" s="123"/>
      <c r="C770" s="124"/>
      <c r="D770" s="124"/>
      <c r="E770" s="124"/>
      <c r="F770" s="113"/>
      <c r="G770" s="113"/>
      <c r="H770" s="113"/>
      <c r="I770" s="113"/>
      <c r="J770" s="113"/>
      <c r="K770" s="113"/>
      <c r="L770" s="113"/>
      <c r="M770" s="113"/>
      <c r="N770" s="113"/>
      <c r="O770" s="124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</row>
    <row x14ac:dyDescent="0.25" r="771" customHeight="1" ht="15.75">
      <c r="A771" s="123"/>
      <c r="B771" s="123"/>
      <c r="C771" s="124"/>
      <c r="D771" s="124"/>
      <c r="E771" s="124"/>
      <c r="F771" s="113"/>
      <c r="G771" s="113"/>
      <c r="H771" s="113"/>
      <c r="I771" s="113"/>
      <c r="J771" s="113"/>
      <c r="K771" s="113"/>
      <c r="L771" s="113"/>
      <c r="M771" s="113"/>
      <c r="N771" s="113"/>
      <c r="O771" s="124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</row>
    <row x14ac:dyDescent="0.25" r="772" customHeight="1" ht="15.75">
      <c r="A772" s="123"/>
      <c r="B772" s="123"/>
      <c r="C772" s="124"/>
      <c r="D772" s="124"/>
      <c r="E772" s="124"/>
      <c r="F772" s="113"/>
      <c r="G772" s="113"/>
      <c r="H772" s="113"/>
      <c r="I772" s="113"/>
      <c r="J772" s="113"/>
      <c r="K772" s="113"/>
      <c r="L772" s="113"/>
      <c r="M772" s="113"/>
      <c r="N772" s="113"/>
      <c r="O772" s="124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</row>
    <row x14ac:dyDescent="0.25" r="773" customHeight="1" ht="15.75">
      <c r="A773" s="123"/>
      <c r="B773" s="123"/>
      <c r="C773" s="124"/>
      <c r="D773" s="124"/>
      <c r="E773" s="124"/>
      <c r="F773" s="113"/>
      <c r="G773" s="113"/>
      <c r="H773" s="113"/>
      <c r="I773" s="113"/>
      <c r="J773" s="113"/>
      <c r="K773" s="113"/>
      <c r="L773" s="113"/>
      <c r="M773" s="113"/>
      <c r="N773" s="113"/>
      <c r="O773" s="124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</row>
    <row x14ac:dyDescent="0.25" r="774" customHeight="1" ht="15.75">
      <c r="A774" s="123"/>
      <c r="B774" s="123"/>
      <c r="C774" s="124"/>
      <c r="D774" s="124"/>
      <c r="E774" s="124"/>
      <c r="F774" s="113"/>
      <c r="G774" s="113"/>
      <c r="H774" s="113"/>
      <c r="I774" s="113"/>
      <c r="J774" s="113"/>
      <c r="K774" s="113"/>
      <c r="L774" s="113"/>
      <c r="M774" s="113"/>
      <c r="N774" s="113"/>
      <c r="O774" s="124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</row>
    <row x14ac:dyDescent="0.25" r="775" customHeight="1" ht="15.75">
      <c r="A775" s="123"/>
      <c r="B775" s="123"/>
      <c r="C775" s="124"/>
      <c r="D775" s="124"/>
      <c r="E775" s="124"/>
      <c r="F775" s="113"/>
      <c r="G775" s="113"/>
      <c r="H775" s="113"/>
      <c r="I775" s="113"/>
      <c r="J775" s="113"/>
      <c r="K775" s="113"/>
      <c r="L775" s="113"/>
      <c r="M775" s="113"/>
      <c r="N775" s="113"/>
      <c r="O775" s="124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</row>
    <row x14ac:dyDescent="0.25" r="776" customHeight="1" ht="15.75">
      <c r="A776" s="123"/>
      <c r="B776" s="123"/>
      <c r="C776" s="124"/>
      <c r="D776" s="124"/>
      <c r="E776" s="124"/>
      <c r="F776" s="113"/>
      <c r="G776" s="113"/>
      <c r="H776" s="113"/>
      <c r="I776" s="113"/>
      <c r="J776" s="113"/>
      <c r="K776" s="113"/>
      <c r="L776" s="113"/>
      <c r="M776" s="113"/>
      <c r="N776" s="113"/>
      <c r="O776" s="124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</row>
    <row x14ac:dyDescent="0.25" r="777" customHeight="1" ht="15.75">
      <c r="A777" s="123"/>
      <c r="B777" s="123"/>
      <c r="C777" s="124"/>
      <c r="D777" s="124"/>
      <c r="E777" s="124"/>
      <c r="F777" s="113"/>
      <c r="G777" s="113"/>
      <c r="H777" s="113"/>
      <c r="I777" s="113"/>
      <c r="J777" s="113"/>
      <c r="K777" s="113"/>
      <c r="L777" s="113"/>
      <c r="M777" s="113"/>
      <c r="N777" s="113"/>
      <c r="O777" s="124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</row>
    <row x14ac:dyDescent="0.25" r="778" customHeight="1" ht="15.75">
      <c r="A778" s="123"/>
      <c r="B778" s="123"/>
      <c r="C778" s="124"/>
      <c r="D778" s="124"/>
      <c r="E778" s="124"/>
      <c r="F778" s="113"/>
      <c r="G778" s="113"/>
      <c r="H778" s="113"/>
      <c r="I778" s="113"/>
      <c r="J778" s="113"/>
      <c r="K778" s="113"/>
      <c r="L778" s="113"/>
      <c r="M778" s="113"/>
      <c r="N778" s="113"/>
      <c r="O778" s="124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</row>
    <row x14ac:dyDescent="0.25" r="779" customHeight="1" ht="15.75">
      <c r="A779" s="123"/>
      <c r="B779" s="123"/>
      <c r="C779" s="124"/>
      <c r="D779" s="124"/>
      <c r="E779" s="124"/>
      <c r="F779" s="113"/>
      <c r="G779" s="113"/>
      <c r="H779" s="113"/>
      <c r="I779" s="113"/>
      <c r="J779" s="113"/>
      <c r="K779" s="113"/>
      <c r="L779" s="113"/>
      <c r="M779" s="113"/>
      <c r="N779" s="113"/>
      <c r="O779" s="124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</row>
    <row x14ac:dyDescent="0.25" r="780" customHeight="1" ht="15.75">
      <c r="A780" s="123"/>
      <c r="B780" s="123"/>
      <c r="C780" s="124"/>
      <c r="D780" s="124"/>
      <c r="E780" s="124"/>
      <c r="F780" s="113"/>
      <c r="G780" s="113"/>
      <c r="H780" s="113"/>
      <c r="I780" s="113"/>
      <c r="J780" s="113"/>
      <c r="K780" s="113"/>
      <c r="L780" s="113"/>
      <c r="M780" s="113"/>
      <c r="N780" s="113"/>
      <c r="O780" s="124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</row>
    <row x14ac:dyDescent="0.25" r="781" customHeight="1" ht="15.75">
      <c r="A781" s="123"/>
      <c r="B781" s="123"/>
      <c r="C781" s="124"/>
      <c r="D781" s="124"/>
      <c r="E781" s="124"/>
      <c r="F781" s="113"/>
      <c r="G781" s="113"/>
      <c r="H781" s="113"/>
      <c r="I781" s="113"/>
      <c r="J781" s="113"/>
      <c r="K781" s="113"/>
      <c r="L781" s="113"/>
      <c r="M781" s="113"/>
      <c r="N781" s="113"/>
      <c r="O781" s="124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</row>
    <row x14ac:dyDescent="0.25" r="782" customHeight="1" ht="15.75">
      <c r="A782" s="123"/>
      <c r="B782" s="123"/>
      <c r="C782" s="124"/>
      <c r="D782" s="124"/>
      <c r="E782" s="124"/>
      <c r="F782" s="113"/>
      <c r="G782" s="113"/>
      <c r="H782" s="113"/>
      <c r="I782" s="113"/>
      <c r="J782" s="113"/>
      <c r="K782" s="113"/>
      <c r="L782" s="113"/>
      <c r="M782" s="113"/>
      <c r="N782" s="113"/>
      <c r="O782" s="124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</row>
    <row x14ac:dyDescent="0.25" r="783" customHeight="1" ht="15.75">
      <c r="A783" s="123"/>
      <c r="B783" s="123"/>
      <c r="C783" s="124"/>
      <c r="D783" s="124"/>
      <c r="E783" s="124"/>
      <c r="F783" s="113"/>
      <c r="G783" s="113"/>
      <c r="H783" s="113"/>
      <c r="I783" s="113"/>
      <c r="J783" s="113"/>
      <c r="K783" s="113"/>
      <c r="L783" s="113"/>
      <c r="M783" s="113"/>
      <c r="N783" s="113"/>
      <c r="O783" s="124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</row>
    <row x14ac:dyDescent="0.25" r="784" customHeight="1" ht="15.75">
      <c r="A784" s="123"/>
      <c r="B784" s="123"/>
      <c r="C784" s="124"/>
      <c r="D784" s="124"/>
      <c r="E784" s="124"/>
      <c r="F784" s="113"/>
      <c r="G784" s="113"/>
      <c r="H784" s="113"/>
      <c r="I784" s="113"/>
      <c r="J784" s="113"/>
      <c r="K784" s="113"/>
      <c r="L784" s="113"/>
      <c r="M784" s="113"/>
      <c r="N784" s="113"/>
      <c r="O784" s="124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</row>
    <row x14ac:dyDescent="0.25" r="785" customHeight="1" ht="15.75">
      <c r="A785" s="123"/>
      <c r="B785" s="123"/>
      <c r="C785" s="124"/>
      <c r="D785" s="124"/>
      <c r="E785" s="124"/>
      <c r="F785" s="113"/>
      <c r="G785" s="113"/>
      <c r="H785" s="113"/>
      <c r="I785" s="113"/>
      <c r="J785" s="113"/>
      <c r="K785" s="113"/>
      <c r="L785" s="113"/>
      <c r="M785" s="113"/>
      <c r="N785" s="113"/>
      <c r="O785" s="124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</row>
    <row x14ac:dyDescent="0.25" r="786" customHeight="1" ht="15.75">
      <c r="A786" s="123"/>
      <c r="B786" s="123"/>
      <c r="C786" s="124"/>
      <c r="D786" s="124"/>
      <c r="E786" s="124"/>
      <c r="F786" s="113"/>
      <c r="G786" s="113"/>
      <c r="H786" s="113"/>
      <c r="I786" s="113"/>
      <c r="J786" s="113"/>
      <c r="K786" s="113"/>
      <c r="L786" s="113"/>
      <c r="M786" s="113"/>
      <c r="N786" s="113"/>
      <c r="O786" s="124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</row>
    <row x14ac:dyDescent="0.25" r="787" customHeight="1" ht="15.75">
      <c r="A787" s="123"/>
      <c r="B787" s="123"/>
      <c r="C787" s="124"/>
      <c r="D787" s="124"/>
      <c r="E787" s="124"/>
      <c r="F787" s="113"/>
      <c r="G787" s="113"/>
      <c r="H787" s="113"/>
      <c r="I787" s="113"/>
      <c r="J787" s="113"/>
      <c r="K787" s="113"/>
      <c r="L787" s="113"/>
      <c r="M787" s="113"/>
      <c r="N787" s="113"/>
      <c r="O787" s="124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</row>
    <row x14ac:dyDescent="0.25" r="788" customHeight="1" ht="15.75">
      <c r="A788" s="123"/>
      <c r="B788" s="123"/>
      <c r="C788" s="124"/>
      <c r="D788" s="124"/>
      <c r="E788" s="124"/>
      <c r="F788" s="113"/>
      <c r="G788" s="113"/>
      <c r="H788" s="113"/>
      <c r="I788" s="113"/>
      <c r="J788" s="113"/>
      <c r="K788" s="113"/>
      <c r="L788" s="113"/>
      <c r="M788" s="113"/>
      <c r="N788" s="113"/>
      <c r="O788" s="124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</row>
    <row x14ac:dyDescent="0.25" r="789" customHeight="1" ht="15.75">
      <c r="A789" s="123"/>
      <c r="B789" s="123"/>
      <c r="C789" s="124"/>
      <c r="D789" s="124"/>
      <c r="E789" s="124"/>
      <c r="F789" s="113"/>
      <c r="G789" s="113"/>
      <c r="H789" s="113"/>
      <c r="I789" s="113"/>
      <c r="J789" s="113"/>
      <c r="K789" s="113"/>
      <c r="L789" s="113"/>
      <c r="M789" s="113"/>
      <c r="N789" s="113"/>
      <c r="O789" s="124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</row>
    <row x14ac:dyDescent="0.25" r="790" customHeight="1" ht="15.75">
      <c r="A790" s="123"/>
      <c r="B790" s="123"/>
      <c r="C790" s="124"/>
      <c r="D790" s="124"/>
      <c r="E790" s="124"/>
      <c r="F790" s="113"/>
      <c r="G790" s="113"/>
      <c r="H790" s="113"/>
      <c r="I790" s="113"/>
      <c r="J790" s="113"/>
      <c r="K790" s="113"/>
      <c r="L790" s="113"/>
      <c r="M790" s="113"/>
      <c r="N790" s="113"/>
      <c r="O790" s="124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</row>
    <row x14ac:dyDescent="0.25" r="791" customHeight="1" ht="15.75">
      <c r="A791" s="123"/>
      <c r="B791" s="123"/>
      <c r="C791" s="124"/>
      <c r="D791" s="124"/>
      <c r="E791" s="124"/>
      <c r="F791" s="113"/>
      <c r="G791" s="113"/>
      <c r="H791" s="113"/>
      <c r="I791" s="113"/>
      <c r="J791" s="113"/>
      <c r="K791" s="113"/>
      <c r="L791" s="113"/>
      <c r="M791" s="113"/>
      <c r="N791" s="113"/>
      <c r="O791" s="124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</row>
    <row x14ac:dyDescent="0.25" r="792" customHeight="1" ht="15.75">
      <c r="A792" s="123"/>
      <c r="B792" s="123"/>
      <c r="C792" s="124"/>
      <c r="D792" s="124"/>
      <c r="E792" s="124"/>
      <c r="F792" s="113"/>
      <c r="G792" s="113"/>
      <c r="H792" s="113"/>
      <c r="I792" s="113"/>
      <c r="J792" s="113"/>
      <c r="K792" s="113"/>
      <c r="L792" s="113"/>
      <c r="M792" s="113"/>
      <c r="N792" s="113"/>
      <c r="O792" s="124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</row>
    <row x14ac:dyDescent="0.25" r="793" customHeight="1" ht="15.75">
      <c r="A793" s="123"/>
      <c r="B793" s="123"/>
      <c r="C793" s="124"/>
      <c r="D793" s="124"/>
      <c r="E793" s="124"/>
      <c r="F793" s="113"/>
      <c r="G793" s="113"/>
      <c r="H793" s="113"/>
      <c r="I793" s="113"/>
      <c r="J793" s="113"/>
      <c r="K793" s="113"/>
      <c r="L793" s="113"/>
      <c r="M793" s="113"/>
      <c r="N793" s="113"/>
      <c r="O793" s="124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</row>
    <row x14ac:dyDescent="0.25" r="794" customHeight="1" ht="15.75">
      <c r="A794" s="123"/>
      <c r="B794" s="123"/>
      <c r="C794" s="124"/>
      <c r="D794" s="124"/>
      <c r="E794" s="124"/>
      <c r="F794" s="113"/>
      <c r="G794" s="113"/>
      <c r="H794" s="113"/>
      <c r="I794" s="113"/>
      <c r="J794" s="113"/>
      <c r="K794" s="113"/>
      <c r="L794" s="113"/>
      <c r="M794" s="113"/>
      <c r="N794" s="113"/>
      <c r="O794" s="124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</row>
    <row x14ac:dyDescent="0.25" r="795" customHeight="1" ht="15.75">
      <c r="A795" s="123"/>
      <c r="B795" s="123"/>
      <c r="C795" s="124"/>
      <c r="D795" s="124"/>
      <c r="E795" s="124"/>
      <c r="F795" s="113"/>
      <c r="G795" s="113"/>
      <c r="H795" s="113"/>
      <c r="I795" s="113"/>
      <c r="J795" s="113"/>
      <c r="K795" s="113"/>
      <c r="L795" s="113"/>
      <c r="M795" s="113"/>
      <c r="N795" s="113"/>
      <c r="O795" s="124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</row>
    <row x14ac:dyDescent="0.25" r="796" customHeight="1" ht="15.75">
      <c r="A796" s="123"/>
      <c r="B796" s="123"/>
      <c r="C796" s="124"/>
      <c r="D796" s="124"/>
      <c r="E796" s="124"/>
      <c r="F796" s="113"/>
      <c r="G796" s="113"/>
      <c r="H796" s="113"/>
      <c r="I796" s="113"/>
      <c r="J796" s="113"/>
      <c r="K796" s="113"/>
      <c r="L796" s="113"/>
      <c r="M796" s="113"/>
      <c r="N796" s="113"/>
      <c r="O796" s="124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</row>
    <row x14ac:dyDescent="0.25" r="797" customHeight="1" ht="15.75">
      <c r="A797" s="123"/>
      <c r="B797" s="123"/>
      <c r="C797" s="124"/>
      <c r="D797" s="124"/>
      <c r="E797" s="124"/>
      <c r="F797" s="113"/>
      <c r="G797" s="113"/>
      <c r="H797" s="113"/>
      <c r="I797" s="113"/>
      <c r="J797" s="113"/>
      <c r="K797" s="113"/>
      <c r="L797" s="113"/>
      <c r="M797" s="113"/>
      <c r="N797" s="113"/>
      <c r="O797" s="124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</row>
    <row x14ac:dyDescent="0.25" r="798" customHeight="1" ht="15.75">
      <c r="A798" s="123"/>
      <c r="B798" s="123"/>
      <c r="C798" s="124"/>
      <c r="D798" s="124"/>
      <c r="E798" s="124"/>
      <c r="F798" s="113"/>
      <c r="G798" s="113"/>
      <c r="H798" s="113"/>
      <c r="I798" s="113"/>
      <c r="J798" s="113"/>
      <c r="K798" s="113"/>
      <c r="L798" s="113"/>
      <c r="M798" s="113"/>
      <c r="N798" s="113"/>
      <c r="O798" s="124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</row>
    <row x14ac:dyDescent="0.25" r="799" customHeight="1" ht="15.75">
      <c r="A799" s="123"/>
      <c r="B799" s="123"/>
      <c r="C799" s="124"/>
      <c r="D799" s="124"/>
      <c r="E799" s="124"/>
      <c r="F799" s="113"/>
      <c r="G799" s="113"/>
      <c r="H799" s="113"/>
      <c r="I799" s="113"/>
      <c r="J799" s="113"/>
      <c r="K799" s="113"/>
      <c r="L799" s="113"/>
      <c r="M799" s="113"/>
      <c r="N799" s="113"/>
      <c r="O799" s="124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</row>
    <row x14ac:dyDescent="0.25" r="800" customHeight="1" ht="15.75">
      <c r="A800" s="123"/>
      <c r="B800" s="123"/>
      <c r="C800" s="124"/>
      <c r="D800" s="124"/>
      <c r="E800" s="124"/>
      <c r="F800" s="113"/>
      <c r="G800" s="113"/>
      <c r="H800" s="113"/>
      <c r="I800" s="113"/>
      <c r="J800" s="113"/>
      <c r="K800" s="113"/>
      <c r="L800" s="113"/>
      <c r="M800" s="113"/>
      <c r="N800" s="113"/>
      <c r="O800" s="124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</row>
    <row x14ac:dyDescent="0.25" r="801" customHeight="1" ht="15.75">
      <c r="A801" s="123"/>
      <c r="B801" s="123"/>
      <c r="C801" s="124"/>
      <c r="D801" s="124"/>
      <c r="E801" s="124"/>
      <c r="F801" s="113"/>
      <c r="G801" s="113"/>
      <c r="H801" s="113"/>
      <c r="I801" s="113"/>
      <c r="J801" s="113"/>
      <c r="K801" s="113"/>
      <c r="L801" s="113"/>
      <c r="M801" s="113"/>
      <c r="N801" s="113"/>
      <c r="O801" s="124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</row>
    <row x14ac:dyDescent="0.25" r="802" customHeight="1" ht="15.75">
      <c r="A802" s="123"/>
      <c r="B802" s="123"/>
      <c r="C802" s="124"/>
      <c r="D802" s="124"/>
      <c r="E802" s="124"/>
      <c r="F802" s="113"/>
      <c r="G802" s="113"/>
      <c r="H802" s="113"/>
      <c r="I802" s="113"/>
      <c r="J802" s="113"/>
      <c r="K802" s="113"/>
      <c r="L802" s="113"/>
      <c r="M802" s="113"/>
      <c r="N802" s="113"/>
      <c r="O802" s="124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</row>
    <row x14ac:dyDescent="0.25" r="803" customHeight="1" ht="15.75">
      <c r="A803" s="123"/>
      <c r="B803" s="123"/>
      <c r="C803" s="124"/>
      <c r="D803" s="124"/>
      <c r="E803" s="124"/>
      <c r="F803" s="113"/>
      <c r="G803" s="113"/>
      <c r="H803" s="113"/>
      <c r="I803" s="113"/>
      <c r="J803" s="113"/>
      <c r="K803" s="113"/>
      <c r="L803" s="113"/>
      <c r="M803" s="113"/>
      <c r="N803" s="113"/>
      <c r="O803" s="124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</row>
    <row x14ac:dyDescent="0.25" r="804" customHeight="1" ht="15.75">
      <c r="A804" s="123"/>
      <c r="B804" s="123"/>
      <c r="C804" s="124"/>
      <c r="D804" s="124"/>
      <c r="E804" s="124"/>
      <c r="F804" s="113"/>
      <c r="G804" s="113"/>
      <c r="H804" s="113"/>
      <c r="I804" s="113"/>
      <c r="J804" s="113"/>
      <c r="K804" s="113"/>
      <c r="L804" s="113"/>
      <c r="M804" s="113"/>
      <c r="N804" s="113"/>
      <c r="O804" s="124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</row>
    <row x14ac:dyDescent="0.25" r="805" customHeight="1" ht="15.75">
      <c r="A805" s="123"/>
      <c r="B805" s="123"/>
      <c r="C805" s="124"/>
      <c r="D805" s="124"/>
      <c r="E805" s="124"/>
      <c r="F805" s="113"/>
      <c r="G805" s="113"/>
      <c r="H805" s="113"/>
      <c r="I805" s="113"/>
      <c r="J805" s="113"/>
      <c r="K805" s="113"/>
      <c r="L805" s="113"/>
      <c r="M805" s="113"/>
      <c r="N805" s="113"/>
      <c r="O805" s="124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</row>
    <row x14ac:dyDescent="0.25" r="806" customHeight="1" ht="15.75">
      <c r="A806" s="123"/>
      <c r="B806" s="123"/>
      <c r="C806" s="124"/>
      <c r="D806" s="124"/>
      <c r="E806" s="124"/>
      <c r="F806" s="113"/>
      <c r="G806" s="113"/>
      <c r="H806" s="113"/>
      <c r="I806" s="113"/>
      <c r="J806" s="113"/>
      <c r="K806" s="113"/>
      <c r="L806" s="113"/>
      <c r="M806" s="113"/>
      <c r="N806" s="113"/>
      <c r="O806" s="124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</row>
    <row x14ac:dyDescent="0.25" r="807" customHeight="1" ht="15.75">
      <c r="A807" s="123"/>
      <c r="B807" s="123"/>
      <c r="C807" s="124"/>
      <c r="D807" s="124"/>
      <c r="E807" s="124"/>
      <c r="F807" s="113"/>
      <c r="G807" s="113"/>
      <c r="H807" s="113"/>
      <c r="I807" s="113"/>
      <c r="J807" s="113"/>
      <c r="K807" s="113"/>
      <c r="L807" s="113"/>
      <c r="M807" s="113"/>
      <c r="N807" s="113"/>
      <c r="O807" s="124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</row>
    <row x14ac:dyDescent="0.25" r="808" customHeight="1" ht="15.75">
      <c r="A808" s="123"/>
      <c r="B808" s="123"/>
      <c r="C808" s="124"/>
      <c r="D808" s="124"/>
      <c r="E808" s="124"/>
      <c r="F808" s="113"/>
      <c r="G808" s="113"/>
      <c r="H808" s="113"/>
      <c r="I808" s="113"/>
      <c r="J808" s="113"/>
      <c r="K808" s="113"/>
      <c r="L808" s="113"/>
      <c r="M808" s="113"/>
      <c r="N808" s="113"/>
      <c r="O808" s="124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</row>
    <row x14ac:dyDescent="0.25" r="809" customHeight="1" ht="15.75">
      <c r="A809" s="123"/>
      <c r="B809" s="123"/>
      <c r="C809" s="124"/>
      <c r="D809" s="124"/>
      <c r="E809" s="124"/>
      <c r="F809" s="113"/>
      <c r="G809" s="113"/>
      <c r="H809" s="113"/>
      <c r="I809" s="113"/>
      <c r="J809" s="113"/>
      <c r="K809" s="113"/>
      <c r="L809" s="113"/>
      <c r="M809" s="113"/>
      <c r="N809" s="113"/>
      <c r="O809" s="124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</row>
    <row x14ac:dyDescent="0.25" r="810" customHeight="1" ht="15.75">
      <c r="A810" s="123"/>
      <c r="B810" s="123"/>
      <c r="C810" s="124"/>
      <c r="D810" s="124"/>
      <c r="E810" s="124"/>
      <c r="F810" s="113"/>
      <c r="G810" s="113"/>
      <c r="H810" s="113"/>
      <c r="I810" s="113"/>
      <c r="J810" s="113"/>
      <c r="K810" s="113"/>
      <c r="L810" s="113"/>
      <c r="M810" s="113"/>
      <c r="N810" s="113"/>
      <c r="O810" s="124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</row>
    <row x14ac:dyDescent="0.25" r="811" customHeight="1" ht="15.75">
      <c r="A811" s="123"/>
      <c r="B811" s="123"/>
      <c r="C811" s="124"/>
      <c r="D811" s="124"/>
      <c r="E811" s="124"/>
      <c r="F811" s="113"/>
      <c r="G811" s="113"/>
      <c r="H811" s="113"/>
      <c r="I811" s="113"/>
      <c r="J811" s="113"/>
      <c r="K811" s="113"/>
      <c r="L811" s="113"/>
      <c r="M811" s="113"/>
      <c r="N811" s="113"/>
      <c r="O811" s="124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</row>
    <row x14ac:dyDescent="0.25" r="812" customHeight="1" ht="15.75">
      <c r="A812" s="123"/>
      <c r="B812" s="123"/>
      <c r="C812" s="124"/>
      <c r="D812" s="124"/>
      <c r="E812" s="124"/>
      <c r="F812" s="113"/>
      <c r="G812" s="113"/>
      <c r="H812" s="113"/>
      <c r="I812" s="113"/>
      <c r="J812" s="113"/>
      <c r="K812" s="113"/>
      <c r="L812" s="113"/>
      <c r="M812" s="113"/>
      <c r="N812" s="113"/>
      <c r="O812" s="124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</row>
    <row x14ac:dyDescent="0.25" r="813" customHeight="1" ht="15.75">
      <c r="A813" s="123"/>
      <c r="B813" s="123"/>
      <c r="C813" s="124"/>
      <c r="D813" s="124"/>
      <c r="E813" s="124"/>
      <c r="F813" s="113"/>
      <c r="G813" s="113"/>
      <c r="H813" s="113"/>
      <c r="I813" s="113"/>
      <c r="J813" s="113"/>
      <c r="K813" s="113"/>
      <c r="L813" s="113"/>
      <c r="M813" s="113"/>
      <c r="N813" s="113"/>
      <c r="O813" s="124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</row>
    <row x14ac:dyDescent="0.25" r="814" customHeight="1" ht="15.75">
      <c r="A814" s="123"/>
      <c r="B814" s="123"/>
      <c r="C814" s="124"/>
      <c r="D814" s="124"/>
      <c r="E814" s="124"/>
      <c r="F814" s="113"/>
      <c r="G814" s="113"/>
      <c r="H814" s="113"/>
      <c r="I814" s="113"/>
      <c r="J814" s="113"/>
      <c r="K814" s="113"/>
      <c r="L814" s="113"/>
      <c r="M814" s="113"/>
      <c r="N814" s="113"/>
      <c r="O814" s="124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</row>
    <row x14ac:dyDescent="0.25" r="815" customHeight="1" ht="15.75">
      <c r="A815" s="123"/>
      <c r="B815" s="123"/>
      <c r="C815" s="124"/>
      <c r="D815" s="124"/>
      <c r="E815" s="124"/>
      <c r="F815" s="113"/>
      <c r="G815" s="113"/>
      <c r="H815" s="113"/>
      <c r="I815" s="113"/>
      <c r="J815" s="113"/>
      <c r="K815" s="113"/>
      <c r="L815" s="113"/>
      <c r="M815" s="113"/>
      <c r="N815" s="113"/>
      <c r="O815" s="124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</row>
    <row x14ac:dyDescent="0.25" r="816" customHeight="1" ht="15.75">
      <c r="A816" s="123"/>
      <c r="B816" s="123"/>
      <c r="C816" s="124"/>
      <c r="D816" s="124"/>
      <c r="E816" s="124"/>
      <c r="F816" s="113"/>
      <c r="G816" s="113"/>
      <c r="H816" s="113"/>
      <c r="I816" s="113"/>
      <c r="J816" s="113"/>
      <c r="K816" s="113"/>
      <c r="L816" s="113"/>
      <c r="M816" s="113"/>
      <c r="N816" s="113"/>
      <c r="O816" s="124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</row>
    <row x14ac:dyDescent="0.25" r="817" customHeight="1" ht="15.75">
      <c r="A817" s="123"/>
      <c r="B817" s="123"/>
      <c r="C817" s="124"/>
      <c r="D817" s="124"/>
      <c r="E817" s="124"/>
      <c r="F817" s="113"/>
      <c r="G817" s="113"/>
      <c r="H817" s="113"/>
      <c r="I817" s="113"/>
      <c r="J817" s="113"/>
      <c r="K817" s="113"/>
      <c r="L817" s="113"/>
      <c r="M817" s="113"/>
      <c r="N817" s="113"/>
      <c r="O817" s="124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</row>
    <row x14ac:dyDescent="0.25" r="818" customHeight="1" ht="15.75">
      <c r="A818" s="123"/>
      <c r="B818" s="123"/>
      <c r="C818" s="124"/>
      <c r="D818" s="124"/>
      <c r="E818" s="124"/>
      <c r="F818" s="113"/>
      <c r="G818" s="113"/>
      <c r="H818" s="113"/>
      <c r="I818" s="113"/>
      <c r="J818" s="113"/>
      <c r="K818" s="113"/>
      <c r="L818" s="113"/>
      <c r="M818" s="113"/>
      <c r="N818" s="113"/>
      <c r="O818" s="124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</row>
    <row x14ac:dyDescent="0.25" r="819" customHeight="1" ht="15.75">
      <c r="A819" s="123"/>
      <c r="B819" s="123"/>
      <c r="C819" s="124"/>
      <c r="D819" s="124"/>
      <c r="E819" s="124"/>
      <c r="F819" s="113"/>
      <c r="G819" s="113"/>
      <c r="H819" s="113"/>
      <c r="I819" s="113"/>
      <c r="J819" s="113"/>
      <c r="K819" s="113"/>
      <c r="L819" s="113"/>
      <c r="M819" s="113"/>
      <c r="N819" s="113"/>
      <c r="O819" s="124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</row>
    <row x14ac:dyDescent="0.25" r="820" customHeight="1" ht="15.75">
      <c r="A820" s="123"/>
      <c r="B820" s="123"/>
      <c r="C820" s="124"/>
      <c r="D820" s="124"/>
      <c r="E820" s="124"/>
      <c r="F820" s="113"/>
      <c r="G820" s="113"/>
      <c r="H820" s="113"/>
      <c r="I820" s="113"/>
      <c r="J820" s="113"/>
      <c r="K820" s="113"/>
      <c r="L820" s="113"/>
      <c r="M820" s="113"/>
      <c r="N820" s="113"/>
      <c r="O820" s="124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</row>
    <row x14ac:dyDescent="0.25" r="821" customHeight="1" ht="15.75">
      <c r="A821" s="123"/>
      <c r="B821" s="123"/>
      <c r="C821" s="124"/>
      <c r="D821" s="124"/>
      <c r="E821" s="124"/>
      <c r="F821" s="113"/>
      <c r="G821" s="113"/>
      <c r="H821" s="113"/>
      <c r="I821" s="113"/>
      <c r="J821" s="113"/>
      <c r="K821" s="113"/>
      <c r="L821" s="113"/>
      <c r="M821" s="113"/>
      <c r="N821" s="113"/>
      <c r="O821" s="124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</row>
    <row x14ac:dyDescent="0.25" r="822" customHeight="1" ht="15.75">
      <c r="A822" s="123"/>
      <c r="B822" s="123"/>
      <c r="C822" s="124"/>
      <c r="D822" s="124"/>
      <c r="E822" s="124"/>
      <c r="F822" s="113"/>
      <c r="G822" s="113"/>
      <c r="H822" s="113"/>
      <c r="I822" s="113"/>
      <c r="J822" s="113"/>
      <c r="K822" s="113"/>
      <c r="L822" s="113"/>
      <c r="M822" s="113"/>
      <c r="N822" s="113"/>
      <c r="O822" s="124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</row>
    <row x14ac:dyDescent="0.25" r="823" customHeight="1" ht="15.75">
      <c r="A823" s="123"/>
      <c r="B823" s="123"/>
      <c r="C823" s="124"/>
      <c r="D823" s="124"/>
      <c r="E823" s="124"/>
      <c r="F823" s="113"/>
      <c r="G823" s="113"/>
      <c r="H823" s="113"/>
      <c r="I823" s="113"/>
      <c r="J823" s="113"/>
      <c r="K823" s="113"/>
      <c r="L823" s="113"/>
      <c r="M823" s="113"/>
      <c r="N823" s="113"/>
      <c r="O823" s="124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</row>
    <row x14ac:dyDescent="0.25" r="824" customHeight="1" ht="15.75">
      <c r="A824" s="123"/>
      <c r="B824" s="123"/>
      <c r="C824" s="124"/>
      <c r="D824" s="124"/>
      <c r="E824" s="124"/>
      <c r="F824" s="113"/>
      <c r="G824" s="113"/>
      <c r="H824" s="113"/>
      <c r="I824" s="113"/>
      <c r="J824" s="113"/>
      <c r="K824" s="113"/>
      <c r="L824" s="113"/>
      <c r="M824" s="113"/>
      <c r="N824" s="113"/>
      <c r="O824" s="124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</row>
    <row x14ac:dyDescent="0.25" r="825" customHeight="1" ht="15.75">
      <c r="A825" s="123"/>
      <c r="B825" s="123"/>
      <c r="C825" s="124"/>
      <c r="D825" s="124"/>
      <c r="E825" s="124"/>
      <c r="F825" s="113"/>
      <c r="G825" s="113"/>
      <c r="H825" s="113"/>
      <c r="I825" s="113"/>
      <c r="J825" s="113"/>
      <c r="K825" s="113"/>
      <c r="L825" s="113"/>
      <c r="M825" s="113"/>
      <c r="N825" s="113"/>
      <c r="O825" s="124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</row>
    <row x14ac:dyDescent="0.25" r="826" customHeight="1" ht="15.75">
      <c r="A826" s="123"/>
      <c r="B826" s="123"/>
      <c r="C826" s="124"/>
      <c r="D826" s="124"/>
      <c r="E826" s="124"/>
      <c r="F826" s="113"/>
      <c r="G826" s="113"/>
      <c r="H826" s="113"/>
      <c r="I826" s="113"/>
      <c r="J826" s="113"/>
      <c r="K826" s="113"/>
      <c r="L826" s="113"/>
      <c r="M826" s="113"/>
      <c r="N826" s="113"/>
      <c r="O826" s="124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</row>
    <row x14ac:dyDescent="0.25" r="827" customHeight="1" ht="15.75">
      <c r="A827" s="123"/>
      <c r="B827" s="123"/>
      <c r="C827" s="124"/>
      <c r="D827" s="124"/>
      <c r="E827" s="124"/>
      <c r="F827" s="113"/>
      <c r="G827" s="113"/>
      <c r="H827" s="113"/>
      <c r="I827" s="113"/>
      <c r="J827" s="113"/>
      <c r="K827" s="113"/>
      <c r="L827" s="113"/>
      <c r="M827" s="113"/>
      <c r="N827" s="113"/>
      <c r="O827" s="124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</row>
    <row x14ac:dyDescent="0.25" r="828" customHeight="1" ht="15.75">
      <c r="A828" s="123"/>
      <c r="B828" s="123"/>
      <c r="C828" s="124"/>
      <c r="D828" s="124"/>
      <c r="E828" s="124"/>
      <c r="F828" s="113"/>
      <c r="G828" s="113"/>
      <c r="H828" s="113"/>
      <c r="I828" s="113"/>
      <c r="J828" s="113"/>
      <c r="K828" s="113"/>
      <c r="L828" s="113"/>
      <c r="M828" s="113"/>
      <c r="N828" s="113"/>
      <c r="O828" s="124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</row>
    <row x14ac:dyDescent="0.25" r="829" customHeight="1" ht="15.75">
      <c r="A829" s="123"/>
      <c r="B829" s="123"/>
      <c r="C829" s="124"/>
      <c r="D829" s="124"/>
      <c r="E829" s="124"/>
      <c r="F829" s="113"/>
      <c r="G829" s="113"/>
      <c r="H829" s="113"/>
      <c r="I829" s="113"/>
      <c r="J829" s="113"/>
      <c r="K829" s="113"/>
      <c r="L829" s="113"/>
      <c r="M829" s="113"/>
      <c r="N829" s="113"/>
      <c r="O829" s="124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</row>
    <row x14ac:dyDescent="0.25" r="830" customHeight="1" ht="15.75">
      <c r="A830" s="123"/>
      <c r="B830" s="123"/>
      <c r="C830" s="124"/>
      <c r="D830" s="124"/>
      <c r="E830" s="124"/>
      <c r="F830" s="113"/>
      <c r="G830" s="113"/>
      <c r="H830" s="113"/>
      <c r="I830" s="113"/>
      <c r="J830" s="113"/>
      <c r="K830" s="113"/>
      <c r="L830" s="113"/>
      <c r="M830" s="113"/>
      <c r="N830" s="113"/>
      <c r="O830" s="124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</row>
    <row x14ac:dyDescent="0.25" r="831" customHeight="1" ht="15.75">
      <c r="A831" s="123"/>
      <c r="B831" s="123"/>
      <c r="C831" s="124"/>
      <c r="D831" s="124"/>
      <c r="E831" s="124"/>
      <c r="F831" s="113"/>
      <c r="G831" s="113"/>
      <c r="H831" s="113"/>
      <c r="I831" s="113"/>
      <c r="J831" s="113"/>
      <c r="K831" s="113"/>
      <c r="L831" s="113"/>
      <c r="M831" s="113"/>
      <c r="N831" s="113"/>
      <c r="O831" s="124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</row>
    <row x14ac:dyDescent="0.25" r="832" customHeight="1" ht="15.75">
      <c r="A832" s="123"/>
      <c r="B832" s="123"/>
      <c r="C832" s="124"/>
      <c r="D832" s="124"/>
      <c r="E832" s="124"/>
      <c r="F832" s="113"/>
      <c r="G832" s="113"/>
      <c r="H832" s="113"/>
      <c r="I832" s="113"/>
      <c r="J832" s="113"/>
      <c r="K832" s="113"/>
      <c r="L832" s="113"/>
      <c r="M832" s="113"/>
      <c r="N832" s="113"/>
      <c r="O832" s="124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</row>
    <row x14ac:dyDescent="0.25" r="833" customHeight="1" ht="15.75">
      <c r="A833" s="123"/>
      <c r="B833" s="123"/>
      <c r="C833" s="124"/>
      <c r="D833" s="124"/>
      <c r="E833" s="124"/>
      <c r="F833" s="113"/>
      <c r="G833" s="113"/>
      <c r="H833" s="113"/>
      <c r="I833" s="113"/>
      <c r="J833" s="113"/>
      <c r="K833" s="113"/>
      <c r="L833" s="113"/>
      <c r="M833" s="113"/>
      <c r="N833" s="113"/>
      <c r="O833" s="124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</row>
    <row x14ac:dyDescent="0.25" r="834" customHeight="1" ht="15.75">
      <c r="A834" s="123"/>
      <c r="B834" s="123"/>
      <c r="C834" s="124"/>
      <c r="D834" s="124"/>
      <c r="E834" s="124"/>
      <c r="F834" s="113"/>
      <c r="G834" s="113"/>
      <c r="H834" s="113"/>
      <c r="I834" s="113"/>
      <c r="J834" s="113"/>
      <c r="K834" s="113"/>
      <c r="L834" s="113"/>
      <c r="M834" s="113"/>
      <c r="N834" s="113"/>
      <c r="O834" s="124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</row>
    <row x14ac:dyDescent="0.25" r="835" customHeight="1" ht="15.75">
      <c r="A835" s="123"/>
      <c r="B835" s="123"/>
      <c r="C835" s="124"/>
      <c r="D835" s="124"/>
      <c r="E835" s="124"/>
      <c r="F835" s="113"/>
      <c r="G835" s="113"/>
      <c r="H835" s="113"/>
      <c r="I835" s="113"/>
      <c r="J835" s="113"/>
      <c r="K835" s="113"/>
      <c r="L835" s="113"/>
      <c r="M835" s="113"/>
      <c r="N835" s="113"/>
      <c r="O835" s="124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</row>
    <row x14ac:dyDescent="0.25" r="836" customHeight="1" ht="15.75">
      <c r="A836" s="123"/>
      <c r="B836" s="123"/>
      <c r="C836" s="124"/>
      <c r="D836" s="124"/>
      <c r="E836" s="124"/>
      <c r="F836" s="113"/>
      <c r="G836" s="113"/>
      <c r="H836" s="113"/>
      <c r="I836" s="113"/>
      <c r="J836" s="113"/>
      <c r="K836" s="113"/>
      <c r="L836" s="113"/>
      <c r="M836" s="113"/>
      <c r="N836" s="113"/>
      <c r="O836" s="124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</row>
    <row x14ac:dyDescent="0.25" r="837" customHeight="1" ht="15.75">
      <c r="A837" s="123"/>
      <c r="B837" s="123"/>
      <c r="C837" s="124"/>
      <c r="D837" s="124"/>
      <c r="E837" s="124"/>
      <c r="F837" s="113"/>
      <c r="G837" s="113"/>
      <c r="H837" s="113"/>
      <c r="I837" s="113"/>
      <c r="J837" s="113"/>
      <c r="K837" s="113"/>
      <c r="L837" s="113"/>
      <c r="M837" s="113"/>
      <c r="N837" s="113"/>
      <c r="O837" s="124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</row>
    <row x14ac:dyDescent="0.25" r="838" customHeight="1" ht="15.75">
      <c r="A838" s="123"/>
      <c r="B838" s="123"/>
      <c r="C838" s="124"/>
      <c r="D838" s="124"/>
      <c r="E838" s="124"/>
      <c r="F838" s="113"/>
      <c r="G838" s="113"/>
      <c r="H838" s="113"/>
      <c r="I838" s="113"/>
      <c r="J838" s="113"/>
      <c r="K838" s="113"/>
      <c r="L838" s="113"/>
      <c r="M838" s="113"/>
      <c r="N838" s="113"/>
      <c r="O838" s="124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</row>
    <row x14ac:dyDescent="0.25" r="839" customHeight="1" ht="15.75">
      <c r="A839" s="123"/>
      <c r="B839" s="123"/>
      <c r="C839" s="124"/>
      <c r="D839" s="124"/>
      <c r="E839" s="124"/>
      <c r="F839" s="113"/>
      <c r="G839" s="113"/>
      <c r="H839" s="113"/>
      <c r="I839" s="113"/>
      <c r="J839" s="113"/>
      <c r="K839" s="113"/>
      <c r="L839" s="113"/>
      <c r="M839" s="113"/>
      <c r="N839" s="113"/>
      <c r="O839" s="124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</row>
    <row x14ac:dyDescent="0.25" r="840" customHeight="1" ht="15.75">
      <c r="A840" s="123"/>
      <c r="B840" s="123"/>
      <c r="C840" s="124"/>
      <c r="D840" s="124"/>
      <c r="E840" s="124"/>
      <c r="F840" s="113"/>
      <c r="G840" s="113"/>
      <c r="H840" s="113"/>
      <c r="I840" s="113"/>
      <c r="J840" s="113"/>
      <c r="K840" s="113"/>
      <c r="L840" s="113"/>
      <c r="M840" s="113"/>
      <c r="N840" s="113"/>
      <c r="O840" s="124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</row>
    <row x14ac:dyDescent="0.25" r="841" customHeight="1" ht="15.75">
      <c r="A841" s="123"/>
      <c r="B841" s="123"/>
      <c r="C841" s="124"/>
      <c r="D841" s="124"/>
      <c r="E841" s="124"/>
      <c r="F841" s="113"/>
      <c r="G841" s="113"/>
      <c r="H841" s="113"/>
      <c r="I841" s="113"/>
      <c r="J841" s="113"/>
      <c r="K841" s="113"/>
      <c r="L841" s="113"/>
      <c r="M841" s="113"/>
      <c r="N841" s="113"/>
      <c r="O841" s="124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</row>
    <row x14ac:dyDescent="0.25" r="842" customHeight="1" ht="15.75">
      <c r="A842" s="123"/>
      <c r="B842" s="123"/>
      <c r="C842" s="124"/>
      <c r="D842" s="124"/>
      <c r="E842" s="124"/>
      <c r="F842" s="113"/>
      <c r="G842" s="113"/>
      <c r="H842" s="113"/>
      <c r="I842" s="113"/>
      <c r="J842" s="113"/>
      <c r="K842" s="113"/>
      <c r="L842" s="113"/>
      <c r="M842" s="113"/>
      <c r="N842" s="113"/>
      <c r="O842" s="124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</row>
    <row x14ac:dyDescent="0.25" r="843" customHeight="1" ht="15.75">
      <c r="A843" s="123"/>
      <c r="B843" s="123"/>
      <c r="C843" s="124"/>
      <c r="D843" s="124"/>
      <c r="E843" s="124"/>
      <c r="F843" s="113"/>
      <c r="G843" s="113"/>
      <c r="H843" s="113"/>
      <c r="I843" s="113"/>
      <c r="J843" s="113"/>
      <c r="K843" s="113"/>
      <c r="L843" s="113"/>
      <c r="M843" s="113"/>
      <c r="N843" s="113"/>
      <c r="O843" s="124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</row>
    <row x14ac:dyDescent="0.25" r="844" customHeight="1" ht="15.75">
      <c r="A844" s="123"/>
      <c r="B844" s="123"/>
      <c r="C844" s="124"/>
      <c r="D844" s="124"/>
      <c r="E844" s="124"/>
      <c r="F844" s="113"/>
      <c r="G844" s="113"/>
      <c r="H844" s="113"/>
      <c r="I844" s="113"/>
      <c r="J844" s="113"/>
      <c r="K844" s="113"/>
      <c r="L844" s="113"/>
      <c r="M844" s="113"/>
      <c r="N844" s="113"/>
      <c r="O844" s="124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</row>
    <row x14ac:dyDescent="0.25" r="845" customHeight="1" ht="15.75">
      <c r="A845" s="123"/>
      <c r="B845" s="123"/>
      <c r="C845" s="124"/>
      <c r="D845" s="124"/>
      <c r="E845" s="124"/>
      <c r="F845" s="113"/>
      <c r="G845" s="113"/>
      <c r="H845" s="113"/>
      <c r="I845" s="113"/>
      <c r="J845" s="113"/>
      <c r="K845" s="113"/>
      <c r="L845" s="113"/>
      <c r="M845" s="113"/>
      <c r="N845" s="113"/>
      <c r="O845" s="124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</row>
    <row x14ac:dyDescent="0.25" r="846" customHeight="1" ht="15.75">
      <c r="A846" s="123"/>
      <c r="B846" s="123"/>
      <c r="C846" s="124"/>
      <c r="D846" s="124"/>
      <c r="E846" s="124"/>
      <c r="F846" s="113"/>
      <c r="G846" s="113"/>
      <c r="H846" s="113"/>
      <c r="I846" s="113"/>
      <c r="J846" s="113"/>
      <c r="K846" s="113"/>
      <c r="L846" s="113"/>
      <c r="M846" s="113"/>
      <c r="N846" s="113"/>
      <c r="O846" s="124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</row>
    <row x14ac:dyDescent="0.25" r="847" customHeight="1" ht="15.75">
      <c r="A847" s="123"/>
      <c r="B847" s="123"/>
      <c r="C847" s="124"/>
      <c r="D847" s="124"/>
      <c r="E847" s="124"/>
      <c r="F847" s="113"/>
      <c r="G847" s="113"/>
      <c r="H847" s="113"/>
      <c r="I847" s="113"/>
      <c r="J847" s="113"/>
      <c r="K847" s="113"/>
      <c r="L847" s="113"/>
      <c r="M847" s="113"/>
      <c r="N847" s="113"/>
      <c r="O847" s="124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</row>
    <row x14ac:dyDescent="0.25" r="848" customHeight="1" ht="15.75">
      <c r="A848" s="123"/>
      <c r="B848" s="123"/>
      <c r="C848" s="124"/>
      <c r="D848" s="124"/>
      <c r="E848" s="124"/>
      <c r="F848" s="113"/>
      <c r="G848" s="113"/>
      <c r="H848" s="113"/>
      <c r="I848" s="113"/>
      <c r="J848" s="113"/>
      <c r="K848" s="113"/>
      <c r="L848" s="113"/>
      <c r="M848" s="113"/>
      <c r="N848" s="113"/>
      <c r="O848" s="124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</row>
    <row x14ac:dyDescent="0.25" r="849" customHeight="1" ht="15.75">
      <c r="A849" s="123"/>
      <c r="B849" s="123"/>
      <c r="C849" s="124"/>
      <c r="D849" s="124"/>
      <c r="E849" s="124"/>
      <c r="F849" s="113"/>
      <c r="G849" s="113"/>
      <c r="H849" s="113"/>
      <c r="I849" s="113"/>
      <c r="J849" s="113"/>
      <c r="K849" s="113"/>
      <c r="L849" s="113"/>
      <c r="M849" s="113"/>
      <c r="N849" s="113"/>
      <c r="O849" s="124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</row>
    <row x14ac:dyDescent="0.25" r="850" customHeight="1" ht="15.75">
      <c r="A850" s="123"/>
      <c r="B850" s="123"/>
      <c r="C850" s="124"/>
      <c r="D850" s="124"/>
      <c r="E850" s="124"/>
      <c r="F850" s="113"/>
      <c r="G850" s="113"/>
      <c r="H850" s="113"/>
      <c r="I850" s="113"/>
      <c r="J850" s="113"/>
      <c r="K850" s="113"/>
      <c r="L850" s="113"/>
      <c r="M850" s="113"/>
      <c r="N850" s="113"/>
      <c r="O850" s="124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</row>
    <row x14ac:dyDescent="0.25" r="851" customHeight="1" ht="15.75">
      <c r="A851" s="123"/>
      <c r="B851" s="123"/>
      <c r="C851" s="124"/>
      <c r="D851" s="124"/>
      <c r="E851" s="124"/>
      <c r="F851" s="113"/>
      <c r="G851" s="113"/>
      <c r="H851" s="113"/>
      <c r="I851" s="113"/>
      <c r="J851" s="113"/>
      <c r="K851" s="113"/>
      <c r="L851" s="113"/>
      <c r="M851" s="113"/>
      <c r="N851" s="113"/>
      <c r="O851" s="124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</row>
    <row x14ac:dyDescent="0.25" r="852" customHeight="1" ht="15.75">
      <c r="A852" s="123"/>
      <c r="B852" s="123"/>
      <c r="C852" s="124"/>
      <c r="D852" s="124"/>
      <c r="E852" s="124"/>
      <c r="F852" s="113"/>
      <c r="G852" s="113"/>
      <c r="H852" s="113"/>
      <c r="I852" s="113"/>
      <c r="J852" s="113"/>
      <c r="K852" s="113"/>
      <c r="L852" s="113"/>
      <c r="M852" s="113"/>
      <c r="N852" s="113"/>
      <c r="O852" s="124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</row>
    <row x14ac:dyDescent="0.25" r="853" customHeight="1" ht="15.75">
      <c r="A853" s="123"/>
      <c r="B853" s="123"/>
      <c r="C853" s="124"/>
      <c r="D853" s="124"/>
      <c r="E853" s="124"/>
      <c r="F853" s="113"/>
      <c r="G853" s="113"/>
      <c r="H853" s="113"/>
      <c r="I853" s="113"/>
      <c r="J853" s="113"/>
      <c r="K853" s="113"/>
      <c r="L853" s="113"/>
      <c r="M853" s="113"/>
      <c r="N853" s="113"/>
      <c r="O853" s="124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</row>
    <row x14ac:dyDescent="0.25" r="854" customHeight="1" ht="15.75">
      <c r="A854" s="123"/>
      <c r="B854" s="123"/>
      <c r="C854" s="124"/>
      <c r="D854" s="124"/>
      <c r="E854" s="124"/>
      <c r="F854" s="113"/>
      <c r="G854" s="113"/>
      <c r="H854" s="113"/>
      <c r="I854" s="113"/>
      <c r="J854" s="113"/>
      <c r="K854" s="113"/>
      <c r="L854" s="113"/>
      <c r="M854" s="113"/>
      <c r="N854" s="113"/>
      <c r="O854" s="124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</row>
    <row x14ac:dyDescent="0.25" r="855" customHeight="1" ht="15.75">
      <c r="A855" s="123"/>
      <c r="B855" s="123"/>
      <c r="C855" s="124"/>
      <c r="D855" s="124"/>
      <c r="E855" s="124"/>
      <c r="F855" s="113"/>
      <c r="G855" s="113"/>
      <c r="H855" s="113"/>
      <c r="I855" s="113"/>
      <c r="J855" s="113"/>
      <c r="K855" s="113"/>
      <c r="L855" s="113"/>
      <c r="M855" s="113"/>
      <c r="N855" s="113"/>
      <c r="O855" s="124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</row>
    <row x14ac:dyDescent="0.25" r="856" customHeight="1" ht="15.75">
      <c r="A856" s="123"/>
      <c r="B856" s="123"/>
      <c r="C856" s="124"/>
      <c r="D856" s="124"/>
      <c r="E856" s="124"/>
      <c r="F856" s="113"/>
      <c r="G856" s="113"/>
      <c r="H856" s="113"/>
      <c r="I856" s="113"/>
      <c r="J856" s="113"/>
      <c r="K856" s="113"/>
      <c r="L856" s="113"/>
      <c r="M856" s="113"/>
      <c r="N856" s="113"/>
      <c r="O856" s="124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</row>
    <row x14ac:dyDescent="0.25" r="857" customHeight="1" ht="15.75">
      <c r="A857" s="123"/>
      <c r="B857" s="123"/>
      <c r="C857" s="124"/>
      <c r="D857" s="124"/>
      <c r="E857" s="124"/>
      <c r="F857" s="113"/>
      <c r="G857" s="113"/>
      <c r="H857" s="113"/>
      <c r="I857" s="113"/>
      <c r="J857" s="113"/>
      <c r="K857" s="113"/>
      <c r="L857" s="113"/>
      <c r="M857" s="113"/>
      <c r="N857" s="113"/>
      <c r="O857" s="124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</row>
    <row x14ac:dyDescent="0.25" r="858" customHeight="1" ht="15.75">
      <c r="A858" s="123"/>
      <c r="B858" s="123"/>
      <c r="C858" s="124"/>
      <c r="D858" s="124"/>
      <c r="E858" s="124"/>
      <c r="F858" s="113"/>
      <c r="G858" s="113"/>
      <c r="H858" s="113"/>
      <c r="I858" s="113"/>
      <c r="J858" s="113"/>
      <c r="K858" s="113"/>
      <c r="L858" s="113"/>
      <c r="M858" s="113"/>
      <c r="N858" s="113"/>
      <c r="O858" s="124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</row>
    <row x14ac:dyDescent="0.25" r="859" customHeight="1" ht="15.75">
      <c r="A859" s="123"/>
      <c r="B859" s="123"/>
      <c r="C859" s="124"/>
      <c r="D859" s="124"/>
      <c r="E859" s="124"/>
      <c r="F859" s="113"/>
      <c r="G859" s="113"/>
      <c r="H859" s="113"/>
      <c r="I859" s="113"/>
      <c r="J859" s="113"/>
      <c r="K859" s="113"/>
      <c r="L859" s="113"/>
      <c r="M859" s="113"/>
      <c r="N859" s="113"/>
      <c r="O859" s="124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</row>
    <row x14ac:dyDescent="0.25" r="860" customHeight="1" ht="15.75">
      <c r="A860" s="123"/>
      <c r="B860" s="123"/>
      <c r="C860" s="124"/>
      <c r="D860" s="124"/>
      <c r="E860" s="124"/>
      <c r="F860" s="113"/>
      <c r="G860" s="113"/>
      <c r="H860" s="113"/>
      <c r="I860" s="113"/>
      <c r="J860" s="113"/>
      <c r="K860" s="113"/>
      <c r="L860" s="113"/>
      <c r="M860" s="113"/>
      <c r="N860" s="113"/>
      <c r="O860" s="124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</row>
    <row x14ac:dyDescent="0.25" r="861" customHeight="1" ht="15.75">
      <c r="A861" s="123"/>
      <c r="B861" s="123"/>
      <c r="C861" s="124"/>
      <c r="D861" s="124"/>
      <c r="E861" s="124"/>
      <c r="F861" s="113"/>
      <c r="G861" s="113"/>
      <c r="H861" s="113"/>
      <c r="I861" s="113"/>
      <c r="J861" s="113"/>
      <c r="K861" s="113"/>
      <c r="L861" s="113"/>
      <c r="M861" s="113"/>
      <c r="N861" s="113"/>
      <c r="O861" s="124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</row>
    <row x14ac:dyDescent="0.25" r="862" customHeight="1" ht="15.75">
      <c r="A862" s="123"/>
      <c r="B862" s="123"/>
      <c r="C862" s="124"/>
      <c r="D862" s="124"/>
      <c r="E862" s="124"/>
      <c r="F862" s="113"/>
      <c r="G862" s="113"/>
      <c r="H862" s="113"/>
      <c r="I862" s="113"/>
      <c r="J862" s="113"/>
      <c r="K862" s="113"/>
      <c r="L862" s="113"/>
      <c r="M862" s="113"/>
      <c r="N862" s="113"/>
      <c r="O862" s="124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</row>
    <row x14ac:dyDescent="0.25" r="863" customHeight="1" ht="15.75">
      <c r="A863" s="123"/>
      <c r="B863" s="123"/>
      <c r="C863" s="124"/>
      <c r="D863" s="124"/>
      <c r="E863" s="124"/>
      <c r="F863" s="113"/>
      <c r="G863" s="113"/>
      <c r="H863" s="113"/>
      <c r="I863" s="113"/>
      <c r="J863" s="113"/>
      <c r="K863" s="113"/>
      <c r="L863" s="113"/>
      <c r="M863" s="113"/>
      <c r="N863" s="113"/>
      <c r="O863" s="124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</row>
    <row x14ac:dyDescent="0.25" r="864" customHeight="1" ht="15.75">
      <c r="A864" s="123"/>
      <c r="B864" s="123"/>
      <c r="C864" s="124"/>
      <c r="D864" s="124"/>
      <c r="E864" s="124"/>
      <c r="F864" s="113"/>
      <c r="G864" s="113"/>
      <c r="H864" s="113"/>
      <c r="I864" s="113"/>
      <c r="J864" s="113"/>
      <c r="K864" s="113"/>
      <c r="L864" s="113"/>
      <c r="M864" s="113"/>
      <c r="N864" s="113"/>
      <c r="O864" s="124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</row>
    <row x14ac:dyDescent="0.25" r="865" customHeight="1" ht="15.75">
      <c r="A865" s="123"/>
      <c r="B865" s="123"/>
      <c r="C865" s="124"/>
      <c r="D865" s="124"/>
      <c r="E865" s="124"/>
      <c r="F865" s="113"/>
      <c r="G865" s="113"/>
      <c r="H865" s="113"/>
      <c r="I865" s="113"/>
      <c r="J865" s="113"/>
      <c r="K865" s="113"/>
      <c r="L865" s="113"/>
      <c r="M865" s="113"/>
      <c r="N865" s="113"/>
      <c r="O865" s="124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</row>
    <row x14ac:dyDescent="0.25" r="866" customHeight="1" ht="15.75">
      <c r="A866" s="123"/>
      <c r="B866" s="123"/>
      <c r="C866" s="124"/>
      <c r="D866" s="124"/>
      <c r="E866" s="124"/>
      <c r="F866" s="113"/>
      <c r="G866" s="113"/>
      <c r="H866" s="113"/>
      <c r="I866" s="113"/>
      <c r="J866" s="113"/>
      <c r="K866" s="113"/>
      <c r="L866" s="113"/>
      <c r="M866" s="113"/>
      <c r="N866" s="113"/>
      <c r="O866" s="124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</row>
    <row x14ac:dyDescent="0.25" r="867" customHeight="1" ht="15.75">
      <c r="A867" s="123"/>
      <c r="B867" s="123"/>
      <c r="C867" s="124"/>
      <c r="D867" s="124"/>
      <c r="E867" s="124"/>
      <c r="F867" s="113"/>
      <c r="G867" s="113"/>
      <c r="H867" s="113"/>
      <c r="I867" s="113"/>
      <c r="J867" s="113"/>
      <c r="K867" s="113"/>
      <c r="L867" s="113"/>
      <c r="M867" s="113"/>
      <c r="N867" s="113"/>
      <c r="O867" s="124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</row>
    <row x14ac:dyDescent="0.25" r="868" customHeight="1" ht="15.75">
      <c r="A868" s="123"/>
      <c r="B868" s="123"/>
      <c r="C868" s="124"/>
      <c r="D868" s="124"/>
      <c r="E868" s="124"/>
      <c r="F868" s="113"/>
      <c r="G868" s="113"/>
      <c r="H868" s="113"/>
      <c r="I868" s="113"/>
      <c r="J868" s="113"/>
      <c r="K868" s="113"/>
      <c r="L868" s="113"/>
      <c r="M868" s="113"/>
      <c r="N868" s="113"/>
      <c r="O868" s="124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</row>
    <row x14ac:dyDescent="0.25" r="869" customHeight="1" ht="15.75">
      <c r="A869" s="123"/>
      <c r="B869" s="123"/>
      <c r="C869" s="124"/>
      <c r="D869" s="124"/>
      <c r="E869" s="124"/>
      <c r="F869" s="113"/>
      <c r="G869" s="113"/>
      <c r="H869" s="113"/>
      <c r="I869" s="113"/>
      <c r="J869" s="113"/>
      <c r="K869" s="113"/>
      <c r="L869" s="113"/>
      <c r="M869" s="113"/>
      <c r="N869" s="113"/>
      <c r="O869" s="124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</row>
    <row x14ac:dyDescent="0.25" r="870" customHeight="1" ht="15.75">
      <c r="A870" s="123"/>
      <c r="B870" s="123"/>
      <c r="C870" s="124"/>
      <c r="D870" s="124"/>
      <c r="E870" s="124"/>
      <c r="F870" s="113"/>
      <c r="G870" s="113"/>
      <c r="H870" s="113"/>
      <c r="I870" s="113"/>
      <c r="J870" s="113"/>
      <c r="K870" s="113"/>
      <c r="L870" s="113"/>
      <c r="M870" s="113"/>
      <c r="N870" s="113"/>
      <c r="O870" s="124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</row>
    <row x14ac:dyDescent="0.25" r="871" customHeight="1" ht="15.75">
      <c r="A871" s="123"/>
      <c r="B871" s="123"/>
      <c r="C871" s="124"/>
      <c r="D871" s="124"/>
      <c r="E871" s="124"/>
      <c r="F871" s="113"/>
      <c r="G871" s="113"/>
      <c r="H871" s="113"/>
      <c r="I871" s="113"/>
      <c r="J871" s="113"/>
      <c r="K871" s="113"/>
      <c r="L871" s="113"/>
      <c r="M871" s="113"/>
      <c r="N871" s="113"/>
      <c r="O871" s="124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</row>
    <row x14ac:dyDescent="0.25" r="872" customHeight="1" ht="15.75">
      <c r="A872" s="123"/>
      <c r="B872" s="123"/>
      <c r="C872" s="124"/>
      <c r="D872" s="124"/>
      <c r="E872" s="124"/>
      <c r="F872" s="113"/>
      <c r="G872" s="113"/>
      <c r="H872" s="113"/>
      <c r="I872" s="113"/>
      <c r="J872" s="113"/>
      <c r="K872" s="113"/>
      <c r="L872" s="113"/>
      <c r="M872" s="113"/>
      <c r="N872" s="113"/>
      <c r="O872" s="124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</row>
    <row x14ac:dyDescent="0.25" r="873" customHeight="1" ht="15.75">
      <c r="A873" s="123"/>
      <c r="B873" s="123"/>
      <c r="C873" s="124"/>
      <c r="D873" s="124"/>
      <c r="E873" s="124"/>
      <c r="F873" s="113"/>
      <c r="G873" s="113"/>
      <c r="H873" s="113"/>
      <c r="I873" s="113"/>
      <c r="J873" s="113"/>
      <c r="K873" s="113"/>
      <c r="L873" s="113"/>
      <c r="M873" s="113"/>
      <c r="N873" s="113"/>
      <c r="O873" s="124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</row>
    <row x14ac:dyDescent="0.25" r="874" customHeight="1" ht="15.75">
      <c r="A874" s="123"/>
      <c r="B874" s="123"/>
      <c r="C874" s="124"/>
      <c r="D874" s="124"/>
      <c r="E874" s="124"/>
      <c r="F874" s="113"/>
      <c r="G874" s="113"/>
      <c r="H874" s="113"/>
      <c r="I874" s="113"/>
      <c r="J874" s="113"/>
      <c r="K874" s="113"/>
      <c r="L874" s="113"/>
      <c r="M874" s="113"/>
      <c r="N874" s="113"/>
      <c r="O874" s="124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</row>
    <row x14ac:dyDescent="0.25" r="875" customHeight="1" ht="15.75">
      <c r="A875" s="123"/>
      <c r="B875" s="123"/>
      <c r="C875" s="124"/>
      <c r="D875" s="124"/>
      <c r="E875" s="124"/>
      <c r="F875" s="113"/>
      <c r="G875" s="113"/>
      <c r="H875" s="113"/>
      <c r="I875" s="113"/>
      <c r="J875" s="113"/>
      <c r="K875" s="113"/>
      <c r="L875" s="113"/>
      <c r="M875" s="113"/>
      <c r="N875" s="113"/>
      <c r="O875" s="124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</row>
    <row x14ac:dyDescent="0.25" r="876" customHeight="1" ht="15.75">
      <c r="A876" s="123"/>
      <c r="B876" s="123"/>
      <c r="C876" s="124"/>
      <c r="D876" s="124"/>
      <c r="E876" s="124"/>
      <c r="F876" s="113"/>
      <c r="G876" s="113"/>
      <c r="H876" s="113"/>
      <c r="I876" s="113"/>
      <c r="J876" s="113"/>
      <c r="K876" s="113"/>
      <c r="L876" s="113"/>
      <c r="M876" s="113"/>
      <c r="N876" s="113"/>
      <c r="O876" s="124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</row>
    <row x14ac:dyDescent="0.25" r="877" customHeight="1" ht="15.75">
      <c r="A877" s="123"/>
      <c r="B877" s="123"/>
      <c r="C877" s="124"/>
      <c r="D877" s="124"/>
      <c r="E877" s="124"/>
      <c r="F877" s="113"/>
      <c r="G877" s="113"/>
      <c r="H877" s="113"/>
      <c r="I877" s="113"/>
      <c r="J877" s="113"/>
      <c r="K877" s="113"/>
      <c r="L877" s="113"/>
      <c r="M877" s="113"/>
      <c r="N877" s="113"/>
      <c r="O877" s="124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</row>
    <row x14ac:dyDescent="0.25" r="878" customHeight="1" ht="15.75">
      <c r="A878" s="123"/>
      <c r="B878" s="123"/>
      <c r="C878" s="124"/>
      <c r="D878" s="124"/>
      <c r="E878" s="124"/>
      <c r="F878" s="113"/>
      <c r="G878" s="113"/>
      <c r="H878" s="113"/>
      <c r="I878" s="113"/>
      <c r="J878" s="113"/>
      <c r="K878" s="113"/>
      <c r="L878" s="113"/>
      <c r="M878" s="113"/>
      <c r="N878" s="113"/>
      <c r="O878" s="124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</row>
    <row x14ac:dyDescent="0.25" r="879" customHeight="1" ht="15.75">
      <c r="A879" s="123"/>
      <c r="B879" s="123"/>
      <c r="C879" s="124"/>
      <c r="D879" s="124"/>
      <c r="E879" s="124"/>
      <c r="F879" s="113"/>
      <c r="G879" s="113"/>
      <c r="H879" s="113"/>
      <c r="I879" s="113"/>
      <c r="J879" s="113"/>
      <c r="K879" s="113"/>
      <c r="L879" s="113"/>
      <c r="M879" s="113"/>
      <c r="N879" s="113"/>
      <c r="O879" s="124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</row>
    <row x14ac:dyDescent="0.25" r="880" customHeight="1" ht="15.75">
      <c r="A880" s="123"/>
      <c r="B880" s="123"/>
      <c r="C880" s="124"/>
      <c r="D880" s="124"/>
      <c r="E880" s="124"/>
      <c r="F880" s="113"/>
      <c r="G880" s="113"/>
      <c r="H880" s="113"/>
      <c r="I880" s="113"/>
      <c r="J880" s="113"/>
      <c r="K880" s="113"/>
      <c r="L880" s="113"/>
      <c r="M880" s="113"/>
      <c r="N880" s="113"/>
      <c r="O880" s="124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</row>
    <row x14ac:dyDescent="0.25" r="881" customHeight="1" ht="15.75">
      <c r="A881" s="123"/>
      <c r="B881" s="123"/>
      <c r="C881" s="124"/>
      <c r="D881" s="124"/>
      <c r="E881" s="124"/>
      <c r="F881" s="113"/>
      <c r="G881" s="113"/>
      <c r="H881" s="113"/>
      <c r="I881" s="113"/>
      <c r="J881" s="113"/>
      <c r="K881" s="113"/>
      <c r="L881" s="113"/>
      <c r="M881" s="113"/>
      <c r="N881" s="113"/>
      <c r="O881" s="124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</row>
    <row x14ac:dyDescent="0.25" r="882" customHeight="1" ht="15.75">
      <c r="A882" s="123"/>
      <c r="B882" s="123"/>
      <c r="C882" s="124"/>
      <c r="D882" s="124"/>
      <c r="E882" s="124"/>
      <c r="F882" s="113"/>
      <c r="G882" s="113"/>
      <c r="H882" s="113"/>
      <c r="I882" s="113"/>
      <c r="J882" s="113"/>
      <c r="K882" s="113"/>
      <c r="L882" s="113"/>
      <c r="M882" s="113"/>
      <c r="N882" s="113"/>
      <c r="O882" s="124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</row>
    <row x14ac:dyDescent="0.25" r="883" customHeight="1" ht="15.75">
      <c r="A883" s="123"/>
      <c r="B883" s="123"/>
      <c r="C883" s="124"/>
      <c r="D883" s="124"/>
      <c r="E883" s="124"/>
      <c r="F883" s="113"/>
      <c r="G883" s="113"/>
      <c r="H883" s="113"/>
      <c r="I883" s="113"/>
      <c r="J883" s="113"/>
      <c r="K883" s="113"/>
      <c r="L883" s="113"/>
      <c r="M883" s="113"/>
      <c r="N883" s="113"/>
      <c r="O883" s="124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</row>
    <row x14ac:dyDescent="0.25" r="884" customHeight="1" ht="15.75">
      <c r="A884" s="123"/>
      <c r="B884" s="123"/>
      <c r="C884" s="124"/>
      <c r="D884" s="124"/>
      <c r="E884" s="124"/>
      <c r="F884" s="113"/>
      <c r="G884" s="113"/>
      <c r="H884" s="113"/>
      <c r="I884" s="113"/>
      <c r="J884" s="113"/>
      <c r="K884" s="113"/>
      <c r="L884" s="113"/>
      <c r="M884" s="113"/>
      <c r="N884" s="113"/>
      <c r="O884" s="124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</row>
    <row x14ac:dyDescent="0.25" r="885" customHeight="1" ht="15.75">
      <c r="A885" s="123"/>
      <c r="B885" s="123"/>
      <c r="C885" s="124"/>
      <c r="D885" s="124"/>
      <c r="E885" s="124"/>
      <c r="F885" s="113"/>
      <c r="G885" s="113"/>
      <c r="H885" s="113"/>
      <c r="I885" s="113"/>
      <c r="J885" s="113"/>
      <c r="K885" s="113"/>
      <c r="L885" s="113"/>
      <c r="M885" s="113"/>
      <c r="N885" s="113"/>
      <c r="O885" s="124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</row>
    <row x14ac:dyDescent="0.25" r="886" customHeight="1" ht="15.75">
      <c r="A886" s="123"/>
      <c r="B886" s="123"/>
      <c r="C886" s="124"/>
      <c r="D886" s="124"/>
      <c r="E886" s="124"/>
      <c r="F886" s="113"/>
      <c r="G886" s="113"/>
      <c r="H886" s="113"/>
      <c r="I886" s="113"/>
      <c r="J886" s="113"/>
      <c r="K886" s="113"/>
      <c r="L886" s="113"/>
      <c r="M886" s="113"/>
      <c r="N886" s="113"/>
      <c r="O886" s="124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</row>
    <row x14ac:dyDescent="0.25" r="887" customHeight="1" ht="15.75">
      <c r="A887" s="123"/>
      <c r="B887" s="123"/>
      <c r="C887" s="124"/>
      <c r="D887" s="124"/>
      <c r="E887" s="124"/>
      <c r="F887" s="113"/>
      <c r="G887" s="113"/>
      <c r="H887" s="113"/>
      <c r="I887" s="113"/>
      <c r="J887" s="113"/>
      <c r="K887" s="113"/>
      <c r="L887" s="113"/>
      <c r="M887" s="113"/>
      <c r="N887" s="113"/>
      <c r="O887" s="124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</row>
    <row x14ac:dyDescent="0.25" r="888" customHeight="1" ht="15.75">
      <c r="A888" s="123"/>
      <c r="B888" s="123"/>
      <c r="C888" s="124"/>
      <c r="D888" s="124"/>
      <c r="E888" s="124"/>
      <c r="F888" s="113"/>
      <c r="G888" s="113"/>
      <c r="H888" s="113"/>
      <c r="I888" s="113"/>
      <c r="J888" s="113"/>
      <c r="K888" s="113"/>
      <c r="L888" s="113"/>
      <c r="M888" s="113"/>
      <c r="N888" s="113"/>
      <c r="O888" s="124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</row>
    <row x14ac:dyDescent="0.25" r="889" customHeight="1" ht="15.75">
      <c r="A889" s="123"/>
      <c r="B889" s="123"/>
      <c r="C889" s="124"/>
      <c r="D889" s="124"/>
      <c r="E889" s="124"/>
      <c r="F889" s="113"/>
      <c r="G889" s="113"/>
      <c r="H889" s="113"/>
      <c r="I889" s="113"/>
      <c r="J889" s="113"/>
      <c r="K889" s="113"/>
      <c r="L889" s="113"/>
      <c r="M889" s="113"/>
      <c r="N889" s="113"/>
      <c r="O889" s="124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</row>
    <row x14ac:dyDescent="0.25" r="890" customHeight="1" ht="15.75">
      <c r="A890" s="123"/>
      <c r="B890" s="123"/>
      <c r="C890" s="124"/>
      <c r="D890" s="124"/>
      <c r="E890" s="124"/>
      <c r="F890" s="113"/>
      <c r="G890" s="113"/>
      <c r="H890" s="113"/>
      <c r="I890" s="113"/>
      <c r="J890" s="113"/>
      <c r="K890" s="113"/>
      <c r="L890" s="113"/>
      <c r="M890" s="113"/>
      <c r="N890" s="113"/>
      <c r="O890" s="124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</row>
    <row x14ac:dyDescent="0.25" r="891" customHeight="1" ht="15.75">
      <c r="A891" s="123"/>
      <c r="B891" s="123"/>
      <c r="C891" s="124"/>
      <c r="D891" s="124"/>
      <c r="E891" s="124"/>
      <c r="F891" s="113"/>
      <c r="G891" s="113"/>
      <c r="H891" s="113"/>
      <c r="I891" s="113"/>
      <c r="J891" s="113"/>
      <c r="K891" s="113"/>
      <c r="L891" s="113"/>
      <c r="M891" s="113"/>
      <c r="N891" s="113"/>
      <c r="O891" s="124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</row>
    <row x14ac:dyDescent="0.25" r="892" customHeight="1" ht="15.75">
      <c r="A892" s="123"/>
      <c r="B892" s="123"/>
      <c r="C892" s="124"/>
      <c r="D892" s="124"/>
      <c r="E892" s="124"/>
      <c r="F892" s="113"/>
      <c r="G892" s="113"/>
      <c r="H892" s="113"/>
      <c r="I892" s="113"/>
      <c r="J892" s="113"/>
      <c r="K892" s="113"/>
      <c r="L892" s="113"/>
      <c r="M892" s="113"/>
      <c r="N892" s="113"/>
      <c r="O892" s="124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</row>
    <row x14ac:dyDescent="0.25" r="893" customHeight="1" ht="15.75">
      <c r="A893" s="123"/>
      <c r="B893" s="123"/>
      <c r="C893" s="124"/>
      <c r="D893" s="124"/>
      <c r="E893" s="124"/>
      <c r="F893" s="113"/>
      <c r="G893" s="113"/>
      <c r="H893" s="113"/>
      <c r="I893" s="113"/>
      <c r="J893" s="113"/>
      <c r="K893" s="113"/>
      <c r="L893" s="113"/>
      <c r="M893" s="113"/>
      <c r="N893" s="113"/>
      <c r="O893" s="124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</row>
    <row x14ac:dyDescent="0.25" r="894" customHeight="1" ht="15.75">
      <c r="A894" s="123"/>
      <c r="B894" s="123"/>
      <c r="C894" s="124"/>
      <c r="D894" s="124"/>
      <c r="E894" s="124"/>
      <c r="F894" s="113"/>
      <c r="G894" s="113"/>
      <c r="H894" s="113"/>
      <c r="I894" s="113"/>
      <c r="J894" s="113"/>
      <c r="K894" s="113"/>
      <c r="L894" s="113"/>
      <c r="M894" s="113"/>
      <c r="N894" s="113"/>
      <c r="O894" s="124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</row>
    <row x14ac:dyDescent="0.25" r="895" customHeight="1" ht="15.75">
      <c r="A895" s="123"/>
      <c r="B895" s="123"/>
      <c r="C895" s="124"/>
      <c r="D895" s="124"/>
      <c r="E895" s="124"/>
      <c r="F895" s="113"/>
      <c r="G895" s="113"/>
      <c r="H895" s="113"/>
      <c r="I895" s="113"/>
      <c r="J895" s="113"/>
      <c r="K895" s="113"/>
      <c r="L895" s="113"/>
      <c r="M895" s="113"/>
      <c r="N895" s="113"/>
      <c r="O895" s="124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</row>
    <row x14ac:dyDescent="0.25" r="896" customHeight="1" ht="15.75">
      <c r="A896" s="123"/>
      <c r="B896" s="123"/>
      <c r="C896" s="124"/>
      <c r="D896" s="124"/>
      <c r="E896" s="124"/>
      <c r="F896" s="113"/>
      <c r="G896" s="113"/>
      <c r="H896" s="113"/>
      <c r="I896" s="113"/>
      <c r="J896" s="113"/>
      <c r="K896" s="113"/>
      <c r="L896" s="113"/>
      <c r="M896" s="113"/>
      <c r="N896" s="113"/>
      <c r="O896" s="124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</row>
    <row x14ac:dyDescent="0.25" r="897" customHeight="1" ht="15.75">
      <c r="A897" s="123"/>
      <c r="B897" s="123"/>
      <c r="C897" s="124"/>
      <c r="D897" s="124"/>
      <c r="E897" s="124"/>
      <c r="F897" s="113"/>
      <c r="G897" s="113"/>
      <c r="H897" s="113"/>
      <c r="I897" s="113"/>
      <c r="J897" s="113"/>
      <c r="K897" s="113"/>
      <c r="L897" s="113"/>
      <c r="M897" s="113"/>
      <c r="N897" s="113"/>
      <c r="O897" s="124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</row>
    <row x14ac:dyDescent="0.25" r="898" customHeight="1" ht="15.75">
      <c r="A898" s="123"/>
      <c r="B898" s="123"/>
      <c r="C898" s="124"/>
      <c r="D898" s="124"/>
      <c r="E898" s="124"/>
      <c r="F898" s="113"/>
      <c r="G898" s="113"/>
      <c r="H898" s="113"/>
      <c r="I898" s="113"/>
      <c r="J898" s="113"/>
      <c r="K898" s="113"/>
      <c r="L898" s="113"/>
      <c r="M898" s="113"/>
      <c r="N898" s="113"/>
      <c r="O898" s="124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</row>
    <row x14ac:dyDescent="0.25" r="899" customHeight="1" ht="15.75">
      <c r="A899" s="123"/>
      <c r="B899" s="123"/>
      <c r="C899" s="124"/>
      <c r="D899" s="124"/>
      <c r="E899" s="124"/>
      <c r="F899" s="113"/>
      <c r="G899" s="113"/>
      <c r="H899" s="113"/>
      <c r="I899" s="113"/>
      <c r="J899" s="113"/>
      <c r="K899" s="113"/>
      <c r="L899" s="113"/>
      <c r="M899" s="113"/>
      <c r="N899" s="113"/>
      <c r="O899" s="124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</row>
    <row x14ac:dyDescent="0.25" r="900" customHeight="1" ht="15.75">
      <c r="A900" s="123"/>
      <c r="B900" s="123"/>
      <c r="C900" s="124"/>
      <c r="D900" s="124"/>
      <c r="E900" s="124"/>
      <c r="F900" s="113"/>
      <c r="G900" s="113"/>
      <c r="H900" s="113"/>
      <c r="I900" s="113"/>
      <c r="J900" s="113"/>
      <c r="K900" s="113"/>
      <c r="L900" s="113"/>
      <c r="M900" s="113"/>
      <c r="N900" s="113"/>
      <c r="O900" s="124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</row>
    <row x14ac:dyDescent="0.25" r="901" customHeight="1" ht="15.75">
      <c r="A901" s="123"/>
      <c r="B901" s="123"/>
      <c r="C901" s="124"/>
      <c r="D901" s="124"/>
      <c r="E901" s="124"/>
      <c r="F901" s="113"/>
      <c r="G901" s="113"/>
      <c r="H901" s="113"/>
      <c r="I901" s="113"/>
      <c r="J901" s="113"/>
      <c r="K901" s="113"/>
      <c r="L901" s="113"/>
      <c r="M901" s="113"/>
      <c r="N901" s="113"/>
      <c r="O901" s="124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</row>
    <row x14ac:dyDescent="0.25" r="902" customHeight="1" ht="15.75">
      <c r="A902" s="123"/>
      <c r="B902" s="123"/>
      <c r="C902" s="124"/>
      <c r="D902" s="124"/>
      <c r="E902" s="124"/>
      <c r="F902" s="113"/>
      <c r="G902" s="113"/>
      <c r="H902" s="113"/>
      <c r="I902" s="113"/>
      <c r="J902" s="113"/>
      <c r="K902" s="113"/>
      <c r="L902" s="113"/>
      <c r="M902" s="113"/>
      <c r="N902" s="113"/>
      <c r="O902" s="124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</row>
    <row x14ac:dyDescent="0.25" r="903" customHeight="1" ht="15.75">
      <c r="A903" s="123"/>
      <c r="B903" s="123"/>
      <c r="C903" s="124"/>
      <c r="D903" s="124"/>
      <c r="E903" s="124"/>
      <c r="F903" s="113"/>
      <c r="G903" s="113"/>
      <c r="H903" s="113"/>
      <c r="I903" s="113"/>
      <c r="J903" s="113"/>
      <c r="K903" s="113"/>
      <c r="L903" s="113"/>
      <c r="M903" s="113"/>
      <c r="N903" s="113"/>
      <c r="O903" s="124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</row>
    <row x14ac:dyDescent="0.25" r="904" customHeight="1" ht="15.75">
      <c r="A904" s="123"/>
      <c r="B904" s="123"/>
      <c r="C904" s="124"/>
      <c r="D904" s="124"/>
      <c r="E904" s="124"/>
      <c r="F904" s="113"/>
      <c r="G904" s="113"/>
      <c r="H904" s="113"/>
      <c r="I904" s="113"/>
      <c r="J904" s="113"/>
      <c r="K904" s="113"/>
      <c r="L904" s="113"/>
      <c r="M904" s="113"/>
      <c r="N904" s="113"/>
      <c r="O904" s="124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</row>
    <row x14ac:dyDescent="0.25" r="905" customHeight="1" ht="15.75">
      <c r="A905" s="123"/>
      <c r="B905" s="123"/>
      <c r="C905" s="124"/>
      <c r="D905" s="124"/>
      <c r="E905" s="124"/>
      <c r="F905" s="113"/>
      <c r="G905" s="113"/>
      <c r="H905" s="113"/>
      <c r="I905" s="113"/>
      <c r="J905" s="113"/>
      <c r="K905" s="113"/>
      <c r="L905" s="113"/>
      <c r="M905" s="113"/>
      <c r="N905" s="113"/>
      <c r="O905" s="124"/>
      <c r="P905" s="113"/>
      <c r="Q905" s="113"/>
      <c r="R905" s="113"/>
      <c r="S905" s="113"/>
      <c r="T905" s="113"/>
      <c r="U905" s="113"/>
      <c r="V905" s="113"/>
      <c r="W905" s="113"/>
      <c r="X905" s="113"/>
      <c r="Y905" s="113"/>
      <c r="Z905" s="113"/>
    </row>
    <row x14ac:dyDescent="0.25" r="906" customHeight="1" ht="15.75">
      <c r="A906" s="123"/>
      <c r="B906" s="123"/>
      <c r="C906" s="124"/>
      <c r="D906" s="124"/>
      <c r="E906" s="124"/>
      <c r="F906" s="113"/>
      <c r="G906" s="113"/>
      <c r="H906" s="113"/>
      <c r="I906" s="113"/>
      <c r="J906" s="113"/>
      <c r="K906" s="113"/>
      <c r="L906" s="113"/>
      <c r="M906" s="113"/>
      <c r="N906" s="113"/>
      <c r="O906" s="124"/>
      <c r="P906" s="113"/>
      <c r="Q906" s="113"/>
      <c r="R906" s="113"/>
      <c r="S906" s="113"/>
      <c r="T906" s="113"/>
      <c r="U906" s="113"/>
      <c r="V906" s="113"/>
      <c r="W906" s="113"/>
      <c r="X906" s="113"/>
      <c r="Y906" s="113"/>
      <c r="Z906" s="113"/>
    </row>
    <row x14ac:dyDescent="0.25" r="907" customHeight="1" ht="15.75">
      <c r="A907" s="123"/>
      <c r="B907" s="123"/>
      <c r="C907" s="124"/>
      <c r="D907" s="124"/>
      <c r="E907" s="124"/>
      <c r="F907" s="113"/>
      <c r="G907" s="113"/>
      <c r="H907" s="113"/>
      <c r="I907" s="113"/>
      <c r="J907" s="113"/>
      <c r="K907" s="113"/>
      <c r="L907" s="113"/>
      <c r="M907" s="113"/>
      <c r="N907" s="113"/>
      <c r="O907" s="124"/>
      <c r="P907" s="113"/>
      <c r="Q907" s="113"/>
      <c r="R907" s="113"/>
      <c r="S907" s="113"/>
      <c r="T907" s="113"/>
      <c r="U907" s="113"/>
      <c r="V907" s="113"/>
      <c r="W907" s="113"/>
      <c r="X907" s="113"/>
      <c r="Y907" s="113"/>
      <c r="Z907" s="113"/>
    </row>
    <row x14ac:dyDescent="0.25" r="908" customHeight="1" ht="15.75">
      <c r="A908" s="123"/>
      <c r="B908" s="123"/>
      <c r="C908" s="124"/>
      <c r="D908" s="124"/>
      <c r="E908" s="124"/>
      <c r="F908" s="113"/>
      <c r="G908" s="113"/>
      <c r="H908" s="113"/>
      <c r="I908" s="113"/>
      <c r="J908" s="113"/>
      <c r="K908" s="113"/>
      <c r="L908" s="113"/>
      <c r="M908" s="113"/>
      <c r="N908" s="113"/>
      <c r="O908" s="124"/>
      <c r="P908" s="113"/>
      <c r="Q908" s="113"/>
      <c r="R908" s="113"/>
      <c r="S908" s="113"/>
      <c r="T908" s="113"/>
      <c r="U908" s="113"/>
      <c r="V908" s="113"/>
      <c r="W908" s="113"/>
      <c r="X908" s="113"/>
      <c r="Y908" s="113"/>
      <c r="Z908" s="113"/>
    </row>
    <row x14ac:dyDescent="0.25" r="909" customHeight="1" ht="15.75">
      <c r="A909" s="123"/>
      <c r="B909" s="123"/>
      <c r="C909" s="124"/>
      <c r="D909" s="124"/>
      <c r="E909" s="124"/>
      <c r="F909" s="113"/>
      <c r="G909" s="113"/>
      <c r="H909" s="113"/>
      <c r="I909" s="113"/>
      <c r="J909" s="113"/>
      <c r="K909" s="113"/>
      <c r="L909" s="113"/>
      <c r="M909" s="113"/>
      <c r="N909" s="113"/>
      <c r="O909" s="124"/>
      <c r="P909" s="113"/>
      <c r="Q909" s="113"/>
      <c r="R909" s="113"/>
      <c r="S909" s="113"/>
      <c r="T909" s="113"/>
      <c r="U909" s="113"/>
      <c r="V909" s="113"/>
      <c r="W909" s="113"/>
      <c r="X909" s="113"/>
      <c r="Y909" s="113"/>
      <c r="Z909" s="113"/>
    </row>
    <row x14ac:dyDescent="0.25" r="910" customHeight="1" ht="15.75">
      <c r="A910" s="123"/>
      <c r="B910" s="123"/>
      <c r="C910" s="124"/>
      <c r="D910" s="124"/>
      <c r="E910" s="124"/>
      <c r="F910" s="113"/>
      <c r="G910" s="113"/>
      <c r="H910" s="113"/>
      <c r="I910" s="113"/>
      <c r="J910" s="113"/>
      <c r="K910" s="113"/>
      <c r="L910" s="113"/>
      <c r="M910" s="113"/>
      <c r="N910" s="113"/>
      <c r="O910" s="124"/>
      <c r="P910" s="113"/>
      <c r="Q910" s="113"/>
      <c r="R910" s="113"/>
      <c r="S910" s="113"/>
      <c r="T910" s="113"/>
      <c r="U910" s="113"/>
      <c r="V910" s="113"/>
      <c r="W910" s="113"/>
      <c r="X910" s="113"/>
      <c r="Y910" s="113"/>
      <c r="Z910" s="113"/>
    </row>
    <row x14ac:dyDescent="0.25" r="911" customHeight="1" ht="15.75">
      <c r="A911" s="123"/>
      <c r="B911" s="123"/>
      <c r="C911" s="124"/>
      <c r="D911" s="124"/>
      <c r="E911" s="124"/>
      <c r="F911" s="113"/>
      <c r="G911" s="113"/>
      <c r="H911" s="113"/>
      <c r="I911" s="113"/>
      <c r="J911" s="113"/>
      <c r="K911" s="113"/>
      <c r="L911" s="113"/>
      <c r="M911" s="113"/>
      <c r="N911" s="113"/>
      <c r="O911" s="124"/>
      <c r="P911" s="113"/>
      <c r="Q911" s="113"/>
      <c r="R911" s="113"/>
      <c r="S911" s="113"/>
      <c r="T911" s="113"/>
      <c r="U911" s="113"/>
      <c r="V911" s="113"/>
      <c r="W911" s="113"/>
      <c r="X911" s="113"/>
      <c r="Y911" s="113"/>
      <c r="Z911" s="113"/>
    </row>
    <row x14ac:dyDescent="0.25" r="912" customHeight="1" ht="15.75">
      <c r="A912" s="123"/>
      <c r="B912" s="123"/>
      <c r="C912" s="124"/>
      <c r="D912" s="124"/>
      <c r="E912" s="124"/>
      <c r="F912" s="113"/>
      <c r="G912" s="113"/>
      <c r="H912" s="113"/>
      <c r="I912" s="113"/>
      <c r="J912" s="113"/>
      <c r="K912" s="113"/>
      <c r="L912" s="113"/>
      <c r="M912" s="113"/>
      <c r="N912" s="113"/>
      <c r="O912" s="124"/>
      <c r="P912" s="113"/>
      <c r="Q912" s="113"/>
      <c r="R912" s="113"/>
      <c r="S912" s="113"/>
      <c r="T912" s="113"/>
      <c r="U912" s="113"/>
      <c r="V912" s="113"/>
      <c r="W912" s="113"/>
      <c r="X912" s="113"/>
      <c r="Y912" s="113"/>
      <c r="Z912" s="113"/>
    </row>
    <row x14ac:dyDescent="0.25" r="913" customHeight="1" ht="15.75">
      <c r="A913" s="123"/>
      <c r="B913" s="123"/>
      <c r="C913" s="124"/>
      <c r="D913" s="124"/>
      <c r="E913" s="124"/>
      <c r="F913" s="113"/>
      <c r="G913" s="113"/>
      <c r="H913" s="113"/>
      <c r="I913" s="113"/>
      <c r="J913" s="113"/>
      <c r="K913" s="113"/>
      <c r="L913" s="113"/>
      <c r="M913" s="113"/>
      <c r="N913" s="113"/>
      <c r="O913" s="124"/>
      <c r="P913" s="113"/>
      <c r="Q913" s="113"/>
      <c r="R913" s="113"/>
      <c r="S913" s="113"/>
      <c r="T913" s="113"/>
      <c r="U913" s="113"/>
      <c r="V913" s="113"/>
      <c r="W913" s="113"/>
      <c r="X913" s="113"/>
      <c r="Y913" s="113"/>
      <c r="Z913" s="113"/>
    </row>
    <row x14ac:dyDescent="0.25" r="914" customHeight="1" ht="15.75">
      <c r="A914" s="123"/>
      <c r="B914" s="123"/>
      <c r="C914" s="124"/>
      <c r="D914" s="124"/>
      <c r="E914" s="124"/>
      <c r="F914" s="113"/>
      <c r="G914" s="113"/>
      <c r="H914" s="113"/>
      <c r="I914" s="113"/>
      <c r="J914" s="113"/>
      <c r="K914" s="113"/>
      <c r="L914" s="113"/>
      <c r="M914" s="113"/>
      <c r="N914" s="113"/>
      <c r="O914" s="124"/>
      <c r="P914" s="113"/>
      <c r="Q914" s="113"/>
      <c r="R914" s="113"/>
      <c r="S914" s="113"/>
      <c r="T914" s="113"/>
      <c r="U914" s="113"/>
      <c r="V914" s="113"/>
      <c r="W914" s="113"/>
      <c r="X914" s="113"/>
      <c r="Y914" s="113"/>
      <c r="Z914" s="113"/>
    </row>
    <row x14ac:dyDescent="0.25" r="915" customHeight="1" ht="15.75">
      <c r="A915" s="123"/>
      <c r="B915" s="123"/>
      <c r="C915" s="124"/>
      <c r="D915" s="124"/>
      <c r="E915" s="124"/>
      <c r="F915" s="113"/>
      <c r="G915" s="113"/>
      <c r="H915" s="113"/>
      <c r="I915" s="113"/>
      <c r="J915" s="113"/>
      <c r="K915" s="113"/>
      <c r="L915" s="113"/>
      <c r="M915" s="113"/>
      <c r="N915" s="113"/>
      <c r="O915" s="124"/>
      <c r="P915" s="113"/>
      <c r="Q915" s="113"/>
      <c r="R915" s="113"/>
      <c r="S915" s="113"/>
      <c r="T915" s="113"/>
      <c r="U915" s="113"/>
      <c r="V915" s="113"/>
      <c r="W915" s="113"/>
      <c r="X915" s="113"/>
      <c r="Y915" s="113"/>
      <c r="Z915" s="113"/>
    </row>
    <row x14ac:dyDescent="0.25" r="916" customHeight="1" ht="15.75">
      <c r="A916" s="123"/>
      <c r="B916" s="123"/>
      <c r="C916" s="124"/>
      <c r="D916" s="124"/>
      <c r="E916" s="124"/>
      <c r="F916" s="113"/>
      <c r="G916" s="113"/>
      <c r="H916" s="113"/>
      <c r="I916" s="113"/>
      <c r="J916" s="113"/>
      <c r="K916" s="113"/>
      <c r="L916" s="113"/>
      <c r="M916" s="113"/>
      <c r="N916" s="113"/>
      <c r="O916" s="124"/>
      <c r="P916" s="113"/>
      <c r="Q916" s="113"/>
      <c r="R916" s="113"/>
      <c r="S916" s="113"/>
      <c r="T916" s="113"/>
      <c r="U916" s="113"/>
      <c r="V916" s="113"/>
      <c r="W916" s="113"/>
      <c r="X916" s="113"/>
      <c r="Y916" s="113"/>
      <c r="Z916" s="113"/>
    </row>
    <row x14ac:dyDescent="0.25" r="917" customHeight="1" ht="15.75">
      <c r="A917" s="123"/>
      <c r="B917" s="123"/>
      <c r="C917" s="124"/>
      <c r="D917" s="124"/>
      <c r="E917" s="124"/>
      <c r="F917" s="113"/>
      <c r="G917" s="113"/>
      <c r="H917" s="113"/>
      <c r="I917" s="113"/>
      <c r="J917" s="113"/>
      <c r="K917" s="113"/>
      <c r="L917" s="113"/>
      <c r="M917" s="113"/>
      <c r="N917" s="113"/>
      <c r="O917" s="124"/>
      <c r="P917" s="113"/>
      <c r="Q917" s="113"/>
      <c r="R917" s="113"/>
      <c r="S917" s="113"/>
      <c r="T917" s="113"/>
      <c r="U917" s="113"/>
      <c r="V917" s="113"/>
      <c r="W917" s="113"/>
      <c r="X917" s="113"/>
      <c r="Y917" s="113"/>
      <c r="Z917" s="113"/>
    </row>
    <row x14ac:dyDescent="0.25" r="918" customHeight="1" ht="15.75">
      <c r="A918" s="123"/>
      <c r="B918" s="123"/>
      <c r="C918" s="124"/>
      <c r="D918" s="124"/>
      <c r="E918" s="124"/>
      <c r="F918" s="113"/>
      <c r="G918" s="113"/>
      <c r="H918" s="113"/>
      <c r="I918" s="113"/>
      <c r="J918" s="113"/>
      <c r="K918" s="113"/>
      <c r="L918" s="113"/>
      <c r="M918" s="113"/>
      <c r="N918" s="113"/>
      <c r="O918" s="124"/>
      <c r="P918" s="113"/>
      <c r="Q918" s="113"/>
      <c r="R918" s="113"/>
      <c r="S918" s="113"/>
      <c r="T918" s="113"/>
      <c r="U918" s="113"/>
      <c r="V918" s="113"/>
      <c r="W918" s="113"/>
      <c r="X918" s="113"/>
      <c r="Y918" s="113"/>
      <c r="Z918" s="113"/>
    </row>
    <row x14ac:dyDescent="0.25" r="919" customHeight="1" ht="15.75">
      <c r="A919" s="123"/>
      <c r="B919" s="123"/>
      <c r="C919" s="124"/>
      <c r="D919" s="124"/>
      <c r="E919" s="124"/>
      <c r="F919" s="113"/>
      <c r="G919" s="113"/>
      <c r="H919" s="113"/>
      <c r="I919" s="113"/>
      <c r="J919" s="113"/>
      <c r="K919" s="113"/>
      <c r="L919" s="113"/>
      <c r="M919" s="113"/>
      <c r="N919" s="113"/>
      <c r="O919" s="124"/>
      <c r="P919" s="113"/>
      <c r="Q919" s="113"/>
      <c r="R919" s="113"/>
      <c r="S919" s="113"/>
      <c r="T919" s="113"/>
      <c r="U919" s="113"/>
      <c r="V919" s="113"/>
      <c r="W919" s="113"/>
      <c r="X919" s="113"/>
      <c r="Y919" s="113"/>
      <c r="Z919" s="113"/>
    </row>
    <row x14ac:dyDescent="0.25" r="920" customHeight="1" ht="15.75">
      <c r="A920" s="123"/>
      <c r="B920" s="123"/>
      <c r="C920" s="124"/>
      <c r="D920" s="124"/>
      <c r="E920" s="124"/>
      <c r="F920" s="113"/>
      <c r="G920" s="113"/>
      <c r="H920" s="113"/>
      <c r="I920" s="113"/>
      <c r="J920" s="113"/>
      <c r="K920" s="113"/>
      <c r="L920" s="113"/>
      <c r="M920" s="113"/>
      <c r="N920" s="113"/>
      <c r="O920" s="124"/>
      <c r="P920" s="113"/>
      <c r="Q920" s="113"/>
      <c r="R920" s="113"/>
      <c r="S920" s="113"/>
      <c r="T920" s="113"/>
      <c r="U920" s="113"/>
      <c r="V920" s="113"/>
      <c r="W920" s="113"/>
      <c r="X920" s="113"/>
      <c r="Y920" s="113"/>
      <c r="Z920" s="113"/>
    </row>
    <row x14ac:dyDescent="0.25" r="921" customHeight="1" ht="15.75">
      <c r="A921" s="123"/>
      <c r="B921" s="123"/>
      <c r="C921" s="124"/>
      <c r="D921" s="124"/>
      <c r="E921" s="124"/>
      <c r="F921" s="113"/>
      <c r="G921" s="113"/>
      <c r="H921" s="113"/>
      <c r="I921" s="113"/>
      <c r="J921" s="113"/>
      <c r="K921" s="113"/>
      <c r="L921" s="113"/>
      <c r="M921" s="113"/>
      <c r="N921" s="113"/>
      <c r="O921" s="124"/>
      <c r="P921" s="113"/>
      <c r="Q921" s="113"/>
      <c r="R921" s="113"/>
      <c r="S921" s="113"/>
      <c r="T921" s="113"/>
      <c r="U921" s="113"/>
      <c r="V921" s="113"/>
      <c r="W921" s="113"/>
      <c r="X921" s="113"/>
      <c r="Y921" s="113"/>
      <c r="Z921" s="113"/>
    </row>
    <row x14ac:dyDescent="0.25" r="922" customHeight="1" ht="15.75">
      <c r="A922" s="123"/>
      <c r="B922" s="123"/>
      <c r="C922" s="124"/>
      <c r="D922" s="124"/>
      <c r="E922" s="124"/>
      <c r="F922" s="113"/>
      <c r="G922" s="113"/>
      <c r="H922" s="113"/>
      <c r="I922" s="113"/>
      <c r="J922" s="113"/>
      <c r="K922" s="113"/>
      <c r="L922" s="113"/>
      <c r="M922" s="113"/>
      <c r="N922" s="113"/>
      <c r="O922" s="124"/>
      <c r="P922" s="113"/>
      <c r="Q922" s="113"/>
      <c r="R922" s="113"/>
      <c r="S922" s="113"/>
      <c r="T922" s="113"/>
      <c r="U922" s="113"/>
      <c r="V922" s="113"/>
      <c r="W922" s="113"/>
      <c r="X922" s="113"/>
      <c r="Y922" s="113"/>
      <c r="Z922" s="113"/>
    </row>
    <row x14ac:dyDescent="0.25" r="923" customHeight="1" ht="15.75">
      <c r="A923" s="123"/>
      <c r="B923" s="123"/>
      <c r="C923" s="124"/>
      <c r="D923" s="124"/>
      <c r="E923" s="124"/>
      <c r="F923" s="113"/>
      <c r="G923" s="113"/>
      <c r="H923" s="113"/>
      <c r="I923" s="113"/>
      <c r="J923" s="113"/>
      <c r="K923" s="113"/>
      <c r="L923" s="113"/>
      <c r="M923" s="113"/>
      <c r="N923" s="113"/>
      <c r="O923" s="124"/>
      <c r="P923" s="113"/>
      <c r="Q923" s="113"/>
      <c r="R923" s="113"/>
      <c r="S923" s="113"/>
      <c r="T923" s="113"/>
      <c r="U923" s="113"/>
      <c r="V923" s="113"/>
      <c r="W923" s="113"/>
      <c r="X923" s="113"/>
      <c r="Y923" s="113"/>
      <c r="Z923" s="113"/>
    </row>
    <row x14ac:dyDescent="0.25" r="924" customHeight="1" ht="15.75">
      <c r="A924" s="123"/>
      <c r="B924" s="123"/>
      <c r="C924" s="124"/>
      <c r="D924" s="124"/>
      <c r="E924" s="124"/>
      <c r="F924" s="113"/>
      <c r="G924" s="113"/>
      <c r="H924" s="113"/>
      <c r="I924" s="113"/>
      <c r="J924" s="113"/>
      <c r="K924" s="113"/>
      <c r="L924" s="113"/>
      <c r="M924" s="113"/>
      <c r="N924" s="113"/>
      <c r="O924" s="124"/>
      <c r="P924" s="113"/>
      <c r="Q924" s="113"/>
      <c r="R924" s="113"/>
      <c r="S924" s="113"/>
      <c r="T924" s="113"/>
      <c r="U924" s="113"/>
      <c r="V924" s="113"/>
      <c r="W924" s="113"/>
      <c r="X924" s="113"/>
      <c r="Y924" s="113"/>
      <c r="Z924" s="113"/>
    </row>
    <row x14ac:dyDescent="0.25" r="925" customHeight="1" ht="15.75">
      <c r="A925" s="123"/>
      <c r="B925" s="123"/>
      <c r="C925" s="124"/>
      <c r="D925" s="124"/>
      <c r="E925" s="124"/>
      <c r="F925" s="113"/>
      <c r="G925" s="113"/>
      <c r="H925" s="113"/>
      <c r="I925" s="113"/>
      <c r="J925" s="113"/>
      <c r="K925" s="113"/>
      <c r="L925" s="113"/>
      <c r="M925" s="113"/>
      <c r="N925" s="113"/>
      <c r="O925" s="124"/>
      <c r="P925" s="113"/>
      <c r="Q925" s="113"/>
      <c r="R925" s="113"/>
      <c r="S925" s="113"/>
      <c r="T925" s="113"/>
      <c r="U925" s="113"/>
      <c r="V925" s="113"/>
      <c r="W925" s="113"/>
      <c r="X925" s="113"/>
      <c r="Y925" s="113"/>
      <c r="Z925" s="113"/>
    </row>
    <row x14ac:dyDescent="0.25" r="926" customHeight="1" ht="15.75">
      <c r="A926" s="123"/>
      <c r="B926" s="123"/>
      <c r="C926" s="124"/>
      <c r="D926" s="124"/>
      <c r="E926" s="124"/>
      <c r="F926" s="113"/>
      <c r="G926" s="113"/>
      <c r="H926" s="113"/>
      <c r="I926" s="113"/>
      <c r="J926" s="113"/>
      <c r="K926" s="113"/>
      <c r="L926" s="113"/>
      <c r="M926" s="113"/>
      <c r="N926" s="113"/>
      <c r="O926" s="124"/>
      <c r="P926" s="113"/>
      <c r="Q926" s="113"/>
      <c r="R926" s="113"/>
      <c r="S926" s="113"/>
      <c r="T926" s="113"/>
      <c r="U926" s="113"/>
      <c r="V926" s="113"/>
      <c r="W926" s="113"/>
      <c r="X926" s="113"/>
      <c r="Y926" s="113"/>
      <c r="Z926" s="113"/>
    </row>
    <row x14ac:dyDescent="0.25" r="927" customHeight="1" ht="15.75">
      <c r="A927" s="123"/>
      <c r="B927" s="123"/>
      <c r="C927" s="124"/>
      <c r="D927" s="124"/>
      <c r="E927" s="124"/>
      <c r="F927" s="113"/>
      <c r="G927" s="113"/>
      <c r="H927" s="113"/>
      <c r="I927" s="113"/>
      <c r="J927" s="113"/>
      <c r="K927" s="113"/>
      <c r="L927" s="113"/>
      <c r="M927" s="113"/>
      <c r="N927" s="113"/>
      <c r="O927" s="124"/>
      <c r="P927" s="113"/>
      <c r="Q927" s="113"/>
      <c r="R927" s="113"/>
      <c r="S927" s="113"/>
      <c r="T927" s="113"/>
      <c r="U927" s="113"/>
      <c r="V927" s="113"/>
      <c r="W927" s="113"/>
      <c r="X927" s="113"/>
      <c r="Y927" s="113"/>
      <c r="Z927" s="113"/>
    </row>
    <row x14ac:dyDescent="0.25" r="928" customHeight="1" ht="15.75">
      <c r="A928" s="123"/>
      <c r="B928" s="123"/>
      <c r="C928" s="124"/>
      <c r="D928" s="124"/>
      <c r="E928" s="124"/>
      <c r="F928" s="113"/>
      <c r="G928" s="113"/>
      <c r="H928" s="113"/>
      <c r="I928" s="113"/>
      <c r="J928" s="113"/>
      <c r="K928" s="113"/>
      <c r="L928" s="113"/>
      <c r="M928" s="113"/>
      <c r="N928" s="113"/>
      <c r="O928" s="124"/>
      <c r="P928" s="113"/>
      <c r="Q928" s="113"/>
      <c r="R928" s="113"/>
      <c r="S928" s="113"/>
      <c r="T928" s="113"/>
      <c r="U928" s="113"/>
      <c r="V928" s="113"/>
      <c r="W928" s="113"/>
      <c r="X928" s="113"/>
      <c r="Y928" s="113"/>
      <c r="Z928" s="113"/>
    </row>
    <row x14ac:dyDescent="0.25" r="929" customHeight="1" ht="15.75">
      <c r="A929" s="123"/>
      <c r="B929" s="123"/>
      <c r="C929" s="124"/>
      <c r="D929" s="124"/>
      <c r="E929" s="124"/>
      <c r="F929" s="113"/>
      <c r="G929" s="113"/>
      <c r="H929" s="113"/>
      <c r="I929" s="113"/>
      <c r="J929" s="113"/>
      <c r="K929" s="113"/>
      <c r="L929" s="113"/>
      <c r="M929" s="113"/>
      <c r="N929" s="113"/>
      <c r="O929" s="124"/>
      <c r="P929" s="113"/>
      <c r="Q929" s="113"/>
      <c r="R929" s="113"/>
      <c r="S929" s="113"/>
      <c r="T929" s="113"/>
      <c r="U929" s="113"/>
      <c r="V929" s="113"/>
      <c r="W929" s="113"/>
      <c r="X929" s="113"/>
      <c r="Y929" s="113"/>
      <c r="Z929" s="113"/>
    </row>
    <row x14ac:dyDescent="0.25" r="930" customHeight="1" ht="15.75">
      <c r="A930" s="123"/>
      <c r="B930" s="123"/>
      <c r="C930" s="124"/>
      <c r="D930" s="124"/>
      <c r="E930" s="124"/>
      <c r="F930" s="113"/>
      <c r="G930" s="113"/>
      <c r="H930" s="113"/>
      <c r="I930" s="113"/>
      <c r="J930" s="113"/>
      <c r="K930" s="113"/>
      <c r="L930" s="113"/>
      <c r="M930" s="113"/>
      <c r="N930" s="113"/>
      <c r="O930" s="124"/>
      <c r="P930" s="113"/>
      <c r="Q930" s="113"/>
      <c r="R930" s="113"/>
      <c r="S930" s="113"/>
      <c r="T930" s="113"/>
      <c r="U930" s="113"/>
      <c r="V930" s="113"/>
      <c r="W930" s="113"/>
      <c r="X930" s="113"/>
      <c r="Y930" s="113"/>
      <c r="Z930" s="113"/>
    </row>
    <row x14ac:dyDescent="0.25" r="931" customHeight="1" ht="15.75">
      <c r="A931" s="123"/>
      <c r="B931" s="123"/>
      <c r="C931" s="124"/>
      <c r="D931" s="124"/>
      <c r="E931" s="124"/>
      <c r="F931" s="113"/>
      <c r="G931" s="113"/>
      <c r="H931" s="113"/>
      <c r="I931" s="113"/>
      <c r="J931" s="113"/>
      <c r="K931" s="113"/>
      <c r="L931" s="113"/>
      <c r="M931" s="113"/>
      <c r="N931" s="113"/>
      <c r="O931" s="124"/>
      <c r="P931" s="113"/>
      <c r="Q931" s="113"/>
      <c r="R931" s="113"/>
      <c r="S931" s="113"/>
      <c r="T931" s="113"/>
      <c r="U931" s="113"/>
      <c r="V931" s="113"/>
      <c r="W931" s="113"/>
      <c r="X931" s="113"/>
      <c r="Y931" s="113"/>
      <c r="Z931" s="113"/>
    </row>
    <row x14ac:dyDescent="0.25" r="932" customHeight="1" ht="15.75">
      <c r="A932" s="123"/>
      <c r="B932" s="123"/>
      <c r="C932" s="124"/>
      <c r="D932" s="124"/>
      <c r="E932" s="124"/>
      <c r="F932" s="113"/>
      <c r="G932" s="113"/>
      <c r="H932" s="113"/>
      <c r="I932" s="113"/>
      <c r="J932" s="113"/>
      <c r="K932" s="113"/>
      <c r="L932" s="113"/>
      <c r="M932" s="113"/>
      <c r="N932" s="113"/>
      <c r="O932" s="124"/>
      <c r="P932" s="113"/>
      <c r="Q932" s="113"/>
      <c r="R932" s="113"/>
      <c r="S932" s="113"/>
      <c r="T932" s="113"/>
      <c r="U932" s="113"/>
      <c r="V932" s="113"/>
      <c r="W932" s="113"/>
      <c r="X932" s="113"/>
      <c r="Y932" s="113"/>
      <c r="Z932" s="113"/>
    </row>
    <row x14ac:dyDescent="0.25" r="933" customHeight="1" ht="15.75">
      <c r="A933" s="123"/>
      <c r="B933" s="123"/>
      <c r="C933" s="124"/>
      <c r="D933" s="124"/>
      <c r="E933" s="124"/>
      <c r="F933" s="113"/>
      <c r="G933" s="113"/>
      <c r="H933" s="113"/>
      <c r="I933" s="113"/>
      <c r="J933" s="113"/>
      <c r="K933" s="113"/>
      <c r="L933" s="113"/>
      <c r="M933" s="113"/>
      <c r="N933" s="113"/>
      <c r="O933" s="124"/>
      <c r="P933" s="113"/>
      <c r="Q933" s="113"/>
      <c r="R933" s="113"/>
      <c r="S933" s="113"/>
      <c r="T933" s="113"/>
      <c r="U933" s="113"/>
      <c r="V933" s="113"/>
      <c r="W933" s="113"/>
      <c r="X933" s="113"/>
      <c r="Y933" s="113"/>
      <c r="Z933" s="113"/>
    </row>
    <row x14ac:dyDescent="0.25" r="934" customHeight="1" ht="15.75">
      <c r="A934" s="123"/>
      <c r="B934" s="123"/>
      <c r="C934" s="124"/>
      <c r="D934" s="124"/>
      <c r="E934" s="124"/>
      <c r="F934" s="113"/>
      <c r="G934" s="113"/>
      <c r="H934" s="113"/>
      <c r="I934" s="113"/>
      <c r="J934" s="113"/>
      <c r="K934" s="113"/>
      <c r="L934" s="113"/>
      <c r="M934" s="113"/>
      <c r="N934" s="113"/>
      <c r="O934" s="124"/>
      <c r="P934" s="113"/>
      <c r="Q934" s="113"/>
      <c r="R934" s="113"/>
      <c r="S934" s="113"/>
      <c r="T934" s="113"/>
      <c r="U934" s="113"/>
      <c r="V934" s="113"/>
      <c r="W934" s="113"/>
      <c r="X934" s="113"/>
      <c r="Y934" s="113"/>
      <c r="Z934" s="113"/>
    </row>
    <row x14ac:dyDescent="0.25" r="935" customHeight="1" ht="15.75">
      <c r="A935" s="123"/>
      <c r="B935" s="123"/>
      <c r="C935" s="124"/>
      <c r="D935" s="124"/>
      <c r="E935" s="124"/>
      <c r="F935" s="113"/>
      <c r="G935" s="113"/>
      <c r="H935" s="113"/>
      <c r="I935" s="113"/>
      <c r="J935" s="113"/>
      <c r="K935" s="113"/>
      <c r="L935" s="113"/>
      <c r="M935" s="113"/>
      <c r="N935" s="113"/>
      <c r="O935" s="124"/>
      <c r="P935" s="113"/>
      <c r="Q935" s="113"/>
      <c r="R935" s="113"/>
      <c r="S935" s="113"/>
      <c r="T935" s="113"/>
      <c r="U935" s="113"/>
      <c r="V935" s="113"/>
      <c r="W935" s="113"/>
      <c r="X935" s="113"/>
      <c r="Y935" s="113"/>
      <c r="Z935" s="113"/>
    </row>
    <row x14ac:dyDescent="0.25" r="936" customHeight="1" ht="15.75">
      <c r="A936" s="123"/>
      <c r="B936" s="123"/>
      <c r="C936" s="124"/>
      <c r="D936" s="124"/>
      <c r="E936" s="124"/>
      <c r="F936" s="113"/>
      <c r="G936" s="113"/>
      <c r="H936" s="113"/>
      <c r="I936" s="113"/>
      <c r="J936" s="113"/>
      <c r="K936" s="113"/>
      <c r="L936" s="113"/>
      <c r="M936" s="113"/>
      <c r="N936" s="113"/>
      <c r="O936" s="124"/>
      <c r="P936" s="113"/>
      <c r="Q936" s="113"/>
      <c r="R936" s="113"/>
      <c r="S936" s="113"/>
      <c r="T936" s="113"/>
      <c r="U936" s="113"/>
      <c r="V936" s="113"/>
      <c r="W936" s="113"/>
      <c r="X936" s="113"/>
      <c r="Y936" s="113"/>
      <c r="Z936" s="113"/>
    </row>
    <row x14ac:dyDescent="0.25" r="937" customHeight="1" ht="15.75">
      <c r="A937" s="123"/>
      <c r="B937" s="123"/>
      <c r="C937" s="124"/>
      <c r="D937" s="124"/>
      <c r="E937" s="124"/>
      <c r="F937" s="113"/>
      <c r="G937" s="113"/>
      <c r="H937" s="113"/>
      <c r="I937" s="113"/>
      <c r="J937" s="113"/>
      <c r="K937" s="113"/>
      <c r="L937" s="113"/>
      <c r="M937" s="113"/>
      <c r="N937" s="113"/>
      <c r="O937" s="124"/>
      <c r="P937" s="113"/>
      <c r="Q937" s="113"/>
      <c r="R937" s="113"/>
      <c r="S937" s="113"/>
      <c r="T937" s="113"/>
      <c r="U937" s="113"/>
      <c r="V937" s="113"/>
      <c r="W937" s="113"/>
      <c r="X937" s="113"/>
      <c r="Y937" s="113"/>
      <c r="Z937" s="113"/>
    </row>
    <row x14ac:dyDescent="0.25" r="938" customHeight="1" ht="15.75">
      <c r="A938" s="123"/>
      <c r="B938" s="123"/>
      <c r="C938" s="124"/>
      <c r="D938" s="124"/>
      <c r="E938" s="124"/>
      <c r="F938" s="113"/>
      <c r="G938" s="113"/>
      <c r="H938" s="113"/>
      <c r="I938" s="113"/>
      <c r="J938" s="113"/>
      <c r="K938" s="113"/>
      <c r="L938" s="113"/>
      <c r="M938" s="113"/>
      <c r="N938" s="113"/>
      <c r="O938" s="124"/>
      <c r="P938" s="113"/>
      <c r="Q938" s="113"/>
      <c r="R938" s="113"/>
      <c r="S938" s="113"/>
      <c r="T938" s="113"/>
      <c r="U938" s="113"/>
      <c r="V938" s="113"/>
      <c r="W938" s="113"/>
      <c r="X938" s="113"/>
      <c r="Y938" s="113"/>
      <c r="Z938" s="113"/>
    </row>
    <row x14ac:dyDescent="0.25" r="939" customHeight="1" ht="15.75">
      <c r="A939" s="123"/>
      <c r="B939" s="123"/>
      <c r="C939" s="124"/>
      <c r="D939" s="124"/>
      <c r="E939" s="124"/>
      <c r="F939" s="113"/>
      <c r="G939" s="113"/>
      <c r="H939" s="113"/>
      <c r="I939" s="113"/>
      <c r="J939" s="113"/>
      <c r="K939" s="113"/>
      <c r="L939" s="113"/>
      <c r="M939" s="113"/>
      <c r="N939" s="113"/>
      <c r="O939" s="124"/>
      <c r="P939" s="113"/>
      <c r="Q939" s="113"/>
      <c r="R939" s="113"/>
      <c r="S939" s="113"/>
      <c r="T939" s="113"/>
      <c r="U939" s="113"/>
      <c r="V939" s="113"/>
      <c r="W939" s="113"/>
      <c r="X939" s="113"/>
      <c r="Y939" s="113"/>
      <c r="Z939" s="113"/>
    </row>
    <row x14ac:dyDescent="0.25" r="940" customHeight="1" ht="15.75">
      <c r="A940" s="123"/>
      <c r="B940" s="123"/>
      <c r="C940" s="124"/>
      <c r="D940" s="124"/>
      <c r="E940" s="124"/>
      <c r="F940" s="113"/>
      <c r="G940" s="113"/>
      <c r="H940" s="113"/>
      <c r="I940" s="113"/>
      <c r="J940" s="113"/>
      <c r="K940" s="113"/>
      <c r="L940" s="113"/>
      <c r="M940" s="113"/>
      <c r="N940" s="113"/>
      <c r="O940" s="124"/>
      <c r="P940" s="113"/>
      <c r="Q940" s="113"/>
      <c r="R940" s="113"/>
      <c r="S940" s="113"/>
      <c r="T940" s="113"/>
      <c r="U940" s="113"/>
      <c r="V940" s="113"/>
      <c r="W940" s="113"/>
      <c r="X940" s="113"/>
      <c r="Y940" s="113"/>
      <c r="Z940" s="113"/>
    </row>
    <row x14ac:dyDescent="0.25" r="941" customHeight="1" ht="15.75">
      <c r="A941" s="123"/>
      <c r="B941" s="123"/>
      <c r="C941" s="124"/>
      <c r="D941" s="124"/>
      <c r="E941" s="124"/>
      <c r="F941" s="113"/>
      <c r="G941" s="113"/>
      <c r="H941" s="113"/>
      <c r="I941" s="113"/>
      <c r="J941" s="113"/>
      <c r="K941" s="113"/>
      <c r="L941" s="113"/>
      <c r="M941" s="113"/>
      <c r="N941" s="113"/>
      <c r="O941" s="124"/>
      <c r="P941" s="113"/>
      <c r="Q941" s="113"/>
      <c r="R941" s="113"/>
      <c r="S941" s="113"/>
      <c r="T941" s="113"/>
      <c r="U941" s="113"/>
      <c r="V941" s="113"/>
      <c r="W941" s="113"/>
      <c r="X941" s="113"/>
      <c r="Y941" s="113"/>
      <c r="Z941" s="113"/>
    </row>
    <row x14ac:dyDescent="0.25" r="942" customHeight="1" ht="15.75">
      <c r="A942" s="123"/>
      <c r="B942" s="123"/>
      <c r="C942" s="124"/>
      <c r="D942" s="124"/>
      <c r="E942" s="124"/>
      <c r="F942" s="113"/>
      <c r="G942" s="113"/>
      <c r="H942" s="113"/>
      <c r="I942" s="113"/>
      <c r="J942" s="113"/>
      <c r="K942" s="113"/>
      <c r="L942" s="113"/>
      <c r="M942" s="113"/>
      <c r="N942" s="113"/>
      <c r="O942" s="124"/>
      <c r="P942" s="113"/>
      <c r="Q942" s="113"/>
      <c r="R942" s="113"/>
      <c r="S942" s="113"/>
      <c r="T942" s="113"/>
      <c r="U942" s="113"/>
      <c r="V942" s="113"/>
      <c r="W942" s="113"/>
      <c r="X942" s="113"/>
      <c r="Y942" s="113"/>
      <c r="Z942" s="113"/>
    </row>
    <row x14ac:dyDescent="0.25" r="943" customHeight="1" ht="15.75">
      <c r="A943" s="123"/>
      <c r="B943" s="123"/>
      <c r="C943" s="124"/>
      <c r="D943" s="124"/>
      <c r="E943" s="124"/>
      <c r="F943" s="113"/>
      <c r="G943" s="113"/>
      <c r="H943" s="113"/>
      <c r="I943" s="113"/>
      <c r="J943" s="113"/>
      <c r="K943" s="113"/>
      <c r="L943" s="113"/>
      <c r="M943" s="113"/>
      <c r="N943" s="113"/>
      <c r="O943" s="124"/>
      <c r="P943" s="113"/>
      <c r="Q943" s="113"/>
      <c r="R943" s="113"/>
      <c r="S943" s="113"/>
      <c r="T943" s="113"/>
      <c r="U943" s="113"/>
      <c r="V943" s="113"/>
      <c r="W943" s="113"/>
      <c r="X943" s="113"/>
      <c r="Y943" s="113"/>
      <c r="Z943" s="113"/>
    </row>
    <row x14ac:dyDescent="0.25" r="944" customHeight="1" ht="15.75">
      <c r="A944" s="123"/>
      <c r="B944" s="123"/>
      <c r="C944" s="124"/>
      <c r="D944" s="124"/>
      <c r="E944" s="124"/>
      <c r="F944" s="113"/>
      <c r="G944" s="113"/>
      <c r="H944" s="113"/>
      <c r="I944" s="113"/>
      <c r="J944" s="113"/>
      <c r="K944" s="113"/>
      <c r="L944" s="113"/>
      <c r="M944" s="113"/>
      <c r="N944" s="113"/>
      <c r="O944" s="124"/>
      <c r="P944" s="113"/>
      <c r="Q944" s="113"/>
      <c r="R944" s="113"/>
      <c r="S944" s="113"/>
      <c r="T944" s="113"/>
      <c r="U944" s="113"/>
      <c r="V944" s="113"/>
      <c r="W944" s="113"/>
      <c r="X944" s="113"/>
      <c r="Y944" s="113"/>
      <c r="Z944" s="113"/>
    </row>
    <row x14ac:dyDescent="0.25" r="945" customHeight="1" ht="15.75">
      <c r="A945" s="123"/>
      <c r="B945" s="123"/>
      <c r="C945" s="124"/>
      <c r="D945" s="124"/>
      <c r="E945" s="124"/>
      <c r="F945" s="113"/>
      <c r="G945" s="113"/>
      <c r="H945" s="113"/>
      <c r="I945" s="113"/>
      <c r="J945" s="113"/>
      <c r="K945" s="113"/>
      <c r="L945" s="113"/>
      <c r="M945" s="113"/>
      <c r="N945" s="113"/>
      <c r="O945" s="124"/>
      <c r="P945" s="113"/>
      <c r="Q945" s="113"/>
      <c r="R945" s="113"/>
      <c r="S945" s="113"/>
      <c r="T945" s="113"/>
      <c r="U945" s="113"/>
      <c r="V945" s="113"/>
      <c r="W945" s="113"/>
      <c r="X945" s="113"/>
      <c r="Y945" s="113"/>
      <c r="Z945" s="113"/>
    </row>
    <row x14ac:dyDescent="0.25" r="946" customHeight="1" ht="15.75">
      <c r="A946" s="123"/>
      <c r="B946" s="123"/>
      <c r="C946" s="124"/>
      <c r="D946" s="124"/>
      <c r="E946" s="124"/>
      <c r="F946" s="113"/>
      <c r="G946" s="113"/>
      <c r="H946" s="113"/>
      <c r="I946" s="113"/>
      <c r="J946" s="113"/>
      <c r="K946" s="113"/>
      <c r="L946" s="113"/>
      <c r="M946" s="113"/>
      <c r="N946" s="113"/>
      <c r="O946" s="124"/>
      <c r="P946" s="113"/>
      <c r="Q946" s="113"/>
      <c r="R946" s="113"/>
      <c r="S946" s="113"/>
      <c r="T946" s="113"/>
      <c r="U946" s="113"/>
      <c r="V946" s="113"/>
      <c r="W946" s="113"/>
      <c r="X946" s="113"/>
      <c r="Y946" s="113"/>
      <c r="Z946" s="113"/>
    </row>
    <row x14ac:dyDescent="0.25" r="947" customHeight="1" ht="15.75">
      <c r="A947" s="123"/>
      <c r="B947" s="123"/>
      <c r="C947" s="124"/>
      <c r="D947" s="124"/>
      <c r="E947" s="124"/>
      <c r="F947" s="113"/>
      <c r="G947" s="113"/>
      <c r="H947" s="113"/>
      <c r="I947" s="113"/>
      <c r="J947" s="113"/>
      <c r="K947" s="113"/>
      <c r="L947" s="113"/>
      <c r="M947" s="113"/>
      <c r="N947" s="113"/>
      <c r="O947" s="124"/>
      <c r="P947" s="113"/>
      <c r="Q947" s="113"/>
      <c r="R947" s="113"/>
      <c r="S947" s="113"/>
      <c r="T947" s="113"/>
      <c r="U947" s="113"/>
      <c r="V947" s="113"/>
      <c r="W947" s="113"/>
      <c r="X947" s="113"/>
      <c r="Y947" s="113"/>
      <c r="Z947" s="113"/>
    </row>
    <row x14ac:dyDescent="0.25" r="948" customHeight="1" ht="15.75">
      <c r="A948" s="123"/>
      <c r="B948" s="123"/>
      <c r="C948" s="124"/>
      <c r="D948" s="124"/>
      <c r="E948" s="124"/>
      <c r="F948" s="113"/>
      <c r="G948" s="113"/>
      <c r="H948" s="113"/>
      <c r="I948" s="113"/>
      <c r="J948" s="113"/>
      <c r="K948" s="113"/>
      <c r="L948" s="113"/>
      <c r="M948" s="113"/>
      <c r="N948" s="113"/>
      <c r="O948" s="124"/>
      <c r="P948" s="113"/>
      <c r="Q948" s="113"/>
      <c r="R948" s="113"/>
      <c r="S948" s="113"/>
      <c r="T948" s="113"/>
      <c r="U948" s="113"/>
      <c r="V948" s="113"/>
      <c r="W948" s="113"/>
      <c r="X948" s="113"/>
      <c r="Y948" s="113"/>
      <c r="Z948" s="113"/>
    </row>
    <row x14ac:dyDescent="0.25" r="949" customHeight="1" ht="15.75">
      <c r="A949" s="123"/>
      <c r="B949" s="123"/>
      <c r="C949" s="124"/>
      <c r="D949" s="124"/>
      <c r="E949" s="124"/>
      <c r="F949" s="113"/>
      <c r="G949" s="113"/>
      <c r="H949" s="113"/>
      <c r="I949" s="113"/>
      <c r="J949" s="113"/>
      <c r="K949" s="113"/>
      <c r="L949" s="113"/>
      <c r="M949" s="113"/>
      <c r="N949" s="113"/>
      <c r="O949" s="124"/>
      <c r="P949" s="113"/>
      <c r="Q949" s="113"/>
      <c r="R949" s="113"/>
      <c r="S949" s="113"/>
      <c r="T949" s="113"/>
      <c r="U949" s="113"/>
      <c r="V949" s="113"/>
      <c r="W949" s="113"/>
      <c r="X949" s="113"/>
      <c r="Y949" s="113"/>
      <c r="Z949" s="113"/>
    </row>
    <row x14ac:dyDescent="0.25" r="950" customHeight="1" ht="15.75">
      <c r="A950" s="123"/>
      <c r="B950" s="123"/>
      <c r="C950" s="124"/>
      <c r="D950" s="124"/>
      <c r="E950" s="124"/>
      <c r="F950" s="113"/>
      <c r="G950" s="113"/>
      <c r="H950" s="113"/>
      <c r="I950" s="113"/>
      <c r="J950" s="113"/>
      <c r="K950" s="113"/>
      <c r="L950" s="113"/>
      <c r="M950" s="113"/>
      <c r="N950" s="113"/>
      <c r="O950" s="124"/>
      <c r="P950" s="113"/>
      <c r="Q950" s="113"/>
      <c r="R950" s="113"/>
      <c r="S950" s="113"/>
      <c r="T950" s="113"/>
      <c r="U950" s="113"/>
      <c r="V950" s="113"/>
      <c r="W950" s="113"/>
      <c r="X950" s="113"/>
      <c r="Y950" s="113"/>
      <c r="Z950" s="113"/>
    </row>
    <row x14ac:dyDescent="0.25" r="951" customHeight="1" ht="15.75">
      <c r="A951" s="123"/>
      <c r="B951" s="123"/>
      <c r="C951" s="124"/>
      <c r="D951" s="124"/>
      <c r="E951" s="124"/>
      <c r="F951" s="113"/>
      <c r="G951" s="113"/>
      <c r="H951" s="113"/>
      <c r="I951" s="113"/>
      <c r="J951" s="113"/>
      <c r="K951" s="113"/>
      <c r="L951" s="113"/>
      <c r="M951" s="113"/>
      <c r="N951" s="113"/>
      <c r="O951" s="124"/>
      <c r="P951" s="113"/>
      <c r="Q951" s="113"/>
      <c r="R951" s="113"/>
      <c r="S951" s="113"/>
      <c r="T951" s="113"/>
      <c r="U951" s="113"/>
      <c r="V951" s="113"/>
      <c r="W951" s="113"/>
      <c r="X951" s="113"/>
      <c r="Y951" s="113"/>
      <c r="Z951" s="113"/>
    </row>
    <row x14ac:dyDescent="0.25" r="952" customHeight="1" ht="15.75">
      <c r="A952" s="123"/>
      <c r="B952" s="123"/>
      <c r="C952" s="124"/>
      <c r="D952" s="124"/>
      <c r="E952" s="124"/>
      <c r="F952" s="113"/>
      <c r="G952" s="113"/>
      <c r="H952" s="113"/>
      <c r="I952" s="113"/>
      <c r="J952" s="113"/>
      <c r="K952" s="113"/>
      <c r="L952" s="113"/>
      <c r="M952" s="113"/>
      <c r="N952" s="113"/>
      <c r="O952" s="124"/>
      <c r="P952" s="113"/>
      <c r="Q952" s="113"/>
      <c r="R952" s="113"/>
      <c r="S952" s="113"/>
      <c r="T952" s="113"/>
      <c r="U952" s="113"/>
      <c r="V952" s="113"/>
      <c r="W952" s="113"/>
      <c r="X952" s="113"/>
      <c r="Y952" s="113"/>
      <c r="Z952" s="113"/>
    </row>
    <row x14ac:dyDescent="0.25" r="953" customHeight="1" ht="15.75">
      <c r="A953" s="123"/>
      <c r="B953" s="123"/>
      <c r="C953" s="124"/>
      <c r="D953" s="124"/>
      <c r="E953" s="124"/>
      <c r="F953" s="113"/>
      <c r="G953" s="113"/>
      <c r="H953" s="113"/>
      <c r="I953" s="113"/>
      <c r="J953" s="113"/>
      <c r="K953" s="113"/>
      <c r="L953" s="113"/>
      <c r="M953" s="113"/>
      <c r="N953" s="113"/>
      <c r="O953" s="124"/>
      <c r="P953" s="113"/>
      <c r="Q953" s="113"/>
      <c r="R953" s="113"/>
      <c r="S953" s="113"/>
      <c r="T953" s="113"/>
      <c r="U953" s="113"/>
      <c r="V953" s="113"/>
      <c r="W953" s="113"/>
      <c r="X953" s="113"/>
      <c r="Y953" s="113"/>
      <c r="Z953" s="113"/>
    </row>
    <row x14ac:dyDescent="0.25" r="954" customHeight="1" ht="15.75">
      <c r="A954" s="123"/>
      <c r="B954" s="123"/>
      <c r="C954" s="124"/>
      <c r="D954" s="124"/>
      <c r="E954" s="124"/>
      <c r="F954" s="113"/>
      <c r="G954" s="113"/>
      <c r="H954" s="113"/>
      <c r="I954" s="113"/>
      <c r="J954" s="113"/>
      <c r="K954" s="113"/>
      <c r="L954" s="113"/>
      <c r="M954" s="113"/>
      <c r="N954" s="113"/>
      <c r="O954" s="124"/>
      <c r="P954" s="113"/>
      <c r="Q954" s="113"/>
      <c r="R954" s="113"/>
      <c r="S954" s="113"/>
      <c r="T954" s="113"/>
      <c r="U954" s="113"/>
      <c r="V954" s="113"/>
      <c r="W954" s="113"/>
      <c r="X954" s="113"/>
      <c r="Y954" s="113"/>
      <c r="Z954" s="113"/>
    </row>
    <row x14ac:dyDescent="0.25" r="955" customHeight="1" ht="15.75">
      <c r="A955" s="123"/>
      <c r="B955" s="123"/>
      <c r="C955" s="124"/>
      <c r="D955" s="124"/>
      <c r="E955" s="124"/>
      <c r="F955" s="113"/>
      <c r="G955" s="113"/>
      <c r="H955" s="113"/>
      <c r="I955" s="113"/>
      <c r="J955" s="113"/>
      <c r="K955" s="113"/>
      <c r="L955" s="113"/>
      <c r="M955" s="113"/>
      <c r="N955" s="113"/>
      <c r="O955" s="124"/>
      <c r="P955" s="113"/>
      <c r="Q955" s="113"/>
      <c r="R955" s="113"/>
      <c r="S955" s="113"/>
      <c r="T955" s="113"/>
      <c r="U955" s="113"/>
      <c r="V955" s="113"/>
      <c r="W955" s="113"/>
      <c r="X955" s="113"/>
      <c r="Y955" s="113"/>
      <c r="Z955" s="113"/>
    </row>
    <row x14ac:dyDescent="0.25" r="956" customHeight="1" ht="15.75">
      <c r="A956" s="123"/>
      <c r="B956" s="123"/>
      <c r="C956" s="124"/>
      <c r="D956" s="124"/>
      <c r="E956" s="124"/>
      <c r="F956" s="113"/>
      <c r="G956" s="113"/>
      <c r="H956" s="113"/>
      <c r="I956" s="113"/>
      <c r="J956" s="113"/>
      <c r="K956" s="113"/>
      <c r="L956" s="113"/>
      <c r="M956" s="113"/>
      <c r="N956" s="113"/>
      <c r="O956" s="124"/>
      <c r="P956" s="113"/>
      <c r="Q956" s="113"/>
      <c r="R956" s="113"/>
      <c r="S956" s="113"/>
      <c r="T956" s="113"/>
      <c r="U956" s="113"/>
      <c r="V956" s="113"/>
      <c r="W956" s="113"/>
      <c r="X956" s="113"/>
      <c r="Y956" s="113"/>
      <c r="Z956" s="113"/>
    </row>
    <row x14ac:dyDescent="0.25" r="957" customHeight="1" ht="15.75">
      <c r="A957" s="123"/>
      <c r="B957" s="123"/>
      <c r="C957" s="124"/>
      <c r="D957" s="124"/>
      <c r="E957" s="124"/>
      <c r="F957" s="113"/>
      <c r="G957" s="113"/>
      <c r="H957" s="113"/>
      <c r="I957" s="113"/>
      <c r="J957" s="113"/>
      <c r="K957" s="113"/>
      <c r="L957" s="113"/>
      <c r="M957" s="113"/>
      <c r="N957" s="113"/>
      <c r="O957" s="124"/>
      <c r="P957" s="113"/>
      <c r="Q957" s="113"/>
      <c r="R957" s="113"/>
      <c r="S957" s="113"/>
      <c r="T957" s="113"/>
      <c r="U957" s="113"/>
      <c r="V957" s="113"/>
      <c r="W957" s="113"/>
      <c r="X957" s="113"/>
      <c r="Y957" s="113"/>
      <c r="Z957" s="113"/>
    </row>
    <row x14ac:dyDescent="0.25" r="958" customHeight="1" ht="15.75">
      <c r="A958" s="123"/>
      <c r="B958" s="123"/>
      <c r="C958" s="124"/>
      <c r="D958" s="124"/>
      <c r="E958" s="124"/>
      <c r="F958" s="113"/>
      <c r="G958" s="113"/>
      <c r="H958" s="113"/>
      <c r="I958" s="113"/>
      <c r="J958" s="113"/>
      <c r="K958" s="113"/>
      <c r="L958" s="113"/>
      <c r="M958" s="113"/>
      <c r="N958" s="113"/>
      <c r="O958" s="124"/>
      <c r="P958" s="113"/>
      <c r="Q958" s="113"/>
      <c r="R958" s="113"/>
      <c r="S958" s="113"/>
      <c r="T958" s="113"/>
      <c r="U958" s="113"/>
      <c r="V958" s="113"/>
      <c r="W958" s="113"/>
      <c r="X958" s="113"/>
      <c r="Y958" s="113"/>
      <c r="Z958" s="113"/>
    </row>
    <row x14ac:dyDescent="0.25" r="959" customHeight="1" ht="15.75">
      <c r="A959" s="123"/>
      <c r="B959" s="123"/>
      <c r="C959" s="124"/>
      <c r="D959" s="124"/>
      <c r="E959" s="124"/>
      <c r="F959" s="113"/>
      <c r="G959" s="113"/>
      <c r="H959" s="113"/>
      <c r="I959" s="113"/>
      <c r="J959" s="113"/>
      <c r="K959" s="113"/>
      <c r="L959" s="113"/>
      <c r="M959" s="113"/>
      <c r="N959" s="113"/>
      <c r="O959" s="124"/>
      <c r="P959" s="113"/>
      <c r="Q959" s="113"/>
      <c r="R959" s="113"/>
      <c r="S959" s="113"/>
      <c r="T959" s="113"/>
      <c r="U959" s="113"/>
      <c r="V959" s="113"/>
      <c r="W959" s="113"/>
      <c r="X959" s="113"/>
      <c r="Y959" s="113"/>
      <c r="Z959" s="113"/>
    </row>
    <row x14ac:dyDescent="0.25" r="960" customHeight="1" ht="15.75">
      <c r="A960" s="123"/>
      <c r="B960" s="123"/>
      <c r="C960" s="124"/>
      <c r="D960" s="124"/>
      <c r="E960" s="124"/>
      <c r="F960" s="113"/>
      <c r="G960" s="113"/>
      <c r="H960" s="113"/>
      <c r="I960" s="113"/>
      <c r="J960" s="113"/>
      <c r="K960" s="113"/>
      <c r="L960" s="113"/>
      <c r="M960" s="113"/>
      <c r="N960" s="113"/>
      <c r="O960" s="124"/>
      <c r="P960" s="113"/>
      <c r="Q960" s="113"/>
      <c r="R960" s="113"/>
      <c r="S960" s="113"/>
      <c r="T960" s="113"/>
      <c r="U960" s="113"/>
      <c r="V960" s="113"/>
      <c r="W960" s="113"/>
      <c r="X960" s="113"/>
      <c r="Y960" s="113"/>
      <c r="Z960" s="113"/>
    </row>
    <row x14ac:dyDescent="0.25" r="961" customHeight="1" ht="15.75">
      <c r="A961" s="123"/>
      <c r="B961" s="123"/>
      <c r="C961" s="124"/>
      <c r="D961" s="124"/>
      <c r="E961" s="124"/>
      <c r="F961" s="113"/>
      <c r="G961" s="113"/>
      <c r="H961" s="113"/>
      <c r="I961" s="113"/>
      <c r="J961" s="113"/>
      <c r="K961" s="113"/>
      <c r="L961" s="113"/>
      <c r="M961" s="113"/>
      <c r="N961" s="113"/>
      <c r="O961" s="124"/>
      <c r="P961" s="113"/>
      <c r="Q961" s="113"/>
      <c r="R961" s="113"/>
      <c r="S961" s="113"/>
      <c r="T961" s="113"/>
      <c r="U961" s="113"/>
      <c r="V961" s="113"/>
      <c r="W961" s="113"/>
      <c r="X961" s="113"/>
      <c r="Y961" s="113"/>
      <c r="Z961" s="113"/>
    </row>
    <row x14ac:dyDescent="0.25" r="962" customHeight="1" ht="15.75">
      <c r="A962" s="123"/>
      <c r="B962" s="123"/>
      <c r="C962" s="124"/>
      <c r="D962" s="124"/>
      <c r="E962" s="124"/>
      <c r="F962" s="113"/>
      <c r="G962" s="113"/>
      <c r="H962" s="113"/>
      <c r="I962" s="113"/>
      <c r="J962" s="113"/>
      <c r="K962" s="113"/>
      <c r="L962" s="113"/>
      <c r="M962" s="113"/>
      <c r="N962" s="113"/>
      <c r="O962" s="124"/>
      <c r="P962" s="113"/>
      <c r="Q962" s="113"/>
      <c r="R962" s="113"/>
      <c r="S962" s="113"/>
      <c r="T962" s="113"/>
      <c r="U962" s="113"/>
      <c r="V962" s="113"/>
      <c r="W962" s="113"/>
      <c r="X962" s="113"/>
      <c r="Y962" s="113"/>
      <c r="Z962" s="113"/>
    </row>
    <row x14ac:dyDescent="0.25" r="963" customHeight="1" ht="15.75">
      <c r="A963" s="123"/>
      <c r="B963" s="123"/>
      <c r="C963" s="124"/>
      <c r="D963" s="124"/>
      <c r="E963" s="124"/>
      <c r="F963" s="113"/>
      <c r="G963" s="113"/>
      <c r="H963" s="113"/>
      <c r="I963" s="113"/>
      <c r="J963" s="113"/>
      <c r="K963" s="113"/>
      <c r="L963" s="113"/>
      <c r="M963" s="113"/>
      <c r="N963" s="113"/>
      <c r="O963" s="124"/>
      <c r="P963" s="113"/>
      <c r="Q963" s="113"/>
      <c r="R963" s="113"/>
      <c r="S963" s="113"/>
      <c r="T963" s="113"/>
      <c r="U963" s="113"/>
      <c r="V963" s="113"/>
      <c r="W963" s="113"/>
      <c r="X963" s="113"/>
      <c r="Y963" s="113"/>
      <c r="Z963" s="113"/>
    </row>
    <row x14ac:dyDescent="0.25" r="964" customHeight="1" ht="15.75">
      <c r="A964" s="123"/>
      <c r="B964" s="123"/>
      <c r="C964" s="124"/>
      <c r="D964" s="124"/>
      <c r="E964" s="124"/>
      <c r="F964" s="113"/>
      <c r="G964" s="113"/>
      <c r="H964" s="113"/>
      <c r="I964" s="113"/>
      <c r="J964" s="113"/>
      <c r="K964" s="113"/>
      <c r="L964" s="113"/>
      <c r="M964" s="113"/>
      <c r="N964" s="113"/>
      <c r="O964" s="124"/>
      <c r="P964" s="113"/>
      <c r="Q964" s="113"/>
      <c r="R964" s="113"/>
      <c r="S964" s="113"/>
      <c r="T964" s="113"/>
      <c r="U964" s="113"/>
      <c r="V964" s="113"/>
      <c r="W964" s="113"/>
      <c r="X964" s="113"/>
      <c r="Y964" s="113"/>
      <c r="Z964" s="113"/>
    </row>
    <row x14ac:dyDescent="0.25" r="965" customHeight="1" ht="15.75">
      <c r="A965" s="123"/>
      <c r="B965" s="123"/>
      <c r="C965" s="124"/>
      <c r="D965" s="124"/>
      <c r="E965" s="124"/>
      <c r="F965" s="113"/>
      <c r="G965" s="113"/>
      <c r="H965" s="113"/>
      <c r="I965" s="113"/>
      <c r="J965" s="113"/>
      <c r="K965" s="113"/>
      <c r="L965" s="113"/>
      <c r="M965" s="113"/>
      <c r="N965" s="113"/>
      <c r="O965" s="124"/>
      <c r="P965" s="113"/>
      <c r="Q965" s="113"/>
      <c r="R965" s="113"/>
      <c r="S965" s="113"/>
      <c r="T965" s="113"/>
      <c r="U965" s="113"/>
      <c r="V965" s="113"/>
      <c r="W965" s="113"/>
      <c r="X965" s="113"/>
      <c r="Y965" s="113"/>
      <c r="Z965" s="113"/>
    </row>
    <row x14ac:dyDescent="0.25" r="966" customHeight="1" ht="15.75">
      <c r="A966" s="123"/>
      <c r="B966" s="123"/>
      <c r="C966" s="124"/>
      <c r="D966" s="124"/>
      <c r="E966" s="124"/>
      <c r="F966" s="113"/>
      <c r="G966" s="113"/>
      <c r="H966" s="113"/>
      <c r="I966" s="113"/>
      <c r="J966" s="113"/>
      <c r="K966" s="113"/>
      <c r="L966" s="113"/>
      <c r="M966" s="113"/>
      <c r="N966" s="113"/>
      <c r="O966" s="124"/>
      <c r="P966" s="113"/>
      <c r="Q966" s="113"/>
      <c r="R966" s="113"/>
      <c r="S966" s="113"/>
      <c r="T966" s="113"/>
      <c r="U966" s="113"/>
      <c r="V966" s="113"/>
      <c r="W966" s="113"/>
      <c r="X966" s="113"/>
      <c r="Y966" s="113"/>
      <c r="Z966" s="113"/>
    </row>
    <row x14ac:dyDescent="0.25" r="967" customHeight="1" ht="15.75">
      <c r="A967" s="123"/>
      <c r="B967" s="123"/>
      <c r="C967" s="124"/>
      <c r="D967" s="124"/>
      <c r="E967" s="124"/>
      <c r="F967" s="113"/>
      <c r="G967" s="113"/>
      <c r="H967" s="113"/>
      <c r="I967" s="113"/>
      <c r="J967" s="113"/>
      <c r="K967" s="113"/>
      <c r="L967" s="113"/>
      <c r="M967" s="113"/>
      <c r="N967" s="113"/>
      <c r="O967" s="124"/>
      <c r="P967" s="113"/>
      <c r="Q967" s="113"/>
      <c r="R967" s="113"/>
      <c r="S967" s="113"/>
      <c r="T967" s="113"/>
      <c r="U967" s="113"/>
      <c r="V967" s="113"/>
      <c r="W967" s="113"/>
      <c r="X967" s="113"/>
      <c r="Y967" s="113"/>
      <c r="Z967" s="113"/>
    </row>
    <row x14ac:dyDescent="0.25" r="968" customHeight="1" ht="15.75">
      <c r="A968" s="123"/>
      <c r="B968" s="123"/>
      <c r="C968" s="124"/>
      <c r="D968" s="124"/>
      <c r="E968" s="124"/>
      <c r="F968" s="113"/>
      <c r="G968" s="113"/>
      <c r="H968" s="113"/>
      <c r="I968" s="113"/>
      <c r="J968" s="113"/>
      <c r="K968" s="113"/>
      <c r="L968" s="113"/>
      <c r="M968" s="113"/>
      <c r="N968" s="113"/>
      <c r="O968" s="124"/>
      <c r="P968" s="113"/>
      <c r="Q968" s="113"/>
      <c r="R968" s="113"/>
      <c r="S968" s="113"/>
      <c r="T968" s="113"/>
      <c r="U968" s="113"/>
      <c r="V968" s="113"/>
      <c r="W968" s="113"/>
      <c r="X968" s="113"/>
      <c r="Y968" s="113"/>
      <c r="Z968" s="113"/>
    </row>
    <row x14ac:dyDescent="0.25" r="969" customHeight="1" ht="15.75">
      <c r="A969" s="123"/>
      <c r="B969" s="123"/>
      <c r="C969" s="124"/>
      <c r="D969" s="124"/>
      <c r="E969" s="124"/>
      <c r="F969" s="113"/>
      <c r="G969" s="113"/>
      <c r="H969" s="113"/>
      <c r="I969" s="113"/>
      <c r="J969" s="113"/>
      <c r="K969" s="113"/>
      <c r="L969" s="113"/>
      <c r="M969" s="113"/>
      <c r="N969" s="113"/>
      <c r="O969" s="124"/>
      <c r="P969" s="113"/>
      <c r="Q969" s="113"/>
      <c r="R969" s="113"/>
      <c r="S969" s="113"/>
      <c r="T969" s="113"/>
      <c r="U969" s="113"/>
      <c r="V969" s="113"/>
      <c r="W969" s="113"/>
      <c r="X969" s="113"/>
      <c r="Y969" s="113"/>
      <c r="Z969" s="113"/>
    </row>
    <row x14ac:dyDescent="0.25" r="970" customHeight="1" ht="15.75">
      <c r="A970" s="123"/>
      <c r="B970" s="123"/>
      <c r="C970" s="124"/>
      <c r="D970" s="124"/>
      <c r="E970" s="124"/>
      <c r="F970" s="113"/>
      <c r="G970" s="113"/>
      <c r="H970" s="113"/>
      <c r="I970" s="113"/>
      <c r="J970" s="113"/>
      <c r="K970" s="113"/>
      <c r="L970" s="113"/>
      <c r="M970" s="113"/>
      <c r="N970" s="113"/>
      <c r="O970" s="124"/>
      <c r="P970" s="113"/>
      <c r="Q970" s="113"/>
      <c r="R970" s="113"/>
      <c r="S970" s="113"/>
      <c r="T970" s="113"/>
      <c r="U970" s="113"/>
      <c r="V970" s="113"/>
      <c r="W970" s="113"/>
      <c r="X970" s="113"/>
      <c r="Y970" s="113"/>
      <c r="Z970" s="113"/>
    </row>
    <row x14ac:dyDescent="0.25" r="971" customHeight="1" ht="15.75">
      <c r="A971" s="123"/>
      <c r="B971" s="123"/>
      <c r="C971" s="124"/>
      <c r="D971" s="124"/>
      <c r="E971" s="124"/>
      <c r="F971" s="113"/>
      <c r="G971" s="113"/>
      <c r="H971" s="113"/>
      <c r="I971" s="113"/>
      <c r="J971" s="113"/>
      <c r="K971" s="113"/>
      <c r="L971" s="113"/>
      <c r="M971" s="113"/>
      <c r="N971" s="113"/>
      <c r="O971" s="124"/>
      <c r="P971" s="113"/>
      <c r="Q971" s="113"/>
      <c r="R971" s="113"/>
      <c r="S971" s="113"/>
      <c r="T971" s="113"/>
      <c r="U971" s="113"/>
      <c r="V971" s="113"/>
      <c r="W971" s="113"/>
      <c r="X971" s="113"/>
      <c r="Y971" s="113"/>
      <c r="Z971" s="113"/>
    </row>
    <row x14ac:dyDescent="0.25" r="972" customHeight="1" ht="15.75">
      <c r="A972" s="123"/>
      <c r="B972" s="123"/>
      <c r="C972" s="124"/>
      <c r="D972" s="124"/>
      <c r="E972" s="124"/>
      <c r="F972" s="113"/>
      <c r="G972" s="113"/>
      <c r="H972" s="113"/>
      <c r="I972" s="113"/>
      <c r="J972" s="113"/>
      <c r="K972" s="113"/>
      <c r="L972" s="113"/>
      <c r="M972" s="113"/>
      <c r="N972" s="113"/>
      <c r="O972" s="124"/>
      <c r="P972" s="113"/>
      <c r="Q972" s="113"/>
      <c r="R972" s="113"/>
      <c r="S972" s="113"/>
      <c r="T972" s="113"/>
      <c r="U972" s="113"/>
      <c r="V972" s="113"/>
      <c r="W972" s="113"/>
      <c r="X972" s="113"/>
      <c r="Y972" s="113"/>
      <c r="Z972" s="113"/>
    </row>
    <row x14ac:dyDescent="0.25" r="973" customHeight="1" ht="15.75">
      <c r="A973" s="123"/>
      <c r="B973" s="123"/>
      <c r="C973" s="124"/>
      <c r="D973" s="124"/>
      <c r="E973" s="124"/>
      <c r="F973" s="113"/>
      <c r="G973" s="113"/>
      <c r="H973" s="113"/>
      <c r="I973" s="113"/>
      <c r="J973" s="113"/>
      <c r="K973" s="113"/>
      <c r="L973" s="113"/>
      <c r="M973" s="113"/>
      <c r="N973" s="113"/>
      <c r="O973" s="124"/>
      <c r="P973" s="113"/>
      <c r="Q973" s="113"/>
      <c r="R973" s="113"/>
      <c r="S973" s="113"/>
      <c r="T973" s="113"/>
      <c r="U973" s="113"/>
      <c r="V973" s="113"/>
      <c r="W973" s="113"/>
      <c r="X973" s="113"/>
      <c r="Y973" s="113"/>
      <c r="Z973" s="113"/>
    </row>
    <row x14ac:dyDescent="0.25" r="974" customHeight="1" ht="15.75">
      <c r="A974" s="123"/>
      <c r="B974" s="123"/>
      <c r="C974" s="124"/>
      <c r="D974" s="124"/>
      <c r="E974" s="124"/>
      <c r="F974" s="113"/>
      <c r="G974" s="113"/>
      <c r="H974" s="113"/>
      <c r="I974" s="113"/>
      <c r="J974" s="113"/>
      <c r="K974" s="113"/>
      <c r="L974" s="113"/>
      <c r="M974" s="113"/>
      <c r="N974" s="113"/>
      <c r="O974" s="124"/>
      <c r="P974" s="113"/>
      <c r="Q974" s="113"/>
      <c r="R974" s="113"/>
      <c r="S974" s="113"/>
      <c r="T974" s="113"/>
      <c r="U974" s="113"/>
      <c r="V974" s="113"/>
      <c r="W974" s="113"/>
      <c r="X974" s="113"/>
      <c r="Y974" s="113"/>
      <c r="Z974" s="113"/>
    </row>
    <row x14ac:dyDescent="0.25" r="975" customHeight="1" ht="15.75">
      <c r="A975" s="123"/>
      <c r="B975" s="123"/>
      <c r="C975" s="124"/>
      <c r="D975" s="124"/>
      <c r="E975" s="124"/>
      <c r="F975" s="113"/>
      <c r="G975" s="113"/>
      <c r="H975" s="113"/>
      <c r="I975" s="113"/>
      <c r="J975" s="113"/>
      <c r="K975" s="113"/>
      <c r="L975" s="113"/>
      <c r="M975" s="113"/>
      <c r="N975" s="113"/>
      <c r="O975" s="124"/>
      <c r="P975" s="113"/>
      <c r="Q975" s="113"/>
      <c r="R975" s="113"/>
      <c r="S975" s="113"/>
      <c r="T975" s="113"/>
      <c r="U975" s="113"/>
      <c r="V975" s="113"/>
      <c r="W975" s="113"/>
      <c r="X975" s="113"/>
      <c r="Y975" s="113"/>
      <c r="Z975" s="113"/>
    </row>
    <row x14ac:dyDescent="0.25" r="976" customHeight="1" ht="15.75">
      <c r="A976" s="123"/>
      <c r="B976" s="123"/>
      <c r="C976" s="124"/>
      <c r="D976" s="124"/>
      <c r="E976" s="124"/>
      <c r="F976" s="113"/>
      <c r="G976" s="113"/>
      <c r="H976" s="113"/>
      <c r="I976" s="113"/>
      <c r="J976" s="113"/>
      <c r="K976" s="113"/>
      <c r="L976" s="113"/>
      <c r="M976" s="113"/>
      <c r="N976" s="113"/>
      <c r="O976" s="124"/>
      <c r="P976" s="113"/>
      <c r="Q976" s="113"/>
      <c r="R976" s="113"/>
      <c r="S976" s="113"/>
      <c r="T976" s="113"/>
      <c r="U976" s="113"/>
      <c r="V976" s="113"/>
      <c r="W976" s="113"/>
      <c r="X976" s="113"/>
      <c r="Y976" s="113"/>
      <c r="Z976" s="113"/>
    </row>
    <row x14ac:dyDescent="0.25" r="977" customHeight="1" ht="15.75">
      <c r="A977" s="123"/>
      <c r="B977" s="123"/>
      <c r="C977" s="124"/>
      <c r="D977" s="124"/>
      <c r="E977" s="124"/>
      <c r="F977" s="113"/>
      <c r="G977" s="113"/>
      <c r="H977" s="113"/>
      <c r="I977" s="113"/>
      <c r="J977" s="113"/>
      <c r="K977" s="113"/>
      <c r="L977" s="113"/>
      <c r="M977" s="113"/>
      <c r="N977" s="113"/>
      <c r="O977" s="124"/>
      <c r="P977" s="113"/>
      <c r="Q977" s="113"/>
      <c r="R977" s="113"/>
      <c r="S977" s="113"/>
      <c r="T977" s="113"/>
      <c r="U977" s="113"/>
      <c r="V977" s="113"/>
      <c r="W977" s="113"/>
      <c r="X977" s="113"/>
      <c r="Y977" s="113"/>
      <c r="Z977" s="113"/>
    </row>
    <row x14ac:dyDescent="0.25" r="978" customHeight="1" ht="15.75">
      <c r="A978" s="123"/>
      <c r="B978" s="123"/>
      <c r="C978" s="124"/>
      <c r="D978" s="124"/>
      <c r="E978" s="124"/>
      <c r="F978" s="113"/>
      <c r="G978" s="113"/>
      <c r="H978" s="113"/>
      <c r="I978" s="113"/>
      <c r="J978" s="113"/>
      <c r="K978" s="113"/>
      <c r="L978" s="113"/>
      <c r="M978" s="113"/>
      <c r="N978" s="113"/>
      <c r="O978" s="124"/>
      <c r="P978" s="113"/>
      <c r="Q978" s="113"/>
      <c r="R978" s="113"/>
      <c r="S978" s="113"/>
      <c r="T978" s="113"/>
      <c r="U978" s="113"/>
      <c r="V978" s="113"/>
      <c r="W978" s="113"/>
      <c r="X978" s="113"/>
      <c r="Y978" s="113"/>
      <c r="Z978" s="113"/>
    </row>
    <row x14ac:dyDescent="0.25" r="979" customHeight="1" ht="15.75">
      <c r="A979" s="123"/>
      <c r="B979" s="123"/>
      <c r="C979" s="124"/>
      <c r="D979" s="124"/>
      <c r="E979" s="124"/>
      <c r="F979" s="113"/>
      <c r="G979" s="113"/>
      <c r="H979" s="113"/>
      <c r="I979" s="113"/>
      <c r="J979" s="113"/>
      <c r="K979" s="113"/>
      <c r="L979" s="113"/>
      <c r="M979" s="113"/>
      <c r="N979" s="113"/>
      <c r="O979" s="124"/>
      <c r="P979" s="113"/>
      <c r="Q979" s="113"/>
      <c r="R979" s="113"/>
      <c r="S979" s="113"/>
      <c r="T979" s="113"/>
      <c r="U979" s="113"/>
      <c r="V979" s="113"/>
      <c r="W979" s="113"/>
      <c r="X979" s="113"/>
      <c r="Y979" s="113"/>
      <c r="Z979" s="113"/>
    </row>
    <row x14ac:dyDescent="0.25" r="980" customHeight="1" ht="15.75">
      <c r="A980" s="123"/>
      <c r="B980" s="123"/>
      <c r="C980" s="124"/>
      <c r="D980" s="124"/>
      <c r="E980" s="124"/>
      <c r="F980" s="113"/>
      <c r="G980" s="113"/>
      <c r="H980" s="113"/>
      <c r="I980" s="113"/>
      <c r="J980" s="113"/>
      <c r="K980" s="113"/>
      <c r="L980" s="113"/>
      <c r="M980" s="113"/>
      <c r="N980" s="113"/>
      <c r="O980" s="124"/>
      <c r="P980" s="113"/>
      <c r="Q980" s="113"/>
      <c r="R980" s="113"/>
      <c r="S980" s="113"/>
      <c r="T980" s="113"/>
      <c r="U980" s="113"/>
      <c r="V980" s="113"/>
      <c r="W980" s="113"/>
      <c r="X980" s="113"/>
      <c r="Y980" s="113"/>
      <c r="Z980" s="113"/>
    </row>
    <row x14ac:dyDescent="0.25" r="981" customHeight="1" ht="15.75">
      <c r="A981" s="123"/>
      <c r="B981" s="123"/>
      <c r="C981" s="124"/>
      <c r="D981" s="124"/>
      <c r="E981" s="124"/>
      <c r="F981" s="113"/>
      <c r="G981" s="113"/>
      <c r="H981" s="113"/>
      <c r="I981" s="113"/>
      <c r="J981" s="113"/>
      <c r="K981" s="113"/>
      <c r="L981" s="113"/>
      <c r="M981" s="113"/>
      <c r="N981" s="113"/>
      <c r="O981" s="124"/>
      <c r="P981" s="113"/>
      <c r="Q981" s="113"/>
      <c r="R981" s="113"/>
      <c r="S981" s="113"/>
      <c r="T981" s="113"/>
      <c r="U981" s="113"/>
      <c r="V981" s="113"/>
      <c r="W981" s="113"/>
      <c r="X981" s="113"/>
      <c r="Y981" s="113"/>
      <c r="Z981" s="113"/>
    </row>
    <row x14ac:dyDescent="0.25" r="982" customHeight="1" ht="15.75">
      <c r="A982" s="123"/>
      <c r="B982" s="123"/>
      <c r="C982" s="124"/>
      <c r="D982" s="124"/>
      <c r="E982" s="124"/>
      <c r="F982" s="113"/>
      <c r="G982" s="113"/>
      <c r="H982" s="113"/>
      <c r="I982" s="113"/>
      <c r="J982" s="113"/>
      <c r="K982" s="113"/>
      <c r="L982" s="113"/>
      <c r="M982" s="113"/>
      <c r="N982" s="113"/>
      <c r="O982" s="124"/>
      <c r="P982" s="113"/>
      <c r="Q982" s="113"/>
      <c r="R982" s="113"/>
      <c r="S982" s="113"/>
      <c r="T982" s="113"/>
      <c r="U982" s="113"/>
      <c r="V982" s="113"/>
      <c r="W982" s="113"/>
      <c r="X982" s="113"/>
      <c r="Y982" s="113"/>
      <c r="Z982" s="113"/>
    </row>
    <row x14ac:dyDescent="0.25" r="983" customHeight="1" ht="15.75">
      <c r="A983" s="123"/>
      <c r="B983" s="123"/>
      <c r="C983" s="124"/>
      <c r="D983" s="124"/>
      <c r="E983" s="124"/>
      <c r="F983" s="113"/>
      <c r="G983" s="113"/>
      <c r="H983" s="113"/>
      <c r="I983" s="113"/>
      <c r="J983" s="113"/>
      <c r="K983" s="113"/>
      <c r="L983" s="113"/>
      <c r="M983" s="113"/>
      <c r="N983" s="113"/>
      <c r="O983" s="124"/>
      <c r="P983" s="113"/>
      <c r="Q983" s="113"/>
      <c r="R983" s="113"/>
      <c r="S983" s="113"/>
      <c r="T983" s="113"/>
      <c r="U983" s="113"/>
      <c r="V983" s="113"/>
      <c r="W983" s="113"/>
      <c r="X983" s="113"/>
      <c r="Y983" s="113"/>
      <c r="Z983" s="113"/>
    </row>
    <row x14ac:dyDescent="0.25" r="984" customHeight="1" ht="15.75">
      <c r="A984" s="123"/>
      <c r="B984" s="123"/>
      <c r="C984" s="124"/>
      <c r="D984" s="124"/>
      <c r="E984" s="124"/>
      <c r="F984" s="113"/>
      <c r="G984" s="113"/>
      <c r="H984" s="113"/>
      <c r="I984" s="113"/>
      <c r="J984" s="113"/>
      <c r="K984" s="113"/>
      <c r="L984" s="113"/>
      <c r="M984" s="113"/>
      <c r="N984" s="113"/>
      <c r="O984" s="124"/>
      <c r="P984" s="113"/>
      <c r="Q984" s="113"/>
      <c r="R984" s="113"/>
      <c r="S984" s="113"/>
      <c r="T984" s="113"/>
      <c r="U984" s="113"/>
      <c r="V984" s="113"/>
      <c r="W984" s="113"/>
      <c r="X984" s="113"/>
      <c r="Y984" s="113"/>
      <c r="Z984" s="113"/>
    </row>
    <row x14ac:dyDescent="0.25" r="985" customHeight="1" ht="15.75">
      <c r="A985" s="123"/>
      <c r="B985" s="123"/>
      <c r="C985" s="124"/>
      <c r="D985" s="124"/>
      <c r="E985" s="124"/>
      <c r="F985" s="113"/>
      <c r="G985" s="113"/>
      <c r="H985" s="113"/>
      <c r="I985" s="113"/>
      <c r="J985" s="113"/>
      <c r="K985" s="113"/>
      <c r="L985" s="113"/>
      <c r="M985" s="113"/>
      <c r="N985" s="113"/>
      <c r="O985" s="124"/>
      <c r="P985" s="113"/>
      <c r="Q985" s="113"/>
      <c r="R985" s="113"/>
      <c r="S985" s="113"/>
      <c r="T985" s="113"/>
      <c r="U985" s="113"/>
      <c r="V985" s="113"/>
      <c r="W985" s="113"/>
      <c r="X985" s="113"/>
      <c r="Y985" s="113"/>
      <c r="Z985" s="113"/>
    </row>
    <row x14ac:dyDescent="0.25" r="986" customHeight="1" ht="15.75">
      <c r="A986" s="123"/>
      <c r="B986" s="123"/>
      <c r="C986" s="124"/>
      <c r="D986" s="124"/>
      <c r="E986" s="124"/>
      <c r="F986" s="113"/>
      <c r="G986" s="113"/>
      <c r="H986" s="113"/>
      <c r="I986" s="113"/>
      <c r="J986" s="113"/>
      <c r="K986" s="113"/>
      <c r="L986" s="113"/>
      <c r="M986" s="113"/>
      <c r="N986" s="113"/>
      <c r="O986" s="124"/>
      <c r="P986" s="113"/>
      <c r="Q986" s="113"/>
      <c r="R986" s="113"/>
      <c r="S986" s="113"/>
      <c r="T986" s="113"/>
      <c r="U986" s="113"/>
      <c r="V986" s="113"/>
      <c r="W986" s="113"/>
      <c r="X986" s="113"/>
      <c r="Y986" s="113"/>
      <c r="Z986" s="113"/>
    </row>
    <row x14ac:dyDescent="0.25" r="987" customHeight="1" ht="15.75">
      <c r="A987" s="123"/>
      <c r="B987" s="123"/>
      <c r="C987" s="124"/>
      <c r="D987" s="124"/>
      <c r="E987" s="124"/>
      <c r="F987" s="113"/>
      <c r="G987" s="113"/>
      <c r="H987" s="113"/>
      <c r="I987" s="113"/>
      <c r="J987" s="113"/>
      <c r="K987" s="113"/>
      <c r="L987" s="113"/>
      <c r="M987" s="113"/>
      <c r="N987" s="113"/>
      <c r="O987" s="124"/>
      <c r="P987" s="113"/>
      <c r="Q987" s="113"/>
      <c r="R987" s="113"/>
      <c r="S987" s="113"/>
      <c r="T987" s="113"/>
      <c r="U987" s="113"/>
      <c r="V987" s="113"/>
      <c r="W987" s="113"/>
      <c r="X987" s="113"/>
      <c r="Y987" s="113"/>
      <c r="Z987" s="113"/>
    </row>
    <row x14ac:dyDescent="0.25" r="988" customHeight="1" ht="15.75">
      <c r="A988" s="123"/>
      <c r="B988" s="123"/>
      <c r="C988" s="124"/>
      <c r="D988" s="124"/>
      <c r="E988" s="124"/>
      <c r="F988" s="113"/>
      <c r="G988" s="113"/>
      <c r="H988" s="113"/>
      <c r="I988" s="113"/>
      <c r="J988" s="113"/>
      <c r="K988" s="113"/>
      <c r="L988" s="113"/>
      <c r="M988" s="113"/>
      <c r="N988" s="113"/>
      <c r="O988" s="124"/>
      <c r="P988" s="113"/>
      <c r="Q988" s="113"/>
      <c r="R988" s="113"/>
      <c r="S988" s="113"/>
      <c r="T988" s="113"/>
      <c r="U988" s="113"/>
      <c r="V988" s="113"/>
      <c r="W988" s="113"/>
      <c r="X988" s="113"/>
      <c r="Y988" s="113"/>
      <c r="Z988" s="113"/>
    </row>
    <row x14ac:dyDescent="0.25" r="989" customHeight="1" ht="15.75">
      <c r="A989" s="123"/>
      <c r="B989" s="123"/>
      <c r="C989" s="124"/>
      <c r="D989" s="124"/>
      <c r="E989" s="124"/>
      <c r="F989" s="113"/>
      <c r="G989" s="113"/>
      <c r="H989" s="113"/>
      <c r="I989" s="113"/>
      <c r="J989" s="113"/>
      <c r="K989" s="113"/>
      <c r="L989" s="113"/>
      <c r="M989" s="113"/>
      <c r="N989" s="113"/>
      <c r="O989" s="124"/>
      <c r="P989" s="113"/>
      <c r="Q989" s="113"/>
      <c r="R989" s="113"/>
      <c r="S989" s="113"/>
      <c r="T989" s="113"/>
      <c r="U989" s="113"/>
      <c r="V989" s="113"/>
      <c r="W989" s="113"/>
      <c r="X989" s="113"/>
      <c r="Y989" s="113"/>
      <c r="Z989" s="113"/>
    </row>
    <row x14ac:dyDescent="0.25" r="990" customHeight="1" ht="15.75">
      <c r="A990" s="123"/>
      <c r="B990" s="123"/>
      <c r="C990" s="124"/>
      <c r="D990" s="124"/>
      <c r="E990" s="124"/>
      <c r="F990" s="113"/>
      <c r="G990" s="113"/>
      <c r="H990" s="113"/>
      <c r="I990" s="113"/>
      <c r="J990" s="113"/>
      <c r="K990" s="113"/>
      <c r="L990" s="113"/>
      <c r="M990" s="113"/>
      <c r="N990" s="113"/>
      <c r="O990" s="124"/>
      <c r="P990" s="113"/>
      <c r="Q990" s="113"/>
      <c r="R990" s="113"/>
      <c r="S990" s="113"/>
      <c r="T990" s="113"/>
      <c r="U990" s="113"/>
      <c r="V990" s="113"/>
      <c r="W990" s="113"/>
      <c r="X990" s="113"/>
      <c r="Y990" s="113"/>
      <c r="Z990" s="113"/>
    </row>
    <row x14ac:dyDescent="0.25" r="991" customHeight="1" ht="15.75">
      <c r="A991" s="123"/>
      <c r="B991" s="123"/>
      <c r="C991" s="124"/>
      <c r="D991" s="124"/>
      <c r="E991" s="124"/>
      <c r="F991" s="113"/>
      <c r="G991" s="113"/>
      <c r="H991" s="113"/>
      <c r="I991" s="113"/>
      <c r="J991" s="113"/>
      <c r="K991" s="113"/>
      <c r="L991" s="113"/>
      <c r="M991" s="113"/>
      <c r="N991" s="113"/>
      <c r="O991" s="124"/>
      <c r="P991" s="113"/>
      <c r="Q991" s="113"/>
      <c r="R991" s="113"/>
      <c r="S991" s="113"/>
      <c r="T991" s="113"/>
      <c r="U991" s="113"/>
      <c r="V991" s="113"/>
      <c r="W991" s="113"/>
      <c r="X991" s="113"/>
      <c r="Y991" s="113"/>
      <c r="Z991" s="113"/>
    </row>
    <row x14ac:dyDescent="0.25" r="992" customHeight="1" ht="15.75">
      <c r="A992" s="123"/>
      <c r="B992" s="123"/>
      <c r="C992" s="124"/>
      <c r="D992" s="124"/>
      <c r="E992" s="124"/>
      <c r="F992" s="113"/>
      <c r="G992" s="113"/>
      <c r="H992" s="113"/>
      <c r="I992" s="113"/>
      <c r="J992" s="113"/>
      <c r="K992" s="113"/>
      <c r="L992" s="113"/>
      <c r="M992" s="113"/>
      <c r="N992" s="113"/>
      <c r="O992" s="124"/>
      <c r="P992" s="113"/>
      <c r="Q992" s="113"/>
      <c r="R992" s="113"/>
      <c r="S992" s="113"/>
      <c r="T992" s="113"/>
      <c r="U992" s="113"/>
      <c r="V992" s="113"/>
      <c r="W992" s="113"/>
      <c r="X992" s="113"/>
      <c r="Y992" s="113"/>
      <c r="Z992" s="113"/>
    </row>
    <row x14ac:dyDescent="0.25" r="993" customHeight="1" ht="15.75">
      <c r="A993" s="123"/>
      <c r="B993" s="123"/>
      <c r="C993" s="124"/>
      <c r="D993" s="124"/>
      <c r="E993" s="124"/>
      <c r="F993" s="113"/>
      <c r="G993" s="113"/>
      <c r="H993" s="113"/>
      <c r="I993" s="113"/>
      <c r="J993" s="113"/>
      <c r="K993" s="113"/>
      <c r="L993" s="113"/>
      <c r="M993" s="113"/>
      <c r="N993" s="113"/>
      <c r="O993" s="124"/>
      <c r="P993" s="113"/>
      <c r="Q993" s="113"/>
      <c r="R993" s="113"/>
      <c r="S993" s="113"/>
      <c r="T993" s="113"/>
      <c r="U993" s="113"/>
      <c r="V993" s="113"/>
      <c r="W993" s="113"/>
      <c r="X993" s="113"/>
      <c r="Y993" s="113"/>
      <c r="Z993" s="113"/>
    </row>
    <row x14ac:dyDescent="0.25" r="994" customHeight="1" ht="15.75">
      <c r="A994" s="123"/>
      <c r="B994" s="123"/>
      <c r="C994" s="124"/>
      <c r="D994" s="124"/>
      <c r="E994" s="124"/>
      <c r="F994" s="113"/>
      <c r="G994" s="113"/>
      <c r="H994" s="113"/>
      <c r="I994" s="113"/>
      <c r="J994" s="113"/>
      <c r="K994" s="113"/>
      <c r="L994" s="113"/>
      <c r="M994" s="113"/>
      <c r="N994" s="113"/>
      <c r="O994" s="124"/>
      <c r="P994" s="113"/>
      <c r="Q994" s="113"/>
      <c r="R994" s="113"/>
      <c r="S994" s="113"/>
      <c r="T994" s="113"/>
      <c r="U994" s="113"/>
      <c r="V994" s="113"/>
      <c r="W994" s="113"/>
      <c r="X994" s="113"/>
      <c r="Y994" s="113"/>
      <c r="Z994" s="113"/>
    </row>
    <row x14ac:dyDescent="0.25" r="995" customHeight="1" ht="15.75">
      <c r="A995" s="123"/>
      <c r="B995" s="123"/>
      <c r="C995" s="124"/>
      <c r="D995" s="124"/>
      <c r="E995" s="124"/>
      <c r="F995" s="113"/>
      <c r="G995" s="113"/>
      <c r="H995" s="113"/>
      <c r="I995" s="113"/>
      <c r="J995" s="113"/>
      <c r="K995" s="113"/>
      <c r="L995" s="113"/>
      <c r="M995" s="113"/>
      <c r="N995" s="113"/>
      <c r="O995" s="124"/>
      <c r="P995" s="113"/>
      <c r="Q995" s="113"/>
      <c r="R995" s="113"/>
      <c r="S995" s="113"/>
      <c r="T995" s="113"/>
      <c r="U995" s="113"/>
      <c r="V995" s="113"/>
      <c r="W995" s="113"/>
      <c r="X995" s="113"/>
      <c r="Y995" s="113"/>
      <c r="Z995" s="113"/>
    </row>
    <row x14ac:dyDescent="0.25" r="996" customHeight="1" ht="15.75">
      <c r="A996" s="123"/>
      <c r="B996" s="123"/>
      <c r="C996" s="124"/>
      <c r="D996" s="124"/>
      <c r="E996" s="124"/>
      <c r="F996" s="113"/>
      <c r="G996" s="113"/>
      <c r="H996" s="113"/>
      <c r="I996" s="113"/>
      <c r="J996" s="113"/>
      <c r="K996" s="113"/>
      <c r="L996" s="113"/>
      <c r="M996" s="113"/>
      <c r="N996" s="113"/>
      <c r="O996" s="124"/>
      <c r="P996" s="113"/>
      <c r="Q996" s="113"/>
      <c r="R996" s="113"/>
      <c r="S996" s="113"/>
      <c r="T996" s="113"/>
      <c r="U996" s="113"/>
      <c r="V996" s="113"/>
      <c r="W996" s="113"/>
      <c r="X996" s="113"/>
      <c r="Y996" s="113"/>
      <c r="Z996" s="113"/>
    </row>
    <row x14ac:dyDescent="0.25" r="997" customHeight="1" ht="15.75">
      <c r="A997" s="123"/>
      <c r="B997" s="123"/>
      <c r="C997" s="124"/>
      <c r="D997" s="124"/>
      <c r="E997" s="124"/>
      <c r="F997" s="113"/>
      <c r="G997" s="113"/>
      <c r="H997" s="113"/>
      <c r="I997" s="113"/>
      <c r="J997" s="113"/>
      <c r="K997" s="113"/>
      <c r="L997" s="113"/>
      <c r="M997" s="113"/>
      <c r="N997" s="113"/>
      <c r="O997" s="124"/>
      <c r="P997" s="113"/>
      <c r="Q997" s="113"/>
      <c r="R997" s="113"/>
      <c r="S997" s="113"/>
      <c r="T997" s="113"/>
      <c r="U997" s="113"/>
      <c r="V997" s="113"/>
      <c r="W997" s="113"/>
      <c r="X997" s="113"/>
      <c r="Y997" s="113"/>
      <c r="Z997" s="113"/>
    </row>
    <row x14ac:dyDescent="0.25" r="998" customHeight="1" ht="15.75">
      <c r="A998" s="123"/>
      <c r="B998" s="123"/>
      <c r="C998" s="124"/>
      <c r="D998" s="124"/>
      <c r="E998" s="124"/>
      <c r="F998" s="113"/>
      <c r="G998" s="113"/>
      <c r="H998" s="113"/>
      <c r="I998" s="113"/>
      <c r="J998" s="113"/>
      <c r="K998" s="113"/>
      <c r="L998" s="113"/>
      <c r="M998" s="113"/>
      <c r="N998" s="113"/>
      <c r="O998" s="124"/>
      <c r="P998" s="113"/>
      <c r="Q998" s="113"/>
      <c r="R998" s="113"/>
      <c r="S998" s="113"/>
      <c r="T998" s="113"/>
      <c r="U998" s="113"/>
      <c r="V998" s="113"/>
      <c r="W998" s="113"/>
      <c r="X998" s="113"/>
      <c r="Y998" s="113"/>
      <c r="Z998" s="113"/>
    </row>
    <row x14ac:dyDescent="0.25" r="999" customHeight="1" ht="15.75">
      <c r="A999" s="123"/>
      <c r="B999" s="123"/>
      <c r="C999" s="124"/>
      <c r="D999" s="124"/>
      <c r="E999" s="124"/>
      <c r="F999" s="113"/>
      <c r="G999" s="113"/>
      <c r="H999" s="113"/>
      <c r="I999" s="113"/>
      <c r="J999" s="113"/>
      <c r="K999" s="113"/>
      <c r="L999" s="113"/>
      <c r="M999" s="113"/>
      <c r="N999" s="113"/>
      <c r="O999" s="124"/>
      <c r="P999" s="113"/>
      <c r="Q999" s="113"/>
      <c r="R999" s="113"/>
      <c r="S999" s="113"/>
      <c r="T999" s="113"/>
      <c r="U999" s="113"/>
      <c r="V999" s="113"/>
      <c r="W999" s="113"/>
      <c r="X999" s="113"/>
      <c r="Y999" s="113"/>
      <c r="Z999" s="113"/>
    </row>
    <row x14ac:dyDescent="0.25" r="1000" customHeight="1" ht="15.75">
      <c r="A1000" s="123"/>
      <c r="B1000" s="123"/>
      <c r="C1000" s="124"/>
      <c r="D1000" s="124"/>
      <c r="E1000" s="124"/>
      <c r="F1000" s="113"/>
      <c r="G1000" s="113"/>
      <c r="H1000" s="113"/>
      <c r="I1000" s="113"/>
      <c r="J1000" s="113"/>
      <c r="K1000" s="113"/>
      <c r="L1000" s="113"/>
      <c r="M1000" s="113"/>
      <c r="N1000" s="113"/>
      <c r="O1000" s="124"/>
      <c r="P1000" s="113"/>
      <c r="Q1000" s="113"/>
      <c r="R1000" s="113"/>
      <c r="S1000" s="113"/>
      <c r="T1000" s="113"/>
      <c r="U1000" s="113"/>
      <c r="V1000" s="113"/>
      <c r="W1000" s="113"/>
      <c r="X1000" s="113"/>
      <c r="Y1000" s="113"/>
      <c r="Z1000" s="113"/>
    </row>
  </sheetData>
  <mergeCells count="5">
    <mergeCell ref="A1:O1"/>
    <mergeCell ref="A3:B3"/>
    <mergeCell ref="A4:A9"/>
    <mergeCell ref="A11:B11"/>
    <mergeCell ref="A12:A1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O24"/>
  <sheetViews>
    <sheetView workbookViewId="0"/>
  </sheetViews>
  <sheetFormatPr defaultRowHeight="15" x14ac:dyDescent="0.25"/>
  <cols>
    <col min="1" max="1" style="9" width="38.005" customWidth="1" bestFit="1"/>
    <col min="2" max="2" style="9" width="41.71928571428572" customWidth="1" bestFit="1"/>
    <col min="3" max="3" style="107" width="12.005" customWidth="1" bestFit="1"/>
    <col min="4" max="4" style="108" width="12.005" customWidth="1" bestFit="1"/>
    <col min="5" max="5" style="107" width="12.005" customWidth="1" bestFit="1"/>
    <col min="6" max="6" style="9" width="12.005" customWidth="1" bestFit="1"/>
    <col min="7" max="7" style="9" width="12.005" customWidth="1" bestFit="1"/>
    <col min="8" max="8" style="9" width="12.005" customWidth="1" bestFit="1"/>
    <col min="9" max="9" style="9" width="12.005" customWidth="1" bestFit="1"/>
    <col min="10" max="10" style="9" width="12.005" customWidth="1" bestFit="1"/>
    <col min="11" max="11" style="9" width="12.005" customWidth="1" bestFit="1"/>
    <col min="12" max="12" style="9" width="12.005" customWidth="1" bestFit="1"/>
    <col min="13" max="13" style="9" width="12.005" customWidth="1" bestFit="1"/>
    <col min="14" max="14" style="9" width="12.005" customWidth="1" bestFit="1"/>
    <col min="15" max="15" style="107" width="14.005" customWidth="1" bestFit="1"/>
  </cols>
  <sheetData>
    <row x14ac:dyDescent="0.25" r="1" customHeight="1" ht="18.75">
      <c r="A1" s="81"/>
      <c r="B1" s="81"/>
      <c r="C1" s="82"/>
      <c r="D1" s="83"/>
      <c r="E1" s="82"/>
      <c r="F1" s="81"/>
      <c r="G1" s="81"/>
      <c r="H1" s="81"/>
      <c r="I1" s="81"/>
      <c r="J1" s="81"/>
      <c r="K1" s="81"/>
      <c r="L1" s="81"/>
      <c r="M1" s="81"/>
      <c r="N1" s="81"/>
      <c r="O1" s="82"/>
    </row>
    <row x14ac:dyDescent="0.25" r="2" customHeight="1" ht="19.2">
      <c r="A2" s="84" t="s">
        <v>3157</v>
      </c>
      <c r="B2" s="84"/>
      <c r="C2" s="85"/>
      <c r="D2" s="86"/>
      <c r="E2" s="85"/>
      <c r="F2" s="84"/>
      <c r="G2" s="84"/>
      <c r="H2" s="84"/>
      <c r="I2" s="84"/>
      <c r="J2" s="84"/>
      <c r="K2" s="84"/>
      <c r="L2" s="84"/>
      <c r="M2" s="84"/>
      <c r="N2" s="84"/>
      <c r="O2" s="85"/>
    </row>
    <row x14ac:dyDescent="0.25" r="3" customHeight="1" ht="17.55">
      <c r="A3" s="87" t="s">
        <v>3158</v>
      </c>
      <c r="B3" s="87" t="s">
        <v>3159</v>
      </c>
      <c r="C3" s="88" t="s">
        <v>3127</v>
      </c>
      <c r="D3" s="89" t="s">
        <v>3128</v>
      </c>
      <c r="E3" s="88" t="s">
        <v>3129</v>
      </c>
      <c r="F3" s="87" t="s">
        <v>3130</v>
      </c>
      <c r="G3" s="87" t="s">
        <v>3131</v>
      </c>
      <c r="H3" s="87" t="s">
        <v>3132</v>
      </c>
      <c r="I3" s="87" t="s">
        <v>3133</v>
      </c>
      <c r="J3" s="87" t="s">
        <v>3134</v>
      </c>
      <c r="K3" s="87" t="s">
        <v>3135</v>
      </c>
      <c r="L3" s="87" t="s">
        <v>3136</v>
      </c>
      <c r="M3" s="87" t="s">
        <v>3137</v>
      </c>
      <c r="N3" s="87" t="s">
        <v>3138</v>
      </c>
      <c r="O3" s="88" t="s">
        <v>3160</v>
      </c>
    </row>
    <row x14ac:dyDescent="0.25" r="4" customHeight="1" ht="18.75">
      <c r="A4" s="90" t="s">
        <v>3161</v>
      </c>
      <c r="B4" s="91" t="s">
        <v>3161</v>
      </c>
      <c r="C4" s="92">
        <v>591</v>
      </c>
      <c r="D4" s="93">
        <v>588</v>
      </c>
      <c r="E4" s="92">
        <v>596</v>
      </c>
      <c r="F4" s="92"/>
      <c r="G4" s="92"/>
      <c r="H4" s="92"/>
      <c r="I4" s="92"/>
      <c r="J4" s="92"/>
      <c r="K4" s="92"/>
      <c r="L4" s="92"/>
      <c r="M4" s="92"/>
      <c r="N4" s="92"/>
      <c r="O4" s="94">
        <f>IF(COUNTA(C4:N4)=0,"",SUM(C4:N4))</f>
      </c>
    </row>
    <row x14ac:dyDescent="0.25" r="5" customHeight="1" ht="18.75">
      <c r="A5" s="95"/>
      <c r="B5" s="96"/>
      <c r="C5" s="97"/>
      <c r="D5" s="98"/>
      <c r="E5" s="97"/>
      <c r="F5" s="99"/>
      <c r="G5" s="99"/>
      <c r="H5" s="99"/>
      <c r="I5" s="99"/>
      <c r="J5" s="99"/>
      <c r="K5" s="99"/>
      <c r="L5" s="99"/>
      <c r="M5" s="99"/>
      <c r="N5" s="99"/>
      <c r="O5" s="100"/>
    </row>
    <row x14ac:dyDescent="0.25" r="6" customHeight="1" ht="18.75">
      <c r="A6" s="90" t="s">
        <v>3162</v>
      </c>
      <c r="B6" s="91" t="s">
        <v>3162</v>
      </c>
      <c r="C6" s="92">
        <v>144</v>
      </c>
      <c r="D6" s="93">
        <v>138</v>
      </c>
      <c r="E6" s="92">
        <v>148</v>
      </c>
      <c r="F6" s="92"/>
      <c r="G6" s="92"/>
      <c r="H6" s="92"/>
      <c r="I6" s="92"/>
      <c r="J6" s="92"/>
      <c r="K6" s="92"/>
      <c r="L6" s="92"/>
      <c r="M6" s="92"/>
      <c r="N6" s="92"/>
      <c r="O6" s="94">
        <f>IF(COUNTA(C6:N6)=0,"",SUM(C6:N6))</f>
      </c>
    </row>
    <row x14ac:dyDescent="0.25" r="7" customHeight="1" ht="18.75">
      <c r="A7" s="95"/>
      <c r="B7" s="96"/>
      <c r="C7" s="97"/>
      <c r="D7" s="98"/>
      <c r="E7" s="97"/>
      <c r="F7" s="99"/>
      <c r="G7" s="99"/>
      <c r="H7" s="99"/>
      <c r="I7" s="99"/>
      <c r="J7" s="99"/>
      <c r="K7" s="99"/>
      <c r="L7" s="99"/>
      <c r="M7" s="99"/>
      <c r="N7" s="99"/>
      <c r="O7" s="100"/>
    </row>
    <row x14ac:dyDescent="0.25" r="8" customHeight="1" ht="18.75">
      <c r="A8" s="90" t="s">
        <v>3163</v>
      </c>
      <c r="B8" s="91" t="s">
        <v>3163</v>
      </c>
      <c r="C8" s="92">
        <v>134</v>
      </c>
      <c r="D8" s="93">
        <v>136</v>
      </c>
      <c r="E8" s="92">
        <v>139</v>
      </c>
      <c r="F8" s="92"/>
      <c r="G8" s="92"/>
      <c r="H8" s="92"/>
      <c r="I8" s="92"/>
      <c r="J8" s="92"/>
      <c r="K8" s="92"/>
      <c r="L8" s="92"/>
      <c r="M8" s="92"/>
      <c r="N8" s="92"/>
      <c r="O8" s="94">
        <f>IF(COUNTA(C8:N8)=0,"",SUM(C8:N8))</f>
      </c>
    </row>
    <row x14ac:dyDescent="0.25" r="9" customHeight="1" ht="18.75">
      <c r="A9" s="95"/>
      <c r="B9" s="96"/>
      <c r="C9" s="97"/>
      <c r="D9" s="98"/>
      <c r="E9" s="97"/>
      <c r="F9" s="99"/>
      <c r="G9" s="99"/>
      <c r="H9" s="99"/>
      <c r="I9" s="99"/>
      <c r="J9" s="99"/>
      <c r="K9" s="99"/>
      <c r="L9" s="99"/>
      <c r="M9" s="99"/>
      <c r="N9" s="99"/>
      <c r="O9" s="100"/>
    </row>
    <row x14ac:dyDescent="0.25" r="10" customHeight="1" ht="18.75">
      <c r="A10" s="90" t="s">
        <v>3164</v>
      </c>
      <c r="B10" s="91" t="s">
        <v>3164</v>
      </c>
      <c r="C10" s="92">
        <v>4</v>
      </c>
      <c r="D10" s="93">
        <v>10</v>
      </c>
      <c r="E10" s="92">
        <v>20</v>
      </c>
      <c r="F10" s="92"/>
      <c r="G10" s="92"/>
      <c r="H10" s="92"/>
      <c r="I10" s="92"/>
      <c r="J10" s="92"/>
      <c r="K10" s="92"/>
      <c r="L10" s="92"/>
      <c r="M10" s="92"/>
      <c r="N10" s="92"/>
      <c r="O10" s="94">
        <f>IF(COUNTA(C10:N10)=0,"",SUM(C10:N10))</f>
      </c>
    </row>
    <row x14ac:dyDescent="0.25" r="11" customHeight="1" ht="18.75">
      <c r="A11" s="95"/>
      <c r="B11" s="96"/>
      <c r="C11" s="97"/>
      <c r="D11" s="98"/>
      <c r="E11" s="97"/>
      <c r="F11" s="99"/>
      <c r="G11" s="99"/>
      <c r="H11" s="99"/>
      <c r="I11" s="99"/>
      <c r="J11" s="99"/>
      <c r="K11" s="99"/>
      <c r="L11" s="99"/>
      <c r="M11" s="99"/>
      <c r="N11" s="99"/>
      <c r="O11" s="100"/>
    </row>
    <row x14ac:dyDescent="0.25" r="12" customHeight="1" ht="18.75">
      <c r="A12" s="90" t="s">
        <v>3165</v>
      </c>
      <c r="B12" s="91" t="s">
        <v>3165</v>
      </c>
      <c r="C12" s="92">
        <v>5</v>
      </c>
      <c r="D12" s="93">
        <v>9</v>
      </c>
      <c r="E12" s="92">
        <v>4</v>
      </c>
      <c r="F12" s="92"/>
      <c r="G12" s="92"/>
      <c r="H12" s="92"/>
      <c r="I12" s="92"/>
      <c r="J12" s="92"/>
      <c r="K12" s="92"/>
      <c r="L12" s="92"/>
      <c r="M12" s="92"/>
      <c r="N12" s="92"/>
      <c r="O12" s="94">
        <f>IF(COUNTA(C12:N12)=0,"",SUM(C12:N12))</f>
      </c>
    </row>
    <row x14ac:dyDescent="0.25" r="13" customHeight="1" ht="18.75">
      <c r="A13" s="95"/>
      <c r="B13" s="96"/>
      <c r="C13" s="97"/>
      <c r="D13" s="98"/>
      <c r="E13" s="97"/>
      <c r="F13" s="99"/>
      <c r="G13" s="99"/>
      <c r="H13" s="99"/>
      <c r="I13" s="99"/>
      <c r="J13" s="99"/>
      <c r="K13" s="99"/>
      <c r="L13" s="99"/>
      <c r="M13" s="99"/>
      <c r="N13" s="99"/>
      <c r="O13" s="100"/>
    </row>
    <row x14ac:dyDescent="0.25" r="14" customHeight="1" ht="18.75">
      <c r="A14" s="90" t="s">
        <v>3166</v>
      </c>
      <c r="B14" s="91" t="s">
        <v>3166</v>
      </c>
      <c r="C14" s="101">
        <v>0.0078</v>
      </c>
      <c r="D14" s="101">
        <v>0.0159</v>
      </c>
      <c r="E14" s="101">
        <v>0.0197</v>
      </c>
      <c r="F14" s="92"/>
      <c r="G14" s="92"/>
      <c r="H14" s="92"/>
      <c r="I14" s="92"/>
      <c r="J14" s="92"/>
      <c r="K14" s="92"/>
      <c r="L14" s="92"/>
      <c r="M14" s="92"/>
      <c r="N14" s="92"/>
      <c r="O14" s="94">
        <f>IF(COUNTA(C14:N14)=0,"",AVERAGE(C14:N14))</f>
      </c>
    </row>
    <row x14ac:dyDescent="0.25" r="15" customHeight="1" ht="18.75">
      <c r="A15" s="102" t="s">
        <v>3167</v>
      </c>
      <c r="B15" s="103" t="s">
        <v>3167</v>
      </c>
      <c r="C15" s="104"/>
      <c r="D15" s="105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6"/>
    </row>
    <row x14ac:dyDescent="0.25" r="16" customHeight="1" ht="18.75">
      <c r="A16" s="95"/>
      <c r="B16" s="96"/>
      <c r="C16" s="97"/>
      <c r="D16" s="98"/>
      <c r="E16" s="97"/>
      <c r="F16" s="99"/>
      <c r="G16" s="99"/>
      <c r="H16" s="99"/>
      <c r="I16" s="99"/>
      <c r="J16" s="99"/>
      <c r="K16" s="99"/>
      <c r="L16" s="99"/>
      <c r="M16" s="99"/>
      <c r="N16" s="99"/>
      <c r="O16" s="100"/>
    </row>
    <row x14ac:dyDescent="0.25" r="17" customHeight="1" ht="18.75">
      <c r="A17" s="90" t="s">
        <v>3168</v>
      </c>
      <c r="B17" s="91" t="s">
        <v>3168</v>
      </c>
      <c r="C17" s="101">
        <v>0.0346</v>
      </c>
      <c r="D17" s="101">
        <v>0.0175</v>
      </c>
      <c r="E17" s="101">
        <v>0.034</v>
      </c>
      <c r="F17" s="92"/>
      <c r="G17" s="92"/>
      <c r="H17" s="92"/>
      <c r="I17" s="92"/>
      <c r="J17" s="92"/>
      <c r="K17" s="92"/>
      <c r="L17" s="92"/>
      <c r="M17" s="92"/>
      <c r="N17" s="92"/>
      <c r="O17" s="94">
        <f>IF(COUNTA(C17:N17)=0,"",AVERAGE(C17:N17))</f>
      </c>
    </row>
    <row x14ac:dyDescent="0.25" r="18" customHeight="1" ht="18.75">
      <c r="A18" s="102" t="s">
        <v>3167</v>
      </c>
      <c r="B18" s="103" t="s">
        <v>3167</v>
      </c>
      <c r="C18" s="104"/>
      <c r="D18" s="105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6"/>
    </row>
    <row x14ac:dyDescent="0.25" r="19" customHeight="1" ht="18.75">
      <c r="A19" s="95"/>
      <c r="B19" s="96"/>
      <c r="C19" s="97"/>
      <c r="D19" s="98"/>
      <c r="E19" s="97"/>
      <c r="F19" s="99"/>
      <c r="G19" s="99"/>
      <c r="H19" s="99"/>
      <c r="I19" s="99"/>
      <c r="J19" s="99"/>
      <c r="K19" s="99"/>
      <c r="L19" s="99"/>
      <c r="M19" s="99"/>
      <c r="N19" s="99"/>
      <c r="O19" s="100"/>
    </row>
    <row x14ac:dyDescent="0.25" r="20" customHeight="1" ht="18.75">
      <c r="A20" s="90" t="s">
        <v>3169</v>
      </c>
      <c r="B20" s="91" t="s">
        <v>3169</v>
      </c>
      <c r="C20" s="92">
        <v>4</v>
      </c>
      <c r="D20" s="93">
        <v>8</v>
      </c>
      <c r="E20" s="92">
        <v>2</v>
      </c>
      <c r="F20" s="92"/>
      <c r="G20" s="92"/>
      <c r="H20" s="92"/>
      <c r="I20" s="92"/>
      <c r="J20" s="92"/>
      <c r="K20" s="92"/>
      <c r="L20" s="92"/>
      <c r="M20" s="92"/>
      <c r="N20" s="92"/>
      <c r="O20" s="94">
        <f>IF(COUNTA(C20:N20)=0,"",SUM(C20:N20))</f>
      </c>
    </row>
    <row x14ac:dyDescent="0.25" r="21" customHeight="1" ht="18.75">
      <c r="A21" s="95"/>
      <c r="B21" s="96"/>
      <c r="C21" s="97"/>
      <c r="D21" s="98"/>
      <c r="E21" s="97"/>
      <c r="F21" s="99"/>
      <c r="G21" s="99"/>
      <c r="H21" s="99"/>
      <c r="I21" s="99"/>
      <c r="J21" s="99"/>
      <c r="K21" s="99"/>
      <c r="L21" s="99"/>
      <c r="M21" s="99"/>
      <c r="N21" s="99"/>
      <c r="O21" s="100"/>
    </row>
    <row x14ac:dyDescent="0.25" r="22" customHeight="1" ht="18.75">
      <c r="A22" s="90" t="s">
        <v>3170</v>
      </c>
      <c r="B22" s="91" t="s">
        <v>3170</v>
      </c>
      <c r="C22" s="92">
        <v>0</v>
      </c>
      <c r="D22" s="93">
        <v>0</v>
      </c>
      <c r="E22" s="92">
        <v>0</v>
      </c>
      <c r="F22" s="92"/>
      <c r="G22" s="92"/>
      <c r="H22" s="92"/>
      <c r="I22" s="92"/>
      <c r="J22" s="92"/>
      <c r="K22" s="92"/>
      <c r="L22" s="92"/>
      <c r="M22" s="92"/>
      <c r="N22" s="92"/>
      <c r="O22" s="94">
        <f>IF(COUNTA(C22:N22)=0,"",SUM(C22:N22))</f>
      </c>
    </row>
    <row x14ac:dyDescent="0.25" r="23" customHeight="1" ht="18.75">
      <c r="A23" s="102" t="s">
        <v>3167</v>
      </c>
      <c r="B23" s="103" t="s">
        <v>3167</v>
      </c>
      <c r="C23" s="104"/>
      <c r="D23" s="105"/>
      <c r="E23" s="104"/>
      <c r="F23" s="104"/>
      <c r="G23" s="104"/>
      <c r="H23" s="104"/>
      <c r="I23" s="104"/>
      <c r="J23" s="104"/>
      <c r="K23" s="104"/>
      <c r="L23" s="104"/>
      <c r="M23" s="104"/>
      <c r="N23" s="104"/>
      <c r="O23" s="106"/>
    </row>
    <row x14ac:dyDescent="0.25" r="24" customHeight="1" ht="18.75">
      <c r="A24" s="95"/>
      <c r="B24" s="96"/>
      <c r="C24" s="97"/>
      <c r="D24" s="98"/>
      <c r="E24" s="97"/>
      <c r="F24" s="99"/>
      <c r="G24" s="99"/>
      <c r="H24" s="99"/>
      <c r="I24" s="99"/>
      <c r="J24" s="99"/>
      <c r="K24" s="99"/>
      <c r="L24" s="99"/>
      <c r="M24" s="99"/>
      <c r="N24" s="99"/>
      <c r="O24" s="10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O20"/>
  <sheetViews>
    <sheetView workbookViewId="0" tabSelected="1"/>
  </sheetViews>
  <sheetFormatPr defaultRowHeight="15" x14ac:dyDescent="0.25"/>
  <cols>
    <col min="1" max="1" style="79" width="29.719285714285714" customWidth="1" bestFit="1"/>
    <col min="2" max="2" style="80" width="57.71928571428572" customWidth="1" bestFit="1"/>
    <col min="3" max="3" style="63" width="15.719285714285713" customWidth="1" bestFit="1"/>
    <col min="4" max="4" style="63" width="15.719285714285713" customWidth="1" bestFit="1"/>
    <col min="5" max="5" style="63" width="15.719285714285713" customWidth="1" bestFit="1"/>
    <col min="6" max="6" style="62" width="9.576428571428572" customWidth="1" bestFit="1"/>
    <col min="7" max="7" style="62" width="9.005" customWidth="1" bestFit="1"/>
    <col min="8" max="8" style="62" width="10.719285714285713" customWidth="1" bestFit="1"/>
    <col min="9" max="9" style="62" width="12.862142857142858" customWidth="1" bestFit="1"/>
    <col min="10" max="10" style="62" width="12.290714285714287" customWidth="1" bestFit="1"/>
    <col min="11" max="11" style="62" width="14.005" customWidth="1" bestFit="1"/>
    <col min="12" max="12" style="62" width="13.290714285714287" customWidth="1" bestFit="1"/>
    <col min="13" max="13" style="62" width="10.719285714285713" customWidth="1" bestFit="1"/>
    <col min="14" max="14" style="62" width="12.862142857142858" customWidth="1" bestFit="1"/>
    <col min="15" max="15" style="63" width="16.719285714285714" customWidth="1" bestFit="1"/>
  </cols>
  <sheetData>
    <row x14ac:dyDescent="0.25" r="1" customHeight="1" ht="18.75" customFormat="1" s="64" hidden="1">
      <c r="A1" s="65"/>
      <c r="B1" s="65"/>
      <c r="C1" s="66"/>
      <c r="D1" s="66"/>
      <c r="E1" s="66"/>
      <c r="F1" s="67"/>
      <c r="G1" s="67"/>
      <c r="H1" s="67"/>
      <c r="I1" s="67"/>
      <c r="J1" s="67"/>
      <c r="K1" s="67"/>
      <c r="L1" s="67"/>
      <c r="M1" s="67"/>
      <c r="N1" s="67"/>
      <c r="O1" s="66"/>
    </row>
    <row x14ac:dyDescent="0.25" r="2" customHeight="1" ht="37.8">
      <c r="A2" s="68" t="s">
        <v>3126</v>
      </c>
      <c r="B2" s="68"/>
      <c r="C2" s="69"/>
      <c r="D2" s="69"/>
      <c r="E2" s="69"/>
      <c r="F2" s="70"/>
      <c r="G2" s="70"/>
      <c r="H2" s="70"/>
      <c r="I2" s="70"/>
      <c r="J2" s="70"/>
      <c r="K2" s="70"/>
      <c r="L2" s="70"/>
      <c r="M2" s="70"/>
      <c r="N2" s="70"/>
      <c r="O2" s="69"/>
    </row>
    <row x14ac:dyDescent="0.25" r="3" customHeight="1" ht="18.75">
      <c r="A3" s="68"/>
      <c r="B3" s="68"/>
      <c r="C3" s="69" t="s">
        <v>3127</v>
      </c>
      <c r="D3" s="69" t="s">
        <v>3128</v>
      </c>
      <c r="E3" s="69" t="s">
        <v>3129</v>
      </c>
      <c r="F3" s="70" t="s">
        <v>3130</v>
      </c>
      <c r="G3" s="70" t="s">
        <v>3131</v>
      </c>
      <c r="H3" s="70" t="s">
        <v>3132</v>
      </c>
      <c r="I3" s="70" t="s">
        <v>3133</v>
      </c>
      <c r="J3" s="70" t="s">
        <v>3134</v>
      </c>
      <c r="K3" s="70" t="s">
        <v>3135</v>
      </c>
      <c r="L3" s="70" t="s">
        <v>3136</v>
      </c>
      <c r="M3" s="70" t="s">
        <v>3137</v>
      </c>
      <c r="N3" s="70" t="s">
        <v>3138</v>
      </c>
      <c r="O3" s="69" t="s">
        <v>3139</v>
      </c>
    </row>
    <row x14ac:dyDescent="0.25" r="4" customHeight="1" ht="17.4">
      <c r="A4" s="71" t="s">
        <v>3140</v>
      </c>
      <c r="B4" s="72" t="s">
        <v>3141</v>
      </c>
      <c r="C4" s="73">
        <v>116000</v>
      </c>
      <c r="D4" s="73">
        <v>140400</v>
      </c>
      <c r="E4" s="73">
        <v>124600</v>
      </c>
      <c r="F4" s="74"/>
      <c r="G4" s="74"/>
      <c r="H4" s="74"/>
      <c r="I4" s="74"/>
      <c r="J4" s="74"/>
      <c r="K4" s="74"/>
      <c r="L4" s="74"/>
      <c r="M4" s="74"/>
      <c r="N4" s="74"/>
      <c r="O4" s="73">
        <f>SUM(C4:N4)</f>
      </c>
    </row>
    <row x14ac:dyDescent="0.25" r="5" customHeight="1" ht="17.4">
      <c r="A5" s="75"/>
      <c r="B5" s="72" t="s">
        <v>3142</v>
      </c>
      <c r="C5" s="73">
        <v>2000</v>
      </c>
      <c r="D5" s="73">
        <v>2000</v>
      </c>
      <c r="E5" s="73">
        <v>2000</v>
      </c>
      <c r="F5" s="74"/>
      <c r="G5" s="74"/>
      <c r="H5" s="74"/>
      <c r="I5" s="74"/>
      <c r="J5" s="74"/>
      <c r="K5" s="74"/>
      <c r="L5" s="74"/>
      <c r="M5" s="74"/>
      <c r="N5" s="74"/>
      <c r="O5" s="73">
        <f>SUM(C5:N5)</f>
      </c>
    </row>
    <row x14ac:dyDescent="0.25" r="6" customHeight="1" ht="17.4">
      <c r="A6" s="75"/>
      <c r="B6" s="72" t="s">
        <v>3143</v>
      </c>
      <c r="C6" s="73">
        <v>5200</v>
      </c>
      <c r="D6" s="73">
        <v>5200</v>
      </c>
      <c r="E6" s="73">
        <v>5200</v>
      </c>
      <c r="F6" s="74"/>
      <c r="G6" s="74"/>
      <c r="H6" s="74"/>
      <c r="I6" s="74"/>
      <c r="J6" s="74"/>
      <c r="K6" s="74"/>
      <c r="L6" s="74"/>
      <c r="M6" s="74"/>
      <c r="N6" s="74"/>
      <c r="O6" s="73">
        <f>SUM(C6:N6)</f>
      </c>
    </row>
    <row x14ac:dyDescent="0.25" r="7" customHeight="1" ht="17.4">
      <c r="A7" s="75"/>
      <c r="B7" s="72" t="s">
        <v>3144</v>
      </c>
      <c r="C7" s="73">
        <v>2632875</v>
      </c>
      <c r="D7" s="73">
        <v>2962865</v>
      </c>
      <c r="E7" s="73">
        <v>2952575</v>
      </c>
      <c r="F7" s="74"/>
      <c r="G7" s="74"/>
      <c r="H7" s="74"/>
      <c r="I7" s="74"/>
      <c r="J7" s="74"/>
      <c r="K7" s="74"/>
      <c r="L7" s="74"/>
      <c r="M7" s="74"/>
      <c r="N7" s="74"/>
      <c r="O7" s="73">
        <f>SUM(C7:N7)</f>
      </c>
    </row>
    <row x14ac:dyDescent="0.25" r="8" customHeight="1" ht="17.4">
      <c r="A8" s="75"/>
      <c r="B8" s="72" t="s">
        <v>3145</v>
      </c>
      <c r="C8" s="73">
        <v>36000</v>
      </c>
      <c r="D8" s="73">
        <v>36000</v>
      </c>
      <c r="E8" s="73">
        <v>36000</v>
      </c>
      <c r="F8" s="74"/>
      <c r="G8" s="74"/>
      <c r="H8" s="74"/>
      <c r="I8" s="74"/>
      <c r="J8" s="74"/>
      <c r="K8" s="74"/>
      <c r="L8" s="74"/>
      <c r="M8" s="74"/>
      <c r="N8" s="74"/>
      <c r="O8" s="73">
        <f>SUM(C8:N8)</f>
      </c>
    </row>
    <row x14ac:dyDescent="0.25" r="9" customHeight="1" ht="17.4">
      <c r="A9" s="75"/>
      <c r="B9" s="72" t="s">
        <v>3146</v>
      </c>
      <c r="C9" s="73">
        <v>31640</v>
      </c>
      <c r="D9" s="73">
        <v>31640</v>
      </c>
      <c r="E9" s="73">
        <v>32360</v>
      </c>
      <c r="F9" s="74"/>
      <c r="G9" s="74"/>
      <c r="H9" s="74"/>
      <c r="I9" s="74"/>
      <c r="J9" s="74"/>
      <c r="K9" s="74"/>
      <c r="L9" s="74"/>
      <c r="M9" s="74"/>
      <c r="N9" s="74"/>
      <c r="O9" s="73">
        <f>SUM(C9:N9)</f>
      </c>
    </row>
    <row x14ac:dyDescent="0.25" r="10" customHeight="1" ht="17.4">
      <c r="A10" s="75"/>
      <c r="B10" s="72" t="s">
        <v>3147</v>
      </c>
      <c r="C10" s="73">
        <v>20000</v>
      </c>
      <c r="D10" s="73">
        <v>20000</v>
      </c>
      <c r="E10" s="73">
        <v>20000</v>
      </c>
      <c r="F10" s="74"/>
      <c r="G10" s="74"/>
      <c r="H10" s="74"/>
      <c r="I10" s="74"/>
      <c r="J10" s="74"/>
      <c r="K10" s="74"/>
      <c r="L10" s="74"/>
      <c r="M10" s="74"/>
      <c r="N10" s="74"/>
      <c r="O10" s="73">
        <f>SUM(C10:N10)</f>
      </c>
    </row>
    <row x14ac:dyDescent="0.25" r="11" customHeight="1" ht="17.4">
      <c r="A11" s="75"/>
      <c r="B11" s="72" t="s">
        <v>3148</v>
      </c>
      <c r="C11" s="73">
        <v>0</v>
      </c>
      <c r="D11" s="73">
        <v>6000</v>
      </c>
      <c r="E11" s="73">
        <v>6000</v>
      </c>
      <c r="F11" s="74"/>
      <c r="G11" s="74"/>
      <c r="H11" s="74"/>
      <c r="I11" s="74"/>
      <c r="J11" s="74"/>
      <c r="K11" s="74"/>
      <c r="L11" s="74"/>
      <c r="M11" s="74"/>
      <c r="N11" s="74"/>
      <c r="O11" s="73">
        <f>SUM(C11:N11)</f>
      </c>
    </row>
    <row x14ac:dyDescent="0.25" r="12" customHeight="1" ht="17.4">
      <c r="A12" s="75"/>
      <c r="B12" s="72" t="s">
        <v>3149</v>
      </c>
      <c r="C12" s="73">
        <v>3317.72</v>
      </c>
      <c r="D12" s="73">
        <v>3041.64</v>
      </c>
      <c r="E12" s="73">
        <v>3580.56</v>
      </c>
      <c r="F12" s="74"/>
      <c r="G12" s="74"/>
      <c r="H12" s="74"/>
      <c r="I12" s="74"/>
      <c r="J12" s="74"/>
      <c r="K12" s="74"/>
      <c r="L12" s="74"/>
      <c r="M12" s="74"/>
      <c r="N12" s="74"/>
      <c r="O12" s="73">
        <f>SUM(C12:N12)</f>
      </c>
    </row>
    <row x14ac:dyDescent="0.25" r="13" customHeight="1" ht="17.4">
      <c r="A13" s="75"/>
      <c r="B13" s="72" t="s">
        <v>3150</v>
      </c>
      <c r="C13" s="73">
        <v>8000</v>
      </c>
      <c r="D13" s="73">
        <v>8000</v>
      </c>
      <c r="E13" s="73">
        <v>8000</v>
      </c>
      <c r="F13" s="74"/>
      <c r="G13" s="74"/>
      <c r="H13" s="74"/>
      <c r="I13" s="74"/>
      <c r="J13" s="74"/>
      <c r="K13" s="74"/>
      <c r="L13" s="74"/>
      <c r="M13" s="74"/>
      <c r="N13" s="74"/>
      <c r="O13" s="73">
        <f>SUM(C13:N13)</f>
      </c>
    </row>
    <row x14ac:dyDescent="0.25" r="14" customHeight="1" ht="17.4">
      <c r="A14" s="75"/>
      <c r="B14" s="72" t="s">
        <v>3151</v>
      </c>
      <c r="C14" s="73">
        <v>52074.12</v>
      </c>
      <c r="D14" s="73">
        <v>54970.78</v>
      </c>
      <c r="E14" s="73">
        <v>57544.12</v>
      </c>
      <c r="F14" s="74"/>
      <c r="G14" s="74"/>
      <c r="H14" s="74"/>
      <c r="I14" s="74"/>
      <c r="J14" s="74"/>
      <c r="K14" s="74"/>
      <c r="L14" s="74"/>
      <c r="M14" s="74"/>
      <c r="N14" s="74"/>
      <c r="O14" s="73">
        <f>SUM(C14:N14)</f>
      </c>
    </row>
    <row x14ac:dyDescent="0.25" r="15" customHeight="1" ht="17.4">
      <c r="A15" s="75"/>
      <c r="B15" s="72" t="s">
        <v>3152</v>
      </c>
      <c r="C15" s="73">
        <v>4500</v>
      </c>
      <c r="D15" s="73">
        <v>4500</v>
      </c>
      <c r="E15" s="73">
        <v>4500</v>
      </c>
      <c r="F15" s="74"/>
      <c r="G15" s="74"/>
      <c r="H15" s="74"/>
      <c r="I15" s="74"/>
      <c r="J15" s="74"/>
      <c r="K15" s="74"/>
      <c r="L15" s="74"/>
      <c r="M15" s="74"/>
      <c r="N15" s="74"/>
      <c r="O15" s="73">
        <f>SUM(C15:N15)</f>
      </c>
    </row>
    <row x14ac:dyDescent="0.25" r="16" customHeight="1" ht="17.4">
      <c r="A16" s="75"/>
      <c r="B16" s="72" t="s">
        <v>3153</v>
      </c>
      <c r="C16" s="73">
        <v>2427768.04</v>
      </c>
      <c r="D16" s="73">
        <v>2446870.57</v>
      </c>
      <c r="E16" s="73">
        <v>2569649.67</v>
      </c>
      <c r="F16" s="74"/>
      <c r="G16" s="74"/>
      <c r="H16" s="74"/>
      <c r="I16" s="74"/>
      <c r="J16" s="74"/>
      <c r="K16" s="74"/>
      <c r="L16" s="74"/>
      <c r="M16" s="74"/>
      <c r="N16" s="74"/>
      <c r="O16" s="73">
        <f>SUM(C16:N16)</f>
      </c>
    </row>
    <row x14ac:dyDescent="0.25" r="17" customHeight="1" ht="17.4">
      <c r="A17" s="75"/>
      <c r="B17" s="72" t="s">
        <v>3154</v>
      </c>
      <c r="C17" s="73" t="s">
        <v>3155</v>
      </c>
      <c r="D17" s="73" t="s">
        <v>3155</v>
      </c>
      <c r="E17" s="73">
        <v>12774.2</v>
      </c>
      <c r="F17" s="74"/>
      <c r="G17" s="74"/>
      <c r="H17" s="74"/>
      <c r="I17" s="74"/>
      <c r="J17" s="74"/>
      <c r="K17" s="74"/>
      <c r="L17" s="74"/>
      <c r="M17" s="74"/>
      <c r="N17" s="74"/>
      <c r="O17" s="73">
        <f>SUM(C17:N17)</f>
      </c>
    </row>
    <row x14ac:dyDescent="0.25" r="18" customHeight="1" ht="17.4">
      <c r="A18" s="75"/>
      <c r="B18" s="72" t="s">
        <v>3156</v>
      </c>
      <c r="C18" s="73">
        <v>200</v>
      </c>
      <c r="D18" s="73">
        <v>5200</v>
      </c>
      <c r="E18" s="73">
        <v>18244</v>
      </c>
      <c r="F18" s="74"/>
      <c r="G18" s="74"/>
      <c r="H18" s="74"/>
      <c r="I18" s="74"/>
      <c r="J18" s="74"/>
      <c r="K18" s="74"/>
      <c r="L18" s="74"/>
      <c r="M18" s="74"/>
      <c r="N18" s="74"/>
      <c r="O18" s="73">
        <f>SUM(C18:N18)</f>
      </c>
    </row>
    <row x14ac:dyDescent="0.25" r="19" customHeight="1" ht="17.4">
      <c r="A19" s="75"/>
      <c r="B19" s="72" t="s">
        <v>3139</v>
      </c>
      <c r="C19" s="73">
        <f>SUM(C4:C18)</f>
      </c>
      <c r="D19" s="73">
        <f>SUM(D4:D18)</f>
      </c>
      <c r="E19" s="73">
        <f>SUM(E4:E18)</f>
      </c>
      <c r="F19" s="74">
        <f>SUM(F4:F18)</f>
      </c>
      <c r="G19" s="74">
        <f>SUM(G4:G18)</f>
      </c>
      <c r="H19" s="74">
        <f>SUM(H4:H18)</f>
      </c>
      <c r="I19" s="74">
        <f>SUM(I4:I18)</f>
      </c>
      <c r="J19" s="74">
        <f>SUM(J4:J18)</f>
      </c>
      <c r="K19" s="74">
        <f>SUM(K4:K18)</f>
      </c>
      <c r="L19" s="74">
        <f>SUM(L4:L18)</f>
      </c>
      <c r="M19" s="74">
        <f>SUM(M4:M18)</f>
      </c>
      <c r="N19" s="74">
        <f>SUM(N4:N18)</f>
      </c>
      <c r="O19" s="73">
        <f>SUM(C19:N19)</f>
      </c>
    </row>
    <row x14ac:dyDescent="0.25" r="20" customHeight="1" ht="18.75">
      <c r="A20" s="76"/>
      <c r="B20" s="76"/>
      <c r="C20" s="77"/>
      <c r="D20" s="77"/>
      <c r="E20" s="77"/>
      <c r="F20" s="78"/>
      <c r="G20" s="78"/>
      <c r="H20" s="78"/>
      <c r="I20" s="78"/>
      <c r="J20" s="78"/>
      <c r="K20" s="78"/>
      <c r="L20" s="78"/>
      <c r="M20" s="78"/>
      <c r="N20" s="78"/>
      <c r="O20" s="77"/>
    </row>
  </sheetData>
  <mergeCells count="3">
    <mergeCell ref="A1:O1"/>
    <mergeCell ref="A3:B3"/>
    <mergeCell ref="A4:A19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U759"/>
  <sheetViews>
    <sheetView workbookViewId="0"/>
  </sheetViews>
  <sheetFormatPr defaultRowHeight="15" x14ac:dyDescent="0.25"/>
  <cols>
    <col min="1" max="1" style="60" width="5.576428571428571" customWidth="1" bestFit="1"/>
    <col min="2" max="2" style="9" width="46.71928571428572" customWidth="1" bestFit="1"/>
    <col min="3" max="3" style="61" width="34.86214285714286" customWidth="1" bestFit="1"/>
    <col min="4" max="4" style="61" width="13.862142857142858" customWidth="1" bestFit="1"/>
    <col min="5" max="5" style="61" width="44.29071428571429" customWidth="1" bestFit="1"/>
    <col min="6" max="6" style="61" width="43.005" customWidth="1" bestFit="1"/>
    <col min="7" max="7" style="9" width="22.719285714285714" customWidth="1" bestFit="1"/>
    <col min="8" max="8" style="61" width="27.719285714285714" customWidth="1" bestFit="1"/>
    <col min="9" max="9" style="10" width="19.005" customWidth="1" bestFit="1"/>
    <col min="10" max="10" style="62" width="9.290714285714287" customWidth="1" bestFit="1"/>
    <col min="11" max="11" style="61" width="10.576428571428572" customWidth="1" bestFit="1"/>
    <col min="12" max="12" style="61" width="14.290714285714287" customWidth="1" bestFit="1"/>
    <col min="13" max="13" style="62" width="21.14785714285714" customWidth="1" bestFit="1"/>
    <col min="14" max="14" style="62" width="21.290714285714284" customWidth="1" bestFit="1"/>
    <col min="15" max="15" style="62" width="18.719285714285714" customWidth="1" bestFit="1"/>
    <col min="16" max="16" style="62" width="19.433571428571426" customWidth="1" bestFit="1"/>
    <col min="17" max="17" style="62" width="19.576428571428572" customWidth="1" bestFit="1"/>
    <col min="18" max="18" style="62" width="17.005" customWidth="1" bestFit="1"/>
    <col min="19" max="19" style="63" width="21.14785714285714" customWidth="1" bestFit="1"/>
    <col min="20" max="20" style="63" width="21.290714285714284" customWidth="1" bestFit="1"/>
    <col min="21" max="21" style="63" width="18.719285714285714" customWidth="1" bestFit="1"/>
  </cols>
  <sheetData>
    <row x14ac:dyDescent="0.25" r="1" customHeight="1" ht="20.25">
      <c r="A1" s="11" t="s">
        <v>144</v>
      </c>
      <c r="B1" s="12" t="s">
        <v>145</v>
      </c>
      <c r="C1" s="12" t="s">
        <v>146</v>
      </c>
      <c r="D1" s="12" t="s">
        <v>147</v>
      </c>
      <c r="E1" s="12" t="s">
        <v>148</v>
      </c>
      <c r="F1" s="13" t="s">
        <v>149</v>
      </c>
      <c r="G1" s="13" t="s">
        <v>150</v>
      </c>
      <c r="H1" s="14" t="s">
        <v>151</v>
      </c>
      <c r="I1" s="15" t="s">
        <v>152</v>
      </c>
      <c r="J1" s="16" t="s">
        <v>153</v>
      </c>
      <c r="K1" s="17" t="s">
        <v>154</v>
      </c>
      <c r="L1" s="17" t="s">
        <v>155</v>
      </c>
      <c r="M1" s="18" t="s">
        <v>156</v>
      </c>
      <c r="N1" s="18" t="s">
        <v>157</v>
      </c>
      <c r="O1" s="18" t="s">
        <v>158</v>
      </c>
      <c r="P1" s="19" t="s">
        <v>159</v>
      </c>
      <c r="Q1" s="19" t="s">
        <v>160</v>
      </c>
      <c r="R1" s="19" t="s">
        <v>161</v>
      </c>
      <c r="S1" s="20" t="s">
        <v>162</v>
      </c>
      <c r="T1" s="20" t="s">
        <v>163</v>
      </c>
      <c r="U1" s="20" t="s">
        <v>164</v>
      </c>
    </row>
    <row x14ac:dyDescent="0.25" r="2" customHeight="1" ht="20.25">
      <c r="A2" s="21">
        <v>1</v>
      </c>
      <c r="B2" s="22" t="s">
        <v>165</v>
      </c>
      <c r="C2" s="22" t="s">
        <v>166</v>
      </c>
      <c r="D2" s="22" t="s">
        <v>167</v>
      </c>
      <c r="E2" s="22" t="s">
        <v>76</v>
      </c>
      <c r="F2" s="23"/>
      <c r="G2" s="22"/>
      <c r="H2" s="24"/>
      <c r="I2" s="25"/>
      <c r="J2" s="26">
        <v>572</v>
      </c>
      <c r="K2" s="27" t="s">
        <v>168</v>
      </c>
      <c r="L2" s="27" t="s">
        <v>169</v>
      </c>
      <c r="M2" s="28" t="s">
        <v>170</v>
      </c>
      <c r="N2" s="28" t="s">
        <v>171</v>
      </c>
      <c r="O2" s="28" t="s">
        <v>172</v>
      </c>
      <c r="P2" s="29" t="s">
        <v>173</v>
      </c>
      <c r="Q2" s="29" t="s">
        <v>174</v>
      </c>
      <c r="R2" s="29" t="s">
        <v>175</v>
      </c>
      <c r="S2" s="30">
        <v>1681.94</v>
      </c>
      <c r="T2" s="30">
        <v>538.45</v>
      </c>
      <c r="U2" s="30">
        <v>1143.49</v>
      </c>
    </row>
    <row x14ac:dyDescent="0.25" r="3" customHeight="1" ht="20.25">
      <c r="A3" s="21">
        <v>2</v>
      </c>
      <c r="B3" s="22" t="s">
        <v>176</v>
      </c>
      <c r="C3" s="22" t="s">
        <v>177</v>
      </c>
      <c r="D3" s="22" t="s">
        <v>178</v>
      </c>
      <c r="E3" s="22" t="s">
        <v>179</v>
      </c>
      <c r="F3" s="23"/>
      <c r="G3" s="22"/>
      <c r="H3" s="24"/>
      <c r="I3" s="25"/>
      <c r="J3" s="26">
        <v>442</v>
      </c>
      <c r="K3" s="27" t="s">
        <v>180</v>
      </c>
      <c r="L3" s="27" t="s">
        <v>169</v>
      </c>
      <c r="M3" s="28" t="s">
        <v>181</v>
      </c>
      <c r="N3" s="28" t="s">
        <v>182</v>
      </c>
      <c r="O3" s="28" t="s">
        <v>183</v>
      </c>
      <c r="P3" s="29" t="s">
        <v>184</v>
      </c>
      <c r="Q3" s="29" t="s">
        <v>185</v>
      </c>
      <c r="R3" s="29" t="s">
        <v>186</v>
      </c>
      <c r="S3" s="30">
        <v>4369.44</v>
      </c>
      <c r="T3" s="30">
        <v>413.22</v>
      </c>
      <c r="U3" s="30">
        <v>3956.22</v>
      </c>
    </row>
    <row x14ac:dyDescent="0.25" r="4" customHeight="1" ht="20.25">
      <c r="A4" s="21">
        <v>3</v>
      </c>
      <c r="B4" s="22" t="s">
        <v>187</v>
      </c>
      <c r="C4" s="22" t="s">
        <v>166</v>
      </c>
      <c r="D4" s="22" t="s">
        <v>188</v>
      </c>
      <c r="E4" s="22" t="s">
        <v>12</v>
      </c>
      <c r="F4" s="23"/>
      <c r="G4" s="22"/>
      <c r="H4" s="24"/>
      <c r="I4" s="25"/>
      <c r="J4" s="26">
        <v>360</v>
      </c>
      <c r="K4" s="27" t="s">
        <v>180</v>
      </c>
      <c r="L4" s="27" t="s">
        <v>169</v>
      </c>
      <c r="M4" s="28" t="s">
        <v>170</v>
      </c>
      <c r="N4" s="28" t="s">
        <v>171</v>
      </c>
      <c r="O4" s="28" t="s">
        <v>172</v>
      </c>
      <c r="P4" s="29" t="s">
        <v>173</v>
      </c>
      <c r="Q4" s="29" t="s">
        <v>174</v>
      </c>
      <c r="R4" s="29" t="s">
        <v>175</v>
      </c>
      <c r="S4" s="30">
        <v>1684.8</v>
      </c>
      <c r="T4" s="30">
        <v>127.31</v>
      </c>
      <c r="U4" s="30">
        <v>1557.49</v>
      </c>
    </row>
    <row x14ac:dyDescent="0.25" r="5" customHeight="1" ht="20.25">
      <c r="A5" s="21">
        <v>4</v>
      </c>
      <c r="B5" s="31" t="s">
        <v>189</v>
      </c>
      <c r="C5" s="22" t="s">
        <v>190</v>
      </c>
      <c r="D5" s="22"/>
      <c r="E5" s="22" t="s">
        <v>191</v>
      </c>
      <c r="F5" s="23"/>
      <c r="G5" s="22"/>
      <c r="H5" s="24"/>
      <c r="I5" s="25"/>
      <c r="J5" s="32">
        <v>658</v>
      </c>
      <c r="K5" s="27" t="s">
        <v>192</v>
      </c>
      <c r="L5" s="27" t="s">
        <v>169</v>
      </c>
      <c r="M5" s="28"/>
      <c r="N5" s="28"/>
      <c r="O5" s="28"/>
      <c r="P5" s="29" t="s">
        <v>193</v>
      </c>
      <c r="Q5" s="29" t="s">
        <v>194</v>
      </c>
      <c r="R5" s="29" t="s">
        <v>195</v>
      </c>
      <c r="S5" s="30">
        <v>3328.42</v>
      </c>
      <c r="T5" s="30">
        <v>287.99</v>
      </c>
      <c r="U5" s="30">
        <v>3040.43</v>
      </c>
    </row>
    <row x14ac:dyDescent="0.25" r="6" customHeight="1" ht="20.25">
      <c r="A6" s="21">
        <v>5</v>
      </c>
      <c r="B6" s="22" t="s">
        <v>196</v>
      </c>
      <c r="C6" s="22" t="s">
        <v>166</v>
      </c>
      <c r="D6" s="22" t="s">
        <v>197</v>
      </c>
      <c r="E6" s="22" t="s">
        <v>140</v>
      </c>
      <c r="F6" s="23"/>
      <c r="G6" s="22"/>
      <c r="H6" s="24"/>
      <c r="I6" s="25"/>
      <c r="J6" s="26">
        <v>53</v>
      </c>
      <c r="K6" s="27" t="s">
        <v>180</v>
      </c>
      <c r="L6" s="27" t="s">
        <v>169</v>
      </c>
      <c r="M6" s="28" t="s">
        <v>198</v>
      </c>
      <c r="N6" s="28" t="s">
        <v>199</v>
      </c>
      <c r="O6" s="28" t="s">
        <v>200</v>
      </c>
      <c r="P6" s="29" t="s">
        <v>201</v>
      </c>
      <c r="Q6" s="29" t="s">
        <v>174</v>
      </c>
      <c r="R6" s="29" t="s">
        <v>202</v>
      </c>
      <c r="S6" s="30">
        <v>1884.56</v>
      </c>
      <c r="T6" s="30">
        <v>127.05</v>
      </c>
      <c r="U6" s="30">
        <v>1757.51</v>
      </c>
    </row>
    <row x14ac:dyDescent="0.25" r="7" customHeight="1" ht="20.25">
      <c r="A7" s="21">
        <v>6</v>
      </c>
      <c r="B7" s="22" t="s">
        <v>203</v>
      </c>
      <c r="C7" s="22" t="s">
        <v>190</v>
      </c>
      <c r="D7" s="22" t="s">
        <v>204</v>
      </c>
      <c r="E7" s="22" t="s">
        <v>134</v>
      </c>
      <c r="F7" s="23"/>
      <c r="G7" s="22"/>
      <c r="H7" s="24"/>
      <c r="I7" s="25"/>
      <c r="J7" s="26">
        <v>330</v>
      </c>
      <c r="K7" s="27" t="s">
        <v>180</v>
      </c>
      <c r="L7" s="27" t="s">
        <v>169</v>
      </c>
      <c r="M7" s="28" t="s">
        <v>205</v>
      </c>
      <c r="N7" s="28" t="s">
        <v>206</v>
      </c>
      <c r="O7" s="28" t="s">
        <v>207</v>
      </c>
      <c r="P7" s="29" t="s">
        <v>208</v>
      </c>
      <c r="Q7" s="29" t="s">
        <v>209</v>
      </c>
      <c r="R7" s="29" t="s">
        <v>210</v>
      </c>
      <c r="S7" s="30">
        <v>3504.93</v>
      </c>
      <c r="T7" s="30">
        <v>309.18</v>
      </c>
      <c r="U7" s="30">
        <v>3195.75</v>
      </c>
    </row>
    <row x14ac:dyDescent="0.25" r="8" customHeight="1" ht="20.25">
      <c r="A8" s="21">
        <v>7</v>
      </c>
      <c r="B8" s="22" t="s">
        <v>211</v>
      </c>
      <c r="C8" s="22" t="s">
        <v>166</v>
      </c>
      <c r="D8" s="22" t="s">
        <v>212</v>
      </c>
      <c r="E8" s="22" t="s">
        <v>179</v>
      </c>
      <c r="F8" s="23"/>
      <c r="G8" s="22"/>
      <c r="H8" s="24"/>
      <c r="I8" s="25"/>
      <c r="J8" s="26">
        <v>440</v>
      </c>
      <c r="K8" s="27" t="s">
        <v>180</v>
      </c>
      <c r="L8" s="27" t="s">
        <v>169</v>
      </c>
      <c r="M8" s="28" t="s">
        <v>170</v>
      </c>
      <c r="N8" s="28" t="s">
        <v>171</v>
      </c>
      <c r="O8" s="28" t="s">
        <v>172</v>
      </c>
      <c r="P8" s="29" t="s">
        <v>173</v>
      </c>
      <c r="Q8" s="29" t="s">
        <v>174</v>
      </c>
      <c r="R8" s="29" t="s">
        <v>175</v>
      </c>
      <c r="S8" s="30">
        <v>1681.94</v>
      </c>
      <c r="T8" s="30">
        <v>127.05</v>
      </c>
      <c r="U8" s="30">
        <v>1554.89</v>
      </c>
    </row>
    <row x14ac:dyDescent="0.25" r="9" customHeight="1" ht="20.25">
      <c r="A9" s="21">
        <v>8</v>
      </c>
      <c r="B9" s="22" t="s">
        <v>213</v>
      </c>
      <c r="C9" s="22" t="s">
        <v>214</v>
      </c>
      <c r="D9" s="22" t="s">
        <v>215</v>
      </c>
      <c r="E9" s="22" t="s">
        <v>134</v>
      </c>
      <c r="F9" s="23"/>
      <c r="G9" s="22"/>
      <c r="H9" s="24"/>
      <c r="I9" s="25"/>
      <c r="J9" s="26">
        <v>564</v>
      </c>
      <c r="K9" s="27" t="s">
        <v>168</v>
      </c>
      <c r="L9" s="27" t="s">
        <v>169</v>
      </c>
      <c r="M9" s="28" t="s">
        <v>216</v>
      </c>
      <c r="N9" s="28" t="s">
        <v>217</v>
      </c>
      <c r="O9" s="28" t="s">
        <v>218</v>
      </c>
      <c r="P9" s="29" t="s">
        <v>219</v>
      </c>
      <c r="Q9" s="29" t="s">
        <v>220</v>
      </c>
      <c r="R9" s="29" t="s">
        <v>221</v>
      </c>
      <c r="S9" s="30">
        <v>5277.25</v>
      </c>
      <c r="T9" s="30">
        <v>639.86</v>
      </c>
      <c r="U9" s="30">
        <v>4637.39</v>
      </c>
    </row>
    <row x14ac:dyDescent="0.25" r="10" customHeight="1" ht="20.25">
      <c r="A10" s="21">
        <v>9</v>
      </c>
      <c r="B10" s="22" t="s">
        <v>222</v>
      </c>
      <c r="C10" s="22" t="s">
        <v>166</v>
      </c>
      <c r="D10" s="22" t="s">
        <v>223</v>
      </c>
      <c r="E10" s="22" t="s">
        <v>224</v>
      </c>
      <c r="F10" s="23"/>
      <c r="G10" s="22"/>
      <c r="H10" s="24"/>
      <c r="I10" s="25"/>
      <c r="J10" s="26">
        <v>309</v>
      </c>
      <c r="K10" s="27" t="s">
        <v>180</v>
      </c>
      <c r="L10" s="27" t="s">
        <v>169</v>
      </c>
      <c r="M10" s="28" t="s">
        <v>225</v>
      </c>
      <c r="N10" s="28" t="s">
        <v>171</v>
      </c>
      <c r="O10" s="28" t="s">
        <v>226</v>
      </c>
      <c r="P10" s="29" t="s">
        <v>227</v>
      </c>
      <c r="Q10" s="29" t="s">
        <v>228</v>
      </c>
      <c r="R10" s="29" t="s">
        <v>229</v>
      </c>
      <c r="S10" s="30">
        <v>2186.52</v>
      </c>
      <c r="T10" s="30">
        <v>644.08</v>
      </c>
      <c r="U10" s="30">
        <v>1542.44</v>
      </c>
    </row>
    <row x14ac:dyDescent="0.25" r="11" customHeight="1" ht="20.25">
      <c r="A11" s="21">
        <v>10</v>
      </c>
      <c r="B11" s="22" t="s">
        <v>230</v>
      </c>
      <c r="C11" s="22" t="s">
        <v>190</v>
      </c>
      <c r="D11" s="22" t="s">
        <v>231</v>
      </c>
      <c r="E11" s="22" t="s">
        <v>232</v>
      </c>
      <c r="F11" s="23"/>
      <c r="G11" s="22"/>
      <c r="H11" s="24"/>
      <c r="I11" s="25"/>
      <c r="J11" s="26">
        <v>576</v>
      </c>
      <c r="K11" s="27" t="s">
        <v>168</v>
      </c>
      <c r="L11" s="27" t="s">
        <v>169</v>
      </c>
      <c r="M11" s="28" t="s">
        <v>233</v>
      </c>
      <c r="N11" s="28" t="s">
        <v>234</v>
      </c>
      <c r="O11" s="28" t="s">
        <v>235</v>
      </c>
      <c r="P11" s="29" t="s">
        <v>236</v>
      </c>
      <c r="Q11" s="29" t="s">
        <v>237</v>
      </c>
      <c r="R11" s="29" t="s">
        <v>238</v>
      </c>
      <c r="S11" s="30">
        <v>3433.45</v>
      </c>
      <c r="T11" s="30">
        <v>300.6</v>
      </c>
      <c r="U11" s="30">
        <v>3132.85</v>
      </c>
    </row>
    <row x14ac:dyDescent="0.25" r="12" customHeight="1" ht="20.25">
      <c r="A12" s="21">
        <v>11</v>
      </c>
      <c r="B12" s="22" t="s">
        <v>239</v>
      </c>
      <c r="C12" s="22" t="s">
        <v>166</v>
      </c>
      <c r="D12" s="22" t="s">
        <v>240</v>
      </c>
      <c r="E12" s="22" t="s">
        <v>134</v>
      </c>
      <c r="F12" s="23"/>
      <c r="G12" s="22"/>
      <c r="H12" s="24"/>
      <c r="I12" s="25"/>
      <c r="J12" s="26">
        <v>155</v>
      </c>
      <c r="K12" s="27" t="s">
        <v>180</v>
      </c>
      <c r="L12" s="27" t="s">
        <v>169</v>
      </c>
      <c r="M12" s="28" t="s">
        <v>241</v>
      </c>
      <c r="N12" s="28" t="s">
        <v>242</v>
      </c>
      <c r="O12" s="28" t="s">
        <v>243</v>
      </c>
      <c r="P12" s="29" t="s">
        <v>244</v>
      </c>
      <c r="Q12" s="29" t="s">
        <v>245</v>
      </c>
      <c r="R12" s="29" t="s">
        <v>246</v>
      </c>
      <c r="S12" s="30">
        <v>1781.92</v>
      </c>
      <c r="T12" s="30">
        <v>129.97</v>
      </c>
      <c r="U12" s="30">
        <v>1651.95</v>
      </c>
    </row>
    <row x14ac:dyDescent="0.25" r="13" customHeight="1" ht="20.25">
      <c r="A13" s="21">
        <v>12</v>
      </c>
      <c r="B13" s="22" t="s">
        <v>247</v>
      </c>
      <c r="C13" s="22" t="s">
        <v>166</v>
      </c>
      <c r="D13" s="22" t="s">
        <v>248</v>
      </c>
      <c r="E13" s="22" t="s">
        <v>249</v>
      </c>
      <c r="F13" s="23"/>
      <c r="G13" s="22"/>
      <c r="H13" s="24"/>
      <c r="I13" s="25"/>
      <c r="J13" s="26">
        <v>223</v>
      </c>
      <c r="K13" s="27" t="s">
        <v>180</v>
      </c>
      <c r="L13" s="27" t="s">
        <v>169</v>
      </c>
      <c r="M13" s="28" t="s">
        <v>250</v>
      </c>
      <c r="N13" s="28" t="s">
        <v>251</v>
      </c>
      <c r="O13" s="28" t="s">
        <v>252</v>
      </c>
      <c r="P13" s="29" t="s">
        <v>253</v>
      </c>
      <c r="Q13" s="29" t="s">
        <v>254</v>
      </c>
      <c r="R13" s="29" t="s">
        <v>255</v>
      </c>
      <c r="S13" s="30">
        <v>1698.16</v>
      </c>
      <c r="T13" s="30">
        <v>586.16</v>
      </c>
      <c r="U13" s="30">
        <v>1112</v>
      </c>
    </row>
    <row x14ac:dyDescent="0.25" r="14" customHeight="1" ht="20.25">
      <c r="A14" s="21">
        <v>13</v>
      </c>
      <c r="B14" s="22" t="s">
        <v>256</v>
      </c>
      <c r="C14" s="22" t="s">
        <v>166</v>
      </c>
      <c r="D14" s="22" t="s">
        <v>257</v>
      </c>
      <c r="E14" s="22" t="s">
        <v>134</v>
      </c>
      <c r="F14" s="23"/>
      <c r="G14" s="22"/>
      <c r="H14" s="24"/>
      <c r="I14" s="25"/>
      <c r="J14" s="26">
        <v>567</v>
      </c>
      <c r="K14" s="27" t="s">
        <v>168</v>
      </c>
      <c r="L14" s="27" t="s">
        <v>169</v>
      </c>
      <c r="M14" s="28" t="s">
        <v>258</v>
      </c>
      <c r="N14" s="28" t="s">
        <v>259</v>
      </c>
      <c r="O14" s="28" t="s">
        <v>260</v>
      </c>
      <c r="P14" s="29" t="s">
        <v>261</v>
      </c>
      <c r="Q14" s="29" t="s">
        <v>262</v>
      </c>
      <c r="R14" s="29" t="s">
        <v>263</v>
      </c>
      <c r="S14" s="30">
        <v>1978.4</v>
      </c>
      <c r="T14" s="30">
        <v>147.65</v>
      </c>
      <c r="U14" s="30">
        <v>1830.75</v>
      </c>
    </row>
    <row x14ac:dyDescent="0.25" r="15" customHeight="1" ht="20.25">
      <c r="A15" s="21">
        <v>14</v>
      </c>
      <c r="B15" s="22" t="s">
        <v>264</v>
      </c>
      <c r="C15" s="22" t="s">
        <v>166</v>
      </c>
      <c r="D15" s="22" t="s">
        <v>265</v>
      </c>
      <c r="E15" s="22" t="s">
        <v>232</v>
      </c>
      <c r="F15" s="23"/>
      <c r="G15" s="22"/>
      <c r="H15" s="24"/>
      <c r="I15" s="25"/>
      <c r="J15" s="26">
        <v>558</v>
      </c>
      <c r="K15" s="27" t="s">
        <v>180</v>
      </c>
      <c r="L15" s="27" t="s">
        <v>169</v>
      </c>
      <c r="M15" s="28" t="s">
        <v>266</v>
      </c>
      <c r="N15" s="28" t="s">
        <v>171</v>
      </c>
      <c r="O15" s="28" t="s">
        <v>267</v>
      </c>
      <c r="P15" s="29" t="s">
        <v>268</v>
      </c>
      <c r="Q15" s="29" t="s">
        <v>269</v>
      </c>
      <c r="R15" s="29" t="s">
        <v>270</v>
      </c>
      <c r="S15" s="30">
        <v>1817.02</v>
      </c>
      <c r="T15" s="30">
        <v>539.31</v>
      </c>
      <c r="U15" s="30">
        <v>1277.71</v>
      </c>
    </row>
    <row x14ac:dyDescent="0.25" r="16" customHeight="1" ht="20.25">
      <c r="A16" s="21">
        <v>15</v>
      </c>
      <c r="B16" s="22" t="s">
        <v>271</v>
      </c>
      <c r="C16" s="22" t="s">
        <v>190</v>
      </c>
      <c r="D16" s="22" t="s">
        <v>272</v>
      </c>
      <c r="E16" s="22" t="s">
        <v>273</v>
      </c>
      <c r="F16" s="23"/>
      <c r="G16" s="22"/>
      <c r="H16" s="24"/>
      <c r="I16" s="25"/>
      <c r="J16" s="26">
        <v>555</v>
      </c>
      <c r="K16" s="27" t="s">
        <v>274</v>
      </c>
      <c r="L16" s="27" t="s">
        <v>169</v>
      </c>
      <c r="M16" s="28" t="s">
        <v>233</v>
      </c>
      <c r="N16" s="28" t="s">
        <v>234</v>
      </c>
      <c r="O16" s="28" t="s">
        <v>235</v>
      </c>
      <c r="P16" s="29" t="s">
        <v>236</v>
      </c>
      <c r="Q16" s="29" t="s">
        <v>275</v>
      </c>
      <c r="R16" s="29" t="s">
        <v>276</v>
      </c>
      <c r="S16" s="30">
        <v>3757.71</v>
      </c>
      <c r="T16" s="30">
        <v>339.51</v>
      </c>
      <c r="U16" s="30">
        <v>3418.2</v>
      </c>
    </row>
    <row x14ac:dyDescent="0.25" r="17" customHeight="1" ht="20.25">
      <c r="A17" s="21">
        <v>16</v>
      </c>
      <c r="B17" s="22" t="s">
        <v>277</v>
      </c>
      <c r="C17" s="22" t="s">
        <v>278</v>
      </c>
      <c r="D17" s="22" t="s">
        <v>279</v>
      </c>
      <c r="E17" s="22" t="s">
        <v>280</v>
      </c>
      <c r="F17" s="23"/>
      <c r="G17" s="22"/>
      <c r="H17" s="24"/>
      <c r="I17" s="25"/>
      <c r="J17" s="26">
        <v>551</v>
      </c>
      <c r="K17" s="27" t="s">
        <v>180</v>
      </c>
      <c r="L17" s="27" t="s">
        <v>169</v>
      </c>
      <c r="M17" s="28" t="s">
        <v>281</v>
      </c>
      <c r="N17" s="28" t="s">
        <v>282</v>
      </c>
      <c r="O17" s="28" t="s">
        <v>283</v>
      </c>
      <c r="P17" s="29" t="s">
        <v>281</v>
      </c>
      <c r="Q17" s="29" t="s">
        <v>284</v>
      </c>
      <c r="R17" s="29" t="s">
        <v>285</v>
      </c>
      <c r="S17" s="30">
        <v>5564</v>
      </c>
      <c r="T17" s="30">
        <v>2258.52</v>
      </c>
      <c r="U17" s="30">
        <v>3305.48</v>
      </c>
    </row>
    <row x14ac:dyDescent="0.25" r="18" customHeight="1" ht="20.25">
      <c r="A18" s="21">
        <v>17</v>
      </c>
      <c r="B18" s="22" t="s">
        <v>286</v>
      </c>
      <c r="C18" s="22" t="s">
        <v>190</v>
      </c>
      <c r="D18" s="22" t="s">
        <v>287</v>
      </c>
      <c r="E18" s="22" t="s">
        <v>127</v>
      </c>
      <c r="F18" s="23"/>
      <c r="G18" s="22"/>
      <c r="H18" s="24"/>
      <c r="I18" s="25"/>
      <c r="J18" s="26">
        <v>371</v>
      </c>
      <c r="K18" s="27" t="s">
        <v>180</v>
      </c>
      <c r="L18" s="27" t="s">
        <v>169</v>
      </c>
      <c r="M18" s="28" t="s">
        <v>233</v>
      </c>
      <c r="N18" s="28" t="s">
        <v>234</v>
      </c>
      <c r="O18" s="28" t="s">
        <v>235</v>
      </c>
      <c r="P18" s="29" t="s">
        <v>236</v>
      </c>
      <c r="Q18" s="29" t="s">
        <v>275</v>
      </c>
      <c r="R18" s="29" t="s">
        <v>276</v>
      </c>
      <c r="S18" s="30">
        <v>3433.34</v>
      </c>
      <c r="T18" s="30">
        <v>300.59</v>
      </c>
      <c r="U18" s="30">
        <v>3132.75</v>
      </c>
    </row>
    <row x14ac:dyDescent="0.25" r="19" customHeight="1" ht="20.25">
      <c r="A19" s="21">
        <v>18</v>
      </c>
      <c r="B19" s="22" t="s">
        <v>288</v>
      </c>
      <c r="C19" s="22" t="s">
        <v>289</v>
      </c>
      <c r="D19" s="22" t="s">
        <v>290</v>
      </c>
      <c r="E19" s="22" t="s">
        <v>291</v>
      </c>
      <c r="F19" s="23"/>
      <c r="G19" s="22"/>
      <c r="H19" s="24"/>
      <c r="I19" s="25"/>
      <c r="J19" s="26">
        <v>264</v>
      </c>
      <c r="K19" s="27" t="s">
        <v>180</v>
      </c>
      <c r="L19" s="27" t="s">
        <v>169</v>
      </c>
      <c r="M19" s="28" t="s">
        <v>292</v>
      </c>
      <c r="N19" s="28" t="s">
        <v>293</v>
      </c>
      <c r="O19" s="28" t="s">
        <v>294</v>
      </c>
      <c r="P19" s="29" t="s">
        <v>292</v>
      </c>
      <c r="Q19" s="29" t="s">
        <v>293</v>
      </c>
      <c r="R19" s="29" t="s">
        <v>294</v>
      </c>
      <c r="S19" s="30">
        <v>3818.4</v>
      </c>
      <c r="T19" s="30">
        <v>563.57</v>
      </c>
      <c r="U19" s="30">
        <v>3254.83</v>
      </c>
    </row>
    <row x14ac:dyDescent="0.25" r="20" customHeight="1" ht="20.25">
      <c r="A20" s="21">
        <v>19</v>
      </c>
      <c r="B20" s="22" t="s">
        <v>295</v>
      </c>
      <c r="C20" s="22" t="s">
        <v>166</v>
      </c>
      <c r="D20" s="22" t="s">
        <v>296</v>
      </c>
      <c r="E20" s="22" t="s">
        <v>84</v>
      </c>
      <c r="F20" s="23"/>
      <c r="G20" s="22"/>
      <c r="H20" s="24"/>
      <c r="I20" s="25"/>
      <c r="J20" s="26">
        <v>463</v>
      </c>
      <c r="K20" s="27" t="s">
        <v>180</v>
      </c>
      <c r="L20" s="27" t="s">
        <v>169</v>
      </c>
      <c r="M20" s="28" t="s">
        <v>225</v>
      </c>
      <c r="N20" s="28" t="s">
        <v>171</v>
      </c>
      <c r="O20" s="28" t="s">
        <v>226</v>
      </c>
      <c r="P20" s="29" t="s">
        <v>227</v>
      </c>
      <c r="Q20" s="29" t="s">
        <v>174</v>
      </c>
      <c r="R20" s="29" t="s">
        <v>297</v>
      </c>
      <c r="S20" s="30">
        <v>1749.48</v>
      </c>
      <c r="T20" s="30">
        <v>127.05</v>
      </c>
      <c r="U20" s="30">
        <v>1622.43</v>
      </c>
    </row>
    <row x14ac:dyDescent="0.25" r="21" customHeight="1" ht="20.25">
      <c r="A21" s="21">
        <v>20</v>
      </c>
      <c r="B21" s="22" t="s">
        <v>298</v>
      </c>
      <c r="C21" s="22" t="s">
        <v>190</v>
      </c>
      <c r="D21" s="22" t="s">
        <v>299</v>
      </c>
      <c r="E21" s="22" t="s">
        <v>140</v>
      </c>
      <c r="F21" s="23"/>
      <c r="G21" s="22"/>
      <c r="H21" s="24"/>
      <c r="I21" s="25"/>
      <c r="J21" s="26">
        <v>91</v>
      </c>
      <c r="K21" s="27" t="s">
        <v>180</v>
      </c>
      <c r="L21" s="27" t="s">
        <v>169</v>
      </c>
      <c r="M21" s="28" t="s">
        <v>300</v>
      </c>
      <c r="N21" s="28" t="s">
        <v>301</v>
      </c>
      <c r="O21" s="28" t="s">
        <v>302</v>
      </c>
      <c r="P21" s="29" t="s">
        <v>303</v>
      </c>
      <c r="Q21" s="29" t="s">
        <v>304</v>
      </c>
      <c r="R21" s="29" t="s">
        <v>305</v>
      </c>
      <c r="S21" s="30">
        <v>3093.84</v>
      </c>
      <c r="T21" s="30">
        <v>259.85</v>
      </c>
      <c r="U21" s="30">
        <v>2833.99</v>
      </c>
    </row>
    <row x14ac:dyDescent="0.25" r="22" customHeight="1" ht="20.25">
      <c r="A22" s="21">
        <v>21</v>
      </c>
      <c r="B22" s="22" t="s">
        <v>306</v>
      </c>
      <c r="C22" s="22" t="s">
        <v>190</v>
      </c>
      <c r="D22" s="22" t="s">
        <v>307</v>
      </c>
      <c r="E22" s="22" t="s">
        <v>134</v>
      </c>
      <c r="F22" s="23"/>
      <c r="G22" s="22"/>
      <c r="H22" s="24"/>
      <c r="I22" s="25"/>
      <c r="J22" s="26">
        <v>167</v>
      </c>
      <c r="K22" s="27" t="s">
        <v>180</v>
      </c>
      <c r="L22" s="27" t="s">
        <v>169</v>
      </c>
      <c r="M22" s="28" t="s">
        <v>300</v>
      </c>
      <c r="N22" s="28" t="s">
        <v>301</v>
      </c>
      <c r="O22" s="28" t="s">
        <v>302</v>
      </c>
      <c r="P22" s="29" t="s">
        <v>303</v>
      </c>
      <c r="Q22" s="29" t="s">
        <v>304</v>
      </c>
      <c r="R22" s="29" t="s">
        <v>305</v>
      </c>
      <c r="S22" s="30">
        <v>3092.36</v>
      </c>
      <c r="T22" s="30">
        <v>259.67</v>
      </c>
      <c r="U22" s="30">
        <v>2832.69</v>
      </c>
    </row>
    <row x14ac:dyDescent="0.25" r="23" customHeight="1" ht="20.25">
      <c r="A23" s="21">
        <v>22</v>
      </c>
      <c r="B23" s="22" t="s">
        <v>308</v>
      </c>
      <c r="C23" s="22" t="s">
        <v>177</v>
      </c>
      <c r="D23" s="22" t="s">
        <v>309</v>
      </c>
      <c r="E23" s="22" t="s">
        <v>310</v>
      </c>
      <c r="F23" s="23"/>
      <c r="G23" s="22"/>
      <c r="H23" s="24"/>
      <c r="I23" s="25"/>
      <c r="J23" s="26">
        <v>464</v>
      </c>
      <c r="K23" s="27" t="s">
        <v>180</v>
      </c>
      <c r="L23" s="27" t="s">
        <v>169</v>
      </c>
      <c r="M23" s="28" t="s">
        <v>311</v>
      </c>
      <c r="N23" s="28" t="s">
        <v>312</v>
      </c>
      <c r="O23" s="28" t="s">
        <v>313</v>
      </c>
      <c r="P23" s="29" t="s">
        <v>314</v>
      </c>
      <c r="Q23" s="29" t="s">
        <v>315</v>
      </c>
      <c r="R23" s="29" t="s">
        <v>316</v>
      </c>
      <c r="S23" s="30">
        <v>5958.33</v>
      </c>
      <c r="T23" s="30">
        <v>953.23</v>
      </c>
      <c r="U23" s="30">
        <v>5005.1</v>
      </c>
    </row>
    <row x14ac:dyDescent="0.25" r="24" customHeight="1" ht="20.25">
      <c r="A24" s="21">
        <v>23</v>
      </c>
      <c r="B24" s="22" t="s">
        <v>317</v>
      </c>
      <c r="C24" s="22" t="s">
        <v>190</v>
      </c>
      <c r="D24" s="22" t="s">
        <v>318</v>
      </c>
      <c r="E24" s="22" t="s">
        <v>38</v>
      </c>
      <c r="F24" s="23"/>
      <c r="G24" s="22"/>
      <c r="H24" s="24"/>
      <c r="I24" s="25"/>
      <c r="J24" s="26">
        <v>271</v>
      </c>
      <c r="K24" s="27" t="s">
        <v>180</v>
      </c>
      <c r="L24" s="27" t="s">
        <v>169</v>
      </c>
      <c r="M24" s="28" t="s">
        <v>233</v>
      </c>
      <c r="N24" s="28" t="s">
        <v>234</v>
      </c>
      <c r="O24" s="28" t="s">
        <v>235</v>
      </c>
      <c r="P24" s="29" t="s">
        <v>319</v>
      </c>
      <c r="Q24" s="29" t="s">
        <v>320</v>
      </c>
      <c r="R24" s="29" t="s">
        <v>321</v>
      </c>
      <c r="S24" s="30">
        <v>3433.34</v>
      </c>
      <c r="T24" s="30">
        <v>300.59</v>
      </c>
      <c r="U24" s="30">
        <v>3132.75</v>
      </c>
    </row>
    <row x14ac:dyDescent="0.25" r="25" customHeight="1" ht="20.25">
      <c r="A25" s="21">
        <v>24</v>
      </c>
      <c r="B25" s="22" t="s">
        <v>322</v>
      </c>
      <c r="C25" s="22" t="s">
        <v>323</v>
      </c>
      <c r="D25" s="22" t="s">
        <v>324</v>
      </c>
      <c r="E25" s="22" t="s">
        <v>134</v>
      </c>
      <c r="F25" s="23"/>
      <c r="G25" s="22"/>
      <c r="H25" s="24"/>
      <c r="I25" s="25"/>
      <c r="J25" s="26">
        <v>81</v>
      </c>
      <c r="K25" s="27" t="s">
        <v>180</v>
      </c>
      <c r="L25" s="27" t="s">
        <v>169</v>
      </c>
      <c r="M25" s="28" t="s">
        <v>325</v>
      </c>
      <c r="N25" s="28" t="s">
        <v>326</v>
      </c>
      <c r="O25" s="28" t="s">
        <v>327</v>
      </c>
      <c r="P25" s="29" t="s">
        <v>325</v>
      </c>
      <c r="Q25" s="29" t="s">
        <v>326</v>
      </c>
      <c r="R25" s="29" t="s">
        <v>327</v>
      </c>
      <c r="S25" s="30">
        <v>5192.4</v>
      </c>
      <c r="T25" s="30">
        <v>572.4</v>
      </c>
      <c r="U25" s="30">
        <v>4620</v>
      </c>
    </row>
    <row x14ac:dyDescent="0.25" r="26" customHeight="1" ht="20.25">
      <c r="A26" s="21">
        <v>25</v>
      </c>
      <c r="B26" s="22" t="s">
        <v>328</v>
      </c>
      <c r="C26" s="22" t="s">
        <v>177</v>
      </c>
      <c r="D26" s="22" t="s">
        <v>329</v>
      </c>
      <c r="E26" s="22" t="s">
        <v>310</v>
      </c>
      <c r="F26" s="23"/>
      <c r="G26" s="22"/>
      <c r="H26" s="24"/>
      <c r="I26" s="25"/>
      <c r="J26" s="26">
        <v>453</v>
      </c>
      <c r="K26" s="27" t="s">
        <v>180</v>
      </c>
      <c r="L26" s="27" t="s">
        <v>169</v>
      </c>
      <c r="M26" s="28" t="s">
        <v>330</v>
      </c>
      <c r="N26" s="28" t="s">
        <v>331</v>
      </c>
      <c r="O26" s="28" t="s">
        <v>332</v>
      </c>
      <c r="P26" s="29" t="s">
        <v>314</v>
      </c>
      <c r="Q26" s="29" t="s">
        <v>315</v>
      </c>
      <c r="R26" s="29" t="s">
        <v>316</v>
      </c>
      <c r="S26" s="30">
        <v>4766.66</v>
      </c>
      <c r="T26" s="30">
        <v>468.83</v>
      </c>
      <c r="U26" s="30">
        <v>4297.83</v>
      </c>
    </row>
    <row x14ac:dyDescent="0.25" r="27" customHeight="1" ht="20.25">
      <c r="A27" s="21">
        <v>26</v>
      </c>
      <c r="B27" s="22" t="s">
        <v>333</v>
      </c>
      <c r="C27" s="22" t="s">
        <v>190</v>
      </c>
      <c r="D27" s="22" t="s">
        <v>334</v>
      </c>
      <c r="E27" s="22" t="s">
        <v>335</v>
      </c>
      <c r="F27" s="23"/>
      <c r="G27" s="22"/>
      <c r="H27" s="24"/>
      <c r="I27" s="25"/>
      <c r="J27" s="26">
        <v>478</v>
      </c>
      <c r="K27" s="27" t="s">
        <v>180</v>
      </c>
      <c r="L27" s="27" t="s">
        <v>169</v>
      </c>
      <c r="M27" s="28" t="s">
        <v>233</v>
      </c>
      <c r="N27" s="28" t="s">
        <v>234</v>
      </c>
      <c r="O27" s="28" t="s">
        <v>235</v>
      </c>
      <c r="P27" s="29" t="s">
        <v>236</v>
      </c>
      <c r="Q27" s="29" t="s">
        <v>275</v>
      </c>
      <c r="R27" s="29" t="s">
        <v>276</v>
      </c>
      <c r="S27" s="30">
        <v>3433.34</v>
      </c>
      <c r="T27" s="30">
        <v>300.59</v>
      </c>
      <c r="U27" s="30">
        <v>3132.75</v>
      </c>
    </row>
    <row x14ac:dyDescent="0.25" r="28" customHeight="1" ht="20.25">
      <c r="A28" s="21">
        <v>27</v>
      </c>
      <c r="B28" s="22" t="s">
        <v>336</v>
      </c>
      <c r="C28" s="22" t="s">
        <v>190</v>
      </c>
      <c r="D28" s="22" t="s">
        <v>337</v>
      </c>
      <c r="E28" s="22" t="s">
        <v>67</v>
      </c>
      <c r="F28" s="23"/>
      <c r="G28" s="22"/>
      <c r="H28" s="24"/>
      <c r="I28" s="25"/>
      <c r="J28" s="26">
        <v>235</v>
      </c>
      <c r="K28" s="27" t="s">
        <v>180</v>
      </c>
      <c r="L28" s="27" t="s">
        <v>169</v>
      </c>
      <c r="M28" s="28" t="s">
        <v>233</v>
      </c>
      <c r="N28" s="28" t="s">
        <v>338</v>
      </c>
      <c r="O28" s="28" t="s">
        <v>339</v>
      </c>
      <c r="P28" s="29" t="s">
        <v>236</v>
      </c>
      <c r="Q28" s="29" t="s">
        <v>275</v>
      </c>
      <c r="R28" s="29" t="s">
        <v>276</v>
      </c>
      <c r="S28" s="30">
        <v>3090.01</v>
      </c>
      <c r="T28" s="30">
        <v>616.36</v>
      </c>
      <c r="U28" s="30">
        <v>2473.65</v>
      </c>
    </row>
    <row x14ac:dyDescent="0.25" r="29" customHeight="1" ht="20.25">
      <c r="A29" s="21">
        <v>28</v>
      </c>
      <c r="B29" s="22" t="s">
        <v>340</v>
      </c>
      <c r="C29" s="22" t="s">
        <v>166</v>
      </c>
      <c r="D29" s="22" t="s">
        <v>341</v>
      </c>
      <c r="E29" s="22" t="s">
        <v>191</v>
      </c>
      <c r="F29" s="23"/>
      <c r="G29" s="22"/>
      <c r="H29" s="24"/>
      <c r="I29" s="25"/>
      <c r="J29" s="26">
        <v>181</v>
      </c>
      <c r="K29" s="27" t="s">
        <v>180</v>
      </c>
      <c r="L29" s="27" t="s">
        <v>169</v>
      </c>
      <c r="M29" s="28" t="s">
        <v>250</v>
      </c>
      <c r="N29" s="28" t="s">
        <v>342</v>
      </c>
      <c r="O29" s="28" t="s">
        <v>343</v>
      </c>
      <c r="P29" s="29" t="s">
        <v>344</v>
      </c>
      <c r="Q29" s="29" t="s">
        <v>345</v>
      </c>
      <c r="R29" s="29" t="s">
        <v>346</v>
      </c>
      <c r="S29" s="30">
        <v>1714.38</v>
      </c>
      <c r="T29" s="30">
        <v>196.76</v>
      </c>
      <c r="U29" s="30">
        <v>1517.62</v>
      </c>
    </row>
    <row x14ac:dyDescent="0.25" r="30" customHeight="1" ht="18.75">
      <c r="A30" s="21">
        <v>29</v>
      </c>
      <c r="B30" s="22" t="s">
        <v>347</v>
      </c>
      <c r="C30" s="22" t="s">
        <v>166</v>
      </c>
      <c r="D30" s="22" t="s">
        <v>348</v>
      </c>
      <c r="E30" s="22" t="s">
        <v>249</v>
      </c>
      <c r="F30" s="23"/>
      <c r="G30" s="22"/>
      <c r="H30" s="24"/>
      <c r="I30" s="25"/>
      <c r="J30" s="26">
        <v>225</v>
      </c>
      <c r="K30" s="27" t="s">
        <v>180</v>
      </c>
      <c r="L30" s="27" t="s">
        <v>169</v>
      </c>
      <c r="M30" s="28" t="s">
        <v>349</v>
      </c>
      <c r="N30" s="28" t="s">
        <v>350</v>
      </c>
      <c r="O30" s="28" t="s">
        <v>351</v>
      </c>
      <c r="P30" s="29" t="s">
        <v>352</v>
      </c>
      <c r="Q30" s="29" t="s">
        <v>353</v>
      </c>
      <c r="R30" s="29" t="s">
        <v>354</v>
      </c>
      <c r="S30" s="30">
        <v>1749.48</v>
      </c>
      <c r="T30" s="30">
        <v>127.05</v>
      </c>
      <c r="U30" s="30">
        <v>1622.43</v>
      </c>
    </row>
    <row x14ac:dyDescent="0.25" r="31" customHeight="1" ht="18.75">
      <c r="A31" s="21">
        <v>30</v>
      </c>
      <c r="B31" s="22" t="s">
        <v>355</v>
      </c>
      <c r="C31" s="22" t="s">
        <v>356</v>
      </c>
      <c r="D31" s="22" t="s">
        <v>357</v>
      </c>
      <c r="E31" s="22" t="s">
        <v>76</v>
      </c>
      <c r="F31" s="23"/>
      <c r="G31" s="22"/>
      <c r="H31" s="24"/>
      <c r="I31" s="25"/>
      <c r="J31" s="26">
        <v>468</v>
      </c>
      <c r="K31" s="27" t="s">
        <v>180</v>
      </c>
      <c r="L31" s="27" t="s">
        <v>169</v>
      </c>
      <c r="M31" s="28" t="s">
        <v>358</v>
      </c>
      <c r="N31" s="28" t="s">
        <v>359</v>
      </c>
      <c r="O31" s="28" t="s">
        <v>360</v>
      </c>
      <c r="P31" s="29" t="s">
        <v>268</v>
      </c>
      <c r="Q31" s="29" t="s">
        <v>174</v>
      </c>
      <c r="R31" s="29" t="s">
        <v>361</v>
      </c>
      <c r="S31" s="30">
        <v>1817.02</v>
      </c>
      <c r="T31" s="30">
        <v>127.05</v>
      </c>
      <c r="U31" s="30">
        <v>1689.97</v>
      </c>
    </row>
    <row x14ac:dyDescent="0.25" r="32" customHeight="1" ht="18.75">
      <c r="A32" s="21">
        <v>31</v>
      </c>
      <c r="B32" s="22" t="s">
        <v>362</v>
      </c>
      <c r="C32" s="22" t="s">
        <v>166</v>
      </c>
      <c r="D32" s="22" t="s">
        <v>363</v>
      </c>
      <c r="E32" s="22" t="s">
        <v>134</v>
      </c>
      <c r="F32" s="23"/>
      <c r="G32" s="22"/>
      <c r="H32" s="24"/>
      <c r="I32" s="25"/>
      <c r="J32" s="26">
        <v>43</v>
      </c>
      <c r="K32" s="27" t="s">
        <v>180</v>
      </c>
      <c r="L32" s="27" t="s">
        <v>169</v>
      </c>
      <c r="M32" s="28" t="s">
        <v>170</v>
      </c>
      <c r="N32" s="28" t="s">
        <v>171</v>
      </c>
      <c r="O32" s="28" t="s">
        <v>172</v>
      </c>
      <c r="P32" s="29" t="s">
        <v>364</v>
      </c>
      <c r="Q32" s="29" t="s">
        <v>365</v>
      </c>
      <c r="R32" s="29" t="s">
        <v>366</v>
      </c>
      <c r="S32" s="30">
        <v>1873.3</v>
      </c>
      <c r="T32" s="30">
        <v>144.27</v>
      </c>
      <c r="U32" s="30">
        <v>1729.03</v>
      </c>
    </row>
    <row x14ac:dyDescent="0.25" r="33" customHeight="1" ht="18.75">
      <c r="A33" s="21">
        <v>32</v>
      </c>
      <c r="B33" s="22" t="s">
        <v>367</v>
      </c>
      <c r="C33" s="22" t="s">
        <v>368</v>
      </c>
      <c r="D33" s="22" t="s">
        <v>369</v>
      </c>
      <c r="E33" s="22" t="s">
        <v>370</v>
      </c>
      <c r="F33" s="23"/>
      <c r="G33" s="22"/>
      <c r="H33" s="24"/>
      <c r="I33" s="25"/>
      <c r="J33" s="26">
        <v>289</v>
      </c>
      <c r="K33" s="27" t="s">
        <v>180</v>
      </c>
      <c r="L33" s="27" t="s">
        <v>169</v>
      </c>
      <c r="M33" s="28" t="s">
        <v>371</v>
      </c>
      <c r="N33" s="28" t="s">
        <v>372</v>
      </c>
      <c r="O33" s="28" t="s">
        <v>373</v>
      </c>
      <c r="P33" s="29" t="s">
        <v>374</v>
      </c>
      <c r="Q33" s="29" t="s">
        <v>375</v>
      </c>
      <c r="R33" s="29" t="s">
        <v>376</v>
      </c>
      <c r="S33" s="30">
        <v>4088.56</v>
      </c>
      <c r="T33" s="30">
        <v>1399.08</v>
      </c>
      <c r="U33" s="30">
        <v>2689.48</v>
      </c>
    </row>
    <row x14ac:dyDescent="0.25" r="34" customHeight="1" ht="18.75">
      <c r="A34" s="21">
        <v>33</v>
      </c>
      <c r="B34" s="22" t="s">
        <v>377</v>
      </c>
      <c r="C34" s="22" t="s">
        <v>378</v>
      </c>
      <c r="D34" s="22" t="s">
        <v>379</v>
      </c>
      <c r="E34" s="22" t="s">
        <v>191</v>
      </c>
      <c r="F34" s="23"/>
      <c r="G34" s="22"/>
      <c r="H34" s="24"/>
      <c r="I34" s="25"/>
      <c r="J34" s="26">
        <v>131</v>
      </c>
      <c r="K34" s="27" t="s">
        <v>180</v>
      </c>
      <c r="L34" s="27" t="s">
        <v>169</v>
      </c>
      <c r="M34" s="28" t="s">
        <v>380</v>
      </c>
      <c r="N34" s="28" t="s">
        <v>381</v>
      </c>
      <c r="O34" s="28" t="s">
        <v>382</v>
      </c>
      <c r="P34" s="29" t="s">
        <v>383</v>
      </c>
      <c r="Q34" s="29" t="s">
        <v>384</v>
      </c>
      <c r="R34" s="29" t="s">
        <v>385</v>
      </c>
      <c r="S34" s="30">
        <v>2267.6</v>
      </c>
      <c r="T34" s="30">
        <v>179.76</v>
      </c>
      <c r="U34" s="30">
        <v>2087.84</v>
      </c>
    </row>
    <row x14ac:dyDescent="0.25" r="35" customHeight="1" ht="18.75">
      <c r="A35" s="21">
        <v>34</v>
      </c>
      <c r="B35" s="22" t="s">
        <v>386</v>
      </c>
      <c r="C35" s="22" t="s">
        <v>190</v>
      </c>
      <c r="D35" s="22" t="s">
        <v>387</v>
      </c>
      <c r="E35" s="22" t="s">
        <v>12</v>
      </c>
      <c r="F35" s="23"/>
      <c r="G35" s="22"/>
      <c r="H35" s="24"/>
      <c r="I35" s="25"/>
      <c r="J35" s="26">
        <v>359</v>
      </c>
      <c r="K35" s="27" t="s">
        <v>180</v>
      </c>
      <c r="L35" s="27" t="s">
        <v>169</v>
      </c>
      <c r="M35" s="28" t="s">
        <v>233</v>
      </c>
      <c r="N35" s="28" t="s">
        <v>338</v>
      </c>
      <c r="O35" s="28" t="s">
        <v>339</v>
      </c>
      <c r="P35" s="29" t="s">
        <v>236</v>
      </c>
      <c r="Q35" s="29" t="s">
        <v>275</v>
      </c>
      <c r="R35" s="29" t="s">
        <v>276</v>
      </c>
      <c r="S35" s="30">
        <v>3433.34</v>
      </c>
      <c r="T35" s="30">
        <v>300.59</v>
      </c>
      <c r="U35" s="30">
        <v>3132.75</v>
      </c>
    </row>
    <row x14ac:dyDescent="0.25" r="36" customHeight="1" ht="18.75">
      <c r="A36" s="21">
        <v>35</v>
      </c>
      <c r="B36" s="22" t="s">
        <v>388</v>
      </c>
      <c r="C36" s="22" t="s">
        <v>166</v>
      </c>
      <c r="D36" s="22" t="s">
        <v>389</v>
      </c>
      <c r="E36" s="22" t="s">
        <v>140</v>
      </c>
      <c r="F36" s="23"/>
      <c r="G36" s="22"/>
      <c r="H36" s="24"/>
      <c r="I36" s="25"/>
      <c r="J36" s="26">
        <v>573</v>
      </c>
      <c r="K36" s="27" t="s">
        <v>168</v>
      </c>
      <c r="L36" s="27" t="s">
        <v>169</v>
      </c>
      <c r="M36" s="28" t="s">
        <v>390</v>
      </c>
      <c r="N36" s="28" t="s">
        <v>391</v>
      </c>
      <c r="O36" s="28" t="s">
        <v>392</v>
      </c>
      <c r="P36" s="29" t="s">
        <v>173</v>
      </c>
      <c r="Q36" s="29" t="s">
        <v>393</v>
      </c>
      <c r="R36" s="29" t="s">
        <v>394</v>
      </c>
      <c r="S36" s="30">
        <v>1697.19</v>
      </c>
      <c r="T36" s="30">
        <v>757.89</v>
      </c>
      <c r="U36" s="30">
        <v>939.3</v>
      </c>
    </row>
    <row x14ac:dyDescent="0.25" r="37" customHeight="1" ht="18.75">
      <c r="A37" s="21">
        <v>36</v>
      </c>
      <c r="B37" s="22" t="s">
        <v>395</v>
      </c>
      <c r="C37" s="22" t="s">
        <v>396</v>
      </c>
      <c r="D37" s="22" t="s">
        <v>397</v>
      </c>
      <c r="E37" s="22" t="s">
        <v>140</v>
      </c>
      <c r="F37" s="23"/>
      <c r="G37" s="22"/>
      <c r="H37" s="24"/>
      <c r="I37" s="25"/>
      <c r="J37" s="26">
        <v>119</v>
      </c>
      <c r="K37" s="27" t="s">
        <v>180</v>
      </c>
      <c r="L37" s="27" t="s">
        <v>169</v>
      </c>
      <c r="M37" s="28" t="s">
        <v>216</v>
      </c>
      <c r="N37" s="28" t="s">
        <v>217</v>
      </c>
      <c r="O37" s="28" t="s">
        <v>218</v>
      </c>
      <c r="P37" s="29" t="s">
        <v>398</v>
      </c>
      <c r="Q37" s="29" t="s">
        <v>399</v>
      </c>
      <c r="R37" s="29" t="s">
        <v>400</v>
      </c>
      <c r="S37" s="30">
        <v>5229.17</v>
      </c>
      <c r="T37" s="30">
        <v>589.56</v>
      </c>
      <c r="U37" s="30">
        <v>4639.61</v>
      </c>
    </row>
    <row x14ac:dyDescent="0.25" r="38" customHeight="1" ht="18.75">
      <c r="A38" s="21">
        <v>37</v>
      </c>
      <c r="B38" s="22" t="s">
        <v>401</v>
      </c>
      <c r="C38" s="22" t="s">
        <v>402</v>
      </c>
      <c r="D38" s="22" t="s">
        <v>403</v>
      </c>
      <c r="E38" s="22" t="s">
        <v>280</v>
      </c>
      <c r="F38" s="23"/>
      <c r="G38" s="22"/>
      <c r="H38" s="24"/>
      <c r="I38" s="25"/>
      <c r="J38" s="26">
        <v>482</v>
      </c>
      <c r="K38" s="27" t="s">
        <v>180</v>
      </c>
      <c r="L38" s="27" t="s">
        <v>169</v>
      </c>
      <c r="M38" s="28" t="s">
        <v>404</v>
      </c>
      <c r="N38" s="28" t="s">
        <v>405</v>
      </c>
      <c r="O38" s="28" t="s">
        <v>406</v>
      </c>
      <c r="P38" s="29" t="s">
        <v>404</v>
      </c>
      <c r="Q38" s="29" t="s">
        <v>407</v>
      </c>
      <c r="R38" s="29" t="s">
        <v>408</v>
      </c>
      <c r="S38" s="30">
        <v>4836</v>
      </c>
      <c r="T38" s="30">
        <v>1321.7</v>
      </c>
      <c r="U38" s="30">
        <v>3514.3</v>
      </c>
    </row>
    <row x14ac:dyDescent="0.25" r="39" customHeight="1" ht="18.75">
      <c r="A39" s="21">
        <v>38</v>
      </c>
      <c r="B39" s="22" t="s">
        <v>409</v>
      </c>
      <c r="C39" s="22" t="s">
        <v>410</v>
      </c>
      <c r="D39" s="22" t="s">
        <v>411</v>
      </c>
      <c r="E39" s="22" t="s">
        <v>140</v>
      </c>
      <c r="F39" s="23"/>
      <c r="G39" s="22"/>
      <c r="H39" s="24"/>
      <c r="I39" s="25"/>
      <c r="J39" s="26">
        <v>75</v>
      </c>
      <c r="K39" s="27" t="s">
        <v>180</v>
      </c>
      <c r="L39" s="27" t="s">
        <v>169</v>
      </c>
      <c r="M39" s="28" t="s">
        <v>300</v>
      </c>
      <c r="N39" s="28" t="s">
        <v>301</v>
      </c>
      <c r="O39" s="28" t="s">
        <v>302</v>
      </c>
      <c r="P39" s="29" t="s">
        <v>412</v>
      </c>
      <c r="Q39" s="29" t="s">
        <v>413</v>
      </c>
      <c r="R39" s="29" t="s">
        <v>414</v>
      </c>
      <c r="S39" s="30">
        <v>4088.55</v>
      </c>
      <c r="T39" s="30">
        <v>379.21</v>
      </c>
      <c r="U39" s="30">
        <v>3709.34</v>
      </c>
    </row>
    <row x14ac:dyDescent="0.25" r="40" customHeight="1" ht="18.75">
      <c r="A40" s="21">
        <v>39</v>
      </c>
      <c r="B40" s="22" t="s">
        <v>415</v>
      </c>
      <c r="C40" s="22" t="s">
        <v>278</v>
      </c>
      <c r="D40" s="22" t="s">
        <v>416</v>
      </c>
      <c r="E40" s="22" t="s">
        <v>84</v>
      </c>
      <c r="F40" s="23"/>
      <c r="G40" s="22"/>
      <c r="H40" s="24"/>
      <c r="I40" s="25"/>
      <c r="J40" s="26">
        <v>459</v>
      </c>
      <c r="K40" s="27" t="s">
        <v>180</v>
      </c>
      <c r="L40" s="27" t="s">
        <v>169</v>
      </c>
      <c r="M40" s="28" t="s">
        <v>417</v>
      </c>
      <c r="N40" s="28" t="s">
        <v>418</v>
      </c>
      <c r="O40" s="28" t="s">
        <v>419</v>
      </c>
      <c r="P40" s="29" t="s">
        <v>417</v>
      </c>
      <c r="Q40" s="29" t="s">
        <v>418</v>
      </c>
      <c r="R40" s="29" t="s">
        <v>419</v>
      </c>
      <c r="S40" s="30">
        <v>4833.28</v>
      </c>
      <c r="T40" s="30">
        <v>478.16</v>
      </c>
      <c r="U40" s="30">
        <v>4355.12</v>
      </c>
    </row>
    <row x14ac:dyDescent="0.25" r="41" customHeight="1" ht="18.75">
      <c r="A41" s="21">
        <v>40</v>
      </c>
      <c r="B41" s="22" t="s">
        <v>420</v>
      </c>
      <c r="C41" s="22" t="s">
        <v>166</v>
      </c>
      <c r="D41" s="22" t="s">
        <v>421</v>
      </c>
      <c r="E41" s="22" t="s">
        <v>134</v>
      </c>
      <c r="F41" s="23"/>
      <c r="G41" s="22"/>
      <c r="H41" s="24"/>
      <c r="I41" s="25"/>
      <c r="J41" s="26">
        <v>121</v>
      </c>
      <c r="K41" s="27" t="s">
        <v>180</v>
      </c>
      <c r="L41" s="27" t="s">
        <v>169</v>
      </c>
      <c r="M41" s="28" t="s">
        <v>422</v>
      </c>
      <c r="N41" s="28" t="s">
        <v>423</v>
      </c>
      <c r="O41" s="28" t="s">
        <v>424</v>
      </c>
      <c r="P41" s="29" t="s">
        <v>425</v>
      </c>
      <c r="Q41" s="29" t="s">
        <v>426</v>
      </c>
      <c r="R41" s="29" t="s">
        <v>427</v>
      </c>
      <c r="S41" s="30">
        <v>2331.88</v>
      </c>
      <c r="T41" s="30">
        <v>379.06</v>
      </c>
      <c r="U41" s="30">
        <v>1952.82</v>
      </c>
    </row>
    <row x14ac:dyDescent="0.25" r="42" customHeight="1" ht="18.75">
      <c r="A42" s="21">
        <v>41</v>
      </c>
      <c r="B42" s="22" t="s">
        <v>428</v>
      </c>
      <c r="C42" s="22" t="s">
        <v>166</v>
      </c>
      <c r="D42" s="22" t="s">
        <v>429</v>
      </c>
      <c r="E42" s="22" t="s">
        <v>67</v>
      </c>
      <c r="F42" s="23"/>
      <c r="G42" s="22"/>
      <c r="H42" s="24"/>
      <c r="I42" s="25"/>
      <c r="J42" s="26">
        <v>239</v>
      </c>
      <c r="K42" s="27" t="s">
        <v>180</v>
      </c>
      <c r="L42" s="27" t="s">
        <v>169</v>
      </c>
      <c r="M42" s="28" t="s">
        <v>170</v>
      </c>
      <c r="N42" s="28" t="s">
        <v>171</v>
      </c>
      <c r="O42" s="28" t="s">
        <v>172</v>
      </c>
      <c r="P42" s="29" t="s">
        <v>173</v>
      </c>
      <c r="Q42" s="29" t="s">
        <v>174</v>
      </c>
      <c r="R42" s="29" t="s">
        <v>175</v>
      </c>
      <c r="S42" s="30">
        <v>1682.49</v>
      </c>
      <c r="T42" s="30">
        <v>127.1</v>
      </c>
      <c r="U42" s="30">
        <v>1555.39</v>
      </c>
    </row>
    <row x14ac:dyDescent="0.25" r="43" customHeight="1" ht="18.75">
      <c r="A43" s="21">
        <v>42</v>
      </c>
      <c r="B43" s="22" t="s">
        <v>430</v>
      </c>
      <c r="C43" s="22" t="s">
        <v>166</v>
      </c>
      <c r="D43" s="22" t="s">
        <v>431</v>
      </c>
      <c r="E43" s="22" t="s">
        <v>432</v>
      </c>
      <c r="F43" s="23"/>
      <c r="G43" s="22"/>
      <c r="H43" s="24"/>
      <c r="I43" s="25"/>
      <c r="J43" s="26">
        <v>164</v>
      </c>
      <c r="K43" s="27" t="s">
        <v>180</v>
      </c>
      <c r="L43" s="27" t="s">
        <v>169</v>
      </c>
      <c r="M43" s="28" t="s">
        <v>433</v>
      </c>
      <c r="N43" s="28" t="s">
        <v>434</v>
      </c>
      <c r="O43" s="28" t="s">
        <v>435</v>
      </c>
      <c r="P43" s="29" t="s">
        <v>436</v>
      </c>
      <c r="Q43" s="29" t="s">
        <v>437</v>
      </c>
      <c r="R43" s="29" t="s">
        <v>438</v>
      </c>
      <c r="S43" s="30">
        <v>2129.46</v>
      </c>
      <c r="T43" s="30">
        <v>167.33</v>
      </c>
      <c r="U43" s="30">
        <v>1962.13</v>
      </c>
    </row>
    <row x14ac:dyDescent="0.25" r="44" customHeight="1" ht="18.75">
      <c r="A44" s="21">
        <v>43</v>
      </c>
      <c r="B44" s="22" t="s">
        <v>439</v>
      </c>
      <c r="C44" s="22" t="s">
        <v>190</v>
      </c>
      <c r="D44" s="22" t="s">
        <v>440</v>
      </c>
      <c r="E44" s="22" t="s">
        <v>140</v>
      </c>
      <c r="F44" s="23"/>
      <c r="G44" s="22"/>
      <c r="H44" s="24"/>
      <c r="I44" s="25"/>
      <c r="J44" s="26">
        <v>108</v>
      </c>
      <c r="K44" s="27" t="s">
        <v>180</v>
      </c>
      <c r="L44" s="27" t="s">
        <v>169</v>
      </c>
      <c r="M44" s="28" t="s">
        <v>300</v>
      </c>
      <c r="N44" s="28" t="s">
        <v>301</v>
      </c>
      <c r="O44" s="28" t="s">
        <v>302</v>
      </c>
      <c r="P44" s="29" t="s">
        <v>303</v>
      </c>
      <c r="Q44" s="29" t="s">
        <v>304</v>
      </c>
      <c r="R44" s="29" t="s">
        <v>305</v>
      </c>
      <c r="S44" s="30">
        <v>3090.01</v>
      </c>
      <c r="T44" s="30">
        <v>259.39</v>
      </c>
      <c r="U44" s="30">
        <v>2830.62</v>
      </c>
    </row>
    <row x14ac:dyDescent="0.25" r="45" customHeight="1" ht="18.75">
      <c r="A45" s="21">
        <v>44</v>
      </c>
      <c r="B45" s="22" t="s">
        <v>441</v>
      </c>
      <c r="C45" s="22" t="s">
        <v>166</v>
      </c>
      <c r="D45" s="22" t="s">
        <v>442</v>
      </c>
      <c r="E45" s="22" t="s">
        <v>134</v>
      </c>
      <c r="F45" s="23"/>
      <c r="G45" s="22"/>
      <c r="H45" s="24"/>
      <c r="I45" s="25"/>
      <c r="J45" s="26">
        <v>100</v>
      </c>
      <c r="K45" s="27" t="s">
        <v>180</v>
      </c>
      <c r="L45" s="27" t="s">
        <v>169</v>
      </c>
      <c r="M45" s="28" t="s">
        <v>443</v>
      </c>
      <c r="N45" s="28" t="s">
        <v>444</v>
      </c>
      <c r="O45" s="28" t="s">
        <v>445</v>
      </c>
      <c r="P45" s="29" t="s">
        <v>446</v>
      </c>
      <c r="Q45" s="29" t="s">
        <v>447</v>
      </c>
      <c r="R45" s="29" t="s">
        <v>448</v>
      </c>
      <c r="S45" s="30">
        <v>1925.2</v>
      </c>
      <c r="T45" s="30">
        <v>148.94</v>
      </c>
      <c r="U45" s="30">
        <v>1776.26</v>
      </c>
    </row>
    <row x14ac:dyDescent="0.25" r="46" customHeight="1" ht="18.75">
      <c r="A46" s="21">
        <v>45</v>
      </c>
      <c r="B46" s="22" t="s">
        <v>449</v>
      </c>
      <c r="C46" s="22" t="s">
        <v>166</v>
      </c>
      <c r="D46" s="22" t="s">
        <v>450</v>
      </c>
      <c r="E46" s="22" t="s">
        <v>191</v>
      </c>
      <c r="F46" s="23"/>
      <c r="G46" s="22"/>
      <c r="H46" s="24"/>
      <c r="I46" s="25"/>
      <c r="J46" s="26">
        <v>14</v>
      </c>
      <c r="K46" s="27" t="s">
        <v>180</v>
      </c>
      <c r="L46" s="27" t="s">
        <v>169</v>
      </c>
      <c r="M46" s="28" t="s">
        <v>451</v>
      </c>
      <c r="N46" s="28" t="s">
        <v>452</v>
      </c>
      <c r="O46" s="28" t="s">
        <v>453</v>
      </c>
      <c r="P46" s="29" t="s">
        <v>344</v>
      </c>
      <c r="Q46" s="29" t="s">
        <v>454</v>
      </c>
      <c r="R46" s="29" t="s">
        <v>455</v>
      </c>
      <c r="S46" s="30">
        <v>1681.94</v>
      </c>
      <c r="T46" s="30">
        <v>127.05</v>
      </c>
      <c r="U46" s="30">
        <v>1554.89</v>
      </c>
    </row>
    <row x14ac:dyDescent="0.25" r="47" customHeight="1" ht="18.75">
      <c r="A47" s="21">
        <v>46</v>
      </c>
      <c r="B47" s="22" t="s">
        <v>456</v>
      </c>
      <c r="C47" s="22" t="s">
        <v>166</v>
      </c>
      <c r="D47" s="22" t="s">
        <v>457</v>
      </c>
      <c r="E47" s="22" t="s">
        <v>127</v>
      </c>
      <c r="F47" s="23"/>
      <c r="G47" s="22"/>
      <c r="H47" s="24"/>
      <c r="I47" s="25"/>
      <c r="J47" s="26">
        <v>374</v>
      </c>
      <c r="K47" s="27" t="s">
        <v>180</v>
      </c>
      <c r="L47" s="27" t="s">
        <v>169</v>
      </c>
      <c r="M47" s="28" t="s">
        <v>170</v>
      </c>
      <c r="N47" s="28" t="s">
        <v>171</v>
      </c>
      <c r="O47" s="28" t="s">
        <v>172</v>
      </c>
      <c r="P47" s="29" t="s">
        <v>173</v>
      </c>
      <c r="Q47" s="29" t="s">
        <v>174</v>
      </c>
      <c r="R47" s="29" t="s">
        <v>175</v>
      </c>
      <c r="S47" s="30">
        <v>1681.94</v>
      </c>
      <c r="T47" s="30">
        <v>127.05</v>
      </c>
      <c r="U47" s="30">
        <v>1554.89</v>
      </c>
    </row>
    <row x14ac:dyDescent="0.25" r="48" customHeight="1" ht="18.75">
      <c r="A48" s="21">
        <v>47</v>
      </c>
      <c r="B48" s="22" t="s">
        <v>458</v>
      </c>
      <c r="C48" s="22" t="s">
        <v>166</v>
      </c>
      <c r="D48" s="22" t="s">
        <v>459</v>
      </c>
      <c r="E48" s="22" t="s">
        <v>140</v>
      </c>
      <c r="F48" s="23"/>
      <c r="G48" s="22"/>
      <c r="H48" s="24"/>
      <c r="I48" s="25"/>
      <c r="J48" s="26">
        <v>644</v>
      </c>
      <c r="K48" s="27" t="s">
        <v>460</v>
      </c>
      <c r="L48" s="27" t="s">
        <v>169</v>
      </c>
      <c r="M48" s="28" t="s">
        <v>461</v>
      </c>
      <c r="N48" s="28" t="s">
        <v>174</v>
      </c>
      <c r="O48" s="28" t="s">
        <v>172</v>
      </c>
      <c r="P48" s="29" t="s">
        <v>173</v>
      </c>
      <c r="Q48" s="29" t="s">
        <v>174</v>
      </c>
      <c r="R48" s="29" t="s">
        <v>175</v>
      </c>
      <c r="S48" s="30">
        <v>1681.94</v>
      </c>
      <c r="T48" s="30">
        <v>127.05</v>
      </c>
      <c r="U48" s="30">
        <v>1554.89</v>
      </c>
    </row>
    <row x14ac:dyDescent="0.25" r="49" customHeight="1" ht="18.75">
      <c r="A49" s="21">
        <v>48</v>
      </c>
      <c r="B49" s="22" t="s">
        <v>462</v>
      </c>
      <c r="C49" s="22" t="s">
        <v>166</v>
      </c>
      <c r="D49" s="22" t="s">
        <v>463</v>
      </c>
      <c r="E49" s="22" t="s">
        <v>291</v>
      </c>
      <c r="F49" s="23"/>
      <c r="G49" s="22"/>
      <c r="H49" s="24"/>
      <c r="I49" s="25"/>
      <c r="J49" s="26">
        <v>61</v>
      </c>
      <c r="K49" s="27" t="s">
        <v>180</v>
      </c>
      <c r="L49" s="27" t="s">
        <v>169</v>
      </c>
      <c r="M49" s="28" t="s">
        <v>170</v>
      </c>
      <c r="N49" s="28" t="s">
        <v>171</v>
      </c>
      <c r="O49" s="28" t="s">
        <v>172</v>
      </c>
      <c r="P49" s="29" t="s">
        <v>173</v>
      </c>
      <c r="Q49" s="29" t="s">
        <v>174</v>
      </c>
      <c r="R49" s="29" t="s">
        <v>175</v>
      </c>
      <c r="S49" s="30">
        <v>1681.94</v>
      </c>
      <c r="T49" s="30">
        <v>127.05</v>
      </c>
      <c r="U49" s="30">
        <v>1554.89</v>
      </c>
    </row>
    <row x14ac:dyDescent="0.25" r="50" customHeight="1" ht="18.75">
      <c r="A50" s="21">
        <v>49</v>
      </c>
      <c r="B50" s="22" t="s">
        <v>464</v>
      </c>
      <c r="C50" s="22" t="s">
        <v>166</v>
      </c>
      <c r="D50" s="22" t="s">
        <v>465</v>
      </c>
      <c r="E50" s="22" t="s">
        <v>273</v>
      </c>
      <c r="F50" s="23"/>
      <c r="G50" s="22"/>
      <c r="H50" s="24"/>
      <c r="I50" s="25"/>
      <c r="J50" s="26">
        <v>372</v>
      </c>
      <c r="K50" s="27" t="s">
        <v>180</v>
      </c>
      <c r="L50" s="27" t="s">
        <v>169</v>
      </c>
      <c r="M50" s="28" t="s">
        <v>225</v>
      </c>
      <c r="N50" s="28" t="s">
        <v>171</v>
      </c>
      <c r="O50" s="28" t="s">
        <v>226</v>
      </c>
      <c r="P50" s="29" t="s">
        <v>227</v>
      </c>
      <c r="Q50" s="29" t="s">
        <v>174</v>
      </c>
      <c r="R50" s="29" t="s">
        <v>297</v>
      </c>
      <c r="S50" s="30">
        <v>1749.48</v>
      </c>
      <c r="T50" s="30">
        <v>127.05</v>
      </c>
      <c r="U50" s="30">
        <v>1622.43</v>
      </c>
    </row>
    <row x14ac:dyDescent="0.25" r="51" customHeight="1" ht="18.75">
      <c r="A51" s="21">
        <v>50</v>
      </c>
      <c r="B51" s="31" t="s">
        <v>466</v>
      </c>
      <c r="C51" s="22" t="s">
        <v>356</v>
      </c>
      <c r="D51" s="22"/>
      <c r="E51" s="22" t="s">
        <v>140</v>
      </c>
      <c r="F51" s="23"/>
      <c r="G51" s="22"/>
      <c r="H51" s="24"/>
      <c r="I51" s="25"/>
      <c r="J51" s="32">
        <v>656</v>
      </c>
      <c r="K51" s="27" t="s">
        <v>467</v>
      </c>
      <c r="L51" s="27" t="s">
        <v>468</v>
      </c>
      <c r="M51" s="28"/>
      <c r="N51" s="28"/>
      <c r="O51" s="28"/>
      <c r="P51" s="29" t="s">
        <v>469</v>
      </c>
      <c r="Q51" s="29" t="s">
        <v>469</v>
      </c>
      <c r="R51" s="29" t="s">
        <v>470</v>
      </c>
      <c r="S51" s="33"/>
      <c r="T51" s="33"/>
      <c r="U51" s="33"/>
    </row>
    <row x14ac:dyDescent="0.25" r="52" customHeight="1" ht="18.75">
      <c r="A52" s="21">
        <v>51</v>
      </c>
      <c r="B52" s="22" t="s">
        <v>471</v>
      </c>
      <c r="C52" s="22" t="s">
        <v>472</v>
      </c>
      <c r="D52" s="22" t="s">
        <v>473</v>
      </c>
      <c r="E52" s="22" t="s">
        <v>474</v>
      </c>
      <c r="F52" s="23"/>
      <c r="G52" s="22"/>
      <c r="H52" s="24"/>
      <c r="I52" s="25"/>
      <c r="J52" s="26">
        <v>623</v>
      </c>
      <c r="K52" s="27" t="s">
        <v>475</v>
      </c>
      <c r="L52" s="27" t="s">
        <v>169</v>
      </c>
      <c r="M52" s="28" t="s">
        <v>476</v>
      </c>
      <c r="N52" s="28" t="s">
        <v>477</v>
      </c>
      <c r="O52" s="28" t="s">
        <v>478</v>
      </c>
      <c r="P52" s="29" t="s">
        <v>476</v>
      </c>
      <c r="Q52" s="29" t="s">
        <v>477</v>
      </c>
      <c r="R52" s="29" t="s">
        <v>478</v>
      </c>
      <c r="S52" s="30">
        <v>2800</v>
      </c>
      <c r="T52" s="30">
        <v>227.68</v>
      </c>
      <c r="U52" s="30">
        <v>2572.32</v>
      </c>
    </row>
    <row x14ac:dyDescent="0.25" r="53" customHeight="1" ht="18.75">
      <c r="A53" s="21">
        <v>52</v>
      </c>
      <c r="B53" s="22" t="s">
        <v>479</v>
      </c>
      <c r="C53" s="22" t="s">
        <v>190</v>
      </c>
      <c r="D53" s="22" t="s">
        <v>480</v>
      </c>
      <c r="E53" s="22" t="s">
        <v>224</v>
      </c>
      <c r="F53" s="23"/>
      <c r="G53" s="22"/>
      <c r="H53" s="24"/>
      <c r="I53" s="25"/>
      <c r="J53" s="26">
        <v>307</v>
      </c>
      <c r="K53" s="27" t="s">
        <v>180</v>
      </c>
      <c r="L53" s="27" t="s">
        <v>169</v>
      </c>
      <c r="M53" s="28" t="s">
        <v>300</v>
      </c>
      <c r="N53" s="28" t="s">
        <v>301</v>
      </c>
      <c r="O53" s="28" t="s">
        <v>302</v>
      </c>
      <c r="P53" s="29" t="s">
        <v>481</v>
      </c>
      <c r="Q53" s="29" t="s">
        <v>482</v>
      </c>
      <c r="R53" s="29" t="s">
        <v>483</v>
      </c>
      <c r="S53" s="30">
        <v>3092.48</v>
      </c>
      <c r="T53" s="30">
        <v>259.68</v>
      </c>
      <c r="U53" s="30">
        <v>2832.8</v>
      </c>
    </row>
    <row x14ac:dyDescent="0.25" r="54" customHeight="1" ht="18.75">
      <c r="A54" s="21">
        <v>53</v>
      </c>
      <c r="B54" s="22" t="s">
        <v>484</v>
      </c>
      <c r="C54" s="22" t="s">
        <v>166</v>
      </c>
      <c r="D54" s="22" t="s">
        <v>485</v>
      </c>
      <c r="E54" s="22" t="s">
        <v>130</v>
      </c>
      <c r="F54" s="23"/>
      <c r="G54" s="22"/>
      <c r="H54" s="24"/>
      <c r="I54" s="25"/>
      <c r="J54" s="26">
        <v>574</v>
      </c>
      <c r="K54" s="27" t="s">
        <v>168</v>
      </c>
      <c r="L54" s="27" t="s">
        <v>169</v>
      </c>
      <c r="M54" s="28" t="s">
        <v>170</v>
      </c>
      <c r="N54" s="28" t="s">
        <v>171</v>
      </c>
      <c r="O54" s="28" t="s">
        <v>172</v>
      </c>
      <c r="P54" s="29" t="s">
        <v>173</v>
      </c>
      <c r="Q54" s="29" t="s">
        <v>174</v>
      </c>
      <c r="R54" s="29" t="s">
        <v>175</v>
      </c>
      <c r="S54" s="30">
        <v>1681.94</v>
      </c>
      <c r="T54" s="30">
        <v>127.05</v>
      </c>
      <c r="U54" s="30">
        <v>1554.89</v>
      </c>
    </row>
    <row x14ac:dyDescent="0.25" r="55" customHeight="1" ht="18.75">
      <c r="A55" s="21">
        <v>54</v>
      </c>
      <c r="B55" s="22" t="s">
        <v>486</v>
      </c>
      <c r="C55" s="22" t="s">
        <v>487</v>
      </c>
      <c r="D55" s="22" t="s">
        <v>488</v>
      </c>
      <c r="E55" s="22" t="s">
        <v>489</v>
      </c>
      <c r="F55" s="23"/>
      <c r="G55" s="22"/>
      <c r="H55" s="24"/>
      <c r="I55" s="25"/>
      <c r="J55" s="26">
        <v>158</v>
      </c>
      <c r="K55" s="27" t="s">
        <v>180</v>
      </c>
      <c r="L55" s="27" t="s">
        <v>169</v>
      </c>
      <c r="M55" s="28" t="s">
        <v>490</v>
      </c>
      <c r="N55" s="28" t="s">
        <v>491</v>
      </c>
      <c r="O55" s="28" t="s">
        <v>492</v>
      </c>
      <c r="P55" s="29" t="s">
        <v>490</v>
      </c>
      <c r="Q55" s="29" t="s">
        <v>491</v>
      </c>
      <c r="R55" s="29" t="s">
        <v>492</v>
      </c>
      <c r="S55" s="30">
        <v>9054.62</v>
      </c>
      <c r="T55" s="30">
        <v>2245.5</v>
      </c>
      <c r="U55" s="30">
        <v>6809.12</v>
      </c>
    </row>
    <row x14ac:dyDescent="0.25" r="56" customHeight="1" ht="18.75">
      <c r="A56" s="21">
        <v>55</v>
      </c>
      <c r="B56" s="22" t="s">
        <v>493</v>
      </c>
      <c r="C56" s="22" t="s">
        <v>368</v>
      </c>
      <c r="D56" s="22" t="s">
        <v>494</v>
      </c>
      <c r="E56" s="22" t="s">
        <v>370</v>
      </c>
      <c r="F56" s="23"/>
      <c r="G56" s="22"/>
      <c r="H56" s="24"/>
      <c r="I56" s="25"/>
      <c r="J56" s="26">
        <v>287</v>
      </c>
      <c r="K56" s="27" t="s">
        <v>180</v>
      </c>
      <c r="L56" s="27" t="s">
        <v>169</v>
      </c>
      <c r="M56" s="28" t="s">
        <v>495</v>
      </c>
      <c r="N56" s="28" t="s">
        <v>496</v>
      </c>
      <c r="O56" s="28" t="s">
        <v>497</v>
      </c>
      <c r="P56" s="29" t="s">
        <v>498</v>
      </c>
      <c r="Q56" s="29" t="s">
        <v>499</v>
      </c>
      <c r="R56" s="29" t="s">
        <v>500</v>
      </c>
      <c r="S56" s="30">
        <v>5047.44</v>
      </c>
      <c r="T56" s="30">
        <v>1550.07</v>
      </c>
      <c r="U56" s="30">
        <v>3497.37</v>
      </c>
    </row>
    <row x14ac:dyDescent="0.25" r="57" customHeight="1" ht="18.75">
      <c r="A57" s="21">
        <v>56</v>
      </c>
      <c r="B57" s="22" t="s">
        <v>501</v>
      </c>
      <c r="C57" s="22" t="s">
        <v>190</v>
      </c>
      <c r="D57" s="22" t="s">
        <v>502</v>
      </c>
      <c r="E57" s="22" t="s">
        <v>370</v>
      </c>
      <c r="F57" s="23"/>
      <c r="G57" s="22"/>
      <c r="H57" s="24"/>
      <c r="I57" s="25"/>
      <c r="J57" s="26">
        <v>560</v>
      </c>
      <c r="K57" s="27" t="s">
        <v>180</v>
      </c>
      <c r="L57" s="27" t="s">
        <v>169</v>
      </c>
      <c r="M57" s="28" t="s">
        <v>233</v>
      </c>
      <c r="N57" s="28" t="s">
        <v>234</v>
      </c>
      <c r="O57" s="28" t="s">
        <v>235</v>
      </c>
      <c r="P57" s="29" t="s">
        <v>503</v>
      </c>
      <c r="Q57" s="29" t="s">
        <v>504</v>
      </c>
      <c r="R57" s="29" t="s">
        <v>505</v>
      </c>
      <c r="S57" s="30">
        <v>3141.87</v>
      </c>
      <c r="T57" s="30">
        <v>441.05</v>
      </c>
      <c r="U57" s="30">
        <v>2700.82</v>
      </c>
    </row>
    <row x14ac:dyDescent="0.25" r="58" customHeight="1" ht="18.75">
      <c r="A58" s="21">
        <v>57</v>
      </c>
      <c r="B58" s="31" t="s">
        <v>506</v>
      </c>
      <c r="C58" s="22" t="s">
        <v>166</v>
      </c>
      <c r="D58" s="22"/>
      <c r="E58" s="22" t="s">
        <v>134</v>
      </c>
      <c r="F58" s="23"/>
      <c r="G58" s="22"/>
      <c r="H58" s="24"/>
      <c r="I58" s="25"/>
      <c r="J58" s="32">
        <v>657</v>
      </c>
      <c r="K58" s="27" t="s">
        <v>467</v>
      </c>
      <c r="L58" s="27" t="s">
        <v>169</v>
      </c>
      <c r="M58" s="28"/>
      <c r="N58" s="28"/>
      <c r="O58" s="28"/>
      <c r="P58" s="29" t="s">
        <v>297</v>
      </c>
      <c r="Q58" s="29" t="s">
        <v>507</v>
      </c>
      <c r="R58" s="29" t="s">
        <v>508</v>
      </c>
      <c r="S58" s="30">
        <v>2148.37</v>
      </c>
      <c r="T58" s="30">
        <v>169.03</v>
      </c>
      <c r="U58" s="30">
        <v>1979.34</v>
      </c>
    </row>
    <row x14ac:dyDescent="0.25" r="59" customHeight="1" ht="18.75">
      <c r="A59" s="21">
        <v>58</v>
      </c>
      <c r="B59" s="22" t="s">
        <v>509</v>
      </c>
      <c r="C59" s="22" t="s">
        <v>190</v>
      </c>
      <c r="D59" s="22" t="s">
        <v>510</v>
      </c>
      <c r="E59" s="22" t="s">
        <v>63</v>
      </c>
      <c r="F59" s="23"/>
      <c r="G59" s="22"/>
      <c r="H59" s="24"/>
      <c r="I59" s="25"/>
      <c r="J59" s="26">
        <v>522</v>
      </c>
      <c r="K59" s="27" t="s">
        <v>180</v>
      </c>
      <c r="L59" s="27" t="s">
        <v>169</v>
      </c>
      <c r="M59" s="28" t="s">
        <v>233</v>
      </c>
      <c r="N59" s="28" t="s">
        <v>234</v>
      </c>
      <c r="O59" s="28" t="s">
        <v>235</v>
      </c>
      <c r="P59" s="29" t="s">
        <v>236</v>
      </c>
      <c r="Q59" s="29" t="s">
        <v>275</v>
      </c>
      <c r="R59" s="29" t="s">
        <v>276</v>
      </c>
      <c r="S59" s="30">
        <v>3433.34</v>
      </c>
      <c r="T59" s="30">
        <v>1397.05</v>
      </c>
      <c r="U59" s="30">
        <v>2036.29</v>
      </c>
    </row>
    <row x14ac:dyDescent="0.25" r="60" customHeight="1" ht="18.75">
      <c r="A60" s="21">
        <v>59</v>
      </c>
      <c r="B60" s="22" t="s">
        <v>511</v>
      </c>
      <c r="C60" s="22" t="s">
        <v>190</v>
      </c>
      <c r="D60" s="22" t="s">
        <v>512</v>
      </c>
      <c r="E60" s="22" t="s">
        <v>224</v>
      </c>
      <c r="F60" s="23"/>
      <c r="G60" s="22"/>
      <c r="H60" s="24"/>
      <c r="I60" s="25"/>
      <c r="J60" s="26">
        <v>305</v>
      </c>
      <c r="K60" s="27" t="s">
        <v>180</v>
      </c>
      <c r="L60" s="27" t="s">
        <v>169</v>
      </c>
      <c r="M60" s="28" t="s">
        <v>513</v>
      </c>
      <c r="N60" s="28" t="s">
        <v>514</v>
      </c>
      <c r="O60" s="28" t="s">
        <v>515</v>
      </c>
      <c r="P60" s="29" t="s">
        <v>516</v>
      </c>
      <c r="Q60" s="29" t="s">
        <v>517</v>
      </c>
      <c r="R60" s="29" t="s">
        <v>518</v>
      </c>
      <c r="S60" s="30">
        <v>3931.36</v>
      </c>
      <c r="T60" s="30">
        <v>360.35</v>
      </c>
      <c r="U60" s="30">
        <v>3571.01</v>
      </c>
    </row>
    <row x14ac:dyDescent="0.25" r="61" customHeight="1" ht="18.75">
      <c r="A61" s="21">
        <v>60</v>
      </c>
      <c r="B61" s="22" t="s">
        <v>519</v>
      </c>
      <c r="C61" s="22" t="s">
        <v>520</v>
      </c>
      <c r="D61" s="22" t="s">
        <v>521</v>
      </c>
      <c r="E61" s="22" t="s">
        <v>134</v>
      </c>
      <c r="F61" s="23"/>
      <c r="G61" s="22"/>
      <c r="H61" s="24"/>
      <c r="I61" s="25"/>
      <c r="J61" s="26">
        <v>236</v>
      </c>
      <c r="K61" s="27" t="s">
        <v>180</v>
      </c>
      <c r="L61" s="27" t="s">
        <v>169</v>
      </c>
      <c r="M61" s="28" t="s">
        <v>522</v>
      </c>
      <c r="N61" s="28" t="s">
        <v>523</v>
      </c>
      <c r="O61" s="28" t="s">
        <v>524</v>
      </c>
      <c r="P61" s="29" t="s">
        <v>522</v>
      </c>
      <c r="Q61" s="29" t="s">
        <v>523</v>
      </c>
      <c r="R61" s="29" t="s">
        <v>524</v>
      </c>
      <c r="S61" s="30">
        <v>4368.73</v>
      </c>
      <c r="T61" s="30">
        <v>413.12</v>
      </c>
      <c r="U61" s="30">
        <v>3955.61</v>
      </c>
    </row>
    <row x14ac:dyDescent="0.25" r="62" customHeight="1" ht="18.75">
      <c r="A62" s="21">
        <v>61</v>
      </c>
      <c r="B62" s="22" t="s">
        <v>525</v>
      </c>
      <c r="C62" s="22" t="s">
        <v>166</v>
      </c>
      <c r="D62" s="22" t="s">
        <v>526</v>
      </c>
      <c r="E62" s="22" t="s">
        <v>191</v>
      </c>
      <c r="F62" s="23"/>
      <c r="G62" s="22"/>
      <c r="H62" s="24"/>
      <c r="I62" s="25"/>
      <c r="J62" s="26">
        <v>633</v>
      </c>
      <c r="K62" s="27" t="s">
        <v>527</v>
      </c>
      <c r="L62" s="27" t="s">
        <v>169</v>
      </c>
      <c r="M62" s="28" t="s">
        <v>528</v>
      </c>
      <c r="N62" s="28" t="s">
        <v>529</v>
      </c>
      <c r="O62" s="28" t="s">
        <v>530</v>
      </c>
      <c r="P62" s="29" t="s">
        <v>268</v>
      </c>
      <c r="Q62" s="29" t="s">
        <v>174</v>
      </c>
      <c r="R62" s="29" t="s">
        <v>361</v>
      </c>
      <c r="S62" s="30">
        <v>1817.02</v>
      </c>
      <c r="T62" s="30">
        <v>127.05</v>
      </c>
      <c r="U62" s="30">
        <v>1689.97</v>
      </c>
    </row>
    <row x14ac:dyDescent="0.25" r="63" customHeight="1" ht="18.75">
      <c r="A63" s="21">
        <v>62</v>
      </c>
      <c r="B63" s="22" t="s">
        <v>531</v>
      </c>
      <c r="C63" s="22" t="s">
        <v>166</v>
      </c>
      <c r="D63" s="22" t="s">
        <v>532</v>
      </c>
      <c r="E63" s="22" t="s">
        <v>134</v>
      </c>
      <c r="F63" s="23"/>
      <c r="G63" s="22"/>
      <c r="H63" s="24"/>
      <c r="I63" s="25"/>
      <c r="J63" s="26">
        <v>71</v>
      </c>
      <c r="K63" s="27" t="s">
        <v>180</v>
      </c>
      <c r="L63" s="27" t="s">
        <v>169</v>
      </c>
      <c r="M63" s="28" t="s">
        <v>170</v>
      </c>
      <c r="N63" s="28" t="s">
        <v>171</v>
      </c>
      <c r="O63" s="28" t="s">
        <v>172</v>
      </c>
      <c r="P63" s="29" t="s">
        <v>173</v>
      </c>
      <c r="Q63" s="29" t="s">
        <v>174</v>
      </c>
      <c r="R63" s="29" t="s">
        <v>175</v>
      </c>
      <c r="S63" s="30">
        <v>1681.94</v>
      </c>
      <c r="T63" s="30">
        <v>127.05</v>
      </c>
      <c r="U63" s="30">
        <v>1554.89</v>
      </c>
    </row>
    <row x14ac:dyDescent="0.25" r="64" customHeight="1" ht="18.75">
      <c r="A64" s="21">
        <v>63</v>
      </c>
      <c r="B64" s="22" t="s">
        <v>533</v>
      </c>
      <c r="C64" s="22" t="s">
        <v>190</v>
      </c>
      <c r="D64" s="22" t="s">
        <v>534</v>
      </c>
      <c r="E64" s="22" t="s">
        <v>273</v>
      </c>
      <c r="F64" s="23"/>
      <c r="G64" s="22"/>
      <c r="H64" s="24"/>
      <c r="I64" s="25"/>
      <c r="J64" s="26">
        <v>375</v>
      </c>
      <c r="K64" s="27" t="s">
        <v>180</v>
      </c>
      <c r="L64" s="27" t="s">
        <v>169</v>
      </c>
      <c r="M64" s="28" t="s">
        <v>233</v>
      </c>
      <c r="N64" s="28" t="s">
        <v>234</v>
      </c>
      <c r="O64" s="28" t="s">
        <v>235</v>
      </c>
      <c r="P64" s="29" t="s">
        <v>535</v>
      </c>
      <c r="Q64" s="29" t="s">
        <v>536</v>
      </c>
      <c r="R64" s="29" t="s">
        <v>537</v>
      </c>
      <c r="S64" s="30">
        <v>3757.54</v>
      </c>
      <c r="T64" s="30">
        <v>339.49</v>
      </c>
      <c r="U64" s="30">
        <v>3418.05</v>
      </c>
    </row>
    <row x14ac:dyDescent="0.25" r="65" customHeight="1" ht="18.75">
      <c r="A65" s="21">
        <v>64</v>
      </c>
      <c r="B65" s="22" t="s">
        <v>538</v>
      </c>
      <c r="C65" s="22" t="s">
        <v>539</v>
      </c>
      <c r="D65" s="22" t="s">
        <v>540</v>
      </c>
      <c r="E65" s="22" t="s">
        <v>33</v>
      </c>
      <c r="F65" s="23"/>
      <c r="G65" s="22"/>
      <c r="H65" s="24"/>
      <c r="I65" s="25"/>
      <c r="J65" s="26">
        <v>400</v>
      </c>
      <c r="K65" s="27" t="s">
        <v>180</v>
      </c>
      <c r="L65" s="27" t="s">
        <v>169</v>
      </c>
      <c r="M65" s="28" t="s">
        <v>173</v>
      </c>
      <c r="N65" s="28" t="s">
        <v>174</v>
      </c>
      <c r="O65" s="28" t="s">
        <v>175</v>
      </c>
      <c r="P65" s="29" t="s">
        <v>173</v>
      </c>
      <c r="Q65" s="29" t="s">
        <v>174</v>
      </c>
      <c r="R65" s="29" t="s">
        <v>175</v>
      </c>
      <c r="S65" s="30">
        <v>1621</v>
      </c>
      <c r="T65" s="30">
        <v>204.19</v>
      </c>
      <c r="U65" s="30">
        <v>1416.81</v>
      </c>
    </row>
    <row x14ac:dyDescent="0.25" r="66" customHeight="1" ht="18.75">
      <c r="A66" s="21">
        <v>65</v>
      </c>
      <c r="B66" s="22" t="s">
        <v>541</v>
      </c>
      <c r="C66" s="22" t="s">
        <v>166</v>
      </c>
      <c r="D66" s="22" t="s">
        <v>542</v>
      </c>
      <c r="E66" s="22" t="s">
        <v>273</v>
      </c>
      <c r="F66" s="23"/>
      <c r="G66" s="22"/>
      <c r="H66" s="24"/>
      <c r="I66" s="25"/>
      <c r="J66" s="26">
        <v>554</v>
      </c>
      <c r="K66" s="27" t="s">
        <v>274</v>
      </c>
      <c r="L66" s="27" t="s">
        <v>169</v>
      </c>
      <c r="M66" s="28" t="s">
        <v>170</v>
      </c>
      <c r="N66" s="28" t="s">
        <v>171</v>
      </c>
      <c r="O66" s="28" t="s">
        <v>172</v>
      </c>
      <c r="P66" s="29" t="s">
        <v>173</v>
      </c>
      <c r="Q66" s="29" t="s">
        <v>174</v>
      </c>
      <c r="R66" s="29" t="s">
        <v>175</v>
      </c>
      <c r="S66" s="30">
        <v>2006.14</v>
      </c>
      <c r="T66" s="30">
        <v>156.23</v>
      </c>
      <c r="U66" s="30">
        <v>1849.91</v>
      </c>
    </row>
    <row x14ac:dyDescent="0.25" r="67" customHeight="1" ht="18.75">
      <c r="A67" s="21">
        <v>66</v>
      </c>
      <c r="B67" s="22" t="s">
        <v>543</v>
      </c>
      <c r="C67" s="22" t="s">
        <v>278</v>
      </c>
      <c r="D67" s="22" t="s">
        <v>544</v>
      </c>
      <c r="E67" s="22" t="s">
        <v>72</v>
      </c>
      <c r="F67" s="23"/>
      <c r="G67" s="22"/>
      <c r="H67" s="24"/>
      <c r="I67" s="25"/>
      <c r="J67" s="26">
        <v>597</v>
      </c>
      <c r="K67" s="27" t="s">
        <v>545</v>
      </c>
      <c r="L67" s="27" t="s">
        <v>169</v>
      </c>
      <c r="M67" s="28" t="s">
        <v>417</v>
      </c>
      <c r="N67" s="28" t="s">
        <v>418</v>
      </c>
      <c r="O67" s="28" t="s">
        <v>419</v>
      </c>
      <c r="P67" s="29" t="s">
        <v>417</v>
      </c>
      <c r="Q67" s="29" t="s">
        <v>418</v>
      </c>
      <c r="R67" s="29" t="s">
        <v>419</v>
      </c>
      <c r="S67" s="30">
        <v>4280</v>
      </c>
      <c r="T67" s="30">
        <v>402.18</v>
      </c>
      <c r="U67" s="30">
        <v>3877.82</v>
      </c>
    </row>
    <row x14ac:dyDescent="0.25" r="68" customHeight="1" ht="18.75">
      <c r="A68" s="21">
        <v>67</v>
      </c>
      <c r="B68" s="22" t="s">
        <v>546</v>
      </c>
      <c r="C68" s="22" t="s">
        <v>278</v>
      </c>
      <c r="D68" s="22" t="s">
        <v>547</v>
      </c>
      <c r="E68" s="22" t="s">
        <v>38</v>
      </c>
      <c r="F68" s="23"/>
      <c r="G68" s="22"/>
      <c r="H68" s="24"/>
      <c r="I68" s="25"/>
      <c r="J68" s="26">
        <v>252</v>
      </c>
      <c r="K68" s="27" t="s">
        <v>180</v>
      </c>
      <c r="L68" s="27" t="s">
        <v>169</v>
      </c>
      <c r="M68" s="28" t="s">
        <v>417</v>
      </c>
      <c r="N68" s="28" t="s">
        <v>418</v>
      </c>
      <c r="O68" s="28" t="s">
        <v>419</v>
      </c>
      <c r="P68" s="29" t="s">
        <v>417</v>
      </c>
      <c r="Q68" s="29" t="s">
        <v>418</v>
      </c>
      <c r="R68" s="29" t="s">
        <v>419</v>
      </c>
      <c r="S68" s="30">
        <v>4280</v>
      </c>
      <c r="T68" s="30">
        <v>402.18</v>
      </c>
      <c r="U68" s="30">
        <v>3877.82</v>
      </c>
    </row>
    <row x14ac:dyDescent="0.25" r="69" customHeight="1" ht="18.75">
      <c r="A69" s="21">
        <v>68</v>
      </c>
      <c r="B69" s="22" t="s">
        <v>548</v>
      </c>
      <c r="C69" s="22" t="s">
        <v>549</v>
      </c>
      <c r="D69" s="22" t="s">
        <v>550</v>
      </c>
      <c r="E69" s="22" t="s">
        <v>134</v>
      </c>
      <c r="F69" s="23"/>
      <c r="G69" s="22"/>
      <c r="H69" s="24"/>
      <c r="I69" s="25"/>
      <c r="J69" s="26">
        <v>163</v>
      </c>
      <c r="K69" s="27" t="s">
        <v>180</v>
      </c>
      <c r="L69" s="27" t="s">
        <v>169</v>
      </c>
      <c r="M69" s="28" t="s">
        <v>551</v>
      </c>
      <c r="N69" s="28" t="s">
        <v>552</v>
      </c>
      <c r="O69" s="28" t="s">
        <v>553</v>
      </c>
      <c r="P69" s="29" t="s">
        <v>383</v>
      </c>
      <c r="Q69" s="29" t="s">
        <v>554</v>
      </c>
      <c r="R69" s="29" t="s">
        <v>555</v>
      </c>
      <c r="S69" s="30">
        <v>2386.46</v>
      </c>
      <c r="T69" s="30">
        <v>311.55</v>
      </c>
      <c r="U69" s="30">
        <v>2074.91</v>
      </c>
    </row>
    <row x14ac:dyDescent="0.25" r="70" customHeight="1" ht="18.75">
      <c r="A70" s="21">
        <v>69</v>
      </c>
      <c r="B70" s="22" t="s">
        <v>556</v>
      </c>
      <c r="C70" s="22" t="s">
        <v>278</v>
      </c>
      <c r="D70" s="22" t="s">
        <v>557</v>
      </c>
      <c r="E70" s="22" t="s">
        <v>58</v>
      </c>
      <c r="F70" s="23"/>
      <c r="G70" s="22"/>
      <c r="H70" s="24"/>
      <c r="I70" s="25"/>
      <c r="J70" s="26">
        <v>563</v>
      </c>
      <c r="K70" s="27" t="s">
        <v>168</v>
      </c>
      <c r="L70" s="27" t="s">
        <v>169</v>
      </c>
      <c r="M70" s="28" t="s">
        <v>417</v>
      </c>
      <c r="N70" s="28" t="s">
        <v>418</v>
      </c>
      <c r="O70" s="28" t="s">
        <v>419</v>
      </c>
      <c r="P70" s="29" t="s">
        <v>417</v>
      </c>
      <c r="Q70" s="29" t="s">
        <v>418</v>
      </c>
      <c r="R70" s="29" t="s">
        <v>419</v>
      </c>
      <c r="S70" s="30">
        <v>4280</v>
      </c>
      <c r="T70" s="30">
        <v>402.18</v>
      </c>
      <c r="U70" s="30">
        <v>3877.82</v>
      </c>
    </row>
    <row x14ac:dyDescent="0.25" r="71" customHeight="1" ht="18.75">
      <c r="A71" s="21">
        <v>70</v>
      </c>
      <c r="B71" s="22" t="s">
        <v>558</v>
      </c>
      <c r="C71" s="22" t="s">
        <v>166</v>
      </c>
      <c r="D71" s="22" t="s">
        <v>559</v>
      </c>
      <c r="E71" s="22" t="s">
        <v>273</v>
      </c>
      <c r="F71" s="23"/>
      <c r="G71" s="22"/>
      <c r="H71" s="24"/>
      <c r="I71" s="25"/>
      <c r="J71" s="26">
        <v>369</v>
      </c>
      <c r="K71" s="27" t="s">
        <v>180</v>
      </c>
      <c r="L71" s="27" t="s">
        <v>169</v>
      </c>
      <c r="M71" s="28" t="s">
        <v>170</v>
      </c>
      <c r="N71" s="28" t="s">
        <v>171</v>
      </c>
      <c r="O71" s="28" t="s">
        <v>172</v>
      </c>
      <c r="P71" s="29" t="s">
        <v>173</v>
      </c>
      <c r="Q71" s="29" t="s">
        <v>174</v>
      </c>
      <c r="R71" s="29" t="s">
        <v>175</v>
      </c>
      <c r="S71" s="30">
        <v>1681.94</v>
      </c>
      <c r="T71" s="30">
        <v>127.05</v>
      </c>
      <c r="U71" s="30">
        <v>1554.89</v>
      </c>
    </row>
    <row x14ac:dyDescent="0.25" r="72" customHeight="1" ht="18.75">
      <c r="A72" s="21">
        <v>71</v>
      </c>
      <c r="B72" s="22" t="s">
        <v>560</v>
      </c>
      <c r="C72" s="22" t="s">
        <v>520</v>
      </c>
      <c r="D72" s="22" t="s">
        <v>561</v>
      </c>
      <c r="E72" s="22" t="s">
        <v>140</v>
      </c>
      <c r="F72" s="23"/>
      <c r="G72" s="22"/>
      <c r="H72" s="24"/>
      <c r="I72" s="25"/>
      <c r="J72" s="26">
        <v>312</v>
      </c>
      <c r="K72" s="27" t="s">
        <v>180</v>
      </c>
      <c r="L72" s="27" t="s">
        <v>169</v>
      </c>
      <c r="M72" s="28" t="s">
        <v>562</v>
      </c>
      <c r="N72" s="28" t="s">
        <v>563</v>
      </c>
      <c r="O72" s="28" t="s">
        <v>564</v>
      </c>
      <c r="P72" s="29" t="s">
        <v>522</v>
      </c>
      <c r="Q72" s="29" t="s">
        <v>523</v>
      </c>
      <c r="R72" s="29" t="s">
        <v>524</v>
      </c>
      <c r="S72" s="30">
        <v>5130.59</v>
      </c>
      <c r="T72" s="30">
        <v>566.54</v>
      </c>
      <c r="U72" s="30">
        <v>4564.05</v>
      </c>
    </row>
    <row x14ac:dyDescent="0.25" r="73" customHeight="1" ht="18.75">
      <c r="A73" s="21">
        <v>72</v>
      </c>
      <c r="B73" s="22" t="s">
        <v>565</v>
      </c>
      <c r="C73" s="22" t="s">
        <v>289</v>
      </c>
      <c r="D73" s="22" t="s">
        <v>566</v>
      </c>
      <c r="E73" s="22" t="s">
        <v>140</v>
      </c>
      <c r="F73" s="23"/>
      <c r="G73" s="22"/>
      <c r="H73" s="24"/>
      <c r="I73" s="25"/>
      <c r="J73" s="26">
        <v>82</v>
      </c>
      <c r="K73" s="27" t="s">
        <v>180</v>
      </c>
      <c r="L73" s="27" t="s">
        <v>169</v>
      </c>
      <c r="M73" s="28" t="s">
        <v>292</v>
      </c>
      <c r="N73" s="28" t="s">
        <v>293</v>
      </c>
      <c r="O73" s="28" t="s">
        <v>294</v>
      </c>
      <c r="P73" s="29" t="s">
        <v>292</v>
      </c>
      <c r="Q73" s="29" t="s">
        <v>293</v>
      </c>
      <c r="R73" s="29" t="s">
        <v>294</v>
      </c>
      <c r="S73" s="30">
        <v>3818.4</v>
      </c>
      <c r="T73" s="30">
        <v>346.79</v>
      </c>
      <c r="U73" s="30">
        <v>3471.61</v>
      </c>
    </row>
    <row x14ac:dyDescent="0.25" r="74" customHeight="1" ht="18.75">
      <c r="A74" s="21">
        <v>73</v>
      </c>
      <c r="B74" s="22" t="s">
        <v>567</v>
      </c>
      <c r="C74" s="22" t="s">
        <v>190</v>
      </c>
      <c r="D74" s="22" t="s">
        <v>568</v>
      </c>
      <c r="E74" s="22" t="s">
        <v>569</v>
      </c>
      <c r="F74" s="23"/>
      <c r="G74" s="22"/>
      <c r="H74" s="24"/>
      <c r="I74" s="25"/>
      <c r="J74" s="26">
        <v>570</v>
      </c>
      <c r="K74" s="27" t="s">
        <v>168</v>
      </c>
      <c r="L74" s="27" t="s">
        <v>169</v>
      </c>
      <c r="M74" s="28" t="s">
        <v>233</v>
      </c>
      <c r="N74" s="28" t="s">
        <v>570</v>
      </c>
      <c r="O74" s="28" t="s">
        <v>571</v>
      </c>
      <c r="P74" s="29">
        <v>0</v>
      </c>
      <c r="Q74" s="29">
        <v>0</v>
      </c>
      <c r="R74" s="29">
        <v>0</v>
      </c>
      <c r="S74" s="30">
        <v>3433.34</v>
      </c>
      <c r="T74" s="30">
        <v>3433.34</v>
      </c>
      <c r="U74" s="28">
        <v>0</v>
      </c>
    </row>
    <row x14ac:dyDescent="0.25" r="75" customHeight="1" ht="18.75">
      <c r="A75" s="21">
        <v>74</v>
      </c>
      <c r="B75" s="22" t="s">
        <v>572</v>
      </c>
      <c r="C75" s="22" t="s">
        <v>166</v>
      </c>
      <c r="D75" s="22" t="s">
        <v>573</v>
      </c>
      <c r="E75" s="22" t="s">
        <v>140</v>
      </c>
      <c r="F75" s="23"/>
      <c r="G75" s="22"/>
      <c r="H75" s="24"/>
      <c r="I75" s="25"/>
      <c r="J75" s="26">
        <v>571</v>
      </c>
      <c r="K75" s="27" t="s">
        <v>168</v>
      </c>
      <c r="L75" s="27" t="s">
        <v>169</v>
      </c>
      <c r="M75" s="28" t="s">
        <v>574</v>
      </c>
      <c r="N75" s="28" t="s">
        <v>575</v>
      </c>
      <c r="O75" s="28" t="s">
        <v>576</v>
      </c>
      <c r="P75" s="29" t="s">
        <v>577</v>
      </c>
      <c r="Q75" s="29" t="s">
        <v>578</v>
      </c>
      <c r="R75" s="29" t="s">
        <v>579</v>
      </c>
      <c r="S75" s="30">
        <v>1909.03</v>
      </c>
      <c r="T75" s="30">
        <v>147.49</v>
      </c>
      <c r="U75" s="30">
        <v>1761.54</v>
      </c>
    </row>
    <row x14ac:dyDescent="0.25" r="76" customHeight="1" ht="18.75">
      <c r="A76" s="21">
        <v>75</v>
      </c>
      <c r="B76" s="22" t="s">
        <v>580</v>
      </c>
      <c r="C76" s="22" t="s">
        <v>190</v>
      </c>
      <c r="D76" s="22" t="s">
        <v>581</v>
      </c>
      <c r="E76" s="22" t="s">
        <v>582</v>
      </c>
      <c r="F76" s="23"/>
      <c r="G76" s="22"/>
      <c r="H76" s="24"/>
      <c r="I76" s="25"/>
      <c r="J76" s="26">
        <v>275</v>
      </c>
      <c r="K76" s="27" t="s">
        <v>180</v>
      </c>
      <c r="L76" s="27" t="s">
        <v>169</v>
      </c>
      <c r="M76" s="28" t="s">
        <v>583</v>
      </c>
      <c r="N76" s="28" t="s">
        <v>584</v>
      </c>
      <c r="O76" s="28" t="s">
        <v>585</v>
      </c>
      <c r="P76" s="29" t="s">
        <v>586</v>
      </c>
      <c r="Q76" s="29" t="s">
        <v>587</v>
      </c>
      <c r="R76" s="29" t="s">
        <v>588</v>
      </c>
      <c r="S76" s="30">
        <v>4463.34</v>
      </c>
      <c r="T76" s="30">
        <v>426.36</v>
      </c>
      <c r="U76" s="30">
        <v>4036.98</v>
      </c>
    </row>
    <row x14ac:dyDescent="0.25" r="77" customHeight="1" ht="18.75">
      <c r="A77" s="21">
        <v>76</v>
      </c>
      <c r="B77" s="22" t="s">
        <v>589</v>
      </c>
      <c r="C77" s="22" t="s">
        <v>549</v>
      </c>
      <c r="D77" s="22" t="s">
        <v>590</v>
      </c>
      <c r="E77" s="22" t="s">
        <v>591</v>
      </c>
      <c r="F77" s="23"/>
      <c r="G77" s="22"/>
      <c r="H77" s="24"/>
      <c r="I77" s="25"/>
      <c r="J77" s="26">
        <v>458</v>
      </c>
      <c r="K77" s="27" t="s">
        <v>180</v>
      </c>
      <c r="L77" s="27" t="s">
        <v>169</v>
      </c>
      <c r="M77" s="28" t="s">
        <v>592</v>
      </c>
      <c r="N77" s="28" t="s">
        <v>593</v>
      </c>
      <c r="O77" s="28" t="s">
        <v>594</v>
      </c>
      <c r="P77" s="29" t="s">
        <v>592</v>
      </c>
      <c r="Q77" s="29" t="s">
        <v>593</v>
      </c>
      <c r="R77" s="29" t="s">
        <v>594</v>
      </c>
      <c r="S77" s="30">
        <v>1834.15</v>
      </c>
      <c r="T77" s="30">
        <v>140.75</v>
      </c>
      <c r="U77" s="30">
        <v>1693.4</v>
      </c>
    </row>
    <row x14ac:dyDescent="0.25" r="78" customHeight="1" ht="18.75">
      <c r="A78" s="21">
        <v>77</v>
      </c>
      <c r="B78" s="22" t="s">
        <v>595</v>
      </c>
      <c r="C78" s="22" t="s">
        <v>166</v>
      </c>
      <c r="D78" s="22" t="s">
        <v>596</v>
      </c>
      <c r="E78" s="22" t="s">
        <v>140</v>
      </c>
      <c r="F78" s="23"/>
      <c r="G78" s="22"/>
      <c r="H78" s="24"/>
      <c r="I78" s="25"/>
      <c r="J78" s="26">
        <v>55</v>
      </c>
      <c r="K78" s="27" t="s">
        <v>180</v>
      </c>
      <c r="L78" s="27" t="s">
        <v>169</v>
      </c>
      <c r="M78" s="28" t="s">
        <v>597</v>
      </c>
      <c r="N78" s="28" t="s">
        <v>452</v>
      </c>
      <c r="O78" s="28" t="s">
        <v>598</v>
      </c>
      <c r="P78" s="29" t="s">
        <v>268</v>
      </c>
      <c r="Q78" s="29" t="s">
        <v>174</v>
      </c>
      <c r="R78" s="29" t="s">
        <v>361</v>
      </c>
      <c r="S78" s="30">
        <v>1833.24</v>
      </c>
      <c r="T78" s="30">
        <v>177.89</v>
      </c>
      <c r="U78" s="30">
        <v>1655.35</v>
      </c>
    </row>
    <row x14ac:dyDescent="0.25" r="79" customHeight="1" ht="18.75">
      <c r="A79" s="21">
        <v>78</v>
      </c>
      <c r="B79" s="22" t="s">
        <v>599</v>
      </c>
      <c r="C79" s="22" t="s">
        <v>190</v>
      </c>
      <c r="D79" s="22" t="s">
        <v>600</v>
      </c>
      <c r="E79" s="22" t="s">
        <v>134</v>
      </c>
      <c r="F79" s="23"/>
      <c r="G79" s="22"/>
      <c r="H79" s="24"/>
      <c r="I79" s="25"/>
      <c r="J79" s="26">
        <v>134</v>
      </c>
      <c r="K79" s="27" t="s">
        <v>180</v>
      </c>
      <c r="L79" s="27" t="s">
        <v>169</v>
      </c>
      <c r="M79" s="28" t="s">
        <v>300</v>
      </c>
      <c r="N79" s="28" t="s">
        <v>301</v>
      </c>
      <c r="O79" s="28" t="s">
        <v>302</v>
      </c>
      <c r="P79" s="29" t="s">
        <v>303</v>
      </c>
      <c r="Q79" s="29" t="s">
        <v>304</v>
      </c>
      <c r="R79" s="29" t="s">
        <v>305</v>
      </c>
      <c r="S79" s="30">
        <v>3090.01</v>
      </c>
      <c r="T79" s="30">
        <v>259.39</v>
      </c>
      <c r="U79" s="30">
        <v>2830.62</v>
      </c>
    </row>
    <row x14ac:dyDescent="0.25" r="80" customHeight="1" ht="18.75">
      <c r="A80" s="21">
        <v>79</v>
      </c>
      <c r="B80" s="22" t="s">
        <v>601</v>
      </c>
      <c r="C80" s="22" t="s">
        <v>190</v>
      </c>
      <c r="D80" s="22" t="s">
        <v>602</v>
      </c>
      <c r="E80" s="22" t="s">
        <v>22</v>
      </c>
      <c r="F80" s="23"/>
      <c r="G80" s="22"/>
      <c r="H80" s="24"/>
      <c r="I80" s="25"/>
      <c r="J80" s="26">
        <v>494</v>
      </c>
      <c r="K80" s="27" t="s">
        <v>180</v>
      </c>
      <c r="L80" s="27" t="s">
        <v>169</v>
      </c>
      <c r="M80" s="28" t="s">
        <v>233</v>
      </c>
      <c r="N80" s="28" t="s">
        <v>234</v>
      </c>
      <c r="O80" s="28" t="s">
        <v>235</v>
      </c>
      <c r="P80" s="29" t="s">
        <v>236</v>
      </c>
      <c r="Q80" s="29" t="s">
        <v>275</v>
      </c>
      <c r="R80" s="29" t="s">
        <v>276</v>
      </c>
      <c r="S80" s="30">
        <v>3433.34</v>
      </c>
      <c r="T80" s="30">
        <v>300.59</v>
      </c>
      <c r="U80" s="30">
        <v>3132.75</v>
      </c>
    </row>
    <row x14ac:dyDescent="0.25" r="81" customHeight="1" ht="18.75">
      <c r="A81" s="21">
        <v>80</v>
      </c>
      <c r="B81" s="22" t="s">
        <v>603</v>
      </c>
      <c r="C81" s="22" t="s">
        <v>166</v>
      </c>
      <c r="D81" s="22" t="s">
        <v>604</v>
      </c>
      <c r="E81" s="22" t="s">
        <v>605</v>
      </c>
      <c r="F81" s="23"/>
      <c r="G81" s="22"/>
      <c r="H81" s="24"/>
      <c r="I81" s="25"/>
      <c r="J81" s="26">
        <v>222</v>
      </c>
      <c r="K81" s="27" t="s">
        <v>180</v>
      </c>
      <c r="L81" s="27" t="s">
        <v>169</v>
      </c>
      <c r="M81" s="28" t="s">
        <v>606</v>
      </c>
      <c r="N81" s="28" t="s">
        <v>607</v>
      </c>
      <c r="O81" s="28" t="s">
        <v>608</v>
      </c>
      <c r="P81" s="29" t="s">
        <v>609</v>
      </c>
      <c r="Q81" s="29" t="s">
        <v>610</v>
      </c>
      <c r="R81" s="29" t="s">
        <v>611</v>
      </c>
      <c r="S81" s="30">
        <v>1921.72</v>
      </c>
      <c r="T81" s="30">
        <v>731.8</v>
      </c>
      <c r="U81" s="30">
        <v>1189.92</v>
      </c>
    </row>
    <row x14ac:dyDescent="0.25" r="82" customHeight="1" ht="18.75">
      <c r="A82" s="21">
        <v>81</v>
      </c>
      <c r="B82" s="22" t="s">
        <v>612</v>
      </c>
      <c r="C82" s="22" t="s">
        <v>190</v>
      </c>
      <c r="D82" s="22" t="s">
        <v>613</v>
      </c>
      <c r="E82" s="22" t="s">
        <v>249</v>
      </c>
      <c r="F82" s="23"/>
      <c r="G82" s="22"/>
      <c r="H82" s="24"/>
      <c r="I82" s="25"/>
      <c r="J82" s="26">
        <v>224</v>
      </c>
      <c r="K82" s="27" t="s">
        <v>180</v>
      </c>
      <c r="L82" s="27" t="s">
        <v>169</v>
      </c>
      <c r="M82" s="28" t="s">
        <v>614</v>
      </c>
      <c r="N82" s="28" t="s">
        <v>615</v>
      </c>
      <c r="O82" s="28" t="s">
        <v>616</v>
      </c>
      <c r="P82" s="29" t="s">
        <v>617</v>
      </c>
      <c r="Q82" s="29" t="s">
        <v>618</v>
      </c>
      <c r="R82" s="29" t="s">
        <v>619</v>
      </c>
      <c r="S82" s="30">
        <v>3880.68</v>
      </c>
      <c r="T82" s="30">
        <v>779.13</v>
      </c>
      <c r="U82" s="30">
        <v>3101.55</v>
      </c>
    </row>
    <row x14ac:dyDescent="0.25" r="83" customHeight="1" ht="18.75">
      <c r="A83" s="21">
        <v>82</v>
      </c>
      <c r="B83" s="22" t="s">
        <v>620</v>
      </c>
      <c r="C83" s="22" t="s">
        <v>166</v>
      </c>
      <c r="D83" s="22" t="s">
        <v>621</v>
      </c>
      <c r="E83" s="22" t="s">
        <v>224</v>
      </c>
      <c r="F83" s="23"/>
      <c r="G83" s="22"/>
      <c r="H83" s="24"/>
      <c r="I83" s="25"/>
      <c r="J83" s="26">
        <v>20</v>
      </c>
      <c r="K83" s="27" t="s">
        <v>180</v>
      </c>
      <c r="L83" s="27" t="s">
        <v>169</v>
      </c>
      <c r="M83" s="28" t="s">
        <v>622</v>
      </c>
      <c r="N83" s="28" t="s">
        <v>623</v>
      </c>
      <c r="O83" s="28" t="s">
        <v>624</v>
      </c>
      <c r="P83" s="29" t="s">
        <v>625</v>
      </c>
      <c r="Q83" s="29" t="s">
        <v>626</v>
      </c>
      <c r="R83" s="29" t="s">
        <v>627</v>
      </c>
      <c r="S83" s="30">
        <v>1911.7</v>
      </c>
      <c r="T83" s="30">
        <v>644.7</v>
      </c>
      <c r="U83" s="30">
        <v>1267</v>
      </c>
    </row>
    <row x14ac:dyDescent="0.25" r="84" customHeight="1" ht="18.75">
      <c r="A84" s="21">
        <v>83</v>
      </c>
      <c r="B84" s="22" t="s">
        <v>628</v>
      </c>
      <c r="C84" s="22" t="s">
        <v>166</v>
      </c>
      <c r="D84" s="22" t="s">
        <v>629</v>
      </c>
      <c r="E84" s="22" t="s">
        <v>72</v>
      </c>
      <c r="F84" s="23"/>
      <c r="G84" s="22"/>
      <c r="H84" s="24"/>
      <c r="I84" s="25"/>
      <c r="J84" s="26">
        <v>234</v>
      </c>
      <c r="K84" s="27" t="s">
        <v>180</v>
      </c>
      <c r="L84" s="27" t="s">
        <v>169</v>
      </c>
      <c r="M84" s="28" t="s">
        <v>170</v>
      </c>
      <c r="N84" s="28" t="s">
        <v>171</v>
      </c>
      <c r="O84" s="28" t="s">
        <v>172</v>
      </c>
      <c r="P84" s="29" t="s">
        <v>173</v>
      </c>
      <c r="Q84" s="29" t="s">
        <v>174</v>
      </c>
      <c r="R84" s="29" t="s">
        <v>175</v>
      </c>
      <c r="S84" s="30">
        <v>1681.94</v>
      </c>
      <c r="T84" s="30">
        <v>127.05</v>
      </c>
      <c r="U84" s="30">
        <v>1554.89</v>
      </c>
    </row>
    <row x14ac:dyDescent="0.25" r="85" customHeight="1" ht="18.75">
      <c r="A85" s="21">
        <v>84</v>
      </c>
      <c r="B85" s="22" t="s">
        <v>630</v>
      </c>
      <c r="C85" s="22" t="s">
        <v>190</v>
      </c>
      <c r="D85" s="22" t="s">
        <v>631</v>
      </c>
      <c r="E85" s="22" t="s">
        <v>224</v>
      </c>
      <c r="F85" s="23"/>
      <c r="G85" s="22"/>
      <c r="H85" s="24"/>
      <c r="I85" s="25"/>
      <c r="J85" s="26">
        <v>297</v>
      </c>
      <c r="K85" s="27" t="s">
        <v>180</v>
      </c>
      <c r="L85" s="27" t="s">
        <v>169</v>
      </c>
      <c r="M85" s="28" t="s">
        <v>632</v>
      </c>
      <c r="N85" s="28" t="s">
        <v>633</v>
      </c>
      <c r="O85" s="28" t="s">
        <v>634</v>
      </c>
      <c r="P85" s="29" t="s">
        <v>635</v>
      </c>
      <c r="Q85" s="29" t="s">
        <v>636</v>
      </c>
      <c r="R85" s="29" t="s">
        <v>637</v>
      </c>
      <c r="S85" s="30">
        <v>3537.03</v>
      </c>
      <c r="T85" s="30">
        <v>1518.23</v>
      </c>
      <c r="U85" s="30">
        <v>2018.8</v>
      </c>
    </row>
    <row x14ac:dyDescent="0.25" r="86" customHeight="1" ht="18.75">
      <c r="A86" s="21">
        <v>85</v>
      </c>
      <c r="B86" s="22" t="s">
        <v>638</v>
      </c>
      <c r="C86" s="22" t="s">
        <v>166</v>
      </c>
      <c r="D86" s="22" t="s">
        <v>639</v>
      </c>
      <c r="E86" s="22" t="s">
        <v>17</v>
      </c>
      <c r="F86" s="23"/>
      <c r="G86" s="22"/>
      <c r="H86" s="24"/>
      <c r="I86" s="25"/>
      <c r="J86" s="26">
        <v>438</v>
      </c>
      <c r="K86" s="27" t="s">
        <v>180</v>
      </c>
      <c r="L86" s="27" t="s">
        <v>169</v>
      </c>
      <c r="M86" s="28" t="s">
        <v>225</v>
      </c>
      <c r="N86" s="28" t="s">
        <v>171</v>
      </c>
      <c r="O86" s="28" t="s">
        <v>226</v>
      </c>
      <c r="P86" s="29" t="s">
        <v>227</v>
      </c>
      <c r="Q86" s="29" t="s">
        <v>174</v>
      </c>
      <c r="R86" s="29" t="s">
        <v>297</v>
      </c>
      <c r="S86" s="30">
        <v>1749.48</v>
      </c>
      <c r="T86" s="30">
        <v>127.05</v>
      </c>
      <c r="U86" s="30">
        <v>1622.43</v>
      </c>
    </row>
    <row x14ac:dyDescent="0.25" r="87" customHeight="1" ht="18.75">
      <c r="A87" s="21">
        <v>86</v>
      </c>
      <c r="B87" s="22" t="s">
        <v>640</v>
      </c>
      <c r="C87" s="22" t="s">
        <v>396</v>
      </c>
      <c r="D87" s="22" t="s">
        <v>641</v>
      </c>
      <c r="E87" s="22" t="s">
        <v>191</v>
      </c>
      <c r="F87" s="23"/>
      <c r="G87" s="22"/>
      <c r="H87" s="24"/>
      <c r="I87" s="25"/>
      <c r="J87" s="26">
        <v>25</v>
      </c>
      <c r="K87" s="27" t="s">
        <v>180</v>
      </c>
      <c r="L87" s="27" t="s">
        <v>169</v>
      </c>
      <c r="M87" s="28" t="s">
        <v>642</v>
      </c>
      <c r="N87" s="28" t="s">
        <v>643</v>
      </c>
      <c r="O87" s="28" t="s">
        <v>644</v>
      </c>
      <c r="P87" s="29" t="s">
        <v>645</v>
      </c>
      <c r="Q87" s="29" t="s">
        <v>646</v>
      </c>
      <c r="R87" s="29" t="s">
        <v>647</v>
      </c>
      <c r="S87" s="30">
        <v>4909.37</v>
      </c>
      <c r="T87" s="30">
        <v>488.81</v>
      </c>
      <c r="U87" s="30">
        <v>4420.56</v>
      </c>
    </row>
    <row x14ac:dyDescent="0.25" r="88" customHeight="1" ht="18.75">
      <c r="A88" s="21">
        <v>87</v>
      </c>
      <c r="B88" s="22" t="s">
        <v>648</v>
      </c>
      <c r="C88" s="22" t="s">
        <v>166</v>
      </c>
      <c r="D88" s="22" t="s">
        <v>649</v>
      </c>
      <c r="E88" s="22" t="s">
        <v>291</v>
      </c>
      <c r="F88" s="23"/>
      <c r="G88" s="22"/>
      <c r="H88" s="24"/>
      <c r="I88" s="25"/>
      <c r="J88" s="26">
        <v>437</v>
      </c>
      <c r="K88" s="27" t="s">
        <v>180</v>
      </c>
      <c r="L88" s="27" t="s">
        <v>169</v>
      </c>
      <c r="M88" s="28" t="s">
        <v>225</v>
      </c>
      <c r="N88" s="28" t="s">
        <v>171</v>
      </c>
      <c r="O88" s="28" t="s">
        <v>226</v>
      </c>
      <c r="P88" s="29" t="s">
        <v>227</v>
      </c>
      <c r="Q88" s="29" t="s">
        <v>174</v>
      </c>
      <c r="R88" s="29" t="s">
        <v>297</v>
      </c>
      <c r="S88" s="30">
        <v>1749.48</v>
      </c>
      <c r="T88" s="30">
        <v>127.05</v>
      </c>
      <c r="U88" s="30">
        <v>1622.43</v>
      </c>
    </row>
    <row x14ac:dyDescent="0.25" r="89" customHeight="1" ht="18.75">
      <c r="A89" s="21">
        <v>88</v>
      </c>
      <c r="B89" s="22" t="s">
        <v>650</v>
      </c>
      <c r="C89" s="22" t="s">
        <v>166</v>
      </c>
      <c r="D89" s="22" t="s">
        <v>651</v>
      </c>
      <c r="E89" s="22" t="s">
        <v>140</v>
      </c>
      <c r="F89" s="23"/>
      <c r="G89" s="22"/>
      <c r="H89" s="24"/>
      <c r="I89" s="25"/>
      <c r="J89" s="26">
        <v>142</v>
      </c>
      <c r="K89" s="27" t="s">
        <v>180</v>
      </c>
      <c r="L89" s="27" t="s">
        <v>169</v>
      </c>
      <c r="M89" s="28" t="s">
        <v>170</v>
      </c>
      <c r="N89" s="28" t="s">
        <v>171</v>
      </c>
      <c r="O89" s="28" t="s">
        <v>172</v>
      </c>
      <c r="P89" s="29" t="s">
        <v>652</v>
      </c>
      <c r="Q89" s="29" t="s">
        <v>653</v>
      </c>
      <c r="R89" s="29" t="s">
        <v>654</v>
      </c>
      <c r="S89" s="30">
        <v>1681.94</v>
      </c>
      <c r="T89" s="30">
        <v>127.05</v>
      </c>
      <c r="U89" s="30">
        <v>1554.89</v>
      </c>
    </row>
    <row x14ac:dyDescent="0.25" r="90" customHeight="1" ht="18.75">
      <c r="A90" s="21">
        <v>89</v>
      </c>
      <c r="B90" s="22" t="s">
        <v>655</v>
      </c>
      <c r="C90" s="22" t="s">
        <v>656</v>
      </c>
      <c r="D90" s="22" t="s">
        <v>657</v>
      </c>
      <c r="E90" s="22" t="s">
        <v>489</v>
      </c>
      <c r="F90" s="23"/>
      <c r="G90" s="22"/>
      <c r="H90" s="24"/>
      <c r="I90" s="25"/>
      <c r="J90" s="26">
        <v>230</v>
      </c>
      <c r="K90" s="27" t="s">
        <v>180</v>
      </c>
      <c r="L90" s="27" t="s">
        <v>169</v>
      </c>
      <c r="M90" s="28" t="s">
        <v>658</v>
      </c>
      <c r="N90" s="28" t="s">
        <v>659</v>
      </c>
      <c r="O90" s="28" t="s">
        <v>660</v>
      </c>
      <c r="P90" s="29" t="s">
        <v>658</v>
      </c>
      <c r="Q90" s="29" t="s">
        <v>661</v>
      </c>
      <c r="R90" s="29" t="s">
        <v>662</v>
      </c>
      <c r="S90" s="30">
        <v>3000</v>
      </c>
      <c r="T90" s="30">
        <v>248.58</v>
      </c>
      <c r="U90" s="30">
        <v>2751.42</v>
      </c>
    </row>
    <row x14ac:dyDescent="0.25" r="91" customHeight="1" ht="18.75">
      <c r="A91" s="21">
        <v>90</v>
      </c>
      <c r="B91" s="22" t="s">
        <v>663</v>
      </c>
      <c r="C91" s="22" t="s">
        <v>166</v>
      </c>
      <c r="D91" s="22" t="s">
        <v>664</v>
      </c>
      <c r="E91" s="22" t="s">
        <v>127</v>
      </c>
      <c r="F91" s="23"/>
      <c r="G91" s="22"/>
      <c r="H91" s="24"/>
      <c r="I91" s="25"/>
      <c r="J91" s="26">
        <v>361</v>
      </c>
      <c r="K91" s="27" t="s">
        <v>180</v>
      </c>
      <c r="L91" s="27" t="s">
        <v>169</v>
      </c>
      <c r="M91" s="28" t="s">
        <v>170</v>
      </c>
      <c r="N91" s="28" t="s">
        <v>171</v>
      </c>
      <c r="O91" s="28" t="s">
        <v>172</v>
      </c>
      <c r="P91" s="29" t="s">
        <v>173</v>
      </c>
      <c r="Q91" s="29" t="s">
        <v>174</v>
      </c>
      <c r="R91" s="29" t="s">
        <v>175</v>
      </c>
      <c r="S91" s="30">
        <v>1681.94</v>
      </c>
      <c r="T91" s="30">
        <v>382.6</v>
      </c>
      <c r="U91" s="30">
        <v>1299.34</v>
      </c>
    </row>
    <row x14ac:dyDescent="0.25" r="92" customHeight="1" ht="18.75">
      <c r="A92" s="21">
        <v>91</v>
      </c>
      <c r="B92" s="22" t="s">
        <v>665</v>
      </c>
      <c r="C92" s="22" t="s">
        <v>520</v>
      </c>
      <c r="D92" s="22" t="s">
        <v>666</v>
      </c>
      <c r="E92" s="22" t="s">
        <v>118</v>
      </c>
      <c r="F92" s="23"/>
      <c r="G92" s="22"/>
      <c r="H92" s="24"/>
      <c r="I92" s="25"/>
      <c r="J92" s="26">
        <v>328</v>
      </c>
      <c r="K92" s="27" t="s">
        <v>180</v>
      </c>
      <c r="L92" s="27" t="s">
        <v>169</v>
      </c>
      <c r="M92" s="28" t="s">
        <v>522</v>
      </c>
      <c r="N92" s="28" t="s">
        <v>523</v>
      </c>
      <c r="O92" s="28" t="s">
        <v>524</v>
      </c>
      <c r="P92" s="29" t="s">
        <v>522</v>
      </c>
      <c r="Q92" s="29" t="s">
        <v>523</v>
      </c>
      <c r="R92" s="29" t="s">
        <v>524</v>
      </c>
      <c r="S92" s="30">
        <v>4327</v>
      </c>
      <c r="T92" s="30">
        <v>407.82</v>
      </c>
      <c r="U92" s="30">
        <v>3919.18</v>
      </c>
    </row>
    <row x14ac:dyDescent="0.25" r="93" customHeight="1" ht="18.75">
      <c r="A93" s="21">
        <v>92</v>
      </c>
      <c r="B93" s="22" t="s">
        <v>667</v>
      </c>
      <c r="C93" s="22" t="s">
        <v>177</v>
      </c>
      <c r="D93" s="22" t="s">
        <v>668</v>
      </c>
      <c r="E93" s="22" t="s">
        <v>134</v>
      </c>
      <c r="F93" s="23"/>
      <c r="G93" s="22"/>
      <c r="H93" s="24"/>
      <c r="I93" s="25"/>
      <c r="J93" s="26">
        <v>251</v>
      </c>
      <c r="K93" s="27" t="s">
        <v>180</v>
      </c>
      <c r="L93" s="27" t="s">
        <v>169</v>
      </c>
      <c r="M93" s="28" t="s">
        <v>669</v>
      </c>
      <c r="N93" s="28" t="s">
        <v>670</v>
      </c>
      <c r="O93" s="28" t="s">
        <v>671</v>
      </c>
      <c r="P93" s="29" t="s">
        <v>672</v>
      </c>
      <c r="Q93" s="29" t="s">
        <v>673</v>
      </c>
      <c r="R93" s="29" t="s">
        <v>674</v>
      </c>
      <c r="S93" s="30">
        <v>5577.46</v>
      </c>
      <c r="T93" s="30">
        <v>1873.79</v>
      </c>
      <c r="U93" s="30">
        <v>3703.67</v>
      </c>
    </row>
    <row x14ac:dyDescent="0.25" r="94" customHeight="1" ht="18.75">
      <c r="A94" s="21">
        <v>93</v>
      </c>
      <c r="B94" s="22" t="s">
        <v>675</v>
      </c>
      <c r="C94" s="22" t="s">
        <v>190</v>
      </c>
      <c r="D94" s="22" t="s">
        <v>676</v>
      </c>
      <c r="E94" s="22" t="s">
        <v>72</v>
      </c>
      <c r="F94" s="23"/>
      <c r="G94" s="22"/>
      <c r="H94" s="24"/>
      <c r="I94" s="25"/>
      <c r="J94" s="26">
        <v>607</v>
      </c>
      <c r="K94" s="27" t="s">
        <v>677</v>
      </c>
      <c r="L94" s="27" t="s">
        <v>169</v>
      </c>
      <c r="M94" s="28" t="s">
        <v>678</v>
      </c>
      <c r="N94" s="28" t="s">
        <v>679</v>
      </c>
      <c r="O94" s="28" t="s">
        <v>680</v>
      </c>
      <c r="P94" s="29" t="s">
        <v>681</v>
      </c>
      <c r="Q94" s="29" t="s">
        <v>587</v>
      </c>
      <c r="R94" s="29" t="s">
        <v>682</v>
      </c>
      <c r="S94" s="30">
        <v>3546.69</v>
      </c>
      <c r="T94" s="30">
        <v>314.19</v>
      </c>
      <c r="U94" s="30">
        <v>3232.5</v>
      </c>
    </row>
    <row x14ac:dyDescent="0.25" r="95" customHeight="1" ht="18.75">
      <c r="A95" s="21">
        <v>94</v>
      </c>
      <c r="B95" s="22" t="s">
        <v>683</v>
      </c>
      <c r="C95" s="22" t="s">
        <v>166</v>
      </c>
      <c r="D95" s="22" t="s">
        <v>684</v>
      </c>
      <c r="E95" s="22" t="s">
        <v>134</v>
      </c>
      <c r="F95" s="23"/>
      <c r="G95" s="22"/>
      <c r="H95" s="24"/>
      <c r="I95" s="25"/>
      <c r="J95" s="26">
        <v>166</v>
      </c>
      <c r="K95" s="27" t="s">
        <v>180</v>
      </c>
      <c r="L95" s="27" t="s">
        <v>169</v>
      </c>
      <c r="M95" s="28" t="s">
        <v>685</v>
      </c>
      <c r="N95" s="28" t="s">
        <v>575</v>
      </c>
      <c r="O95" s="28" t="s">
        <v>686</v>
      </c>
      <c r="P95" s="29" t="s">
        <v>687</v>
      </c>
      <c r="Q95" s="29" t="s">
        <v>688</v>
      </c>
      <c r="R95" s="29" t="s">
        <v>689</v>
      </c>
      <c r="S95" s="30">
        <v>1925.27</v>
      </c>
      <c r="T95" s="30">
        <v>148.95</v>
      </c>
      <c r="U95" s="30">
        <v>1776.32</v>
      </c>
    </row>
    <row x14ac:dyDescent="0.25" r="96" customHeight="1" ht="18.75">
      <c r="A96" s="21">
        <v>95</v>
      </c>
      <c r="B96" s="22" t="s">
        <v>690</v>
      </c>
      <c r="C96" s="22" t="s">
        <v>166</v>
      </c>
      <c r="D96" s="22" t="s">
        <v>691</v>
      </c>
      <c r="E96" s="22" t="s">
        <v>98</v>
      </c>
      <c r="F96" s="23"/>
      <c r="G96" s="22"/>
      <c r="H96" s="24"/>
      <c r="I96" s="25"/>
      <c r="J96" s="26">
        <v>279</v>
      </c>
      <c r="K96" s="27" t="s">
        <v>180</v>
      </c>
      <c r="L96" s="27" t="s">
        <v>169</v>
      </c>
      <c r="M96" s="28" t="s">
        <v>170</v>
      </c>
      <c r="N96" s="28" t="s">
        <v>171</v>
      </c>
      <c r="O96" s="28" t="s">
        <v>172</v>
      </c>
      <c r="P96" s="29" t="s">
        <v>173</v>
      </c>
      <c r="Q96" s="29" t="s">
        <v>174</v>
      </c>
      <c r="R96" s="29" t="s">
        <v>175</v>
      </c>
      <c r="S96" s="30">
        <v>1681.94</v>
      </c>
      <c r="T96" s="30">
        <v>127.05</v>
      </c>
      <c r="U96" s="30">
        <v>1554.89</v>
      </c>
    </row>
    <row x14ac:dyDescent="0.25" r="97" customHeight="1" ht="18.75">
      <c r="A97" s="21">
        <v>96</v>
      </c>
      <c r="B97" s="22" t="s">
        <v>692</v>
      </c>
      <c r="C97" s="22" t="s">
        <v>520</v>
      </c>
      <c r="D97" s="22" t="s">
        <v>693</v>
      </c>
      <c r="E97" s="22" t="s">
        <v>273</v>
      </c>
      <c r="F97" s="23"/>
      <c r="G97" s="22"/>
      <c r="H97" s="24"/>
      <c r="I97" s="25"/>
      <c r="J97" s="26">
        <v>310</v>
      </c>
      <c r="K97" s="27" t="s">
        <v>180</v>
      </c>
      <c r="L97" s="27" t="s">
        <v>169</v>
      </c>
      <c r="M97" s="28" t="s">
        <v>522</v>
      </c>
      <c r="N97" s="28" t="s">
        <v>523</v>
      </c>
      <c r="O97" s="28" t="s">
        <v>524</v>
      </c>
      <c r="P97" s="29" t="s">
        <v>522</v>
      </c>
      <c r="Q97" s="29" t="s">
        <v>523</v>
      </c>
      <c r="R97" s="29" t="s">
        <v>524</v>
      </c>
      <c r="S97" s="30">
        <v>4651.2</v>
      </c>
      <c r="T97" s="30">
        <v>452.67</v>
      </c>
      <c r="U97" s="30">
        <v>4198.53</v>
      </c>
    </row>
    <row x14ac:dyDescent="0.25" r="98" customHeight="1" ht="18.75">
      <c r="A98" s="21">
        <v>97</v>
      </c>
      <c r="B98" s="22" t="s">
        <v>694</v>
      </c>
      <c r="C98" s="22" t="s">
        <v>472</v>
      </c>
      <c r="D98" s="22" t="s">
        <v>695</v>
      </c>
      <c r="E98" s="22" t="s">
        <v>232</v>
      </c>
      <c r="F98" s="23"/>
      <c r="G98" s="22"/>
      <c r="H98" s="24"/>
      <c r="I98" s="25"/>
      <c r="J98" s="26">
        <v>646</v>
      </c>
      <c r="K98" s="27" t="s">
        <v>696</v>
      </c>
      <c r="L98" s="27" t="s">
        <v>169</v>
      </c>
      <c r="M98" s="28" t="s">
        <v>697</v>
      </c>
      <c r="N98" s="28" t="s">
        <v>698</v>
      </c>
      <c r="O98" s="28" t="s">
        <v>699</v>
      </c>
      <c r="P98" s="29" t="s">
        <v>697</v>
      </c>
      <c r="Q98" s="29" t="s">
        <v>698</v>
      </c>
      <c r="R98" s="29" t="s">
        <v>699</v>
      </c>
      <c r="S98" s="30">
        <v>2800</v>
      </c>
      <c r="T98" s="30">
        <v>227.68</v>
      </c>
      <c r="U98" s="30">
        <v>2572.32</v>
      </c>
    </row>
    <row x14ac:dyDescent="0.25" r="99" customHeight="1" ht="18.75">
      <c r="A99" s="21">
        <v>98</v>
      </c>
      <c r="B99" s="22" t="s">
        <v>700</v>
      </c>
      <c r="C99" s="22" t="s">
        <v>166</v>
      </c>
      <c r="D99" s="22" t="s">
        <v>701</v>
      </c>
      <c r="E99" s="22" t="s">
        <v>118</v>
      </c>
      <c r="F99" s="23"/>
      <c r="G99" s="22"/>
      <c r="H99" s="24"/>
      <c r="I99" s="25"/>
      <c r="J99" s="26">
        <v>332</v>
      </c>
      <c r="K99" s="27" t="s">
        <v>180</v>
      </c>
      <c r="L99" s="27" t="s">
        <v>169</v>
      </c>
      <c r="M99" s="28" t="s">
        <v>225</v>
      </c>
      <c r="N99" s="28" t="s">
        <v>171</v>
      </c>
      <c r="O99" s="28" t="s">
        <v>226</v>
      </c>
      <c r="P99" s="29" t="s">
        <v>227</v>
      </c>
      <c r="Q99" s="29" t="s">
        <v>174</v>
      </c>
      <c r="R99" s="29" t="s">
        <v>297</v>
      </c>
      <c r="S99" s="30">
        <v>1749.48</v>
      </c>
      <c r="T99" s="30">
        <v>127.05</v>
      </c>
      <c r="U99" s="30">
        <v>1622.43</v>
      </c>
    </row>
    <row x14ac:dyDescent="0.25" r="100" customHeight="1" ht="18.75">
      <c r="A100" s="21">
        <v>99</v>
      </c>
      <c r="B100" s="22" t="s">
        <v>702</v>
      </c>
      <c r="C100" s="22" t="s">
        <v>166</v>
      </c>
      <c r="D100" s="22" t="s">
        <v>703</v>
      </c>
      <c r="E100" s="22" t="s">
        <v>704</v>
      </c>
      <c r="F100" s="23"/>
      <c r="G100" s="22"/>
      <c r="H100" s="24"/>
      <c r="I100" s="25"/>
      <c r="J100" s="26">
        <v>548</v>
      </c>
      <c r="K100" s="27" t="s">
        <v>180</v>
      </c>
      <c r="L100" s="27" t="s">
        <v>169</v>
      </c>
      <c r="M100" s="28" t="s">
        <v>422</v>
      </c>
      <c r="N100" s="28" t="s">
        <v>705</v>
      </c>
      <c r="O100" s="28" t="s">
        <v>706</v>
      </c>
      <c r="P100" s="29" t="s">
        <v>707</v>
      </c>
      <c r="Q100" s="29" t="s">
        <v>708</v>
      </c>
      <c r="R100" s="29" t="s">
        <v>709</v>
      </c>
      <c r="S100" s="30">
        <v>1909.03</v>
      </c>
      <c r="T100" s="30">
        <v>670.59</v>
      </c>
      <c r="U100" s="30">
        <v>1238.44</v>
      </c>
    </row>
    <row x14ac:dyDescent="0.25" r="101" customHeight="1" ht="18.75">
      <c r="A101" s="21">
        <v>100</v>
      </c>
      <c r="B101" s="22" t="s">
        <v>710</v>
      </c>
      <c r="C101" s="22" t="s">
        <v>166</v>
      </c>
      <c r="D101" s="22" t="s">
        <v>711</v>
      </c>
      <c r="E101" s="22" t="s">
        <v>191</v>
      </c>
      <c r="F101" s="23"/>
      <c r="G101" s="22"/>
      <c r="H101" s="24"/>
      <c r="I101" s="25"/>
      <c r="J101" s="26">
        <v>68</v>
      </c>
      <c r="K101" s="27" t="s">
        <v>180</v>
      </c>
      <c r="L101" s="27" t="s">
        <v>169</v>
      </c>
      <c r="M101" s="28" t="s">
        <v>170</v>
      </c>
      <c r="N101" s="28" t="s">
        <v>171</v>
      </c>
      <c r="O101" s="28" t="s">
        <v>172</v>
      </c>
      <c r="P101" s="29" t="s">
        <v>173</v>
      </c>
      <c r="Q101" s="29" t="s">
        <v>174</v>
      </c>
      <c r="R101" s="29" t="s">
        <v>175</v>
      </c>
      <c r="S101" s="30">
        <v>1681.94</v>
      </c>
      <c r="T101" s="30">
        <v>127.05</v>
      </c>
      <c r="U101" s="30">
        <v>1554.89</v>
      </c>
    </row>
    <row x14ac:dyDescent="0.25" r="102" customHeight="1" ht="18.75">
      <c r="A102" s="21">
        <v>101</v>
      </c>
      <c r="B102" s="22" t="s">
        <v>712</v>
      </c>
      <c r="C102" s="22" t="s">
        <v>166</v>
      </c>
      <c r="D102" s="22" t="s">
        <v>713</v>
      </c>
      <c r="E102" s="22" t="s">
        <v>134</v>
      </c>
      <c r="F102" s="23"/>
      <c r="G102" s="22"/>
      <c r="H102" s="24"/>
      <c r="I102" s="25"/>
      <c r="J102" s="26">
        <v>84</v>
      </c>
      <c r="K102" s="27" t="s">
        <v>180</v>
      </c>
      <c r="L102" s="27" t="s">
        <v>169</v>
      </c>
      <c r="M102" s="28" t="s">
        <v>225</v>
      </c>
      <c r="N102" s="28" t="s">
        <v>171</v>
      </c>
      <c r="O102" s="28" t="s">
        <v>226</v>
      </c>
      <c r="P102" s="29" t="s">
        <v>173</v>
      </c>
      <c r="Q102" s="29" t="s">
        <v>174</v>
      </c>
      <c r="R102" s="29" t="s">
        <v>175</v>
      </c>
      <c r="S102" s="30">
        <v>1681.94</v>
      </c>
      <c r="T102" s="30">
        <v>127.05</v>
      </c>
      <c r="U102" s="30">
        <v>1554.89</v>
      </c>
    </row>
    <row x14ac:dyDescent="0.25" r="103" customHeight="1" ht="18.75">
      <c r="A103" s="21">
        <v>102</v>
      </c>
      <c r="B103" s="22" t="s">
        <v>714</v>
      </c>
      <c r="C103" s="22" t="s">
        <v>520</v>
      </c>
      <c r="D103" s="22" t="s">
        <v>715</v>
      </c>
      <c r="E103" s="22" t="s">
        <v>94</v>
      </c>
      <c r="F103" s="23"/>
      <c r="G103" s="22"/>
      <c r="H103" s="24"/>
      <c r="I103" s="25"/>
      <c r="J103" s="26">
        <v>325</v>
      </c>
      <c r="K103" s="27" t="s">
        <v>180</v>
      </c>
      <c r="L103" s="27" t="s">
        <v>169</v>
      </c>
      <c r="M103" s="28" t="s">
        <v>522</v>
      </c>
      <c r="N103" s="28" t="s">
        <v>716</v>
      </c>
      <c r="O103" s="28" t="s">
        <v>717</v>
      </c>
      <c r="P103" s="29" t="s">
        <v>522</v>
      </c>
      <c r="Q103" s="29" t="s">
        <v>716</v>
      </c>
      <c r="R103" s="29" t="s">
        <v>717</v>
      </c>
      <c r="S103" s="30">
        <v>4327</v>
      </c>
      <c r="T103" s="30">
        <v>1227.55</v>
      </c>
      <c r="U103" s="30">
        <v>3099.45</v>
      </c>
    </row>
    <row x14ac:dyDescent="0.25" r="104" customHeight="1" ht="18.75">
      <c r="A104" s="21">
        <v>103</v>
      </c>
      <c r="B104" s="22" t="s">
        <v>718</v>
      </c>
      <c r="C104" s="22" t="s">
        <v>166</v>
      </c>
      <c r="D104" s="22" t="s">
        <v>719</v>
      </c>
      <c r="E104" s="22" t="s">
        <v>140</v>
      </c>
      <c r="F104" s="23"/>
      <c r="G104" s="22"/>
      <c r="H104" s="24"/>
      <c r="I104" s="25"/>
      <c r="J104" s="26">
        <v>62</v>
      </c>
      <c r="K104" s="27" t="s">
        <v>180</v>
      </c>
      <c r="L104" s="27" t="s">
        <v>169</v>
      </c>
      <c r="M104" s="28" t="s">
        <v>720</v>
      </c>
      <c r="N104" s="28" t="s">
        <v>721</v>
      </c>
      <c r="O104" s="28" t="s">
        <v>722</v>
      </c>
      <c r="P104" s="29" t="s">
        <v>707</v>
      </c>
      <c r="Q104" s="29" t="s">
        <v>723</v>
      </c>
      <c r="R104" s="29" t="s">
        <v>724</v>
      </c>
      <c r="S104" s="30">
        <v>1925.27</v>
      </c>
      <c r="T104" s="30">
        <v>148.95</v>
      </c>
      <c r="U104" s="30">
        <v>1776.32</v>
      </c>
    </row>
    <row x14ac:dyDescent="0.25" r="105" customHeight="1" ht="18.75">
      <c r="A105" s="21">
        <v>104</v>
      </c>
      <c r="B105" s="22" t="s">
        <v>725</v>
      </c>
      <c r="C105" s="22" t="s">
        <v>539</v>
      </c>
      <c r="D105" s="22" t="s">
        <v>726</v>
      </c>
      <c r="E105" s="22" t="s">
        <v>6</v>
      </c>
      <c r="F105" s="23"/>
      <c r="G105" s="22"/>
      <c r="H105" s="24"/>
      <c r="I105" s="25"/>
      <c r="J105" s="26">
        <v>414</v>
      </c>
      <c r="K105" s="27" t="s">
        <v>180</v>
      </c>
      <c r="L105" s="27" t="s">
        <v>169</v>
      </c>
      <c r="M105" s="28">
        <v>0</v>
      </c>
      <c r="N105" s="28">
        <v>0</v>
      </c>
      <c r="O105" s="28">
        <v>0</v>
      </c>
      <c r="P105" s="29" t="s">
        <v>173</v>
      </c>
      <c r="Q105" s="29" t="s">
        <v>727</v>
      </c>
      <c r="R105" s="29" t="s">
        <v>728</v>
      </c>
      <c r="S105" s="30">
        <v>1688.54</v>
      </c>
      <c r="T105" s="30">
        <v>121.57</v>
      </c>
      <c r="U105" s="30">
        <v>1566.97</v>
      </c>
    </row>
    <row x14ac:dyDescent="0.25" r="106" customHeight="1" ht="18.75">
      <c r="A106" s="21">
        <v>105</v>
      </c>
      <c r="B106" s="22" t="s">
        <v>729</v>
      </c>
      <c r="C106" s="22" t="s">
        <v>539</v>
      </c>
      <c r="D106" s="22" t="s">
        <v>730</v>
      </c>
      <c r="E106" s="22" t="s">
        <v>22</v>
      </c>
      <c r="F106" s="23"/>
      <c r="G106" s="22"/>
      <c r="H106" s="24"/>
      <c r="I106" s="25"/>
      <c r="J106" s="26">
        <v>475</v>
      </c>
      <c r="K106" s="27" t="s">
        <v>180</v>
      </c>
      <c r="L106" s="27" t="s">
        <v>169</v>
      </c>
      <c r="M106" s="28" t="s">
        <v>227</v>
      </c>
      <c r="N106" s="28" t="s">
        <v>174</v>
      </c>
      <c r="O106" s="28" t="s">
        <v>297</v>
      </c>
      <c r="P106" s="29" t="s">
        <v>227</v>
      </c>
      <c r="Q106" s="29" t="s">
        <v>174</v>
      </c>
      <c r="R106" s="29" t="s">
        <v>297</v>
      </c>
      <c r="S106" s="30">
        <v>1691.65</v>
      </c>
      <c r="T106" s="30">
        <v>94.12</v>
      </c>
      <c r="U106" s="30">
        <v>1597.53</v>
      </c>
    </row>
    <row x14ac:dyDescent="0.25" r="107" customHeight="1" ht="18.75">
      <c r="A107" s="21">
        <v>106</v>
      </c>
      <c r="B107" s="22" t="s">
        <v>731</v>
      </c>
      <c r="C107" s="22" t="s">
        <v>472</v>
      </c>
      <c r="D107" s="22" t="s">
        <v>732</v>
      </c>
      <c r="E107" s="22" t="s">
        <v>232</v>
      </c>
      <c r="F107" s="23"/>
      <c r="G107" s="22"/>
      <c r="H107" s="24"/>
      <c r="I107" s="25"/>
      <c r="J107" s="26">
        <v>556</v>
      </c>
      <c r="K107" s="27" t="s">
        <v>180</v>
      </c>
      <c r="L107" s="27" t="s">
        <v>169</v>
      </c>
      <c r="M107" s="28" t="s">
        <v>476</v>
      </c>
      <c r="N107" s="28" t="s">
        <v>477</v>
      </c>
      <c r="O107" s="28" t="s">
        <v>478</v>
      </c>
      <c r="P107" s="29" t="s">
        <v>476</v>
      </c>
      <c r="Q107" s="29" t="s">
        <v>477</v>
      </c>
      <c r="R107" s="29" t="s">
        <v>478</v>
      </c>
      <c r="S107" s="30">
        <v>2800</v>
      </c>
      <c r="T107" s="30">
        <v>227.68</v>
      </c>
      <c r="U107" s="30">
        <v>2572.32</v>
      </c>
    </row>
    <row x14ac:dyDescent="0.25" r="108" customHeight="1" ht="18.75">
      <c r="A108" s="21">
        <v>107</v>
      </c>
      <c r="B108" s="22" t="s">
        <v>733</v>
      </c>
      <c r="C108" s="22" t="s">
        <v>166</v>
      </c>
      <c r="D108" s="22" t="s">
        <v>734</v>
      </c>
      <c r="E108" s="22" t="s">
        <v>224</v>
      </c>
      <c r="F108" s="23"/>
      <c r="G108" s="22"/>
      <c r="H108" s="24"/>
      <c r="I108" s="25"/>
      <c r="J108" s="26">
        <v>303</v>
      </c>
      <c r="K108" s="27" t="s">
        <v>180</v>
      </c>
      <c r="L108" s="27" t="s">
        <v>169</v>
      </c>
      <c r="M108" s="28" t="s">
        <v>225</v>
      </c>
      <c r="N108" s="28" t="s">
        <v>735</v>
      </c>
      <c r="O108" s="28" t="s">
        <v>736</v>
      </c>
      <c r="P108" s="29" t="s">
        <v>227</v>
      </c>
      <c r="Q108" s="29" t="s">
        <v>174</v>
      </c>
      <c r="R108" s="29" t="s">
        <v>297</v>
      </c>
      <c r="S108" s="30">
        <v>1749.48</v>
      </c>
      <c r="T108" s="30">
        <v>127.05</v>
      </c>
      <c r="U108" s="30">
        <v>1622.43</v>
      </c>
    </row>
    <row x14ac:dyDescent="0.25" r="109" customHeight="1" ht="18.75">
      <c r="A109" s="21">
        <v>108</v>
      </c>
      <c r="B109" s="22" t="s">
        <v>737</v>
      </c>
      <c r="C109" s="22" t="s">
        <v>539</v>
      </c>
      <c r="D109" s="22" t="s">
        <v>738</v>
      </c>
      <c r="E109" s="22" t="s">
        <v>127</v>
      </c>
      <c r="F109" s="23"/>
      <c r="G109" s="22"/>
      <c r="H109" s="24"/>
      <c r="I109" s="25"/>
      <c r="J109" s="26">
        <v>368</v>
      </c>
      <c r="K109" s="27" t="s">
        <v>180</v>
      </c>
      <c r="L109" s="27" t="s">
        <v>169</v>
      </c>
      <c r="M109" s="28">
        <v>0</v>
      </c>
      <c r="N109" s="28">
        <v>0</v>
      </c>
      <c r="O109" s="28">
        <v>0</v>
      </c>
      <c r="P109" s="29">
        <v>0</v>
      </c>
      <c r="Q109" s="29">
        <v>0</v>
      </c>
      <c r="R109" s="29">
        <v>0</v>
      </c>
      <c r="S109" s="30">
        <v>1621</v>
      </c>
      <c r="T109" s="30">
        <v>1621</v>
      </c>
      <c r="U109" s="28">
        <v>0</v>
      </c>
    </row>
    <row x14ac:dyDescent="0.25" r="110" customHeight="1" ht="18.75">
      <c r="A110" s="21">
        <v>109</v>
      </c>
      <c r="B110" s="22" t="s">
        <v>739</v>
      </c>
      <c r="C110" s="22" t="s">
        <v>166</v>
      </c>
      <c r="D110" s="22" t="s">
        <v>740</v>
      </c>
      <c r="E110" s="22" t="s">
        <v>134</v>
      </c>
      <c r="F110" s="23"/>
      <c r="G110" s="22"/>
      <c r="H110" s="24"/>
      <c r="I110" s="25"/>
      <c r="J110" s="26">
        <v>165</v>
      </c>
      <c r="K110" s="27" t="s">
        <v>180</v>
      </c>
      <c r="L110" s="27" t="s">
        <v>169</v>
      </c>
      <c r="M110" s="28" t="s">
        <v>225</v>
      </c>
      <c r="N110" s="28" t="s">
        <v>171</v>
      </c>
      <c r="O110" s="28" t="s">
        <v>226</v>
      </c>
      <c r="P110" s="29" t="s">
        <v>227</v>
      </c>
      <c r="Q110" s="29" t="s">
        <v>174</v>
      </c>
      <c r="R110" s="29" t="s">
        <v>297</v>
      </c>
      <c r="S110" s="30">
        <v>1756.28</v>
      </c>
      <c r="T110" s="30">
        <v>127.66</v>
      </c>
      <c r="U110" s="30">
        <v>1628.62</v>
      </c>
    </row>
    <row x14ac:dyDescent="0.25" r="111" customHeight="1" ht="18.75">
      <c r="A111" s="21">
        <v>110</v>
      </c>
      <c r="B111" s="22" t="s">
        <v>741</v>
      </c>
      <c r="C111" s="22" t="s">
        <v>278</v>
      </c>
      <c r="D111" s="22" t="s">
        <v>742</v>
      </c>
      <c r="E111" s="22" t="s">
        <v>80</v>
      </c>
      <c r="F111" s="23"/>
      <c r="G111" s="22"/>
      <c r="H111" s="24"/>
      <c r="I111" s="25"/>
      <c r="J111" s="26">
        <v>612</v>
      </c>
      <c r="K111" s="27" t="s">
        <v>743</v>
      </c>
      <c r="L111" s="27" t="s">
        <v>169</v>
      </c>
      <c r="M111" s="28" t="s">
        <v>417</v>
      </c>
      <c r="N111" s="28" t="s">
        <v>418</v>
      </c>
      <c r="O111" s="28" t="s">
        <v>419</v>
      </c>
      <c r="P111" s="29" t="s">
        <v>417</v>
      </c>
      <c r="Q111" s="29" t="s">
        <v>418</v>
      </c>
      <c r="R111" s="29" t="s">
        <v>419</v>
      </c>
      <c r="S111" s="30">
        <v>4280</v>
      </c>
      <c r="T111" s="30">
        <v>402.18</v>
      </c>
      <c r="U111" s="30">
        <v>3877.82</v>
      </c>
    </row>
    <row x14ac:dyDescent="0.25" r="112" customHeight="1" ht="18.75">
      <c r="A112" s="21">
        <v>111</v>
      </c>
      <c r="B112" s="22" t="s">
        <v>744</v>
      </c>
      <c r="C112" s="22" t="s">
        <v>278</v>
      </c>
      <c r="D112" s="22" t="s">
        <v>745</v>
      </c>
      <c r="E112" s="22" t="s">
        <v>746</v>
      </c>
      <c r="F112" s="23"/>
      <c r="G112" s="22"/>
      <c r="H112" s="24"/>
      <c r="I112" s="25"/>
      <c r="J112" s="26">
        <v>504</v>
      </c>
      <c r="K112" s="27" t="s">
        <v>180</v>
      </c>
      <c r="L112" s="27" t="s">
        <v>169</v>
      </c>
      <c r="M112" s="28" t="s">
        <v>747</v>
      </c>
      <c r="N112" s="28" t="s">
        <v>748</v>
      </c>
      <c r="O112" s="28" t="s">
        <v>749</v>
      </c>
      <c r="P112" s="29" t="s">
        <v>750</v>
      </c>
      <c r="Q112" s="29" t="s">
        <v>751</v>
      </c>
      <c r="R112" s="29" t="s">
        <v>752</v>
      </c>
      <c r="S112" s="30">
        <v>5136</v>
      </c>
      <c r="T112" s="30">
        <v>1546.08</v>
      </c>
      <c r="U112" s="30">
        <v>3589.92</v>
      </c>
    </row>
    <row x14ac:dyDescent="0.25" r="113" customHeight="1" ht="18.75">
      <c r="A113" s="21">
        <v>112</v>
      </c>
      <c r="B113" s="22" t="s">
        <v>753</v>
      </c>
      <c r="C113" s="22" t="s">
        <v>289</v>
      </c>
      <c r="D113" s="22" t="s">
        <v>754</v>
      </c>
      <c r="E113" s="22" t="s">
        <v>134</v>
      </c>
      <c r="F113" s="23"/>
      <c r="G113" s="22"/>
      <c r="H113" s="24"/>
      <c r="I113" s="25"/>
      <c r="J113" s="26">
        <v>649</v>
      </c>
      <c r="K113" s="27" t="s">
        <v>696</v>
      </c>
      <c r="L113" s="27" t="s">
        <v>169</v>
      </c>
      <c r="M113" s="28" t="s">
        <v>292</v>
      </c>
      <c r="N113" s="28" t="s">
        <v>293</v>
      </c>
      <c r="O113" s="28" t="s">
        <v>294</v>
      </c>
      <c r="P113" s="29" t="s">
        <v>292</v>
      </c>
      <c r="Q113" s="29" t="s">
        <v>293</v>
      </c>
      <c r="R113" s="29" t="s">
        <v>294</v>
      </c>
      <c r="S113" s="30">
        <v>3818.4</v>
      </c>
      <c r="T113" s="30">
        <v>437.69</v>
      </c>
      <c r="U113" s="30">
        <v>3380.71</v>
      </c>
    </row>
    <row x14ac:dyDescent="0.25" r="114" customHeight="1" ht="18.75">
      <c r="A114" s="21">
        <v>113</v>
      </c>
      <c r="B114" s="22" t="s">
        <v>755</v>
      </c>
      <c r="C114" s="22" t="s">
        <v>166</v>
      </c>
      <c r="D114" s="22" t="s">
        <v>756</v>
      </c>
      <c r="E114" s="22" t="s">
        <v>122</v>
      </c>
      <c r="F114" s="23"/>
      <c r="G114" s="22"/>
      <c r="H114" s="24"/>
      <c r="I114" s="25"/>
      <c r="J114" s="26">
        <v>451</v>
      </c>
      <c r="K114" s="27" t="s">
        <v>180</v>
      </c>
      <c r="L114" s="27" t="s">
        <v>169</v>
      </c>
      <c r="M114" s="28" t="s">
        <v>225</v>
      </c>
      <c r="N114" s="28" t="s">
        <v>171</v>
      </c>
      <c r="O114" s="28" t="s">
        <v>226</v>
      </c>
      <c r="P114" s="29" t="s">
        <v>227</v>
      </c>
      <c r="Q114" s="29" t="s">
        <v>174</v>
      </c>
      <c r="R114" s="29" t="s">
        <v>297</v>
      </c>
      <c r="S114" s="30">
        <v>1749.48</v>
      </c>
      <c r="T114" s="30">
        <v>127.05</v>
      </c>
      <c r="U114" s="30">
        <v>1622.43</v>
      </c>
    </row>
    <row x14ac:dyDescent="0.25" r="115" customHeight="1" ht="18.75">
      <c r="A115" s="21">
        <v>114</v>
      </c>
      <c r="B115" s="22" t="s">
        <v>757</v>
      </c>
      <c r="C115" s="22" t="s">
        <v>278</v>
      </c>
      <c r="D115" s="22" t="s">
        <v>758</v>
      </c>
      <c r="E115" s="22" t="s">
        <v>49</v>
      </c>
      <c r="F115" s="23"/>
      <c r="G115" s="22"/>
      <c r="H115" s="24"/>
      <c r="I115" s="25"/>
      <c r="J115" s="26">
        <v>365</v>
      </c>
      <c r="K115" s="27" t="s">
        <v>180</v>
      </c>
      <c r="L115" s="27" t="s">
        <v>169</v>
      </c>
      <c r="M115" s="28" t="s">
        <v>417</v>
      </c>
      <c r="N115" s="28" t="s">
        <v>759</v>
      </c>
      <c r="O115" s="28" t="s">
        <v>760</v>
      </c>
      <c r="P115" s="29" t="s">
        <v>417</v>
      </c>
      <c r="Q115" s="29" t="s">
        <v>759</v>
      </c>
      <c r="R115" s="29" t="s">
        <v>760</v>
      </c>
      <c r="S115" s="30">
        <v>4280</v>
      </c>
      <c r="T115" s="30">
        <v>1633.52</v>
      </c>
      <c r="U115" s="30">
        <v>2646.48</v>
      </c>
    </row>
    <row x14ac:dyDescent="0.25" r="116" customHeight="1" ht="18.75">
      <c r="A116" s="21">
        <v>115</v>
      </c>
      <c r="B116" s="22" t="s">
        <v>761</v>
      </c>
      <c r="C116" s="22" t="s">
        <v>166</v>
      </c>
      <c r="D116" s="22" t="s">
        <v>762</v>
      </c>
      <c r="E116" s="22" t="s">
        <v>17</v>
      </c>
      <c r="F116" s="23"/>
      <c r="G116" s="22"/>
      <c r="H116" s="24"/>
      <c r="I116" s="25"/>
      <c r="J116" s="26">
        <v>487</v>
      </c>
      <c r="K116" s="27" t="s">
        <v>180</v>
      </c>
      <c r="L116" s="27" t="s">
        <v>169</v>
      </c>
      <c r="M116" s="28" t="s">
        <v>170</v>
      </c>
      <c r="N116" s="28" t="s">
        <v>171</v>
      </c>
      <c r="O116" s="28" t="s">
        <v>172</v>
      </c>
      <c r="P116" s="29" t="s">
        <v>173</v>
      </c>
      <c r="Q116" s="29" t="s">
        <v>174</v>
      </c>
      <c r="R116" s="29" t="s">
        <v>175</v>
      </c>
      <c r="S116" s="30">
        <v>1681.94</v>
      </c>
      <c r="T116" s="30">
        <v>127.05</v>
      </c>
      <c r="U116" s="30">
        <v>1554.89</v>
      </c>
    </row>
    <row x14ac:dyDescent="0.25" r="117" customHeight="1" ht="18.75">
      <c r="A117" s="21">
        <v>116</v>
      </c>
      <c r="B117" s="22" t="s">
        <v>763</v>
      </c>
      <c r="C117" s="22" t="s">
        <v>166</v>
      </c>
      <c r="D117" s="22" t="s">
        <v>764</v>
      </c>
      <c r="E117" s="22" t="s">
        <v>54</v>
      </c>
      <c r="F117" s="23"/>
      <c r="G117" s="22"/>
      <c r="H117" s="24"/>
      <c r="I117" s="25"/>
      <c r="J117" s="26">
        <v>452</v>
      </c>
      <c r="K117" s="27" t="s">
        <v>180</v>
      </c>
      <c r="L117" s="27" t="s">
        <v>169</v>
      </c>
      <c r="M117" s="28" t="s">
        <v>170</v>
      </c>
      <c r="N117" s="28" t="s">
        <v>171</v>
      </c>
      <c r="O117" s="28" t="s">
        <v>172</v>
      </c>
      <c r="P117" s="29" t="s">
        <v>173</v>
      </c>
      <c r="Q117" s="29" t="s">
        <v>174</v>
      </c>
      <c r="R117" s="29" t="s">
        <v>175</v>
      </c>
      <c r="S117" s="30">
        <v>1681.94</v>
      </c>
      <c r="T117" s="30">
        <v>127.05</v>
      </c>
      <c r="U117" s="30">
        <v>1554.89</v>
      </c>
    </row>
    <row x14ac:dyDescent="0.25" r="118" customHeight="1" ht="18.75">
      <c r="A118" s="21">
        <v>117</v>
      </c>
      <c r="B118" s="22" t="s">
        <v>765</v>
      </c>
      <c r="C118" s="22" t="s">
        <v>396</v>
      </c>
      <c r="D118" s="22" t="s">
        <v>766</v>
      </c>
      <c r="E118" s="22" t="s">
        <v>134</v>
      </c>
      <c r="F118" s="23"/>
      <c r="G118" s="22"/>
      <c r="H118" s="24"/>
      <c r="I118" s="25"/>
      <c r="J118" s="26">
        <v>608</v>
      </c>
      <c r="K118" s="27" t="s">
        <v>743</v>
      </c>
      <c r="L118" s="27" t="s">
        <v>169</v>
      </c>
      <c r="M118" s="28" t="s">
        <v>216</v>
      </c>
      <c r="N118" s="28" t="s">
        <v>217</v>
      </c>
      <c r="O118" s="28" t="s">
        <v>218</v>
      </c>
      <c r="P118" s="29" t="s">
        <v>398</v>
      </c>
      <c r="Q118" s="29" t="s">
        <v>399</v>
      </c>
      <c r="R118" s="29" t="s">
        <v>400</v>
      </c>
      <c r="S118" s="30">
        <v>5078.89</v>
      </c>
      <c r="T118" s="30">
        <v>540.79</v>
      </c>
      <c r="U118" s="30">
        <v>4538.1</v>
      </c>
    </row>
    <row x14ac:dyDescent="0.25" r="119" customHeight="1" ht="18.75">
      <c r="A119" s="21">
        <v>118</v>
      </c>
      <c r="B119" s="22" t="s">
        <v>767</v>
      </c>
      <c r="C119" s="22" t="s">
        <v>278</v>
      </c>
      <c r="D119" s="22" t="s">
        <v>768</v>
      </c>
      <c r="E119" s="22" t="s">
        <v>746</v>
      </c>
      <c r="F119" s="23"/>
      <c r="G119" s="22"/>
      <c r="H119" s="24"/>
      <c r="I119" s="25"/>
      <c r="J119" s="26">
        <v>506</v>
      </c>
      <c r="K119" s="27" t="s">
        <v>180</v>
      </c>
      <c r="L119" s="27" t="s">
        <v>169</v>
      </c>
      <c r="M119" s="28" t="s">
        <v>750</v>
      </c>
      <c r="N119" s="28" t="s">
        <v>769</v>
      </c>
      <c r="O119" s="28" t="s">
        <v>770</v>
      </c>
      <c r="P119" s="29" t="s">
        <v>771</v>
      </c>
      <c r="Q119" s="29" t="s">
        <v>772</v>
      </c>
      <c r="R119" s="29" t="s">
        <v>773</v>
      </c>
      <c r="S119" s="30">
        <v>5136</v>
      </c>
      <c r="T119" s="30">
        <v>569.24</v>
      </c>
      <c r="U119" s="30">
        <v>4566.76</v>
      </c>
    </row>
    <row x14ac:dyDescent="0.25" r="120" customHeight="1" ht="18.75">
      <c r="A120" s="21">
        <v>119</v>
      </c>
      <c r="B120" s="22" t="s">
        <v>774</v>
      </c>
      <c r="C120" s="22" t="s">
        <v>166</v>
      </c>
      <c r="D120" s="22" t="s">
        <v>775</v>
      </c>
      <c r="E120" s="22" t="s">
        <v>224</v>
      </c>
      <c r="F120" s="23"/>
      <c r="G120" s="22"/>
      <c r="H120" s="24"/>
      <c r="I120" s="25"/>
      <c r="J120" s="26">
        <v>299</v>
      </c>
      <c r="K120" s="27" t="s">
        <v>180</v>
      </c>
      <c r="L120" s="27" t="s">
        <v>169</v>
      </c>
      <c r="M120" s="28" t="s">
        <v>776</v>
      </c>
      <c r="N120" s="28" t="s">
        <v>777</v>
      </c>
      <c r="O120" s="28" t="s">
        <v>778</v>
      </c>
      <c r="P120" s="29" t="s">
        <v>425</v>
      </c>
      <c r="Q120" s="29" t="s">
        <v>779</v>
      </c>
      <c r="R120" s="29" t="s">
        <v>780</v>
      </c>
      <c r="S120" s="30">
        <v>2013.21</v>
      </c>
      <c r="T120" s="30">
        <v>156.86</v>
      </c>
      <c r="U120" s="30">
        <v>1856.35</v>
      </c>
    </row>
    <row x14ac:dyDescent="0.25" r="121" customHeight="1" ht="18.75">
      <c r="A121" s="21">
        <v>120</v>
      </c>
      <c r="B121" s="22" t="s">
        <v>781</v>
      </c>
      <c r="C121" s="22" t="s">
        <v>166</v>
      </c>
      <c r="D121" s="22" t="s">
        <v>782</v>
      </c>
      <c r="E121" s="22" t="s">
        <v>90</v>
      </c>
      <c r="F121" s="23"/>
      <c r="G121" s="22"/>
      <c r="H121" s="24"/>
      <c r="I121" s="25"/>
      <c r="J121" s="26">
        <v>336</v>
      </c>
      <c r="K121" s="27" t="s">
        <v>180</v>
      </c>
      <c r="L121" s="27" t="s">
        <v>169</v>
      </c>
      <c r="M121" s="28" t="s">
        <v>170</v>
      </c>
      <c r="N121" s="28" t="s">
        <v>783</v>
      </c>
      <c r="O121" s="28" t="s">
        <v>784</v>
      </c>
      <c r="P121" s="29" t="s">
        <v>173</v>
      </c>
      <c r="Q121" s="29" t="s">
        <v>785</v>
      </c>
      <c r="R121" s="29" t="s">
        <v>786</v>
      </c>
      <c r="S121" s="30">
        <v>1681.94</v>
      </c>
      <c r="T121" s="30">
        <v>651.35</v>
      </c>
      <c r="U121" s="30">
        <v>1030.59</v>
      </c>
    </row>
    <row x14ac:dyDescent="0.25" r="122" customHeight="1" ht="18.75">
      <c r="A122" s="21">
        <v>121</v>
      </c>
      <c r="B122" s="22" t="s">
        <v>787</v>
      </c>
      <c r="C122" s="22" t="s">
        <v>190</v>
      </c>
      <c r="D122" s="22" t="s">
        <v>788</v>
      </c>
      <c r="E122" s="22" t="s">
        <v>38</v>
      </c>
      <c r="F122" s="23"/>
      <c r="G122" s="22"/>
      <c r="H122" s="24"/>
      <c r="I122" s="25"/>
      <c r="J122" s="26">
        <v>405</v>
      </c>
      <c r="K122" s="27" t="s">
        <v>180</v>
      </c>
      <c r="L122" s="27" t="s">
        <v>169</v>
      </c>
      <c r="M122" s="28" t="s">
        <v>233</v>
      </c>
      <c r="N122" s="28" t="s">
        <v>234</v>
      </c>
      <c r="O122" s="28" t="s">
        <v>235</v>
      </c>
      <c r="P122" s="29" t="s">
        <v>789</v>
      </c>
      <c r="Q122" s="29" t="s">
        <v>790</v>
      </c>
      <c r="R122" s="29" t="s">
        <v>791</v>
      </c>
      <c r="S122" s="30">
        <v>3433.34</v>
      </c>
      <c r="T122" s="30">
        <v>300.59</v>
      </c>
      <c r="U122" s="30">
        <v>3132.75</v>
      </c>
    </row>
    <row x14ac:dyDescent="0.25" r="123" customHeight="1" ht="18.75">
      <c r="A123" s="21">
        <v>122</v>
      </c>
      <c r="B123" s="22" t="s">
        <v>792</v>
      </c>
      <c r="C123" s="22" t="s">
        <v>396</v>
      </c>
      <c r="D123" s="22" t="s">
        <v>793</v>
      </c>
      <c r="E123" s="22" t="s">
        <v>140</v>
      </c>
      <c r="F123" s="23"/>
      <c r="G123" s="22"/>
      <c r="H123" s="24"/>
      <c r="I123" s="25"/>
      <c r="J123" s="26">
        <v>97</v>
      </c>
      <c r="K123" s="27" t="s">
        <v>180</v>
      </c>
      <c r="L123" s="27" t="s">
        <v>169</v>
      </c>
      <c r="M123" s="28" t="s">
        <v>216</v>
      </c>
      <c r="N123" s="28" t="s">
        <v>217</v>
      </c>
      <c r="O123" s="28" t="s">
        <v>218</v>
      </c>
      <c r="P123" s="29" t="s">
        <v>219</v>
      </c>
      <c r="Q123" s="29" t="s">
        <v>220</v>
      </c>
      <c r="R123" s="29" t="s">
        <v>221</v>
      </c>
      <c r="S123" s="30">
        <v>5226.78</v>
      </c>
      <c r="T123" s="30">
        <v>614.47</v>
      </c>
      <c r="U123" s="30">
        <v>4612.31</v>
      </c>
    </row>
    <row x14ac:dyDescent="0.25" r="124" customHeight="1" ht="18.75">
      <c r="A124" s="21">
        <v>123</v>
      </c>
      <c r="B124" s="22" t="s">
        <v>794</v>
      </c>
      <c r="C124" s="22" t="s">
        <v>166</v>
      </c>
      <c r="D124" s="22" t="s">
        <v>795</v>
      </c>
      <c r="E124" s="22" t="s">
        <v>122</v>
      </c>
      <c r="F124" s="23"/>
      <c r="G124" s="22"/>
      <c r="H124" s="24"/>
      <c r="I124" s="25"/>
      <c r="J124" s="26">
        <v>449</v>
      </c>
      <c r="K124" s="27" t="s">
        <v>180</v>
      </c>
      <c r="L124" s="27" t="s">
        <v>169</v>
      </c>
      <c r="M124" s="28" t="s">
        <v>170</v>
      </c>
      <c r="N124" s="28" t="s">
        <v>796</v>
      </c>
      <c r="O124" s="28" t="s">
        <v>797</v>
      </c>
      <c r="P124" s="29" t="s">
        <v>173</v>
      </c>
      <c r="Q124" s="29" t="s">
        <v>174</v>
      </c>
      <c r="R124" s="29" t="s">
        <v>175</v>
      </c>
      <c r="S124" s="30">
        <v>1681.94</v>
      </c>
      <c r="T124" s="30">
        <v>127.05</v>
      </c>
      <c r="U124" s="30">
        <v>1554.89</v>
      </c>
    </row>
    <row x14ac:dyDescent="0.25" r="125" customHeight="1" ht="18.75">
      <c r="A125" s="21">
        <v>124</v>
      </c>
      <c r="B125" s="22" t="s">
        <v>798</v>
      </c>
      <c r="C125" s="22" t="s">
        <v>190</v>
      </c>
      <c r="D125" s="22" t="s">
        <v>799</v>
      </c>
      <c r="E125" s="22" t="s">
        <v>17</v>
      </c>
      <c r="F125" s="23"/>
      <c r="G125" s="22"/>
      <c r="H125" s="24"/>
      <c r="I125" s="25"/>
      <c r="J125" s="26">
        <v>423</v>
      </c>
      <c r="K125" s="27" t="s">
        <v>180</v>
      </c>
      <c r="L125" s="27" t="s">
        <v>169</v>
      </c>
      <c r="M125" s="28" t="s">
        <v>233</v>
      </c>
      <c r="N125" s="28" t="s">
        <v>234</v>
      </c>
      <c r="O125" s="28" t="s">
        <v>235</v>
      </c>
      <c r="P125" s="29" t="s">
        <v>236</v>
      </c>
      <c r="Q125" s="29" t="s">
        <v>275</v>
      </c>
      <c r="R125" s="29" t="s">
        <v>276</v>
      </c>
      <c r="S125" s="30">
        <v>3433.34</v>
      </c>
      <c r="T125" s="30">
        <v>300.59</v>
      </c>
      <c r="U125" s="30">
        <v>3132.75</v>
      </c>
    </row>
    <row x14ac:dyDescent="0.25" r="126" customHeight="1" ht="18.75">
      <c r="A126" s="21">
        <v>125</v>
      </c>
      <c r="B126" s="22" t="s">
        <v>800</v>
      </c>
      <c r="C126" s="22" t="s">
        <v>801</v>
      </c>
      <c r="D126" s="22" t="s">
        <v>802</v>
      </c>
      <c r="E126" s="22" t="s">
        <v>803</v>
      </c>
      <c r="F126" s="23"/>
      <c r="G126" s="22"/>
      <c r="H126" s="24"/>
      <c r="I126" s="25"/>
      <c r="J126" s="26">
        <v>497</v>
      </c>
      <c r="K126" s="27" t="s">
        <v>180</v>
      </c>
      <c r="L126" s="27" t="s">
        <v>169</v>
      </c>
      <c r="M126" s="28">
        <v>0</v>
      </c>
      <c r="N126" s="28">
        <v>0</v>
      </c>
      <c r="O126" s="28">
        <v>0</v>
      </c>
      <c r="P126" s="29">
        <v>0</v>
      </c>
      <c r="Q126" s="29">
        <v>0</v>
      </c>
      <c r="R126" s="29">
        <v>0</v>
      </c>
      <c r="S126" s="30">
        <v>3050</v>
      </c>
      <c r="T126" s="30">
        <v>3050</v>
      </c>
      <c r="U126" s="28">
        <v>0</v>
      </c>
    </row>
    <row x14ac:dyDescent="0.25" r="127" customHeight="1" ht="18.75">
      <c r="A127" s="21">
        <v>126</v>
      </c>
      <c r="B127" s="22" t="s">
        <v>804</v>
      </c>
      <c r="C127" s="22" t="s">
        <v>166</v>
      </c>
      <c r="D127" s="22" t="s">
        <v>805</v>
      </c>
      <c r="E127" s="22" t="s">
        <v>49</v>
      </c>
      <c r="F127" s="23"/>
      <c r="G127" s="22"/>
      <c r="H127" s="24"/>
      <c r="I127" s="25"/>
      <c r="J127" s="26">
        <v>367</v>
      </c>
      <c r="K127" s="27" t="s">
        <v>180</v>
      </c>
      <c r="L127" s="27" t="s">
        <v>169</v>
      </c>
      <c r="M127" s="28" t="s">
        <v>225</v>
      </c>
      <c r="N127" s="28" t="s">
        <v>171</v>
      </c>
      <c r="O127" s="28" t="s">
        <v>226</v>
      </c>
      <c r="P127" s="29" t="s">
        <v>173</v>
      </c>
      <c r="Q127" s="29" t="s">
        <v>806</v>
      </c>
      <c r="R127" s="29" t="s">
        <v>807</v>
      </c>
      <c r="S127" s="30">
        <v>1681.94</v>
      </c>
      <c r="T127" s="30">
        <v>524.93</v>
      </c>
      <c r="U127" s="30">
        <v>1157.01</v>
      </c>
    </row>
    <row x14ac:dyDescent="0.25" r="128" customHeight="1" ht="18.75">
      <c r="A128" s="21">
        <v>127</v>
      </c>
      <c r="B128" s="22" t="s">
        <v>808</v>
      </c>
      <c r="C128" s="22" t="s">
        <v>166</v>
      </c>
      <c r="D128" s="22" t="s">
        <v>809</v>
      </c>
      <c r="E128" s="22" t="s">
        <v>140</v>
      </c>
      <c r="F128" s="23"/>
      <c r="G128" s="22"/>
      <c r="H128" s="24"/>
      <c r="I128" s="25"/>
      <c r="J128" s="26">
        <v>122</v>
      </c>
      <c r="K128" s="27" t="s">
        <v>180</v>
      </c>
      <c r="L128" s="27" t="s">
        <v>169</v>
      </c>
      <c r="M128" s="28" t="s">
        <v>170</v>
      </c>
      <c r="N128" s="28" t="s">
        <v>171</v>
      </c>
      <c r="O128" s="28" t="s">
        <v>172</v>
      </c>
      <c r="P128" s="29" t="s">
        <v>173</v>
      </c>
      <c r="Q128" s="29" t="s">
        <v>174</v>
      </c>
      <c r="R128" s="29" t="s">
        <v>175</v>
      </c>
      <c r="S128" s="30">
        <v>1681.94</v>
      </c>
      <c r="T128" s="30">
        <v>127.05</v>
      </c>
      <c r="U128" s="30">
        <v>1554.89</v>
      </c>
    </row>
    <row x14ac:dyDescent="0.25" r="129" customHeight="1" ht="18.75">
      <c r="A129" s="21">
        <v>128</v>
      </c>
      <c r="B129" s="22" t="s">
        <v>810</v>
      </c>
      <c r="C129" s="22" t="s">
        <v>656</v>
      </c>
      <c r="D129" s="22" t="s">
        <v>811</v>
      </c>
      <c r="E129" s="22" t="s">
        <v>812</v>
      </c>
      <c r="F129" s="23"/>
      <c r="G129" s="22"/>
      <c r="H129" s="24"/>
      <c r="I129" s="25"/>
      <c r="J129" s="26">
        <v>175</v>
      </c>
      <c r="K129" s="27" t="s">
        <v>180</v>
      </c>
      <c r="L129" s="27" t="s">
        <v>169</v>
      </c>
      <c r="M129" s="28" t="s">
        <v>658</v>
      </c>
      <c r="N129" s="28" t="s">
        <v>661</v>
      </c>
      <c r="O129" s="28" t="s">
        <v>662</v>
      </c>
      <c r="P129" s="29" t="s">
        <v>813</v>
      </c>
      <c r="Q129" s="29" t="s">
        <v>814</v>
      </c>
      <c r="R129" s="29" t="s">
        <v>815</v>
      </c>
      <c r="S129" s="30">
        <v>3900</v>
      </c>
      <c r="T129" s="30">
        <v>356.58</v>
      </c>
      <c r="U129" s="30">
        <v>3543.42</v>
      </c>
    </row>
    <row x14ac:dyDescent="0.25" r="130" customHeight="1" ht="18.75">
      <c r="A130" s="21">
        <v>129</v>
      </c>
      <c r="B130" s="22" t="s">
        <v>816</v>
      </c>
      <c r="C130" s="22" t="s">
        <v>278</v>
      </c>
      <c r="D130" s="22" t="s">
        <v>817</v>
      </c>
      <c r="E130" s="22" t="s">
        <v>102</v>
      </c>
      <c r="F130" s="23"/>
      <c r="G130" s="22"/>
      <c r="H130" s="24"/>
      <c r="I130" s="25"/>
      <c r="J130" s="26">
        <v>416</v>
      </c>
      <c r="K130" s="27" t="s">
        <v>180</v>
      </c>
      <c r="L130" s="27" t="s">
        <v>169</v>
      </c>
      <c r="M130" s="28" t="s">
        <v>417</v>
      </c>
      <c r="N130" s="28" t="s">
        <v>418</v>
      </c>
      <c r="O130" s="28" t="s">
        <v>419</v>
      </c>
      <c r="P130" s="29" t="s">
        <v>417</v>
      </c>
      <c r="Q130" s="29" t="s">
        <v>418</v>
      </c>
      <c r="R130" s="29" t="s">
        <v>419</v>
      </c>
      <c r="S130" s="30">
        <v>4280</v>
      </c>
      <c r="T130" s="30">
        <v>402.18</v>
      </c>
      <c r="U130" s="30">
        <v>3877.82</v>
      </c>
    </row>
    <row x14ac:dyDescent="0.25" r="131" customHeight="1" ht="18.75">
      <c r="A131" s="21">
        <v>130</v>
      </c>
      <c r="B131" s="22" t="s">
        <v>818</v>
      </c>
      <c r="C131" s="22" t="s">
        <v>656</v>
      </c>
      <c r="D131" s="22" t="s">
        <v>819</v>
      </c>
      <c r="E131" s="22" t="s">
        <v>291</v>
      </c>
      <c r="F131" s="23"/>
      <c r="G131" s="22"/>
      <c r="H131" s="24"/>
      <c r="I131" s="25"/>
      <c r="J131" s="26">
        <v>632</v>
      </c>
      <c r="K131" s="27" t="s">
        <v>527</v>
      </c>
      <c r="L131" s="27" t="s">
        <v>169</v>
      </c>
      <c r="M131" s="28" t="s">
        <v>658</v>
      </c>
      <c r="N131" s="28" t="s">
        <v>661</v>
      </c>
      <c r="O131" s="28" t="s">
        <v>662</v>
      </c>
      <c r="P131" s="29" t="s">
        <v>658</v>
      </c>
      <c r="Q131" s="29" t="s">
        <v>661</v>
      </c>
      <c r="R131" s="29" t="s">
        <v>662</v>
      </c>
      <c r="S131" s="30">
        <v>3000</v>
      </c>
      <c r="T131" s="30">
        <v>248.58</v>
      </c>
      <c r="U131" s="30">
        <v>2751.42</v>
      </c>
    </row>
    <row x14ac:dyDescent="0.25" r="132" customHeight="1" ht="18.75">
      <c r="A132" s="21">
        <v>131</v>
      </c>
      <c r="B132" s="22" t="s">
        <v>820</v>
      </c>
      <c r="C132" s="22" t="s">
        <v>166</v>
      </c>
      <c r="D132" s="22" t="s">
        <v>821</v>
      </c>
      <c r="E132" s="22" t="s">
        <v>22</v>
      </c>
      <c r="F132" s="23"/>
      <c r="G132" s="22"/>
      <c r="H132" s="24"/>
      <c r="I132" s="25"/>
      <c r="J132" s="26">
        <v>481</v>
      </c>
      <c r="K132" s="27" t="s">
        <v>180</v>
      </c>
      <c r="L132" s="27" t="s">
        <v>169</v>
      </c>
      <c r="M132" s="28" t="s">
        <v>170</v>
      </c>
      <c r="N132" s="28" t="s">
        <v>171</v>
      </c>
      <c r="O132" s="28" t="s">
        <v>172</v>
      </c>
      <c r="P132" s="29" t="s">
        <v>173</v>
      </c>
      <c r="Q132" s="29" t="s">
        <v>174</v>
      </c>
      <c r="R132" s="29" t="s">
        <v>175</v>
      </c>
      <c r="S132" s="30">
        <v>1681.94</v>
      </c>
      <c r="T132" s="30">
        <v>127.05</v>
      </c>
      <c r="U132" s="30">
        <v>1554.89</v>
      </c>
    </row>
    <row x14ac:dyDescent="0.25" r="133" customHeight="1" ht="18.75">
      <c r="A133" s="21">
        <v>132</v>
      </c>
      <c r="B133" s="22" t="s">
        <v>822</v>
      </c>
      <c r="C133" s="22" t="s">
        <v>190</v>
      </c>
      <c r="D133" s="22" t="s">
        <v>823</v>
      </c>
      <c r="E133" s="22" t="s">
        <v>824</v>
      </c>
      <c r="F133" s="23"/>
      <c r="G133" s="22"/>
      <c r="H133" s="24"/>
      <c r="I133" s="25"/>
      <c r="J133" s="26">
        <v>489</v>
      </c>
      <c r="K133" s="27" t="s">
        <v>180</v>
      </c>
      <c r="L133" s="27" t="s">
        <v>169</v>
      </c>
      <c r="M133" s="28" t="s">
        <v>233</v>
      </c>
      <c r="N133" s="28" t="s">
        <v>234</v>
      </c>
      <c r="O133" s="28" t="s">
        <v>235</v>
      </c>
      <c r="P133" s="29" t="s">
        <v>236</v>
      </c>
      <c r="Q133" s="29" t="s">
        <v>275</v>
      </c>
      <c r="R133" s="29" t="s">
        <v>276</v>
      </c>
      <c r="S133" s="30">
        <v>3433.34</v>
      </c>
      <c r="T133" s="30">
        <v>300.59</v>
      </c>
      <c r="U133" s="30">
        <v>3132.75</v>
      </c>
    </row>
    <row x14ac:dyDescent="0.25" r="134" customHeight="1" ht="18.75">
      <c r="A134" s="21">
        <v>133</v>
      </c>
      <c r="B134" s="22" t="s">
        <v>825</v>
      </c>
      <c r="C134" s="22" t="s">
        <v>166</v>
      </c>
      <c r="D134" s="22" t="s">
        <v>826</v>
      </c>
      <c r="E134" s="22" t="s">
        <v>134</v>
      </c>
      <c r="F134" s="23"/>
      <c r="G134" s="22"/>
      <c r="H134" s="24"/>
      <c r="I134" s="25"/>
      <c r="J134" s="26">
        <v>589</v>
      </c>
      <c r="K134" s="27" t="s">
        <v>827</v>
      </c>
      <c r="L134" s="27" t="s">
        <v>169</v>
      </c>
      <c r="M134" s="28" t="s">
        <v>828</v>
      </c>
      <c r="N134" s="28" t="s">
        <v>259</v>
      </c>
      <c r="O134" s="28" t="s">
        <v>829</v>
      </c>
      <c r="P134" s="29" t="s">
        <v>830</v>
      </c>
      <c r="Q134" s="29" t="s">
        <v>723</v>
      </c>
      <c r="R134" s="29" t="s">
        <v>831</v>
      </c>
      <c r="S134" s="30">
        <v>2059.37</v>
      </c>
      <c r="T134" s="30">
        <v>148.86</v>
      </c>
      <c r="U134" s="30">
        <v>1910.51</v>
      </c>
    </row>
    <row x14ac:dyDescent="0.25" r="135" customHeight="1" ht="18.75">
      <c r="A135" s="21">
        <v>134</v>
      </c>
      <c r="B135" s="22" t="s">
        <v>832</v>
      </c>
      <c r="C135" s="22" t="s">
        <v>166</v>
      </c>
      <c r="D135" s="22" t="s">
        <v>833</v>
      </c>
      <c r="E135" s="22" t="s">
        <v>134</v>
      </c>
      <c r="F135" s="23"/>
      <c r="G135" s="22"/>
      <c r="H135" s="24"/>
      <c r="I135" s="25"/>
      <c r="J135" s="26">
        <v>637</v>
      </c>
      <c r="K135" s="27" t="s">
        <v>460</v>
      </c>
      <c r="L135" s="27" t="s">
        <v>169</v>
      </c>
      <c r="M135" s="28" t="s">
        <v>461</v>
      </c>
      <c r="N135" s="28" t="s">
        <v>174</v>
      </c>
      <c r="O135" s="28" t="s">
        <v>172</v>
      </c>
      <c r="P135" s="29" t="s">
        <v>173</v>
      </c>
      <c r="Q135" s="29" t="s">
        <v>174</v>
      </c>
      <c r="R135" s="29" t="s">
        <v>175</v>
      </c>
      <c r="S135" s="30">
        <v>1681.94</v>
      </c>
      <c r="T135" s="30">
        <v>127.05</v>
      </c>
      <c r="U135" s="30">
        <v>1554.89</v>
      </c>
    </row>
    <row x14ac:dyDescent="0.25" r="136" customHeight="1" ht="18.75">
      <c r="A136" s="21">
        <v>135</v>
      </c>
      <c r="B136" s="22" t="s">
        <v>834</v>
      </c>
      <c r="C136" s="22" t="s">
        <v>396</v>
      </c>
      <c r="D136" s="22" t="s">
        <v>835</v>
      </c>
      <c r="E136" s="22" t="s">
        <v>134</v>
      </c>
      <c r="F136" s="23"/>
      <c r="G136" s="22"/>
      <c r="H136" s="24"/>
      <c r="I136" s="25"/>
      <c r="J136" s="26">
        <v>147</v>
      </c>
      <c r="K136" s="27" t="s">
        <v>180</v>
      </c>
      <c r="L136" s="27" t="s">
        <v>169</v>
      </c>
      <c r="M136" s="28" t="s">
        <v>216</v>
      </c>
      <c r="N136" s="28" t="s">
        <v>836</v>
      </c>
      <c r="O136" s="28" t="s">
        <v>837</v>
      </c>
      <c r="P136" s="29" t="s">
        <v>219</v>
      </c>
      <c r="Q136" s="29" t="s">
        <v>838</v>
      </c>
      <c r="R136" s="29" t="s">
        <v>839</v>
      </c>
      <c r="S136" s="30">
        <v>5282.41</v>
      </c>
      <c r="T136" s="30">
        <v>2029.22</v>
      </c>
      <c r="U136" s="30">
        <v>3253.19</v>
      </c>
    </row>
    <row x14ac:dyDescent="0.25" r="137" customHeight="1" ht="18.75">
      <c r="A137" s="21">
        <v>136</v>
      </c>
      <c r="B137" s="22" t="s">
        <v>840</v>
      </c>
      <c r="C137" s="22" t="s">
        <v>166</v>
      </c>
      <c r="D137" s="22" t="s">
        <v>841</v>
      </c>
      <c r="E137" s="22" t="s">
        <v>134</v>
      </c>
      <c r="F137" s="23"/>
      <c r="G137" s="22"/>
      <c r="H137" s="24"/>
      <c r="I137" s="25"/>
      <c r="J137" s="26">
        <v>114</v>
      </c>
      <c r="K137" s="27" t="s">
        <v>180</v>
      </c>
      <c r="L137" s="27" t="s">
        <v>169</v>
      </c>
      <c r="M137" s="28" t="s">
        <v>842</v>
      </c>
      <c r="N137" s="28" t="s">
        <v>843</v>
      </c>
      <c r="O137" s="28" t="s">
        <v>844</v>
      </c>
      <c r="P137" s="29" t="s">
        <v>845</v>
      </c>
      <c r="Q137" s="29" t="s">
        <v>846</v>
      </c>
      <c r="R137" s="29" t="s">
        <v>847</v>
      </c>
      <c r="S137" s="30">
        <v>1892.81</v>
      </c>
      <c r="T137" s="30">
        <v>671.75</v>
      </c>
      <c r="U137" s="30">
        <v>1221.06</v>
      </c>
    </row>
    <row x14ac:dyDescent="0.25" r="138" customHeight="1" ht="18.75">
      <c r="A138" s="21">
        <v>137</v>
      </c>
      <c r="B138" s="22" t="s">
        <v>848</v>
      </c>
      <c r="C138" s="22" t="s">
        <v>166</v>
      </c>
      <c r="D138" s="22" t="s">
        <v>849</v>
      </c>
      <c r="E138" s="22" t="s">
        <v>58</v>
      </c>
      <c r="F138" s="23"/>
      <c r="G138" s="22"/>
      <c r="H138" s="24"/>
      <c r="I138" s="25"/>
      <c r="J138" s="26">
        <v>420</v>
      </c>
      <c r="K138" s="27" t="s">
        <v>180</v>
      </c>
      <c r="L138" s="27" t="s">
        <v>169</v>
      </c>
      <c r="M138" s="28" t="s">
        <v>170</v>
      </c>
      <c r="N138" s="28" t="s">
        <v>850</v>
      </c>
      <c r="O138" s="28" t="s">
        <v>851</v>
      </c>
      <c r="P138" s="29" t="s">
        <v>173</v>
      </c>
      <c r="Q138" s="29" t="s">
        <v>852</v>
      </c>
      <c r="R138" s="29" t="s">
        <v>853</v>
      </c>
      <c r="S138" s="30">
        <v>1831.48</v>
      </c>
      <c r="T138" s="30">
        <v>664.81</v>
      </c>
      <c r="U138" s="30">
        <v>1166.67</v>
      </c>
    </row>
    <row x14ac:dyDescent="0.25" r="139" customHeight="1" ht="18.75">
      <c r="A139" s="21">
        <v>138</v>
      </c>
      <c r="B139" s="22" t="s">
        <v>854</v>
      </c>
      <c r="C139" s="22" t="s">
        <v>166</v>
      </c>
      <c r="D139" s="22" t="s">
        <v>855</v>
      </c>
      <c r="E139" s="22" t="s">
        <v>140</v>
      </c>
      <c r="F139" s="23"/>
      <c r="G139" s="22"/>
      <c r="H139" s="24"/>
      <c r="I139" s="25"/>
      <c r="J139" s="26">
        <v>102</v>
      </c>
      <c r="K139" s="27" t="s">
        <v>180</v>
      </c>
      <c r="L139" s="27" t="s">
        <v>169</v>
      </c>
      <c r="M139" s="28" t="s">
        <v>258</v>
      </c>
      <c r="N139" s="28" t="s">
        <v>259</v>
      </c>
      <c r="O139" s="28" t="s">
        <v>260</v>
      </c>
      <c r="P139" s="29" t="s">
        <v>856</v>
      </c>
      <c r="Q139" s="29" t="s">
        <v>857</v>
      </c>
      <c r="R139" s="29" t="s">
        <v>858</v>
      </c>
      <c r="S139" s="30">
        <v>2037.37</v>
      </c>
      <c r="T139" s="30">
        <v>159.04</v>
      </c>
      <c r="U139" s="30">
        <v>1878.33</v>
      </c>
    </row>
    <row x14ac:dyDescent="0.25" r="140" customHeight="1" ht="18.75">
      <c r="A140" s="21">
        <v>139</v>
      </c>
      <c r="B140" s="22" t="s">
        <v>859</v>
      </c>
      <c r="C140" s="22" t="s">
        <v>166</v>
      </c>
      <c r="D140" s="22" t="s">
        <v>860</v>
      </c>
      <c r="E140" s="22" t="s">
        <v>106</v>
      </c>
      <c r="F140" s="23"/>
      <c r="G140" s="22"/>
      <c r="H140" s="24"/>
      <c r="I140" s="25"/>
      <c r="J140" s="26">
        <v>250</v>
      </c>
      <c r="K140" s="27" t="s">
        <v>180</v>
      </c>
      <c r="L140" s="27" t="s">
        <v>169</v>
      </c>
      <c r="M140" s="28" t="s">
        <v>170</v>
      </c>
      <c r="N140" s="28" t="s">
        <v>171</v>
      </c>
      <c r="O140" s="28" t="s">
        <v>172</v>
      </c>
      <c r="P140" s="29" t="s">
        <v>173</v>
      </c>
      <c r="Q140" s="29" t="s">
        <v>174</v>
      </c>
      <c r="R140" s="29" t="s">
        <v>175</v>
      </c>
      <c r="S140" s="30">
        <v>1681.94</v>
      </c>
      <c r="T140" s="30">
        <v>127.05</v>
      </c>
      <c r="U140" s="30">
        <v>1554.89</v>
      </c>
    </row>
    <row x14ac:dyDescent="0.25" r="141" customHeight="1" ht="18.75">
      <c r="A141" s="21">
        <v>140</v>
      </c>
      <c r="B141" s="22" t="s">
        <v>861</v>
      </c>
      <c r="C141" s="22" t="s">
        <v>539</v>
      </c>
      <c r="D141" s="22" t="s">
        <v>862</v>
      </c>
      <c r="E141" s="22" t="s">
        <v>122</v>
      </c>
      <c r="F141" s="23"/>
      <c r="G141" s="22"/>
      <c r="H141" s="24"/>
      <c r="I141" s="25"/>
      <c r="J141" s="26">
        <v>446</v>
      </c>
      <c r="K141" s="27" t="s">
        <v>180</v>
      </c>
      <c r="L141" s="27" t="s">
        <v>169</v>
      </c>
      <c r="M141" s="28" t="s">
        <v>173</v>
      </c>
      <c r="N141" s="28" t="s">
        <v>174</v>
      </c>
      <c r="O141" s="28" t="s">
        <v>175</v>
      </c>
      <c r="P141" s="29" t="s">
        <v>173</v>
      </c>
      <c r="Q141" s="29" t="s">
        <v>174</v>
      </c>
      <c r="R141" s="29" t="s">
        <v>175</v>
      </c>
      <c r="S141" s="30">
        <v>1621</v>
      </c>
      <c r="T141" s="30">
        <v>121.57</v>
      </c>
      <c r="U141" s="30">
        <v>1499.43</v>
      </c>
    </row>
    <row x14ac:dyDescent="0.25" r="142" customHeight="1" ht="18.75">
      <c r="A142" s="21">
        <v>141</v>
      </c>
      <c r="B142" s="22" t="s">
        <v>863</v>
      </c>
      <c r="C142" s="22" t="s">
        <v>549</v>
      </c>
      <c r="D142" s="22" t="s">
        <v>864</v>
      </c>
      <c r="E142" s="22" t="s">
        <v>591</v>
      </c>
      <c r="F142" s="23"/>
      <c r="G142" s="22"/>
      <c r="H142" s="24"/>
      <c r="I142" s="25"/>
      <c r="J142" s="26">
        <v>467</v>
      </c>
      <c r="K142" s="27" t="s">
        <v>180</v>
      </c>
      <c r="L142" s="27" t="s">
        <v>169</v>
      </c>
      <c r="M142" s="28" t="s">
        <v>592</v>
      </c>
      <c r="N142" s="28" t="s">
        <v>593</v>
      </c>
      <c r="O142" s="28" t="s">
        <v>594</v>
      </c>
      <c r="P142" s="29" t="s">
        <v>592</v>
      </c>
      <c r="Q142" s="29" t="s">
        <v>593</v>
      </c>
      <c r="R142" s="29" t="s">
        <v>594</v>
      </c>
      <c r="S142" s="30">
        <v>1800</v>
      </c>
      <c r="T142" s="30">
        <v>137.68</v>
      </c>
      <c r="U142" s="30">
        <v>1662.32</v>
      </c>
    </row>
    <row x14ac:dyDescent="0.25" r="143" customHeight="1" ht="18.75">
      <c r="A143" s="21">
        <v>142</v>
      </c>
      <c r="B143" s="22" t="s">
        <v>865</v>
      </c>
      <c r="C143" s="22" t="s">
        <v>520</v>
      </c>
      <c r="D143" s="22" t="s">
        <v>866</v>
      </c>
      <c r="E143" s="22" t="s">
        <v>130</v>
      </c>
      <c r="F143" s="23"/>
      <c r="G143" s="22"/>
      <c r="H143" s="24"/>
      <c r="I143" s="25"/>
      <c r="J143" s="26">
        <v>460</v>
      </c>
      <c r="K143" s="27" t="s">
        <v>180</v>
      </c>
      <c r="L143" s="27" t="s">
        <v>169</v>
      </c>
      <c r="M143" s="28" t="s">
        <v>522</v>
      </c>
      <c r="N143" s="28" t="s">
        <v>523</v>
      </c>
      <c r="O143" s="28" t="s">
        <v>524</v>
      </c>
      <c r="P143" s="29" t="s">
        <v>522</v>
      </c>
      <c r="Q143" s="29" t="s">
        <v>523</v>
      </c>
      <c r="R143" s="29" t="s">
        <v>524</v>
      </c>
      <c r="S143" s="30">
        <v>4339.06</v>
      </c>
      <c r="T143" s="30">
        <v>409.27</v>
      </c>
      <c r="U143" s="30">
        <v>3929.79</v>
      </c>
    </row>
    <row x14ac:dyDescent="0.25" r="144" customHeight="1" ht="18.75">
      <c r="A144" s="21">
        <v>143</v>
      </c>
      <c r="B144" s="22" t="s">
        <v>867</v>
      </c>
      <c r="C144" s="22" t="s">
        <v>166</v>
      </c>
      <c r="D144" s="22" t="s">
        <v>868</v>
      </c>
      <c r="E144" s="22" t="s">
        <v>134</v>
      </c>
      <c r="F144" s="23"/>
      <c r="G144" s="22"/>
      <c r="H144" s="24"/>
      <c r="I144" s="25"/>
      <c r="J144" s="26">
        <v>72</v>
      </c>
      <c r="K144" s="27" t="s">
        <v>180</v>
      </c>
      <c r="L144" s="27" t="s">
        <v>169</v>
      </c>
      <c r="M144" s="28" t="s">
        <v>869</v>
      </c>
      <c r="N144" s="28" t="s">
        <v>870</v>
      </c>
      <c r="O144" s="28" t="s">
        <v>871</v>
      </c>
      <c r="P144" s="29" t="s">
        <v>872</v>
      </c>
      <c r="Q144" s="29" t="s">
        <v>873</v>
      </c>
      <c r="R144" s="29" t="s">
        <v>874</v>
      </c>
      <c r="S144" s="30">
        <v>2459.4</v>
      </c>
      <c r="T144" s="30">
        <v>714.19</v>
      </c>
      <c r="U144" s="30">
        <v>1745.21</v>
      </c>
    </row>
    <row x14ac:dyDescent="0.25" r="145" customHeight="1" ht="18.75">
      <c r="A145" s="21">
        <v>144</v>
      </c>
      <c r="B145" s="22" t="s">
        <v>875</v>
      </c>
      <c r="C145" s="22" t="s">
        <v>214</v>
      </c>
      <c r="D145" s="22" t="s">
        <v>876</v>
      </c>
      <c r="E145" s="22" t="s">
        <v>134</v>
      </c>
      <c r="F145" s="23"/>
      <c r="G145" s="22"/>
      <c r="H145" s="24"/>
      <c r="I145" s="25"/>
      <c r="J145" s="26">
        <v>126</v>
      </c>
      <c r="K145" s="27" t="s">
        <v>180</v>
      </c>
      <c r="L145" s="27" t="s">
        <v>169</v>
      </c>
      <c r="M145" s="28" t="s">
        <v>216</v>
      </c>
      <c r="N145" s="28" t="s">
        <v>836</v>
      </c>
      <c r="O145" s="28" t="s">
        <v>837</v>
      </c>
      <c r="P145" s="29" t="s">
        <v>877</v>
      </c>
      <c r="Q145" s="29" t="s">
        <v>878</v>
      </c>
      <c r="R145" s="29" t="s">
        <v>879</v>
      </c>
      <c r="S145" s="30">
        <v>5210.28</v>
      </c>
      <c r="T145" s="30">
        <v>2070.64</v>
      </c>
      <c r="U145" s="30">
        <v>3139.64</v>
      </c>
    </row>
    <row x14ac:dyDescent="0.25" r="146" customHeight="1" ht="18.75">
      <c r="A146" s="21">
        <v>145</v>
      </c>
      <c r="B146" s="22" t="s">
        <v>880</v>
      </c>
      <c r="C146" s="22" t="s">
        <v>166</v>
      </c>
      <c r="D146" s="22" t="s">
        <v>881</v>
      </c>
      <c r="E146" s="22" t="s">
        <v>474</v>
      </c>
      <c r="F146" s="23"/>
      <c r="G146" s="22"/>
      <c r="H146" s="24"/>
      <c r="I146" s="25"/>
      <c r="J146" s="26">
        <v>362</v>
      </c>
      <c r="K146" s="27" t="s">
        <v>180</v>
      </c>
      <c r="L146" s="27" t="s">
        <v>169</v>
      </c>
      <c r="M146" s="28" t="s">
        <v>170</v>
      </c>
      <c r="N146" s="28" t="s">
        <v>171</v>
      </c>
      <c r="O146" s="28" t="s">
        <v>172</v>
      </c>
      <c r="P146" s="29" t="s">
        <v>173</v>
      </c>
      <c r="Q146" s="29" t="s">
        <v>174</v>
      </c>
      <c r="R146" s="29" t="s">
        <v>175</v>
      </c>
      <c r="S146" s="30">
        <v>1681.94</v>
      </c>
      <c r="T146" s="30">
        <v>127.05</v>
      </c>
      <c r="U146" s="30">
        <v>1554.89</v>
      </c>
    </row>
    <row x14ac:dyDescent="0.25" r="147" customHeight="1" ht="18.75">
      <c r="A147" s="21">
        <v>146</v>
      </c>
      <c r="B147" s="22" t="s">
        <v>882</v>
      </c>
      <c r="C147" s="22" t="s">
        <v>166</v>
      </c>
      <c r="D147" s="22" t="s">
        <v>883</v>
      </c>
      <c r="E147" s="22" t="s">
        <v>273</v>
      </c>
      <c r="F147" s="23"/>
      <c r="G147" s="22"/>
      <c r="H147" s="24"/>
      <c r="I147" s="25"/>
      <c r="J147" s="26">
        <v>580</v>
      </c>
      <c r="K147" s="27" t="s">
        <v>168</v>
      </c>
      <c r="L147" s="27" t="s">
        <v>169</v>
      </c>
      <c r="M147" s="28" t="s">
        <v>170</v>
      </c>
      <c r="N147" s="28" t="s">
        <v>171</v>
      </c>
      <c r="O147" s="28" t="s">
        <v>172</v>
      </c>
      <c r="P147" s="29" t="s">
        <v>173</v>
      </c>
      <c r="Q147" s="29" t="s">
        <v>174</v>
      </c>
      <c r="R147" s="29" t="s">
        <v>175</v>
      </c>
      <c r="S147" s="30">
        <v>1682.13</v>
      </c>
      <c r="T147" s="30">
        <v>127.07</v>
      </c>
      <c r="U147" s="30">
        <v>1555.06</v>
      </c>
    </row>
    <row x14ac:dyDescent="0.25" r="148" customHeight="1" ht="18.75">
      <c r="A148" s="21">
        <v>147</v>
      </c>
      <c r="B148" s="22" t="s">
        <v>884</v>
      </c>
      <c r="C148" s="22" t="s">
        <v>166</v>
      </c>
      <c r="D148" s="22" t="s">
        <v>885</v>
      </c>
      <c r="E148" s="22" t="s">
        <v>134</v>
      </c>
      <c r="F148" s="23"/>
      <c r="G148" s="22"/>
      <c r="H148" s="24"/>
      <c r="I148" s="25"/>
      <c r="J148" s="26">
        <v>34</v>
      </c>
      <c r="K148" s="27" t="s">
        <v>180</v>
      </c>
      <c r="L148" s="27" t="s">
        <v>169</v>
      </c>
      <c r="M148" s="28" t="s">
        <v>886</v>
      </c>
      <c r="N148" s="28" t="s">
        <v>887</v>
      </c>
      <c r="O148" s="28" t="s">
        <v>888</v>
      </c>
      <c r="P148" s="29" t="s">
        <v>889</v>
      </c>
      <c r="Q148" s="29" t="s">
        <v>857</v>
      </c>
      <c r="R148" s="29" t="s">
        <v>890</v>
      </c>
      <c r="S148" s="30">
        <v>1907.42</v>
      </c>
      <c r="T148" s="30">
        <v>147.34</v>
      </c>
      <c r="U148" s="30">
        <v>1760.08</v>
      </c>
    </row>
    <row x14ac:dyDescent="0.25" r="149" customHeight="1" ht="18.75">
      <c r="A149" s="21">
        <v>148</v>
      </c>
      <c r="B149" s="22" t="s">
        <v>891</v>
      </c>
      <c r="C149" s="22" t="s">
        <v>166</v>
      </c>
      <c r="D149" s="22" t="s">
        <v>892</v>
      </c>
      <c r="E149" s="22" t="s">
        <v>130</v>
      </c>
      <c r="F149" s="23"/>
      <c r="G149" s="22"/>
      <c r="H149" s="24"/>
      <c r="I149" s="25"/>
      <c r="J149" s="26">
        <v>448</v>
      </c>
      <c r="K149" s="27" t="s">
        <v>180</v>
      </c>
      <c r="L149" s="27" t="s">
        <v>169</v>
      </c>
      <c r="M149" s="28" t="s">
        <v>170</v>
      </c>
      <c r="N149" s="28" t="s">
        <v>171</v>
      </c>
      <c r="O149" s="28" t="s">
        <v>172</v>
      </c>
      <c r="P149" s="29" t="s">
        <v>173</v>
      </c>
      <c r="Q149" s="29" t="s">
        <v>174</v>
      </c>
      <c r="R149" s="29" t="s">
        <v>175</v>
      </c>
      <c r="S149" s="30">
        <v>1681.94</v>
      </c>
      <c r="T149" s="30">
        <v>127.05</v>
      </c>
      <c r="U149" s="30">
        <v>1554.89</v>
      </c>
    </row>
    <row x14ac:dyDescent="0.25" r="150" customHeight="1" ht="18.75">
      <c r="A150" s="21">
        <v>149</v>
      </c>
      <c r="B150" s="22" t="s">
        <v>893</v>
      </c>
      <c r="C150" s="22" t="s">
        <v>166</v>
      </c>
      <c r="D150" s="22" t="s">
        <v>894</v>
      </c>
      <c r="E150" s="22" t="s">
        <v>895</v>
      </c>
      <c r="F150" s="23"/>
      <c r="G150" s="22"/>
      <c r="H150" s="24"/>
      <c r="I150" s="25"/>
      <c r="J150" s="26">
        <v>426</v>
      </c>
      <c r="K150" s="27" t="s">
        <v>180</v>
      </c>
      <c r="L150" s="27" t="s">
        <v>169</v>
      </c>
      <c r="M150" s="28" t="s">
        <v>896</v>
      </c>
      <c r="N150" s="28" t="s">
        <v>897</v>
      </c>
      <c r="O150" s="28" t="s">
        <v>898</v>
      </c>
      <c r="P150" s="29" t="s">
        <v>899</v>
      </c>
      <c r="Q150" s="29" t="s">
        <v>900</v>
      </c>
      <c r="R150" s="29" t="s">
        <v>901</v>
      </c>
      <c r="S150" s="30">
        <v>2502.83</v>
      </c>
      <c r="T150" s="30">
        <v>200.93</v>
      </c>
      <c r="U150" s="30">
        <v>2301.9</v>
      </c>
    </row>
    <row x14ac:dyDescent="0.25" r="151" customHeight="1" ht="18.75">
      <c r="A151" s="21">
        <v>150</v>
      </c>
      <c r="B151" s="22" t="s">
        <v>902</v>
      </c>
      <c r="C151" s="22" t="s">
        <v>177</v>
      </c>
      <c r="D151" s="22" t="s">
        <v>903</v>
      </c>
      <c r="E151" s="22" t="s">
        <v>310</v>
      </c>
      <c r="F151" s="23"/>
      <c r="G151" s="22"/>
      <c r="H151" s="24"/>
      <c r="I151" s="25"/>
      <c r="J151" s="26">
        <v>477</v>
      </c>
      <c r="K151" s="27" t="s">
        <v>180</v>
      </c>
      <c r="L151" s="27" t="s">
        <v>169</v>
      </c>
      <c r="M151" s="28" t="s">
        <v>311</v>
      </c>
      <c r="N151" s="28" t="s">
        <v>904</v>
      </c>
      <c r="O151" s="28" t="s">
        <v>905</v>
      </c>
      <c r="P151" s="29" t="s">
        <v>314</v>
      </c>
      <c r="Q151" s="29" t="s">
        <v>906</v>
      </c>
      <c r="R151" s="29" t="s">
        <v>907</v>
      </c>
      <c r="S151" s="30">
        <v>4766.66</v>
      </c>
      <c r="T151" s="30">
        <v>1377.32</v>
      </c>
      <c r="U151" s="30">
        <v>3389.34</v>
      </c>
    </row>
    <row x14ac:dyDescent="0.25" r="152" customHeight="1" ht="18.75">
      <c r="A152" s="21">
        <v>151</v>
      </c>
      <c r="B152" s="22" t="s">
        <v>908</v>
      </c>
      <c r="C152" s="22" t="s">
        <v>378</v>
      </c>
      <c r="D152" s="22" t="s">
        <v>909</v>
      </c>
      <c r="E152" s="22" t="s">
        <v>134</v>
      </c>
      <c r="F152" s="23"/>
      <c r="G152" s="22"/>
      <c r="H152" s="24"/>
      <c r="I152" s="25"/>
      <c r="J152" s="26">
        <v>357</v>
      </c>
      <c r="K152" s="27" t="s">
        <v>180</v>
      </c>
      <c r="L152" s="27" t="s">
        <v>169</v>
      </c>
      <c r="M152" s="28" t="s">
        <v>592</v>
      </c>
      <c r="N152" s="28" t="s">
        <v>593</v>
      </c>
      <c r="O152" s="28" t="s">
        <v>594</v>
      </c>
      <c r="P152" s="29" t="s">
        <v>592</v>
      </c>
      <c r="Q152" s="29" t="s">
        <v>593</v>
      </c>
      <c r="R152" s="29" t="s">
        <v>594</v>
      </c>
      <c r="S152" s="30">
        <v>1800</v>
      </c>
      <c r="T152" s="30">
        <v>228.86</v>
      </c>
      <c r="U152" s="30">
        <v>1571.14</v>
      </c>
    </row>
    <row x14ac:dyDescent="0.25" r="153" customHeight="1" ht="18.75">
      <c r="A153" s="21">
        <v>152</v>
      </c>
      <c r="B153" s="22" t="s">
        <v>910</v>
      </c>
      <c r="C153" s="22" t="s">
        <v>166</v>
      </c>
      <c r="D153" s="22" t="s">
        <v>911</v>
      </c>
      <c r="E153" s="22" t="s">
        <v>704</v>
      </c>
      <c r="F153" s="23"/>
      <c r="G153" s="22"/>
      <c r="H153" s="24"/>
      <c r="I153" s="25"/>
      <c r="J153" s="26">
        <v>42</v>
      </c>
      <c r="K153" s="27" t="s">
        <v>180</v>
      </c>
      <c r="L153" s="27" t="s">
        <v>169</v>
      </c>
      <c r="M153" s="28" t="s">
        <v>912</v>
      </c>
      <c r="N153" s="28" t="s">
        <v>913</v>
      </c>
      <c r="O153" s="28" t="s">
        <v>914</v>
      </c>
      <c r="P153" s="29" t="s">
        <v>915</v>
      </c>
      <c r="Q153" s="29" t="s">
        <v>916</v>
      </c>
      <c r="R153" s="29" t="s">
        <v>917</v>
      </c>
      <c r="S153" s="30">
        <v>1908.12</v>
      </c>
      <c r="T153" s="30">
        <v>464.75</v>
      </c>
      <c r="U153" s="30">
        <v>1443.37</v>
      </c>
    </row>
    <row x14ac:dyDescent="0.25" r="154" customHeight="1" ht="18.75">
      <c r="A154" s="21">
        <v>153</v>
      </c>
      <c r="B154" s="22" t="s">
        <v>918</v>
      </c>
      <c r="C154" s="22" t="s">
        <v>368</v>
      </c>
      <c r="D154" s="22" t="s">
        <v>919</v>
      </c>
      <c r="E154" s="22" t="s">
        <v>370</v>
      </c>
      <c r="F154" s="23"/>
      <c r="G154" s="22"/>
      <c r="H154" s="24"/>
      <c r="I154" s="25"/>
      <c r="J154" s="26">
        <v>284</v>
      </c>
      <c r="K154" s="27" t="s">
        <v>180</v>
      </c>
      <c r="L154" s="27" t="s">
        <v>169</v>
      </c>
      <c r="M154" s="28" t="s">
        <v>920</v>
      </c>
      <c r="N154" s="28" t="s">
        <v>921</v>
      </c>
      <c r="O154" s="28" t="s">
        <v>922</v>
      </c>
      <c r="P154" s="29" t="s">
        <v>923</v>
      </c>
      <c r="Q154" s="29" t="s">
        <v>924</v>
      </c>
      <c r="R154" s="29" t="s">
        <v>925</v>
      </c>
      <c r="S154" s="30">
        <v>3870.09</v>
      </c>
      <c r="T154" s="28">
        <v>353</v>
      </c>
      <c r="U154" s="30">
        <v>3517.09</v>
      </c>
    </row>
    <row x14ac:dyDescent="0.25" r="155" customHeight="1" ht="18.75">
      <c r="A155" s="21">
        <v>154</v>
      </c>
      <c r="B155" s="22" t="s">
        <v>926</v>
      </c>
      <c r="C155" s="22" t="s">
        <v>166</v>
      </c>
      <c r="D155" s="22" t="s">
        <v>927</v>
      </c>
      <c r="E155" s="22" t="s">
        <v>43</v>
      </c>
      <c r="F155" s="23"/>
      <c r="G155" s="22"/>
      <c r="H155" s="24"/>
      <c r="I155" s="25"/>
      <c r="J155" s="26">
        <v>348</v>
      </c>
      <c r="K155" s="27" t="s">
        <v>180</v>
      </c>
      <c r="L155" s="27" t="s">
        <v>169</v>
      </c>
      <c r="M155" s="28" t="s">
        <v>266</v>
      </c>
      <c r="N155" s="28" t="s">
        <v>171</v>
      </c>
      <c r="O155" s="28" t="s">
        <v>267</v>
      </c>
      <c r="P155" s="29" t="s">
        <v>268</v>
      </c>
      <c r="Q155" s="29" t="s">
        <v>174</v>
      </c>
      <c r="R155" s="29" t="s">
        <v>361</v>
      </c>
      <c r="S155" s="30">
        <v>1817.02</v>
      </c>
      <c r="T155" s="30">
        <v>127.05</v>
      </c>
      <c r="U155" s="30">
        <v>1689.97</v>
      </c>
    </row>
    <row x14ac:dyDescent="0.25" r="156" customHeight="1" ht="18.75">
      <c r="A156" s="21">
        <v>155</v>
      </c>
      <c r="B156" s="22" t="s">
        <v>928</v>
      </c>
      <c r="C156" s="22" t="s">
        <v>166</v>
      </c>
      <c r="D156" s="22" t="s">
        <v>929</v>
      </c>
      <c r="E156" s="22" t="s">
        <v>291</v>
      </c>
      <c r="F156" s="23"/>
      <c r="G156" s="22"/>
      <c r="H156" s="24"/>
      <c r="I156" s="25"/>
      <c r="J156" s="26">
        <v>566</v>
      </c>
      <c r="K156" s="27" t="s">
        <v>168</v>
      </c>
      <c r="L156" s="27" t="s">
        <v>169</v>
      </c>
      <c r="M156" s="28" t="s">
        <v>170</v>
      </c>
      <c r="N156" s="28" t="s">
        <v>171</v>
      </c>
      <c r="O156" s="28" t="s">
        <v>172</v>
      </c>
      <c r="P156" s="29" t="s">
        <v>173</v>
      </c>
      <c r="Q156" s="29" t="s">
        <v>174</v>
      </c>
      <c r="R156" s="29" t="s">
        <v>175</v>
      </c>
      <c r="S156" s="30">
        <v>1681.94</v>
      </c>
      <c r="T156" s="30">
        <v>127.05</v>
      </c>
      <c r="U156" s="30">
        <v>1554.89</v>
      </c>
    </row>
    <row x14ac:dyDescent="0.25" r="157" customHeight="1" ht="18.75">
      <c r="A157" s="21">
        <v>156</v>
      </c>
      <c r="B157" s="22" t="s">
        <v>930</v>
      </c>
      <c r="C157" s="22" t="s">
        <v>378</v>
      </c>
      <c r="D157" s="22" t="s">
        <v>931</v>
      </c>
      <c r="E157" s="22" t="s">
        <v>591</v>
      </c>
      <c r="F157" s="23"/>
      <c r="G157" s="22"/>
      <c r="H157" s="24"/>
      <c r="I157" s="25"/>
      <c r="J157" s="26">
        <v>470</v>
      </c>
      <c r="K157" s="27" t="s">
        <v>180</v>
      </c>
      <c r="L157" s="27" t="s">
        <v>169</v>
      </c>
      <c r="M157" s="28" t="s">
        <v>592</v>
      </c>
      <c r="N157" s="28" t="s">
        <v>593</v>
      </c>
      <c r="O157" s="28" t="s">
        <v>594</v>
      </c>
      <c r="P157" s="29" t="s">
        <v>592</v>
      </c>
      <c r="Q157" s="29" t="s">
        <v>593</v>
      </c>
      <c r="R157" s="29" t="s">
        <v>594</v>
      </c>
      <c r="S157" s="30">
        <v>1952.33</v>
      </c>
      <c r="T157" s="30">
        <v>151.38</v>
      </c>
      <c r="U157" s="30">
        <v>1800.95</v>
      </c>
    </row>
    <row x14ac:dyDescent="0.25" r="158" customHeight="1" ht="18.75">
      <c r="A158" s="21">
        <v>157</v>
      </c>
      <c r="B158" s="22" t="s">
        <v>932</v>
      </c>
      <c r="C158" s="22" t="s">
        <v>166</v>
      </c>
      <c r="D158" s="22" t="s">
        <v>933</v>
      </c>
      <c r="E158" s="22" t="s">
        <v>191</v>
      </c>
      <c r="F158" s="23"/>
      <c r="G158" s="22"/>
      <c r="H158" s="24"/>
      <c r="I158" s="25"/>
      <c r="J158" s="26">
        <v>10</v>
      </c>
      <c r="K158" s="27" t="s">
        <v>180</v>
      </c>
      <c r="L158" s="27" t="s">
        <v>169</v>
      </c>
      <c r="M158" s="28" t="s">
        <v>934</v>
      </c>
      <c r="N158" s="28" t="s">
        <v>935</v>
      </c>
      <c r="O158" s="28" t="s">
        <v>936</v>
      </c>
      <c r="P158" s="29" t="s">
        <v>173</v>
      </c>
      <c r="Q158" s="29" t="s">
        <v>174</v>
      </c>
      <c r="R158" s="29" t="s">
        <v>175</v>
      </c>
      <c r="S158" s="30">
        <v>1712.88</v>
      </c>
      <c r="T158" s="30">
        <v>129.83</v>
      </c>
      <c r="U158" s="30">
        <v>1583.05</v>
      </c>
    </row>
    <row x14ac:dyDescent="0.25" r="159" customHeight="1" ht="18.75">
      <c r="A159" s="21">
        <v>158</v>
      </c>
      <c r="B159" s="22" t="s">
        <v>937</v>
      </c>
      <c r="C159" s="22" t="s">
        <v>539</v>
      </c>
      <c r="D159" s="22" t="s">
        <v>938</v>
      </c>
      <c r="E159" s="22" t="s">
        <v>106</v>
      </c>
      <c r="F159" s="23"/>
      <c r="G159" s="22"/>
      <c r="H159" s="24"/>
      <c r="I159" s="25"/>
      <c r="J159" s="26">
        <v>249</v>
      </c>
      <c r="K159" s="27" t="s">
        <v>180</v>
      </c>
      <c r="L159" s="27" t="s">
        <v>169</v>
      </c>
      <c r="M159" s="28" t="s">
        <v>268</v>
      </c>
      <c r="N159" s="28" t="s">
        <v>174</v>
      </c>
      <c r="O159" s="28" t="s">
        <v>361</v>
      </c>
      <c r="P159" s="29" t="s">
        <v>268</v>
      </c>
      <c r="Q159" s="29" t="s">
        <v>174</v>
      </c>
      <c r="R159" s="29" t="s">
        <v>361</v>
      </c>
      <c r="S159" s="30">
        <v>1756.08</v>
      </c>
      <c r="T159" s="30">
        <v>121.57</v>
      </c>
      <c r="U159" s="30">
        <v>1634.51</v>
      </c>
    </row>
    <row x14ac:dyDescent="0.25" r="160" customHeight="1" ht="18.75">
      <c r="A160" s="21">
        <v>159</v>
      </c>
      <c r="B160" s="22" t="s">
        <v>939</v>
      </c>
      <c r="C160" s="22" t="s">
        <v>520</v>
      </c>
      <c r="D160" s="22" t="s">
        <v>940</v>
      </c>
      <c r="E160" s="22" t="s">
        <v>249</v>
      </c>
      <c r="F160" s="23"/>
      <c r="G160" s="22"/>
      <c r="H160" s="24"/>
      <c r="I160" s="25"/>
      <c r="J160" s="26">
        <v>228</v>
      </c>
      <c r="K160" s="27" t="s">
        <v>180</v>
      </c>
      <c r="L160" s="27" t="s">
        <v>169</v>
      </c>
      <c r="M160" s="28" t="s">
        <v>941</v>
      </c>
      <c r="N160" s="28" t="s">
        <v>942</v>
      </c>
      <c r="O160" s="28" t="s">
        <v>943</v>
      </c>
      <c r="P160" s="29" t="s">
        <v>941</v>
      </c>
      <c r="Q160" s="29" t="s">
        <v>942</v>
      </c>
      <c r="R160" s="29" t="s">
        <v>943</v>
      </c>
      <c r="S160" s="30">
        <v>4759.7</v>
      </c>
      <c r="T160" s="30">
        <v>467.86</v>
      </c>
      <c r="U160" s="30">
        <v>4291.84</v>
      </c>
    </row>
    <row x14ac:dyDescent="0.25" r="161" customHeight="1" ht="18.75">
      <c r="A161" s="21">
        <v>160</v>
      </c>
      <c r="B161" s="22" t="s">
        <v>944</v>
      </c>
      <c r="C161" s="22" t="s">
        <v>166</v>
      </c>
      <c r="D161" s="22" t="s">
        <v>945</v>
      </c>
      <c r="E161" s="22" t="s">
        <v>94</v>
      </c>
      <c r="F161" s="23"/>
      <c r="G161" s="22"/>
      <c r="H161" s="24"/>
      <c r="I161" s="25"/>
      <c r="J161" s="26">
        <v>619</v>
      </c>
      <c r="K161" s="27" t="s">
        <v>475</v>
      </c>
      <c r="L161" s="27" t="s">
        <v>169</v>
      </c>
      <c r="M161" s="28" t="s">
        <v>170</v>
      </c>
      <c r="N161" s="28" t="s">
        <v>171</v>
      </c>
      <c r="O161" s="28" t="s">
        <v>172</v>
      </c>
      <c r="P161" s="29" t="s">
        <v>173</v>
      </c>
      <c r="Q161" s="29" t="s">
        <v>946</v>
      </c>
      <c r="R161" s="29" t="s">
        <v>508</v>
      </c>
      <c r="S161" s="30">
        <v>1681.94</v>
      </c>
      <c r="T161" s="30">
        <v>127.05</v>
      </c>
      <c r="U161" s="30">
        <v>1554.89</v>
      </c>
    </row>
    <row x14ac:dyDescent="0.25" r="162" customHeight="1" ht="18.75">
      <c r="A162" s="21">
        <v>161</v>
      </c>
      <c r="B162" s="22" t="s">
        <v>947</v>
      </c>
      <c r="C162" s="22" t="s">
        <v>166</v>
      </c>
      <c r="D162" s="22" t="s">
        <v>948</v>
      </c>
      <c r="E162" s="22" t="s">
        <v>224</v>
      </c>
      <c r="F162" s="23"/>
      <c r="G162" s="22"/>
      <c r="H162" s="24"/>
      <c r="I162" s="25"/>
      <c r="J162" s="26">
        <v>291</v>
      </c>
      <c r="K162" s="27" t="s">
        <v>180</v>
      </c>
      <c r="L162" s="27" t="s">
        <v>169</v>
      </c>
      <c r="M162" s="28" t="s">
        <v>949</v>
      </c>
      <c r="N162" s="28" t="s">
        <v>950</v>
      </c>
      <c r="O162" s="28" t="s">
        <v>951</v>
      </c>
      <c r="P162" s="29" t="s">
        <v>952</v>
      </c>
      <c r="Q162" s="29" t="s">
        <v>953</v>
      </c>
      <c r="R162" s="29" t="s">
        <v>954</v>
      </c>
      <c r="S162" s="30">
        <v>1894.5</v>
      </c>
      <c r="T162" s="30">
        <v>146.18</v>
      </c>
      <c r="U162" s="30">
        <v>1748.32</v>
      </c>
    </row>
    <row x14ac:dyDescent="0.25" r="163" customHeight="1" ht="18.75">
      <c r="A163" s="21">
        <v>162</v>
      </c>
      <c r="B163" s="22" t="s">
        <v>955</v>
      </c>
      <c r="C163" s="22" t="s">
        <v>396</v>
      </c>
      <c r="D163" s="22" t="s">
        <v>956</v>
      </c>
      <c r="E163" s="22" t="s">
        <v>140</v>
      </c>
      <c r="F163" s="23"/>
      <c r="G163" s="22"/>
      <c r="H163" s="24"/>
      <c r="I163" s="25"/>
      <c r="J163" s="26">
        <v>69</v>
      </c>
      <c r="K163" s="27" t="s">
        <v>180</v>
      </c>
      <c r="L163" s="27" t="s">
        <v>169</v>
      </c>
      <c r="M163" s="28" t="s">
        <v>216</v>
      </c>
      <c r="N163" s="28" t="s">
        <v>957</v>
      </c>
      <c r="O163" s="28" t="s">
        <v>958</v>
      </c>
      <c r="P163" s="29" t="s">
        <v>219</v>
      </c>
      <c r="Q163" s="29" t="s">
        <v>959</v>
      </c>
      <c r="R163" s="29" t="s">
        <v>960</v>
      </c>
      <c r="S163" s="30">
        <v>5267.07</v>
      </c>
      <c r="T163" s="30">
        <v>2060.82</v>
      </c>
      <c r="U163" s="30">
        <v>3206.25</v>
      </c>
    </row>
    <row x14ac:dyDescent="0.25" r="164" customHeight="1" ht="18.75">
      <c r="A164" s="21">
        <v>163</v>
      </c>
      <c r="B164" s="22" t="s">
        <v>961</v>
      </c>
      <c r="C164" s="22" t="s">
        <v>962</v>
      </c>
      <c r="D164" s="22" t="s">
        <v>963</v>
      </c>
      <c r="E164" s="22" t="s">
        <v>224</v>
      </c>
      <c r="F164" s="23"/>
      <c r="G164" s="22"/>
      <c r="H164" s="24"/>
      <c r="I164" s="25"/>
      <c r="J164" s="26">
        <v>290</v>
      </c>
      <c r="K164" s="27" t="s">
        <v>180</v>
      </c>
      <c r="L164" s="27" t="s">
        <v>169</v>
      </c>
      <c r="M164" s="28" t="s">
        <v>490</v>
      </c>
      <c r="N164" s="28" t="s">
        <v>491</v>
      </c>
      <c r="O164" s="28" t="s">
        <v>492</v>
      </c>
      <c r="P164" s="29" t="s">
        <v>490</v>
      </c>
      <c r="Q164" s="29" t="s">
        <v>491</v>
      </c>
      <c r="R164" s="29" t="s">
        <v>492</v>
      </c>
      <c r="S164" s="30">
        <v>4120</v>
      </c>
      <c r="T164" s="30">
        <v>382.98</v>
      </c>
      <c r="U164" s="30">
        <v>3737.02</v>
      </c>
    </row>
    <row x14ac:dyDescent="0.25" r="165" customHeight="1" ht="18.75">
      <c r="A165" s="21">
        <v>164</v>
      </c>
      <c r="B165" s="22" t="s">
        <v>964</v>
      </c>
      <c r="C165" s="22" t="s">
        <v>965</v>
      </c>
      <c r="D165" s="22" t="s">
        <v>966</v>
      </c>
      <c r="E165" s="22" t="s">
        <v>967</v>
      </c>
      <c r="F165" s="23"/>
      <c r="G165" s="22"/>
      <c r="H165" s="24"/>
      <c r="I165" s="25"/>
      <c r="J165" s="26">
        <v>520</v>
      </c>
      <c r="K165" s="27" t="s">
        <v>180</v>
      </c>
      <c r="L165" s="27" t="s">
        <v>169</v>
      </c>
      <c r="M165" s="28" t="s">
        <v>184</v>
      </c>
      <c r="N165" s="28" t="s">
        <v>185</v>
      </c>
      <c r="O165" s="28" t="s">
        <v>186</v>
      </c>
      <c r="P165" s="29" t="s">
        <v>184</v>
      </c>
      <c r="Q165" s="29" t="s">
        <v>185</v>
      </c>
      <c r="R165" s="29" t="s">
        <v>186</v>
      </c>
      <c r="S165" s="30">
        <v>4369.44</v>
      </c>
      <c r="T165" s="30">
        <v>413.22</v>
      </c>
      <c r="U165" s="30">
        <v>3956.22</v>
      </c>
    </row>
    <row x14ac:dyDescent="0.25" r="166" customHeight="1" ht="18.75">
      <c r="A166" s="21">
        <v>165</v>
      </c>
      <c r="B166" s="22" t="s">
        <v>968</v>
      </c>
      <c r="C166" s="22" t="s">
        <v>962</v>
      </c>
      <c r="D166" s="22" t="s">
        <v>969</v>
      </c>
      <c r="E166" s="22" t="s">
        <v>232</v>
      </c>
      <c r="F166" s="23"/>
      <c r="G166" s="22"/>
      <c r="H166" s="24"/>
      <c r="I166" s="25"/>
      <c r="J166" s="26">
        <v>433</v>
      </c>
      <c r="K166" s="27" t="s">
        <v>180</v>
      </c>
      <c r="L166" s="27" t="s">
        <v>169</v>
      </c>
      <c r="M166" s="28" t="s">
        <v>490</v>
      </c>
      <c r="N166" s="28" t="s">
        <v>491</v>
      </c>
      <c r="O166" s="28" t="s">
        <v>492</v>
      </c>
      <c r="P166" s="29" t="s">
        <v>970</v>
      </c>
      <c r="Q166" s="29" t="s">
        <v>971</v>
      </c>
      <c r="R166" s="29" t="s">
        <v>972</v>
      </c>
      <c r="S166" s="30">
        <v>6143.98</v>
      </c>
      <c r="T166" s="30">
        <v>1099.98</v>
      </c>
      <c r="U166" s="30">
        <v>5044</v>
      </c>
    </row>
    <row x14ac:dyDescent="0.25" r="167" customHeight="1" ht="18.75">
      <c r="A167" s="21">
        <v>166</v>
      </c>
      <c r="B167" s="22" t="s">
        <v>973</v>
      </c>
      <c r="C167" s="22" t="s">
        <v>166</v>
      </c>
      <c r="D167" s="22" t="s">
        <v>974</v>
      </c>
      <c r="E167" s="22" t="s">
        <v>90</v>
      </c>
      <c r="F167" s="23"/>
      <c r="G167" s="22"/>
      <c r="H167" s="24"/>
      <c r="I167" s="25"/>
      <c r="J167" s="26">
        <v>337</v>
      </c>
      <c r="K167" s="27" t="s">
        <v>180</v>
      </c>
      <c r="L167" s="27" t="s">
        <v>169</v>
      </c>
      <c r="M167" s="28" t="s">
        <v>225</v>
      </c>
      <c r="N167" s="28" t="s">
        <v>171</v>
      </c>
      <c r="O167" s="28" t="s">
        <v>226</v>
      </c>
      <c r="P167" s="29" t="s">
        <v>227</v>
      </c>
      <c r="Q167" s="29" t="s">
        <v>174</v>
      </c>
      <c r="R167" s="29" t="s">
        <v>297</v>
      </c>
      <c r="S167" s="30">
        <v>1749.48</v>
      </c>
      <c r="T167" s="30">
        <v>127.05</v>
      </c>
      <c r="U167" s="30">
        <v>1622.43</v>
      </c>
    </row>
    <row x14ac:dyDescent="0.25" r="168" customHeight="1" ht="18.75">
      <c r="A168" s="21">
        <v>167</v>
      </c>
      <c r="B168" s="22" t="s">
        <v>975</v>
      </c>
      <c r="C168" s="22" t="s">
        <v>166</v>
      </c>
      <c r="D168" s="22" t="s">
        <v>976</v>
      </c>
      <c r="E168" s="22" t="s">
        <v>94</v>
      </c>
      <c r="F168" s="23"/>
      <c r="G168" s="22"/>
      <c r="H168" s="24"/>
      <c r="I168" s="25"/>
      <c r="J168" s="26">
        <v>334</v>
      </c>
      <c r="K168" s="27" t="s">
        <v>180</v>
      </c>
      <c r="L168" s="27" t="s">
        <v>169</v>
      </c>
      <c r="M168" s="28" t="s">
        <v>225</v>
      </c>
      <c r="N168" s="28" t="s">
        <v>171</v>
      </c>
      <c r="O168" s="28" t="s">
        <v>226</v>
      </c>
      <c r="P168" s="29" t="s">
        <v>227</v>
      </c>
      <c r="Q168" s="29" t="s">
        <v>174</v>
      </c>
      <c r="R168" s="29" t="s">
        <v>297</v>
      </c>
      <c r="S168" s="30">
        <v>1749.48</v>
      </c>
      <c r="T168" s="30">
        <v>127.05</v>
      </c>
      <c r="U168" s="30">
        <v>1622.43</v>
      </c>
    </row>
    <row x14ac:dyDescent="0.25" r="169" customHeight="1" ht="18.75">
      <c r="A169" s="21">
        <v>168</v>
      </c>
      <c r="B169" s="22" t="s">
        <v>977</v>
      </c>
      <c r="C169" s="22" t="s">
        <v>190</v>
      </c>
      <c r="D169" s="22" t="s">
        <v>978</v>
      </c>
      <c r="E169" s="22" t="s">
        <v>110</v>
      </c>
      <c r="F169" s="23"/>
      <c r="G169" s="22"/>
      <c r="H169" s="24"/>
      <c r="I169" s="25"/>
      <c r="J169" s="26">
        <v>345</v>
      </c>
      <c r="K169" s="27" t="s">
        <v>180</v>
      </c>
      <c r="L169" s="27" t="s">
        <v>169</v>
      </c>
      <c r="M169" s="28" t="s">
        <v>233</v>
      </c>
      <c r="N169" s="28" t="s">
        <v>234</v>
      </c>
      <c r="O169" s="28" t="s">
        <v>235</v>
      </c>
      <c r="P169" s="29" t="s">
        <v>236</v>
      </c>
      <c r="Q169" s="29" t="s">
        <v>275</v>
      </c>
      <c r="R169" s="29" t="s">
        <v>276</v>
      </c>
      <c r="S169" s="30">
        <v>3674.41</v>
      </c>
      <c r="T169" s="30">
        <v>329.51</v>
      </c>
      <c r="U169" s="30">
        <v>3344.9</v>
      </c>
    </row>
    <row x14ac:dyDescent="0.25" r="170" customHeight="1" ht="18.75">
      <c r="A170" s="21">
        <v>169</v>
      </c>
      <c r="B170" s="22" t="s">
        <v>979</v>
      </c>
      <c r="C170" s="22" t="s">
        <v>396</v>
      </c>
      <c r="D170" s="22" t="s">
        <v>980</v>
      </c>
      <c r="E170" s="22" t="s">
        <v>191</v>
      </c>
      <c r="F170" s="23"/>
      <c r="G170" s="22"/>
      <c r="H170" s="24"/>
      <c r="I170" s="25"/>
      <c r="J170" s="26">
        <v>74</v>
      </c>
      <c r="K170" s="27" t="s">
        <v>180</v>
      </c>
      <c r="L170" s="27" t="s">
        <v>169</v>
      </c>
      <c r="M170" s="28" t="s">
        <v>642</v>
      </c>
      <c r="N170" s="28" t="s">
        <v>643</v>
      </c>
      <c r="O170" s="28" t="s">
        <v>644</v>
      </c>
      <c r="P170" s="29" t="s">
        <v>645</v>
      </c>
      <c r="Q170" s="29" t="s">
        <v>646</v>
      </c>
      <c r="R170" s="29" t="s">
        <v>647</v>
      </c>
      <c r="S170" s="30">
        <v>4909.37</v>
      </c>
      <c r="T170" s="30">
        <v>488.81</v>
      </c>
      <c r="U170" s="30">
        <v>4420.56</v>
      </c>
    </row>
    <row x14ac:dyDescent="0.25" r="171" customHeight="1" ht="18.75">
      <c r="A171" s="21">
        <v>170</v>
      </c>
      <c r="B171" s="22" t="s">
        <v>981</v>
      </c>
      <c r="C171" s="22" t="s">
        <v>166</v>
      </c>
      <c r="D171" s="22" t="s">
        <v>982</v>
      </c>
      <c r="E171" s="22" t="s">
        <v>140</v>
      </c>
      <c r="F171" s="23"/>
      <c r="G171" s="22"/>
      <c r="H171" s="24"/>
      <c r="I171" s="25"/>
      <c r="J171" s="26">
        <v>92</v>
      </c>
      <c r="K171" s="27" t="s">
        <v>180</v>
      </c>
      <c r="L171" s="27" t="s">
        <v>169</v>
      </c>
      <c r="M171" s="28" t="s">
        <v>983</v>
      </c>
      <c r="N171" s="28" t="s">
        <v>984</v>
      </c>
      <c r="O171" s="28" t="s">
        <v>985</v>
      </c>
      <c r="P171" s="29" t="s">
        <v>425</v>
      </c>
      <c r="Q171" s="29" t="s">
        <v>986</v>
      </c>
      <c r="R171" s="29" t="s">
        <v>987</v>
      </c>
      <c r="S171" s="30">
        <v>1892.81</v>
      </c>
      <c r="T171" s="30">
        <v>261.07</v>
      </c>
      <c r="U171" s="30">
        <v>1631.74</v>
      </c>
    </row>
    <row x14ac:dyDescent="0.25" r="172" customHeight="1" ht="18.75">
      <c r="A172" s="21">
        <v>171</v>
      </c>
      <c r="B172" s="22" t="s">
        <v>988</v>
      </c>
      <c r="C172" s="22" t="s">
        <v>549</v>
      </c>
      <c r="D172" s="22" t="s">
        <v>989</v>
      </c>
      <c r="E172" s="22" t="s">
        <v>94</v>
      </c>
      <c r="F172" s="23"/>
      <c r="G172" s="22"/>
      <c r="H172" s="24"/>
      <c r="I172" s="25"/>
      <c r="J172" s="26">
        <v>408</v>
      </c>
      <c r="K172" s="27" t="s">
        <v>180</v>
      </c>
      <c r="L172" s="27" t="s">
        <v>169</v>
      </c>
      <c r="M172" s="28" t="s">
        <v>592</v>
      </c>
      <c r="N172" s="28" t="s">
        <v>593</v>
      </c>
      <c r="O172" s="28" t="s">
        <v>594</v>
      </c>
      <c r="P172" s="29" t="s">
        <v>592</v>
      </c>
      <c r="Q172" s="29" t="s">
        <v>990</v>
      </c>
      <c r="R172" s="29" t="s">
        <v>991</v>
      </c>
      <c r="S172" s="30">
        <v>1800</v>
      </c>
      <c r="T172" s="30">
        <v>651.01</v>
      </c>
      <c r="U172" s="30">
        <v>1148.99</v>
      </c>
    </row>
    <row x14ac:dyDescent="0.25" r="173" customHeight="1" ht="18.75">
      <c r="A173" s="21">
        <v>172</v>
      </c>
      <c r="B173" s="22" t="s">
        <v>992</v>
      </c>
      <c r="C173" s="22" t="s">
        <v>166</v>
      </c>
      <c r="D173" s="22" t="s">
        <v>993</v>
      </c>
      <c r="E173" s="22" t="s">
        <v>191</v>
      </c>
      <c r="F173" s="23"/>
      <c r="G173" s="22"/>
      <c r="H173" s="24"/>
      <c r="I173" s="25"/>
      <c r="J173" s="26">
        <v>1</v>
      </c>
      <c r="K173" s="27" t="s">
        <v>180</v>
      </c>
      <c r="L173" s="27" t="s">
        <v>169</v>
      </c>
      <c r="M173" s="28" t="s">
        <v>994</v>
      </c>
      <c r="N173" s="28" t="s">
        <v>995</v>
      </c>
      <c r="O173" s="28" t="s">
        <v>996</v>
      </c>
      <c r="P173" s="29" t="s">
        <v>253</v>
      </c>
      <c r="Q173" s="29" t="s">
        <v>254</v>
      </c>
      <c r="R173" s="29" t="s">
        <v>255</v>
      </c>
      <c r="S173" s="30">
        <v>1720.85</v>
      </c>
      <c r="T173" s="30">
        <v>130.55</v>
      </c>
      <c r="U173" s="30">
        <v>1590.3</v>
      </c>
    </row>
    <row x14ac:dyDescent="0.25" r="174" customHeight="1" ht="18.75">
      <c r="A174" s="21">
        <v>173</v>
      </c>
      <c r="B174" s="22" t="s">
        <v>997</v>
      </c>
      <c r="C174" s="22" t="s">
        <v>190</v>
      </c>
      <c r="D174" s="22" t="s">
        <v>998</v>
      </c>
      <c r="E174" s="22" t="s">
        <v>98</v>
      </c>
      <c r="F174" s="23"/>
      <c r="G174" s="22"/>
      <c r="H174" s="24"/>
      <c r="I174" s="25"/>
      <c r="J174" s="26">
        <v>274</v>
      </c>
      <c r="K174" s="27" t="s">
        <v>180</v>
      </c>
      <c r="L174" s="27" t="s">
        <v>169</v>
      </c>
      <c r="M174" s="28" t="s">
        <v>233</v>
      </c>
      <c r="N174" s="28" t="s">
        <v>234</v>
      </c>
      <c r="O174" s="28" t="s">
        <v>235</v>
      </c>
      <c r="P174" s="29" t="s">
        <v>236</v>
      </c>
      <c r="Q174" s="29" t="s">
        <v>275</v>
      </c>
      <c r="R174" s="29" t="s">
        <v>276</v>
      </c>
      <c r="S174" s="30">
        <v>3433.34</v>
      </c>
      <c r="T174" s="30">
        <v>300.59</v>
      </c>
      <c r="U174" s="30">
        <v>3132.75</v>
      </c>
    </row>
    <row x14ac:dyDescent="0.25" r="175" customHeight="1" ht="18.75">
      <c r="A175" s="21">
        <v>174</v>
      </c>
      <c r="B175" s="22" t="s">
        <v>999</v>
      </c>
      <c r="C175" s="22" t="s">
        <v>166</v>
      </c>
      <c r="D175" s="22" t="s">
        <v>1000</v>
      </c>
      <c r="E175" s="22" t="s">
        <v>489</v>
      </c>
      <c r="F175" s="23"/>
      <c r="G175" s="22"/>
      <c r="H175" s="24"/>
      <c r="I175" s="25"/>
      <c r="J175" s="26">
        <v>447</v>
      </c>
      <c r="K175" s="27" t="s">
        <v>180</v>
      </c>
      <c r="L175" s="27" t="s">
        <v>169</v>
      </c>
      <c r="M175" s="28" t="s">
        <v>170</v>
      </c>
      <c r="N175" s="28" t="s">
        <v>171</v>
      </c>
      <c r="O175" s="28" t="s">
        <v>172</v>
      </c>
      <c r="P175" s="29" t="s">
        <v>173</v>
      </c>
      <c r="Q175" s="29" t="s">
        <v>174</v>
      </c>
      <c r="R175" s="29" t="s">
        <v>175</v>
      </c>
      <c r="S175" s="30">
        <v>1681.94</v>
      </c>
      <c r="T175" s="30">
        <v>306.69</v>
      </c>
      <c r="U175" s="30">
        <v>1375.25</v>
      </c>
    </row>
    <row x14ac:dyDescent="0.25" r="176" customHeight="1" ht="18.75">
      <c r="A176" s="21">
        <v>175</v>
      </c>
      <c r="B176" s="22" t="s">
        <v>1001</v>
      </c>
      <c r="C176" s="22" t="s">
        <v>278</v>
      </c>
      <c r="D176" s="22" t="s">
        <v>1002</v>
      </c>
      <c r="E176" s="22" t="s">
        <v>122</v>
      </c>
      <c r="F176" s="23"/>
      <c r="G176" s="22"/>
      <c r="H176" s="24"/>
      <c r="I176" s="25"/>
      <c r="J176" s="26">
        <v>587</v>
      </c>
      <c r="K176" s="27" t="s">
        <v>168</v>
      </c>
      <c r="L176" s="27" t="s">
        <v>169</v>
      </c>
      <c r="M176" s="28" t="s">
        <v>417</v>
      </c>
      <c r="N176" s="28" t="s">
        <v>418</v>
      </c>
      <c r="O176" s="28" t="s">
        <v>419</v>
      </c>
      <c r="P176" s="29" t="s">
        <v>417</v>
      </c>
      <c r="Q176" s="29" t="s">
        <v>418</v>
      </c>
      <c r="R176" s="29" t="s">
        <v>419</v>
      </c>
      <c r="S176" s="30">
        <v>4280</v>
      </c>
      <c r="T176" s="30">
        <v>402.18</v>
      </c>
      <c r="U176" s="30">
        <v>3877.82</v>
      </c>
    </row>
    <row x14ac:dyDescent="0.25" r="177" customHeight="1" ht="18.75">
      <c r="A177" s="21">
        <v>176</v>
      </c>
      <c r="B177" s="22" t="s">
        <v>1003</v>
      </c>
      <c r="C177" s="22" t="s">
        <v>166</v>
      </c>
      <c r="D177" s="22" t="s">
        <v>1004</v>
      </c>
      <c r="E177" s="22" t="s">
        <v>140</v>
      </c>
      <c r="F177" s="23"/>
      <c r="G177" s="22"/>
      <c r="H177" s="24"/>
      <c r="I177" s="25"/>
      <c r="J177" s="26">
        <v>146</v>
      </c>
      <c r="K177" s="27" t="s">
        <v>180</v>
      </c>
      <c r="L177" s="27" t="s">
        <v>169</v>
      </c>
      <c r="M177" s="28" t="s">
        <v>1005</v>
      </c>
      <c r="N177" s="28" t="s">
        <v>1006</v>
      </c>
      <c r="O177" s="28" t="s">
        <v>1007</v>
      </c>
      <c r="P177" s="29" t="s">
        <v>1008</v>
      </c>
      <c r="Q177" s="29" t="s">
        <v>1009</v>
      </c>
      <c r="R177" s="29" t="s">
        <v>1010</v>
      </c>
      <c r="S177" s="30">
        <v>2196.78</v>
      </c>
      <c r="T177" s="30">
        <v>549.62</v>
      </c>
      <c r="U177" s="30">
        <v>1647.16</v>
      </c>
    </row>
    <row x14ac:dyDescent="0.25" r="178" customHeight="1" ht="18.75">
      <c r="A178" s="21">
        <v>177</v>
      </c>
      <c r="B178" s="22" t="s">
        <v>1011</v>
      </c>
      <c r="C178" s="22" t="s">
        <v>472</v>
      </c>
      <c r="D178" s="22" t="s">
        <v>1012</v>
      </c>
      <c r="E178" s="22" t="s">
        <v>191</v>
      </c>
      <c r="F178" s="23"/>
      <c r="G178" s="22"/>
      <c r="H178" s="24"/>
      <c r="I178" s="25"/>
      <c r="J178" s="26">
        <v>622</v>
      </c>
      <c r="K178" s="27" t="s">
        <v>475</v>
      </c>
      <c r="L178" s="27" t="s">
        <v>169</v>
      </c>
      <c r="M178" s="28" t="s">
        <v>476</v>
      </c>
      <c r="N178" s="28" t="s">
        <v>477</v>
      </c>
      <c r="O178" s="28" t="s">
        <v>478</v>
      </c>
      <c r="P178" s="29" t="s">
        <v>476</v>
      </c>
      <c r="Q178" s="29" t="s">
        <v>477</v>
      </c>
      <c r="R178" s="29" t="s">
        <v>478</v>
      </c>
      <c r="S178" s="30">
        <v>2800</v>
      </c>
      <c r="T178" s="30">
        <v>227.68</v>
      </c>
      <c r="U178" s="30">
        <v>2572.32</v>
      </c>
    </row>
    <row x14ac:dyDescent="0.25" r="179" customHeight="1" ht="18.75">
      <c r="A179" s="21">
        <v>178</v>
      </c>
      <c r="B179" s="22" t="s">
        <v>1013</v>
      </c>
      <c r="C179" s="22" t="s">
        <v>289</v>
      </c>
      <c r="D179" s="22" t="s">
        <v>1014</v>
      </c>
      <c r="E179" s="22" t="s">
        <v>474</v>
      </c>
      <c r="F179" s="23"/>
      <c r="G179" s="22"/>
      <c r="H179" s="24"/>
      <c r="I179" s="25"/>
      <c r="J179" s="26">
        <v>539</v>
      </c>
      <c r="K179" s="27" t="s">
        <v>180</v>
      </c>
      <c r="L179" s="27" t="s">
        <v>169</v>
      </c>
      <c r="M179" s="28" t="s">
        <v>292</v>
      </c>
      <c r="N179" s="28" t="s">
        <v>293</v>
      </c>
      <c r="O179" s="28" t="s">
        <v>294</v>
      </c>
      <c r="P179" s="29" t="s">
        <v>292</v>
      </c>
      <c r="Q179" s="29" t="s">
        <v>293</v>
      </c>
      <c r="R179" s="29" t="s">
        <v>294</v>
      </c>
      <c r="S179" s="30">
        <v>3818.4</v>
      </c>
      <c r="T179" s="30">
        <v>346.79</v>
      </c>
      <c r="U179" s="30">
        <v>3471.61</v>
      </c>
    </row>
    <row x14ac:dyDescent="0.25" r="180" customHeight="1" ht="18.75">
      <c r="A180" s="21">
        <v>179</v>
      </c>
      <c r="B180" s="22" t="s">
        <v>1015</v>
      </c>
      <c r="C180" s="22" t="s">
        <v>539</v>
      </c>
      <c r="D180" s="22" t="s">
        <v>1016</v>
      </c>
      <c r="E180" s="22" t="s">
        <v>72</v>
      </c>
      <c r="F180" s="23"/>
      <c r="G180" s="22"/>
      <c r="H180" s="24"/>
      <c r="I180" s="25"/>
      <c r="J180" s="26">
        <v>237</v>
      </c>
      <c r="K180" s="27" t="s">
        <v>180</v>
      </c>
      <c r="L180" s="27" t="s">
        <v>169</v>
      </c>
      <c r="M180" s="28" t="s">
        <v>227</v>
      </c>
      <c r="N180" s="28" t="s">
        <v>174</v>
      </c>
      <c r="O180" s="28" t="s">
        <v>297</v>
      </c>
      <c r="P180" s="29" t="s">
        <v>227</v>
      </c>
      <c r="Q180" s="29" t="s">
        <v>174</v>
      </c>
      <c r="R180" s="29" t="s">
        <v>297</v>
      </c>
      <c r="S180" s="30">
        <v>1688.54</v>
      </c>
      <c r="T180" s="30">
        <v>121.57</v>
      </c>
      <c r="U180" s="30">
        <v>1566.97</v>
      </c>
    </row>
    <row x14ac:dyDescent="0.25" r="181" customHeight="1" ht="18.75">
      <c r="A181" s="21">
        <v>180</v>
      </c>
      <c r="B181" s="22" t="s">
        <v>1017</v>
      </c>
      <c r="C181" s="22" t="s">
        <v>190</v>
      </c>
      <c r="D181" s="22" t="s">
        <v>1018</v>
      </c>
      <c r="E181" s="22" t="s">
        <v>49</v>
      </c>
      <c r="F181" s="23"/>
      <c r="G181" s="22"/>
      <c r="H181" s="24"/>
      <c r="I181" s="25"/>
      <c r="J181" s="26">
        <v>258</v>
      </c>
      <c r="K181" s="27" t="s">
        <v>180</v>
      </c>
      <c r="L181" s="27" t="s">
        <v>169</v>
      </c>
      <c r="M181" s="28" t="s">
        <v>233</v>
      </c>
      <c r="N181" s="28" t="s">
        <v>1019</v>
      </c>
      <c r="O181" s="28" t="s">
        <v>1020</v>
      </c>
      <c r="P181" s="29" t="s">
        <v>236</v>
      </c>
      <c r="Q181" s="29" t="s">
        <v>1021</v>
      </c>
      <c r="R181" s="29" t="s">
        <v>1022</v>
      </c>
      <c r="S181" s="30">
        <v>3434.61</v>
      </c>
      <c r="T181" s="30">
        <v>428.17</v>
      </c>
      <c r="U181" s="30">
        <v>3006.44</v>
      </c>
    </row>
    <row x14ac:dyDescent="0.25" r="182" customHeight="1" ht="18.75">
      <c r="A182" s="21">
        <v>181</v>
      </c>
      <c r="B182" s="22" t="s">
        <v>1023</v>
      </c>
      <c r="C182" s="22" t="s">
        <v>278</v>
      </c>
      <c r="D182" s="22" t="s">
        <v>1024</v>
      </c>
      <c r="E182" s="22" t="s">
        <v>43</v>
      </c>
      <c r="F182" s="23"/>
      <c r="G182" s="22"/>
      <c r="H182" s="24"/>
      <c r="I182" s="25"/>
      <c r="J182" s="26">
        <v>353</v>
      </c>
      <c r="K182" s="27" t="s">
        <v>180</v>
      </c>
      <c r="L182" s="27" t="s">
        <v>169</v>
      </c>
      <c r="M182" s="28" t="s">
        <v>417</v>
      </c>
      <c r="N182" s="28" t="s">
        <v>418</v>
      </c>
      <c r="O182" s="28" t="s">
        <v>419</v>
      </c>
      <c r="P182" s="29" t="s">
        <v>417</v>
      </c>
      <c r="Q182" s="29" t="s">
        <v>418</v>
      </c>
      <c r="R182" s="29" t="s">
        <v>419</v>
      </c>
      <c r="S182" s="30">
        <v>5108.39</v>
      </c>
      <c r="T182" s="30">
        <v>555.49</v>
      </c>
      <c r="U182" s="30">
        <v>4552.9</v>
      </c>
    </row>
    <row x14ac:dyDescent="0.25" r="183" customHeight="1" ht="18.75">
      <c r="A183" s="21">
        <v>182</v>
      </c>
      <c r="B183" s="22" t="s">
        <v>1025</v>
      </c>
      <c r="C183" s="22" t="s">
        <v>166</v>
      </c>
      <c r="D183" s="22" t="s">
        <v>1026</v>
      </c>
      <c r="E183" s="22" t="s">
        <v>432</v>
      </c>
      <c r="F183" s="23"/>
      <c r="G183" s="22"/>
      <c r="H183" s="24"/>
      <c r="I183" s="25"/>
      <c r="J183" s="26">
        <v>194</v>
      </c>
      <c r="K183" s="27" t="s">
        <v>180</v>
      </c>
      <c r="L183" s="27" t="s">
        <v>169</v>
      </c>
      <c r="M183" s="28" t="s">
        <v>1027</v>
      </c>
      <c r="N183" s="28" t="s">
        <v>1028</v>
      </c>
      <c r="O183" s="28" t="s">
        <v>1029</v>
      </c>
      <c r="P183" s="29" t="s">
        <v>1030</v>
      </c>
      <c r="Q183" s="29" t="s">
        <v>1031</v>
      </c>
      <c r="R183" s="29" t="s">
        <v>1032</v>
      </c>
      <c r="S183" s="30">
        <v>1684.21</v>
      </c>
      <c r="T183" s="30">
        <v>190.65</v>
      </c>
      <c r="U183" s="30">
        <v>1493.56</v>
      </c>
    </row>
    <row x14ac:dyDescent="0.25" r="184" customHeight="1" ht="18.75">
      <c r="A184" s="21">
        <v>183</v>
      </c>
      <c r="B184" s="22" t="s">
        <v>1033</v>
      </c>
      <c r="C184" s="22" t="s">
        <v>166</v>
      </c>
      <c r="D184" s="22" t="s">
        <v>1034</v>
      </c>
      <c r="E184" s="22" t="s">
        <v>134</v>
      </c>
      <c r="F184" s="23"/>
      <c r="G184" s="22"/>
      <c r="H184" s="24"/>
      <c r="I184" s="25"/>
      <c r="J184" s="26">
        <v>157</v>
      </c>
      <c r="K184" s="27" t="s">
        <v>180</v>
      </c>
      <c r="L184" s="27" t="s">
        <v>169</v>
      </c>
      <c r="M184" s="28" t="s">
        <v>1035</v>
      </c>
      <c r="N184" s="28" t="s">
        <v>1036</v>
      </c>
      <c r="O184" s="28" t="s">
        <v>1037</v>
      </c>
      <c r="P184" s="29" t="s">
        <v>1038</v>
      </c>
      <c r="Q184" s="29" t="s">
        <v>1039</v>
      </c>
      <c r="R184" s="29" t="s">
        <v>1040</v>
      </c>
      <c r="S184" s="30">
        <v>2066.42</v>
      </c>
      <c r="T184" s="30">
        <v>161.65</v>
      </c>
      <c r="U184" s="30">
        <v>1904.77</v>
      </c>
    </row>
    <row x14ac:dyDescent="0.25" r="185" customHeight="1" ht="18.75">
      <c r="A185" s="21">
        <v>184</v>
      </c>
      <c r="B185" s="22" t="s">
        <v>1041</v>
      </c>
      <c r="C185" s="22" t="s">
        <v>278</v>
      </c>
      <c r="D185" s="22" t="s">
        <v>1042</v>
      </c>
      <c r="E185" s="22" t="s">
        <v>812</v>
      </c>
      <c r="F185" s="23"/>
      <c r="G185" s="22"/>
      <c r="H185" s="24"/>
      <c r="I185" s="25"/>
      <c r="J185" s="26">
        <v>398</v>
      </c>
      <c r="K185" s="27" t="s">
        <v>180</v>
      </c>
      <c r="L185" s="27" t="s">
        <v>169</v>
      </c>
      <c r="M185" s="28" t="s">
        <v>281</v>
      </c>
      <c r="N185" s="28" t="s">
        <v>1043</v>
      </c>
      <c r="O185" s="28" t="s">
        <v>1044</v>
      </c>
      <c r="P185" s="29" t="s">
        <v>281</v>
      </c>
      <c r="Q185" s="29" t="s">
        <v>1043</v>
      </c>
      <c r="R185" s="29" t="s">
        <v>1044</v>
      </c>
      <c r="S185" s="30">
        <v>5564</v>
      </c>
      <c r="T185" s="30">
        <v>1192.12</v>
      </c>
      <c r="U185" s="30">
        <v>4371.88</v>
      </c>
    </row>
    <row x14ac:dyDescent="0.25" r="186" customHeight="1" ht="18.75">
      <c r="A186" s="21">
        <v>185</v>
      </c>
      <c r="B186" s="22" t="s">
        <v>1045</v>
      </c>
      <c r="C186" s="22" t="s">
        <v>402</v>
      </c>
      <c r="D186" s="22" t="s">
        <v>1046</v>
      </c>
      <c r="E186" s="22" t="s">
        <v>249</v>
      </c>
      <c r="F186" s="23"/>
      <c r="G186" s="22"/>
      <c r="H186" s="24"/>
      <c r="I186" s="25"/>
      <c r="J186" s="26">
        <v>605</v>
      </c>
      <c r="K186" s="27" t="s">
        <v>1047</v>
      </c>
      <c r="L186" s="27" t="s">
        <v>169</v>
      </c>
      <c r="M186" s="28" t="s">
        <v>1048</v>
      </c>
      <c r="N186" s="28" t="s">
        <v>1049</v>
      </c>
      <c r="O186" s="28" t="s">
        <v>1050</v>
      </c>
      <c r="P186" s="29" t="s">
        <v>1048</v>
      </c>
      <c r="Q186" s="29" t="s">
        <v>1049</v>
      </c>
      <c r="R186" s="29" t="s">
        <v>1050</v>
      </c>
      <c r="S186" s="30">
        <v>3720</v>
      </c>
      <c r="T186" s="30">
        <v>334.98</v>
      </c>
      <c r="U186" s="30">
        <v>3385.02</v>
      </c>
    </row>
    <row x14ac:dyDescent="0.25" r="187" customHeight="1" ht="18.75">
      <c r="A187" s="21">
        <v>186</v>
      </c>
      <c r="B187" s="22" t="s">
        <v>1051</v>
      </c>
      <c r="C187" s="22" t="s">
        <v>539</v>
      </c>
      <c r="D187" s="22" t="s">
        <v>1052</v>
      </c>
      <c r="E187" s="22" t="s">
        <v>746</v>
      </c>
      <c r="F187" s="23"/>
      <c r="G187" s="22"/>
      <c r="H187" s="24"/>
      <c r="I187" s="25"/>
      <c r="J187" s="26">
        <v>511</v>
      </c>
      <c r="K187" s="27" t="s">
        <v>180</v>
      </c>
      <c r="L187" s="27" t="s">
        <v>169</v>
      </c>
      <c r="M187" s="28" t="s">
        <v>268</v>
      </c>
      <c r="N187" s="28" t="s">
        <v>174</v>
      </c>
      <c r="O187" s="28" t="s">
        <v>361</v>
      </c>
      <c r="P187" s="29" t="s">
        <v>268</v>
      </c>
      <c r="Q187" s="29" t="s">
        <v>174</v>
      </c>
      <c r="R187" s="29" t="s">
        <v>361</v>
      </c>
      <c r="S187" s="30">
        <v>1756.08</v>
      </c>
      <c r="T187" s="30">
        <v>543.85</v>
      </c>
      <c r="U187" s="30">
        <v>1212.23</v>
      </c>
    </row>
    <row x14ac:dyDescent="0.25" r="188" customHeight="1" ht="18.75">
      <c r="A188" s="21">
        <v>187</v>
      </c>
      <c r="B188" s="22" t="s">
        <v>1053</v>
      </c>
      <c r="C188" s="22" t="s">
        <v>190</v>
      </c>
      <c r="D188" s="22" t="s">
        <v>1054</v>
      </c>
      <c r="E188" s="22" t="s">
        <v>191</v>
      </c>
      <c r="F188" s="23"/>
      <c r="G188" s="22"/>
      <c r="H188" s="24"/>
      <c r="I188" s="25"/>
      <c r="J188" s="26">
        <v>598</v>
      </c>
      <c r="K188" s="27" t="s">
        <v>545</v>
      </c>
      <c r="L188" s="27" t="s">
        <v>169</v>
      </c>
      <c r="M188" s="28" t="s">
        <v>1055</v>
      </c>
      <c r="N188" s="28" t="s">
        <v>1056</v>
      </c>
      <c r="O188" s="28" t="s">
        <v>1057</v>
      </c>
      <c r="P188" s="29" t="s">
        <v>236</v>
      </c>
      <c r="Q188" s="29" t="s">
        <v>275</v>
      </c>
      <c r="R188" s="29" t="s">
        <v>276</v>
      </c>
      <c r="S188" s="30">
        <v>3433.34</v>
      </c>
      <c r="T188" s="30">
        <v>300.59</v>
      </c>
      <c r="U188" s="30">
        <v>3132.75</v>
      </c>
    </row>
    <row x14ac:dyDescent="0.25" r="189" customHeight="1" ht="18.75">
      <c r="A189" s="21">
        <v>188</v>
      </c>
      <c r="B189" s="22" t="s">
        <v>1058</v>
      </c>
      <c r="C189" s="22" t="s">
        <v>323</v>
      </c>
      <c r="D189" s="22" t="s">
        <v>1059</v>
      </c>
      <c r="E189" s="22" t="s">
        <v>140</v>
      </c>
      <c r="F189" s="23"/>
      <c r="G189" s="22"/>
      <c r="H189" s="24"/>
      <c r="I189" s="25"/>
      <c r="J189" s="26">
        <v>85</v>
      </c>
      <c r="K189" s="27" t="s">
        <v>180</v>
      </c>
      <c r="L189" s="27" t="s">
        <v>169</v>
      </c>
      <c r="M189" s="28" t="s">
        <v>1060</v>
      </c>
      <c r="N189" s="28" t="s">
        <v>1061</v>
      </c>
      <c r="O189" s="28" t="s">
        <v>1062</v>
      </c>
      <c r="P189" s="29" t="s">
        <v>1063</v>
      </c>
      <c r="Q189" s="29" t="s">
        <v>1064</v>
      </c>
      <c r="R189" s="29" t="s">
        <v>1065</v>
      </c>
      <c r="S189" s="30">
        <v>6030.49</v>
      </c>
      <c r="T189" s="30">
        <v>990.01</v>
      </c>
      <c r="U189" s="30">
        <v>5040.48</v>
      </c>
    </row>
    <row x14ac:dyDescent="0.25" r="190" customHeight="1" ht="18.75">
      <c r="A190" s="21">
        <v>189</v>
      </c>
      <c r="B190" s="22" t="s">
        <v>1066</v>
      </c>
      <c r="C190" s="22" t="s">
        <v>190</v>
      </c>
      <c r="D190" s="22" t="s">
        <v>1067</v>
      </c>
      <c r="E190" s="22" t="s">
        <v>22</v>
      </c>
      <c r="F190" s="23"/>
      <c r="G190" s="22"/>
      <c r="H190" s="24"/>
      <c r="I190" s="25"/>
      <c r="J190" s="26">
        <v>552</v>
      </c>
      <c r="K190" s="27" t="s">
        <v>180</v>
      </c>
      <c r="L190" s="27" t="s">
        <v>169</v>
      </c>
      <c r="M190" s="28" t="s">
        <v>233</v>
      </c>
      <c r="N190" s="28" t="s">
        <v>234</v>
      </c>
      <c r="O190" s="28" t="s">
        <v>235</v>
      </c>
      <c r="P190" s="29" t="s">
        <v>236</v>
      </c>
      <c r="Q190" s="29" t="s">
        <v>275</v>
      </c>
      <c r="R190" s="29" t="s">
        <v>276</v>
      </c>
      <c r="S190" s="30">
        <v>3433.34</v>
      </c>
      <c r="T190" s="30">
        <v>300.59</v>
      </c>
      <c r="U190" s="30">
        <v>3132.75</v>
      </c>
    </row>
    <row x14ac:dyDescent="0.25" r="191" customHeight="1" ht="18.75">
      <c r="A191" s="21">
        <v>190</v>
      </c>
      <c r="B191" s="22" t="s">
        <v>1068</v>
      </c>
      <c r="C191" s="22" t="s">
        <v>190</v>
      </c>
      <c r="D191" s="22" t="s">
        <v>1069</v>
      </c>
      <c r="E191" s="22" t="s">
        <v>140</v>
      </c>
      <c r="F191" s="23"/>
      <c r="G191" s="22"/>
      <c r="H191" s="24"/>
      <c r="I191" s="25"/>
      <c r="J191" s="26">
        <v>103</v>
      </c>
      <c r="K191" s="27" t="s">
        <v>180</v>
      </c>
      <c r="L191" s="27" t="s">
        <v>169</v>
      </c>
      <c r="M191" s="28" t="s">
        <v>632</v>
      </c>
      <c r="N191" s="28" t="s">
        <v>1070</v>
      </c>
      <c r="O191" s="28" t="s">
        <v>1071</v>
      </c>
      <c r="P191" s="29" t="s">
        <v>1072</v>
      </c>
      <c r="Q191" s="29" t="s">
        <v>1073</v>
      </c>
      <c r="R191" s="29" t="s">
        <v>1074</v>
      </c>
      <c r="S191" s="30">
        <v>3535.07</v>
      </c>
      <c r="T191" s="30">
        <v>1283.52</v>
      </c>
      <c r="U191" s="30">
        <v>2251.55</v>
      </c>
    </row>
    <row x14ac:dyDescent="0.25" r="192" customHeight="1" ht="18.75">
      <c r="A192" s="21">
        <v>191</v>
      </c>
      <c r="B192" s="22" t="s">
        <v>1075</v>
      </c>
      <c r="C192" s="22" t="s">
        <v>166</v>
      </c>
      <c r="D192" s="22" t="s">
        <v>1076</v>
      </c>
      <c r="E192" s="22" t="s">
        <v>704</v>
      </c>
      <c r="F192" s="23"/>
      <c r="G192" s="22"/>
      <c r="H192" s="24"/>
      <c r="I192" s="25"/>
      <c r="J192" s="26">
        <v>301</v>
      </c>
      <c r="K192" s="27" t="s">
        <v>180</v>
      </c>
      <c r="L192" s="27" t="s">
        <v>169</v>
      </c>
      <c r="M192" s="28" t="s">
        <v>983</v>
      </c>
      <c r="N192" s="28" t="s">
        <v>984</v>
      </c>
      <c r="O192" s="28" t="s">
        <v>985</v>
      </c>
      <c r="P192" s="29" t="s">
        <v>707</v>
      </c>
      <c r="Q192" s="29" t="s">
        <v>1077</v>
      </c>
      <c r="R192" s="29" t="s">
        <v>1078</v>
      </c>
      <c r="S192" s="30">
        <v>1876.6</v>
      </c>
      <c r="T192" s="30">
        <v>144.57</v>
      </c>
      <c r="U192" s="30">
        <v>1732.03</v>
      </c>
    </row>
    <row x14ac:dyDescent="0.25" r="193" customHeight="1" ht="18.75">
      <c r="A193" s="21">
        <v>192</v>
      </c>
      <c r="B193" s="22" t="s">
        <v>1079</v>
      </c>
      <c r="C193" s="22" t="s">
        <v>190</v>
      </c>
      <c r="D193" s="22" t="s">
        <v>1080</v>
      </c>
      <c r="E193" s="22" t="s">
        <v>17</v>
      </c>
      <c r="F193" s="23"/>
      <c r="G193" s="22"/>
      <c r="H193" s="24"/>
      <c r="I193" s="25"/>
      <c r="J193" s="26">
        <v>517</v>
      </c>
      <c r="K193" s="27" t="s">
        <v>180</v>
      </c>
      <c r="L193" s="27" t="s">
        <v>169</v>
      </c>
      <c r="M193" s="28" t="s">
        <v>233</v>
      </c>
      <c r="N193" s="28" t="s">
        <v>234</v>
      </c>
      <c r="O193" s="28" t="s">
        <v>235</v>
      </c>
      <c r="P193" s="29" t="s">
        <v>236</v>
      </c>
      <c r="Q193" s="29" t="s">
        <v>275</v>
      </c>
      <c r="R193" s="29" t="s">
        <v>276</v>
      </c>
      <c r="S193" s="30">
        <v>3433.34</v>
      </c>
      <c r="T193" s="30">
        <v>300.59</v>
      </c>
      <c r="U193" s="30">
        <v>3132.75</v>
      </c>
    </row>
    <row x14ac:dyDescent="0.25" r="194" customHeight="1" ht="18.75">
      <c r="A194" s="21">
        <v>193</v>
      </c>
      <c r="B194" s="22" t="s">
        <v>1081</v>
      </c>
      <c r="C194" s="22" t="s">
        <v>166</v>
      </c>
      <c r="D194" s="22" t="s">
        <v>1082</v>
      </c>
      <c r="E194" s="22" t="s">
        <v>22</v>
      </c>
      <c r="F194" s="23"/>
      <c r="G194" s="22"/>
      <c r="H194" s="24"/>
      <c r="I194" s="25"/>
      <c r="J194" s="26">
        <v>490</v>
      </c>
      <c r="K194" s="27" t="s">
        <v>180</v>
      </c>
      <c r="L194" s="27" t="s">
        <v>169</v>
      </c>
      <c r="M194" s="28" t="s">
        <v>225</v>
      </c>
      <c r="N194" s="28" t="s">
        <v>171</v>
      </c>
      <c r="O194" s="28" t="s">
        <v>226</v>
      </c>
      <c r="P194" s="29" t="s">
        <v>227</v>
      </c>
      <c r="Q194" s="29" t="s">
        <v>174</v>
      </c>
      <c r="R194" s="29" t="s">
        <v>297</v>
      </c>
      <c r="S194" s="30">
        <v>1749.48</v>
      </c>
      <c r="T194" s="30">
        <v>127.05</v>
      </c>
      <c r="U194" s="30">
        <v>1622.43</v>
      </c>
    </row>
    <row x14ac:dyDescent="0.25" r="195" customHeight="1" ht="18.75">
      <c r="A195" s="21">
        <v>194</v>
      </c>
      <c r="B195" s="31" t="s">
        <v>1083</v>
      </c>
      <c r="C195" s="22" t="s">
        <v>166</v>
      </c>
      <c r="D195" s="22"/>
      <c r="E195" s="22" t="s">
        <v>249</v>
      </c>
      <c r="F195" s="23"/>
      <c r="G195" s="22"/>
      <c r="H195" s="24"/>
      <c r="I195" s="25"/>
      <c r="J195" s="32">
        <v>215</v>
      </c>
      <c r="K195" s="27" t="s">
        <v>180</v>
      </c>
      <c r="L195" s="27" t="s">
        <v>169</v>
      </c>
      <c r="M195" s="28"/>
      <c r="N195" s="28"/>
      <c r="O195" s="28"/>
      <c r="P195" s="29" t="s">
        <v>425</v>
      </c>
      <c r="Q195" s="29" t="s">
        <v>779</v>
      </c>
      <c r="R195" s="29" t="s">
        <v>780</v>
      </c>
      <c r="S195" s="30">
        <v>1925.27</v>
      </c>
      <c r="T195" s="30">
        <v>148.95</v>
      </c>
      <c r="U195" s="30">
        <v>1776.32</v>
      </c>
    </row>
    <row x14ac:dyDescent="0.25" r="196" customHeight="1" ht="18.75">
      <c r="A196" s="21">
        <v>195</v>
      </c>
      <c r="B196" s="22" t="s">
        <v>1084</v>
      </c>
      <c r="C196" s="22" t="s">
        <v>166</v>
      </c>
      <c r="D196" s="22" t="s">
        <v>1085</v>
      </c>
      <c r="E196" s="22" t="s">
        <v>140</v>
      </c>
      <c r="F196" s="23"/>
      <c r="G196" s="22"/>
      <c r="H196" s="24"/>
      <c r="I196" s="25"/>
      <c r="J196" s="26">
        <v>101</v>
      </c>
      <c r="K196" s="27" t="s">
        <v>180</v>
      </c>
      <c r="L196" s="27" t="s">
        <v>169</v>
      </c>
      <c r="M196" s="28" t="s">
        <v>170</v>
      </c>
      <c r="N196" s="28" t="s">
        <v>171</v>
      </c>
      <c r="O196" s="28" t="s">
        <v>172</v>
      </c>
      <c r="P196" s="29" t="s">
        <v>173</v>
      </c>
      <c r="Q196" s="29" t="s">
        <v>174</v>
      </c>
      <c r="R196" s="29" t="s">
        <v>175</v>
      </c>
      <c r="S196" s="30">
        <v>1681.94</v>
      </c>
      <c r="T196" s="30">
        <v>321.83</v>
      </c>
      <c r="U196" s="30">
        <v>1360.11</v>
      </c>
    </row>
    <row x14ac:dyDescent="0.25" r="197" customHeight="1" ht="18.75">
      <c r="A197" s="21">
        <v>196</v>
      </c>
      <c r="B197" s="22" t="s">
        <v>1086</v>
      </c>
      <c r="C197" s="22" t="s">
        <v>166</v>
      </c>
      <c r="D197" s="22" t="s">
        <v>1087</v>
      </c>
      <c r="E197" s="22" t="s">
        <v>140</v>
      </c>
      <c r="F197" s="23"/>
      <c r="G197" s="22"/>
      <c r="H197" s="24"/>
      <c r="I197" s="25"/>
      <c r="J197" s="26">
        <v>641</v>
      </c>
      <c r="K197" s="27" t="s">
        <v>460</v>
      </c>
      <c r="L197" s="27" t="s">
        <v>169</v>
      </c>
      <c r="M197" s="28" t="s">
        <v>1088</v>
      </c>
      <c r="N197" s="28" t="s">
        <v>1089</v>
      </c>
      <c r="O197" s="28" t="s">
        <v>1090</v>
      </c>
      <c r="P197" s="29" t="s">
        <v>173</v>
      </c>
      <c r="Q197" s="29" t="s">
        <v>174</v>
      </c>
      <c r="R197" s="29" t="s">
        <v>175</v>
      </c>
      <c r="S197" s="30">
        <v>1681.94</v>
      </c>
      <c r="T197" s="30">
        <v>127.05</v>
      </c>
      <c r="U197" s="30">
        <v>1554.89</v>
      </c>
    </row>
    <row x14ac:dyDescent="0.25" r="198" customHeight="1" ht="18.75">
      <c r="A198" s="21">
        <v>197</v>
      </c>
      <c r="B198" s="22" t="s">
        <v>1091</v>
      </c>
      <c r="C198" s="22" t="s">
        <v>177</v>
      </c>
      <c r="D198" s="22" t="s">
        <v>1092</v>
      </c>
      <c r="E198" s="22" t="s">
        <v>489</v>
      </c>
      <c r="F198" s="23"/>
      <c r="G198" s="22"/>
      <c r="H198" s="24"/>
      <c r="I198" s="25"/>
      <c r="J198" s="26">
        <v>214</v>
      </c>
      <c r="K198" s="27" t="s">
        <v>180</v>
      </c>
      <c r="L198" s="27" t="s">
        <v>169</v>
      </c>
      <c r="M198" s="28" t="s">
        <v>181</v>
      </c>
      <c r="N198" s="28" t="s">
        <v>182</v>
      </c>
      <c r="O198" s="28" t="s">
        <v>183</v>
      </c>
      <c r="P198" s="29" t="s">
        <v>184</v>
      </c>
      <c r="Q198" s="29" t="s">
        <v>185</v>
      </c>
      <c r="R198" s="29" t="s">
        <v>186</v>
      </c>
      <c r="S198" s="30">
        <v>4380.34</v>
      </c>
      <c r="T198" s="30">
        <v>414.74</v>
      </c>
      <c r="U198" s="30">
        <v>3965.6</v>
      </c>
    </row>
    <row x14ac:dyDescent="0.25" r="199" customHeight="1" ht="18.75">
      <c r="A199" s="21">
        <v>198</v>
      </c>
      <c r="B199" s="22" t="s">
        <v>1093</v>
      </c>
      <c r="C199" s="22" t="s">
        <v>368</v>
      </c>
      <c r="D199" s="22" t="s">
        <v>1094</v>
      </c>
      <c r="E199" s="22" t="s">
        <v>370</v>
      </c>
      <c r="F199" s="23"/>
      <c r="G199" s="22"/>
      <c r="H199" s="24"/>
      <c r="I199" s="25"/>
      <c r="J199" s="26">
        <v>272</v>
      </c>
      <c r="K199" s="27" t="s">
        <v>180</v>
      </c>
      <c r="L199" s="27" t="s">
        <v>169</v>
      </c>
      <c r="M199" s="28" t="s">
        <v>1095</v>
      </c>
      <c r="N199" s="28" t="s">
        <v>1096</v>
      </c>
      <c r="O199" s="28" t="s">
        <v>1097</v>
      </c>
      <c r="P199" s="29" t="s">
        <v>1098</v>
      </c>
      <c r="Q199" s="29" t="s">
        <v>1099</v>
      </c>
      <c r="R199" s="29" t="s">
        <v>1100</v>
      </c>
      <c r="S199" s="30">
        <v>4363.18</v>
      </c>
      <c r="T199" s="30">
        <v>412.34</v>
      </c>
      <c r="U199" s="30">
        <v>3950.84</v>
      </c>
    </row>
    <row x14ac:dyDescent="0.25" r="200" customHeight="1" ht="18.75">
      <c r="A200" s="21">
        <v>199</v>
      </c>
      <c r="B200" s="22" t="s">
        <v>1101</v>
      </c>
      <c r="C200" s="22" t="s">
        <v>656</v>
      </c>
      <c r="D200" s="22" t="s">
        <v>1102</v>
      </c>
      <c r="E200" s="22" t="s">
        <v>582</v>
      </c>
      <c r="F200" s="23"/>
      <c r="G200" s="22"/>
      <c r="H200" s="24"/>
      <c r="I200" s="25"/>
      <c r="J200" s="26">
        <v>316</v>
      </c>
      <c r="K200" s="27" t="s">
        <v>180</v>
      </c>
      <c r="L200" s="27" t="s">
        <v>169</v>
      </c>
      <c r="M200" s="28" t="s">
        <v>1103</v>
      </c>
      <c r="N200" s="28" t="s">
        <v>1104</v>
      </c>
      <c r="O200" s="28" t="s">
        <v>1105</v>
      </c>
      <c r="P200" s="29" t="s">
        <v>1103</v>
      </c>
      <c r="Q200" s="29" t="s">
        <v>1104</v>
      </c>
      <c r="R200" s="29" t="s">
        <v>1105</v>
      </c>
      <c r="S200" s="30">
        <v>3900</v>
      </c>
      <c r="T200" s="30">
        <v>934.45</v>
      </c>
      <c r="U200" s="30">
        <v>2965.55</v>
      </c>
    </row>
    <row x14ac:dyDescent="0.25" r="201" customHeight="1" ht="18.75">
      <c r="A201" s="21">
        <v>200</v>
      </c>
      <c r="B201" s="22" t="s">
        <v>1106</v>
      </c>
      <c r="C201" s="22" t="s">
        <v>1107</v>
      </c>
      <c r="D201" s="22" t="s">
        <v>1108</v>
      </c>
      <c r="E201" s="22" t="s">
        <v>191</v>
      </c>
      <c r="F201" s="23"/>
      <c r="G201" s="22"/>
      <c r="H201" s="24"/>
      <c r="I201" s="25"/>
      <c r="J201" s="26">
        <v>120</v>
      </c>
      <c r="K201" s="27" t="s">
        <v>180</v>
      </c>
      <c r="L201" s="27" t="s">
        <v>169</v>
      </c>
      <c r="M201" s="28" t="s">
        <v>1109</v>
      </c>
      <c r="N201" s="28" t="s">
        <v>1110</v>
      </c>
      <c r="O201" s="28" t="s">
        <v>1111</v>
      </c>
      <c r="P201" s="29" t="s">
        <v>1112</v>
      </c>
      <c r="Q201" s="29" t="s">
        <v>1113</v>
      </c>
      <c r="R201" s="29" t="s">
        <v>1114</v>
      </c>
      <c r="S201" s="30">
        <v>6072.91</v>
      </c>
      <c r="T201" s="30">
        <v>1063.76</v>
      </c>
      <c r="U201" s="30">
        <v>5009.15</v>
      </c>
    </row>
    <row x14ac:dyDescent="0.25" r="202" customHeight="1" ht="18.75">
      <c r="A202" s="21">
        <v>201</v>
      </c>
      <c r="B202" s="22" t="s">
        <v>1115</v>
      </c>
      <c r="C202" s="22" t="s">
        <v>278</v>
      </c>
      <c r="D202" s="22" t="s">
        <v>1116</v>
      </c>
      <c r="E202" s="22" t="s">
        <v>130</v>
      </c>
      <c r="F202" s="23"/>
      <c r="G202" s="22"/>
      <c r="H202" s="24"/>
      <c r="I202" s="25"/>
      <c r="J202" s="26">
        <v>616</v>
      </c>
      <c r="K202" s="27" t="s">
        <v>1117</v>
      </c>
      <c r="L202" s="27" t="s">
        <v>169</v>
      </c>
      <c r="M202" s="28" t="s">
        <v>417</v>
      </c>
      <c r="N202" s="28" t="s">
        <v>418</v>
      </c>
      <c r="O202" s="28" t="s">
        <v>419</v>
      </c>
      <c r="P202" s="29" t="s">
        <v>417</v>
      </c>
      <c r="Q202" s="29" t="s">
        <v>418</v>
      </c>
      <c r="R202" s="29" t="s">
        <v>419</v>
      </c>
      <c r="S202" s="30">
        <v>4280</v>
      </c>
      <c r="T202" s="30">
        <v>402.18</v>
      </c>
      <c r="U202" s="30">
        <v>3877.82</v>
      </c>
    </row>
    <row x14ac:dyDescent="0.25" r="203" customHeight="1" ht="18.75">
      <c r="A203" s="21">
        <v>202</v>
      </c>
      <c r="B203" s="22" t="s">
        <v>1118</v>
      </c>
      <c r="C203" s="22" t="s">
        <v>549</v>
      </c>
      <c r="D203" s="22" t="s">
        <v>1119</v>
      </c>
      <c r="E203" s="22" t="s">
        <v>49</v>
      </c>
      <c r="F203" s="23"/>
      <c r="G203" s="22"/>
      <c r="H203" s="24"/>
      <c r="I203" s="25"/>
      <c r="J203" s="26">
        <v>370</v>
      </c>
      <c r="K203" s="27" t="s">
        <v>180</v>
      </c>
      <c r="L203" s="27" t="s">
        <v>169</v>
      </c>
      <c r="M203" s="28" t="s">
        <v>592</v>
      </c>
      <c r="N203" s="28" t="s">
        <v>593</v>
      </c>
      <c r="O203" s="28" t="s">
        <v>594</v>
      </c>
      <c r="P203" s="29" t="s">
        <v>592</v>
      </c>
      <c r="Q203" s="29" t="s">
        <v>593</v>
      </c>
      <c r="R203" s="29" t="s">
        <v>594</v>
      </c>
      <c r="S203" s="30">
        <v>1800</v>
      </c>
      <c r="T203" s="30">
        <v>137.68</v>
      </c>
      <c r="U203" s="30">
        <v>1662.32</v>
      </c>
    </row>
    <row x14ac:dyDescent="0.25" r="204" customHeight="1" ht="18.75">
      <c r="A204" s="21">
        <v>203</v>
      </c>
      <c r="B204" s="22" t="s">
        <v>1120</v>
      </c>
      <c r="C204" s="22" t="s">
        <v>190</v>
      </c>
      <c r="D204" s="22" t="s">
        <v>1121</v>
      </c>
      <c r="E204" s="22" t="s">
        <v>140</v>
      </c>
      <c r="F204" s="23"/>
      <c r="G204" s="22"/>
      <c r="H204" s="24"/>
      <c r="I204" s="25"/>
      <c r="J204" s="26">
        <v>496</v>
      </c>
      <c r="K204" s="27" t="s">
        <v>180</v>
      </c>
      <c r="L204" s="27" t="s">
        <v>169</v>
      </c>
      <c r="M204" s="28" t="s">
        <v>173</v>
      </c>
      <c r="N204" s="28" t="s">
        <v>174</v>
      </c>
      <c r="O204" s="28" t="s">
        <v>175</v>
      </c>
      <c r="P204" s="29" t="s">
        <v>173</v>
      </c>
      <c r="Q204" s="29" t="s">
        <v>174</v>
      </c>
      <c r="R204" s="29" t="s">
        <v>175</v>
      </c>
      <c r="S204" s="30">
        <v>3090.01</v>
      </c>
      <c r="T204" s="30">
        <v>259.39</v>
      </c>
      <c r="U204" s="30">
        <v>2830.62</v>
      </c>
    </row>
    <row x14ac:dyDescent="0.25" r="205" customHeight="1" ht="18.75">
      <c r="A205" s="21">
        <v>204</v>
      </c>
      <c r="B205" s="22" t="s">
        <v>1122</v>
      </c>
      <c r="C205" s="22" t="s">
        <v>166</v>
      </c>
      <c r="D205" s="22" t="s">
        <v>1123</v>
      </c>
      <c r="E205" s="22" t="s">
        <v>605</v>
      </c>
      <c r="F205" s="23"/>
      <c r="G205" s="22"/>
      <c r="H205" s="24"/>
      <c r="I205" s="25"/>
      <c r="J205" s="26">
        <v>208</v>
      </c>
      <c r="K205" s="27" t="s">
        <v>180</v>
      </c>
      <c r="L205" s="27" t="s">
        <v>169</v>
      </c>
      <c r="M205" s="28" t="s">
        <v>170</v>
      </c>
      <c r="N205" s="28" t="s">
        <v>171</v>
      </c>
      <c r="O205" s="28" t="s">
        <v>172</v>
      </c>
      <c r="P205" s="29" t="s">
        <v>1124</v>
      </c>
      <c r="Q205" s="29" t="s">
        <v>1125</v>
      </c>
      <c r="R205" s="29" t="s">
        <v>1126</v>
      </c>
      <c r="S205" s="30">
        <v>1681.94</v>
      </c>
      <c r="T205" s="30">
        <v>170.07</v>
      </c>
      <c r="U205" s="30">
        <v>1511.87</v>
      </c>
    </row>
    <row x14ac:dyDescent="0.25" r="206" customHeight="1" ht="18.75">
      <c r="A206" s="21">
        <v>205</v>
      </c>
      <c r="B206" s="22" t="s">
        <v>1127</v>
      </c>
      <c r="C206" s="22" t="s">
        <v>190</v>
      </c>
      <c r="D206" s="22" t="s">
        <v>1128</v>
      </c>
      <c r="E206" s="22" t="s">
        <v>134</v>
      </c>
      <c r="F206" s="23"/>
      <c r="G206" s="22"/>
      <c r="H206" s="24"/>
      <c r="I206" s="25"/>
      <c r="J206" s="26">
        <v>104</v>
      </c>
      <c r="K206" s="27" t="s">
        <v>180</v>
      </c>
      <c r="L206" s="27" t="s">
        <v>169</v>
      </c>
      <c r="M206" s="28" t="s">
        <v>1129</v>
      </c>
      <c r="N206" s="28" t="s">
        <v>1130</v>
      </c>
      <c r="O206" s="28" t="s">
        <v>1131</v>
      </c>
      <c r="P206" s="29" t="s">
        <v>1132</v>
      </c>
      <c r="Q206" s="29" t="s">
        <v>1133</v>
      </c>
      <c r="R206" s="29" t="s">
        <v>1134</v>
      </c>
      <c r="S206" s="30">
        <v>3537.03</v>
      </c>
      <c r="T206" s="30">
        <v>313.03</v>
      </c>
      <c r="U206" s="30">
        <v>3224</v>
      </c>
    </row>
    <row x14ac:dyDescent="0.25" r="207" customHeight="1" ht="18.75">
      <c r="A207" s="21">
        <v>206</v>
      </c>
      <c r="B207" s="22" t="s">
        <v>1135</v>
      </c>
      <c r="C207" s="22" t="s">
        <v>278</v>
      </c>
      <c r="D207" s="22" t="s">
        <v>1136</v>
      </c>
      <c r="E207" s="22" t="s">
        <v>746</v>
      </c>
      <c r="F207" s="23"/>
      <c r="G207" s="22"/>
      <c r="H207" s="24"/>
      <c r="I207" s="25"/>
      <c r="J207" s="26">
        <v>502</v>
      </c>
      <c r="K207" s="27" t="s">
        <v>180</v>
      </c>
      <c r="L207" s="27" t="s">
        <v>169</v>
      </c>
      <c r="M207" s="28" t="s">
        <v>750</v>
      </c>
      <c r="N207" s="28" t="s">
        <v>769</v>
      </c>
      <c r="O207" s="28" t="s">
        <v>770</v>
      </c>
      <c r="P207" s="29" t="s">
        <v>750</v>
      </c>
      <c r="Q207" s="29" t="s">
        <v>769</v>
      </c>
      <c r="R207" s="29" t="s">
        <v>770</v>
      </c>
      <c r="S207" s="30">
        <v>5136</v>
      </c>
      <c r="T207" s="30">
        <v>569.24</v>
      </c>
      <c r="U207" s="30">
        <v>4566.76</v>
      </c>
    </row>
    <row x14ac:dyDescent="0.25" r="208" customHeight="1" ht="18.75">
      <c r="A208" s="21">
        <v>207</v>
      </c>
      <c r="B208" s="22" t="s">
        <v>1137</v>
      </c>
      <c r="C208" s="22" t="s">
        <v>539</v>
      </c>
      <c r="D208" s="22" t="s">
        <v>1138</v>
      </c>
      <c r="E208" s="22" t="s">
        <v>130</v>
      </c>
      <c r="F208" s="23"/>
      <c r="G208" s="22"/>
      <c r="H208" s="24"/>
      <c r="I208" s="25"/>
      <c r="J208" s="26">
        <v>439</v>
      </c>
      <c r="K208" s="27" t="s">
        <v>180</v>
      </c>
      <c r="L208" s="27" t="s">
        <v>169</v>
      </c>
      <c r="M208" s="28" t="s">
        <v>173</v>
      </c>
      <c r="N208" s="28" t="s">
        <v>174</v>
      </c>
      <c r="O208" s="28" t="s">
        <v>175</v>
      </c>
      <c r="P208" s="29" t="s">
        <v>173</v>
      </c>
      <c r="Q208" s="29" t="s">
        <v>174</v>
      </c>
      <c r="R208" s="29" t="s">
        <v>175</v>
      </c>
      <c r="S208" s="30">
        <v>1621</v>
      </c>
      <c r="T208" s="30">
        <v>121.57</v>
      </c>
      <c r="U208" s="30">
        <v>1499.43</v>
      </c>
    </row>
    <row x14ac:dyDescent="0.25" r="209" customHeight="1" ht="18.75">
      <c r="A209" s="21">
        <v>208</v>
      </c>
      <c r="B209" s="22" t="s">
        <v>1139</v>
      </c>
      <c r="C209" s="22" t="s">
        <v>166</v>
      </c>
      <c r="D209" s="22" t="s">
        <v>1140</v>
      </c>
      <c r="E209" s="22" t="s">
        <v>33</v>
      </c>
      <c r="F209" s="23"/>
      <c r="G209" s="22"/>
      <c r="H209" s="24"/>
      <c r="I209" s="25"/>
      <c r="J209" s="26">
        <v>402</v>
      </c>
      <c r="K209" s="27" t="s">
        <v>180</v>
      </c>
      <c r="L209" s="27" t="s">
        <v>169</v>
      </c>
      <c r="M209" s="28" t="s">
        <v>170</v>
      </c>
      <c r="N209" s="28" t="s">
        <v>171</v>
      </c>
      <c r="O209" s="28" t="s">
        <v>172</v>
      </c>
      <c r="P209" s="29" t="s">
        <v>173</v>
      </c>
      <c r="Q209" s="29" t="s">
        <v>174</v>
      </c>
      <c r="R209" s="29" t="s">
        <v>175</v>
      </c>
      <c r="S209" s="30">
        <v>1681.94</v>
      </c>
      <c r="T209" s="30">
        <v>127.05</v>
      </c>
      <c r="U209" s="30">
        <v>1554.89</v>
      </c>
    </row>
    <row x14ac:dyDescent="0.25" r="210" customHeight="1" ht="18.75">
      <c r="A210" s="21">
        <v>209</v>
      </c>
      <c r="B210" s="22" t="s">
        <v>1141</v>
      </c>
      <c r="C210" s="22" t="s">
        <v>190</v>
      </c>
      <c r="D210" s="22" t="s">
        <v>1142</v>
      </c>
      <c r="E210" s="22" t="s">
        <v>191</v>
      </c>
      <c r="F210" s="23"/>
      <c r="G210" s="22"/>
      <c r="H210" s="24"/>
      <c r="I210" s="25"/>
      <c r="J210" s="26">
        <v>65</v>
      </c>
      <c r="K210" s="27" t="s">
        <v>180</v>
      </c>
      <c r="L210" s="27" t="s">
        <v>169</v>
      </c>
      <c r="M210" s="28" t="s">
        <v>1143</v>
      </c>
      <c r="N210" s="28" t="s">
        <v>1144</v>
      </c>
      <c r="O210" s="28" t="s">
        <v>1145</v>
      </c>
      <c r="P210" s="29" t="s">
        <v>1146</v>
      </c>
      <c r="Q210" s="29" t="s">
        <v>1147</v>
      </c>
      <c r="R210" s="29" t="s">
        <v>1148</v>
      </c>
      <c r="S210" s="30">
        <v>3179.41</v>
      </c>
      <c r="T210" s="30">
        <v>1419.64</v>
      </c>
      <c r="U210" s="30">
        <v>1759.77</v>
      </c>
    </row>
    <row x14ac:dyDescent="0.25" r="211" customHeight="1" ht="18.75">
      <c r="A211" s="21">
        <v>210</v>
      </c>
      <c r="B211" s="22" t="s">
        <v>1149</v>
      </c>
      <c r="C211" s="22" t="s">
        <v>214</v>
      </c>
      <c r="D211" s="22" t="s">
        <v>1150</v>
      </c>
      <c r="E211" s="22" t="s">
        <v>134</v>
      </c>
      <c r="F211" s="23"/>
      <c r="G211" s="22"/>
      <c r="H211" s="24"/>
      <c r="I211" s="25"/>
      <c r="J211" s="26">
        <v>58</v>
      </c>
      <c r="K211" s="27" t="s">
        <v>180</v>
      </c>
      <c r="L211" s="27" t="s">
        <v>169</v>
      </c>
      <c r="M211" s="28" t="s">
        <v>1151</v>
      </c>
      <c r="N211" s="28" t="s">
        <v>1152</v>
      </c>
      <c r="O211" s="28" t="s">
        <v>1153</v>
      </c>
      <c r="P211" s="29" t="s">
        <v>398</v>
      </c>
      <c r="Q211" s="29" t="s">
        <v>1154</v>
      </c>
      <c r="R211" s="29" t="s">
        <v>1155</v>
      </c>
      <c r="S211" s="30">
        <v>5199.85</v>
      </c>
      <c r="T211" s="30">
        <v>2388.15</v>
      </c>
      <c r="U211" s="30">
        <v>2811.7</v>
      </c>
    </row>
    <row x14ac:dyDescent="0.25" r="212" customHeight="1" ht="18.75">
      <c r="A212" s="21">
        <v>211</v>
      </c>
      <c r="B212" s="22" t="s">
        <v>1156</v>
      </c>
      <c r="C212" s="22" t="s">
        <v>396</v>
      </c>
      <c r="D212" s="22" t="s">
        <v>1157</v>
      </c>
      <c r="E212" s="22" t="s">
        <v>191</v>
      </c>
      <c r="F212" s="23"/>
      <c r="G212" s="22"/>
      <c r="H212" s="24"/>
      <c r="I212" s="25"/>
      <c r="J212" s="26">
        <v>162</v>
      </c>
      <c r="K212" s="27" t="s">
        <v>180</v>
      </c>
      <c r="L212" s="27" t="s">
        <v>169</v>
      </c>
      <c r="M212" s="28" t="s">
        <v>642</v>
      </c>
      <c r="N212" s="28" t="s">
        <v>643</v>
      </c>
      <c r="O212" s="28" t="s">
        <v>644</v>
      </c>
      <c r="P212" s="29" t="s">
        <v>645</v>
      </c>
      <c r="Q212" s="29" t="s">
        <v>646</v>
      </c>
      <c r="R212" s="29" t="s">
        <v>647</v>
      </c>
      <c r="S212" s="30">
        <v>4909.37</v>
      </c>
      <c r="T212" s="30">
        <v>488.81</v>
      </c>
      <c r="U212" s="30">
        <v>4420.56</v>
      </c>
    </row>
    <row x14ac:dyDescent="0.25" r="213" customHeight="1" ht="18.75">
      <c r="A213" s="21">
        <v>212</v>
      </c>
      <c r="B213" s="22" t="s">
        <v>1158</v>
      </c>
      <c r="C213" s="22" t="s">
        <v>410</v>
      </c>
      <c r="D213" s="22" t="s">
        <v>1159</v>
      </c>
      <c r="E213" s="22" t="s">
        <v>140</v>
      </c>
      <c r="F213" s="23"/>
      <c r="G213" s="22"/>
      <c r="H213" s="24"/>
      <c r="I213" s="25"/>
      <c r="J213" s="26">
        <v>89</v>
      </c>
      <c r="K213" s="27" t="s">
        <v>180</v>
      </c>
      <c r="L213" s="27" t="s">
        <v>169</v>
      </c>
      <c r="M213" s="28" t="s">
        <v>1160</v>
      </c>
      <c r="N213" s="28" t="s">
        <v>1161</v>
      </c>
      <c r="O213" s="28" t="s">
        <v>1162</v>
      </c>
      <c r="P213" s="29" t="s">
        <v>1163</v>
      </c>
      <c r="Q213" s="29" t="s">
        <v>1164</v>
      </c>
      <c r="R213" s="29" t="s">
        <v>1165</v>
      </c>
      <c r="S213" s="30">
        <v>3726.73</v>
      </c>
      <c r="T213" s="30">
        <v>1491.18</v>
      </c>
      <c r="U213" s="30">
        <v>2235.55</v>
      </c>
    </row>
    <row x14ac:dyDescent="0.25" r="214" customHeight="1" ht="18.75">
      <c r="A214" s="21">
        <v>213</v>
      </c>
      <c r="B214" s="22" t="s">
        <v>1166</v>
      </c>
      <c r="C214" s="22" t="s">
        <v>539</v>
      </c>
      <c r="D214" s="22" t="s">
        <v>1167</v>
      </c>
      <c r="E214" s="22" t="s">
        <v>102</v>
      </c>
      <c r="F214" s="23"/>
      <c r="G214" s="22"/>
      <c r="H214" s="24"/>
      <c r="I214" s="25"/>
      <c r="J214" s="26">
        <v>412</v>
      </c>
      <c r="K214" s="27" t="s">
        <v>180</v>
      </c>
      <c r="L214" s="27" t="s">
        <v>169</v>
      </c>
      <c r="M214" s="28" t="s">
        <v>227</v>
      </c>
      <c r="N214" s="28" t="s">
        <v>174</v>
      </c>
      <c r="O214" s="28" t="s">
        <v>297</v>
      </c>
      <c r="P214" s="29" t="s">
        <v>227</v>
      </c>
      <c r="Q214" s="29" t="s">
        <v>1168</v>
      </c>
      <c r="R214" s="29" t="s">
        <v>1169</v>
      </c>
      <c r="S214" s="30">
        <v>1688.54</v>
      </c>
      <c r="T214" s="30">
        <v>667.64</v>
      </c>
      <c r="U214" s="30">
        <v>1020.9</v>
      </c>
    </row>
    <row x14ac:dyDescent="0.25" r="215" customHeight="1" ht="18.75">
      <c r="A215" s="21">
        <v>214</v>
      </c>
      <c r="B215" s="22" t="s">
        <v>1170</v>
      </c>
      <c r="C215" s="22" t="s">
        <v>166</v>
      </c>
      <c r="D215" s="22" t="s">
        <v>1171</v>
      </c>
      <c r="E215" s="22" t="s">
        <v>134</v>
      </c>
      <c r="F215" s="23"/>
      <c r="G215" s="22"/>
      <c r="H215" s="24"/>
      <c r="I215" s="25"/>
      <c r="J215" s="26">
        <v>154</v>
      </c>
      <c r="K215" s="27" t="s">
        <v>180</v>
      </c>
      <c r="L215" s="27" t="s">
        <v>468</v>
      </c>
      <c r="M215" s="28" t="s">
        <v>170</v>
      </c>
      <c r="N215" s="28" t="s">
        <v>171</v>
      </c>
      <c r="O215" s="28" t="s">
        <v>172</v>
      </c>
      <c r="P215" s="29" t="s">
        <v>173</v>
      </c>
      <c r="Q215" s="29" t="s">
        <v>174</v>
      </c>
      <c r="R215" s="29" t="s">
        <v>175</v>
      </c>
      <c r="S215" s="33"/>
      <c r="T215" s="33"/>
      <c r="U215" s="33"/>
    </row>
    <row x14ac:dyDescent="0.25" r="216" customHeight="1" ht="18.75">
      <c r="A216" s="21">
        <v>215</v>
      </c>
      <c r="B216" s="22" t="s">
        <v>1172</v>
      </c>
      <c r="C216" s="22" t="s">
        <v>166</v>
      </c>
      <c r="D216" s="22" t="s">
        <v>1173</v>
      </c>
      <c r="E216" s="22" t="s">
        <v>127</v>
      </c>
      <c r="F216" s="23"/>
      <c r="G216" s="22"/>
      <c r="H216" s="24"/>
      <c r="I216" s="25"/>
      <c r="J216" s="26">
        <v>366</v>
      </c>
      <c r="K216" s="27" t="s">
        <v>180</v>
      </c>
      <c r="L216" s="27" t="s">
        <v>169</v>
      </c>
      <c r="M216" s="28" t="s">
        <v>170</v>
      </c>
      <c r="N216" s="28" t="s">
        <v>171</v>
      </c>
      <c r="O216" s="28" t="s">
        <v>172</v>
      </c>
      <c r="P216" s="29" t="s">
        <v>173</v>
      </c>
      <c r="Q216" s="29" t="s">
        <v>174</v>
      </c>
      <c r="R216" s="29" t="s">
        <v>175</v>
      </c>
      <c r="S216" s="30">
        <v>1681.94</v>
      </c>
      <c r="T216" s="30">
        <v>127.05</v>
      </c>
      <c r="U216" s="30">
        <v>1554.89</v>
      </c>
    </row>
    <row x14ac:dyDescent="0.25" r="217" customHeight="1" ht="18.75">
      <c r="A217" s="21">
        <v>216</v>
      </c>
      <c r="B217" s="22" t="s">
        <v>1174</v>
      </c>
      <c r="C217" s="22" t="s">
        <v>166</v>
      </c>
      <c r="D217" s="22" t="s">
        <v>1175</v>
      </c>
      <c r="E217" s="22" t="s">
        <v>94</v>
      </c>
      <c r="F217" s="23"/>
      <c r="G217" s="22"/>
      <c r="H217" s="24"/>
      <c r="I217" s="25"/>
      <c r="J217" s="26">
        <v>320</v>
      </c>
      <c r="K217" s="27" t="s">
        <v>180</v>
      </c>
      <c r="L217" s="27" t="s">
        <v>169</v>
      </c>
      <c r="M217" s="28" t="s">
        <v>266</v>
      </c>
      <c r="N217" s="28" t="s">
        <v>171</v>
      </c>
      <c r="O217" s="28" t="s">
        <v>267</v>
      </c>
      <c r="P217" s="29" t="s">
        <v>268</v>
      </c>
      <c r="Q217" s="29" t="s">
        <v>174</v>
      </c>
      <c r="R217" s="29" t="s">
        <v>361</v>
      </c>
      <c r="S217" s="30">
        <v>1817.02</v>
      </c>
      <c r="T217" s="30">
        <v>127.05</v>
      </c>
      <c r="U217" s="30">
        <v>1689.97</v>
      </c>
    </row>
    <row x14ac:dyDescent="0.25" r="218" customHeight="1" ht="18.75">
      <c r="A218" s="21">
        <v>217</v>
      </c>
      <c r="B218" s="22" t="s">
        <v>1176</v>
      </c>
      <c r="C218" s="22" t="s">
        <v>402</v>
      </c>
      <c r="D218" s="22" t="s">
        <v>1177</v>
      </c>
      <c r="E218" s="22" t="s">
        <v>179</v>
      </c>
      <c r="F218" s="23"/>
      <c r="G218" s="22"/>
      <c r="H218" s="24"/>
      <c r="I218" s="25"/>
      <c r="J218" s="26">
        <v>443</v>
      </c>
      <c r="K218" s="27" t="s">
        <v>180</v>
      </c>
      <c r="L218" s="27" t="s">
        <v>169</v>
      </c>
      <c r="M218" s="28" t="s">
        <v>1048</v>
      </c>
      <c r="N218" s="28" t="s">
        <v>1049</v>
      </c>
      <c r="O218" s="28" t="s">
        <v>1050</v>
      </c>
      <c r="P218" s="29" t="s">
        <v>1048</v>
      </c>
      <c r="Q218" s="29" t="s">
        <v>1049</v>
      </c>
      <c r="R218" s="29" t="s">
        <v>1050</v>
      </c>
      <c r="S218" s="30">
        <v>3720</v>
      </c>
      <c r="T218" s="30">
        <v>334.98</v>
      </c>
      <c r="U218" s="30">
        <v>3385.02</v>
      </c>
    </row>
    <row x14ac:dyDescent="0.25" r="219" customHeight="1" ht="18.75">
      <c r="A219" s="21">
        <v>218</v>
      </c>
      <c r="B219" s="22" t="s">
        <v>1178</v>
      </c>
      <c r="C219" s="22" t="s">
        <v>166</v>
      </c>
      <c r="D219" s="22" t="s">
        <v>1179</v>
      </c>
      <c r="E219" s="22" t="s">
        <v>134</v>
      </c>
      <c r="F219" s="23"/>
      <c r="G219" s="22"/>
      <c r="H219" s="24"/>
      <c r="I219" s="25"/>
      <c r="J219" s="26">
        <v>24</v>
      </c>
      <c r="K219" s="27" t="s">
        <v>180</v>
      </c>
      <c r="L219" s="27" t="s">
        <v>169</v>
      </c>
      <c r="M219" s="28" t="s">
        <v>1180</v>
      </c>
      <c r="N219" s="28" t="s">
        <v>1181</v>
      </c>
      <c r="O219" s="28" t="s">
        <v>1182</v>
      </c>
      <c r="P219" s="29" t="s">
        <v>1183</v>
      </c>
      <c r="Q219" s="29" t="s">
        <v>1184</v>
      </c>
      <c r="R219" s="29" t="s">
        <v>1185</v>
      </c>
      <c r="S219" s="30">
        <v>3866.54</v>
      </c>
      <c r="T219" s="30">
        <v>352.57</v>
      </c>
      <c r="U219" s="30">
        <v>3513.97</v>
      </c>
    </row>
    <row x14ac:dyDescent="0.25" r="220" customHeight="1" ht="18.75">
      <c r="A220" s="21">
        <v>219</v>
      </c>
      <c r="B220" s="22" t="s">
        <v>1186</v>
      </c>
      <c r="C220" s="22" t="s">
        <v>402</v>
      </c>
      <c r="D220" s="22" t="s">
        <v>1187</v>
      </c>
      <c r="E220" s="22" t="s">
        <v>1188</v>
      </c>
      <c r="F220" s="23"/>
      <c r="G220" s="22"/>
      <c r="H220" s="24"/>
      <c r="I220" s="25"/>
      <c r="J220" s="26">
        <v>635</v>
      </c>
      <c r="K220" s="27" t="s">
        <v>460</v>
      </c>
      <c r="L220" s="27" t="s">
        <v>169</v>
      </c>
      <c r="M220" s="28" t="s">
        <v>1048</v>
      </c>
      <c r="N220" s="28" t="s">
        <v>1049</v>
      </c>
      <c r="O220" s="28" t="s">
        <v>1050</v>
      </c>
      <c r="P220" s="29" t="s">
        <v>1048</v>
      </c>
      <c r="Q220" s="29" t="s">
        <v>1049</v>
      </c>
      <c r="R220" s="29" t="s">
        <v>1050</v>
      </c>
      <c r="S220" s="30">
        <v>3720</v>
      </c>
      <c r="T220" s="30">
        <v>334.98</v>
      </c>
      <c r="U220" s="30">
        <v>3385.02</v>
      </c>
    </row>
    <row x14ac:dyDescent="0.25" r="221" customHeight="1" ht="18.75">
      <c r="A221" s="21">
        <v>220</v>
      </c>
      <c r="B221" s="22" t="s">
        <v>1189</v>
      </c>
      <c r="C221" s="22" t="s">
        <v>190</v>
      </c>
      <c r="D221" s="22" t="s">
        <v>1190</v>
      </c>
      <c r="E221" s="22" t="s">
        <v>43</v>
      </c>
      <c r="F221" s="23"/>
      <c r="G221" s="22"/>
      <c r="H221" s="24"/>
      <c r="I221" s="25"/>
      <c r="J221" s="26">
        <v>383</v>
      </c>
      <c r="K221" s="27" t="s">
        <v>180</v>
      </c>
      <c r="L221" s="27" t="s">
        <v>169</v>
      </c>
      <c r="M221" s="28" t="s">
        <v>233</v>
      </c>
      <c r="N221" s="28" t="s">
        <v>234</v>
      </c>
      <c r="O221" s="28" t="s">
        <v>235</v>
      </c>
      <c r="P221" s="29" t="s">
        <v>236</v>
      </c>
      <c r="Q221" s="29" t="s">
        <v>275</v>
      </c>
      <c r="R221" s="29" t="s">
        <v>276</v>
      </c>
      <c r="S221" s="30">
        <v>3433.34</v>
      </c>
      <c r="T221" s="30">
        <v>504.23</v>
      </c>
      <c r="U221" s="30">
        <v>2929.11</v>
      </c>
    </row>
    <row x14ac:dyDescent="0.25" r="222" customHeight="1" ht="18.75">
      <c r="A222" s="21">
        <v>221</v>
      </c>
      <c r="B222" s="22" t="s">
        <v>1191</v>
      </c>
      <c r="C222" s="22" t="s">
        <v>539</v>
      </c>
      <c r="D222" s="22" t="s">
        <v>1192</v>
      </c>
      <c r="E222" s="22" t="s">
        <v>812</v>
      </c>
      <c r="F222" s="23"/>
      <c r="G222" s="22"/>
      <c r="H222" s="24"/>
      <c r="I222" s="25"/>
      <c r="J222" s="26">
        <v>645</v>
      </c>
      <c r="K222" s="27" t="s">
        <v>460</v>
      </c>
      <c r="L222" s="27" t="s">
        <v>169</v>
      </c>
      <c r="M222" s="28" t="s">
        <v>1193</v>
      </c>
      <c r="N222" s="28" t="s">
        <v>1194</v>
      </c>
      <c r="O222" s="28" t="s">
        <v>1195</v>
      </c>
      <c r="P222" s="29" t="s">
        <v>1193</v>
      </c>
      <c r="Q222" s="29" t="s">
        <v>1194</v>
      </c>
      <c r="R222" s="29" t="s">
        <v>1195</v>
      </c>
      <c r="S222" s="30">
        <v>2107.3</v>
      </c>
      <c r="T222" s="30">
        <v>165.33</v>
      </c>
      <c r="U222" s="30">
        <v>1941.97</v>
      </c>
    </row>
    <row x14ac:dyDescent="0.25" r="223" customHeight="1" ht="18.75">
      <c r="A223" s="21">
        <v>222</v>
      </c>
      <c r="B223" s="22" t="s">
        <v>1196</v>
      </c>
      <c r="C223" s="22" t="s">
        <v>166</v>
      </c>
      <c r="D223" s="22" t="s">
        <v>1197</v>
      </c>
      <c r="E223" s="22" t="s">
        <v>63</v>
      </c>
      <c r="F223" s="23"/>
      <c r="G223" s="22"/>
      <c r="H223" s="24"/>
      <c r="I223" s="25"/>
      <c r="J223" s="26">
        <v>526</v>
      </c>
      <c r="K223" s="27" t="s">
        <v>180</v>
      </c>
      <c r="L223" s="27" t="s">
        <v>169</v>
      </c>
      <c r="M223" s="28">
        <v>0</v>
      </c>
      <c r="N223" s="28">
        <v>0</v>
      </c>
      <c r="O223" s="28">
        <v>0</v>
      </c>
      <c r="P223" s="29">
        <v>0</v>
      </c>
      <c r="Q223" s="29">
        <v>0</v>
      </c>
      <c r="R223" s="29">
        <v>0</v>
      </c>
      <c r="S223" s="30">
        <v>1939.78</v>
      </c>
      <c r="T223" s="30">
        <v>1701.27</v>
      </c>
      <c r="U223" s="30">
        <v>238.51</v>
      </c>
    </row>
    <row x14ac:dyDescent="0.25" r="224" customHeight="1" ht="18.75">
      <c r="A224" s="21">
        <v>223</v>
      </c>
      <c r="B224" s="22" t="s">
        <v>1198</v>
      </c>
      <c r="C224" s="22" t="s">
        <v>1199</v>
      </c>
      <c r="D224" s="22" t="s">
        <v>1200</v>
      </c>
      <c r="E224" s="22" t="s">
        <v>1201</v>
      </c>
      <c r="F224" s="23"/>
      <c r="G224" s="22"/>
      <c r="H224" s="24"/>
      <c r="I224" s="25"/>
      <c r="J224" s="26">
        <v>430</v>
      </c>
      <c r="K224" s="27" t="s">
        <v>180</v>
      </c>
      <c r="L224" s="27" t="s">
        <v>169</v>
      </c>
      <c r="M224" s="28" t="s">
        <v>1202</v>
      </c>
      <c r="N224" s="28" t="s">
        <v>1203</v>
      </c>
      <c r="O224" s="28" t="s">
        <v>1204</v>
      </c>
      <c r="P224" s="29" t="s">
        <v>1202</v>
      </c>
      <c r="Q224" s="29" t="s">
        <v>1203</v>
      </c>
      <c r="R224" s="29" t="s">
        <v>1204</v>
      </c>
      <c r="S224" s="30">
        <v>4034.28</v>
      </c>
      <c r="T224" s="30">
        <v>881.84</v>
      </c>
      <c r="U224" s="30">
        <v>3152.44</v>
      </c>
    </row>
    <row x14ac:dyDescent="0.25" r="225" customHeight="1" ht="18.75">
      <c r="A225" s="21">
        <v>224</v>
      </c>
      <c r="B225" s="22" t="s">
        <v>1205</v>
      </c>
      <c r="C225" s="22" t="s">
        <v>166</v>
      </c>
      <c r="D225" s="22" t="s">
        <v>1206</v>
      </c>
      <c r="E225" s="22" t="s">
        <v>232</v>
      </c>
      <c r="F225" s="23"/>
      <c r="G225" s="22"/>
      <c r="H225" s="24"/>
      <c r="I225" s="25"/>
      <c r="J225" s="26">
        <v>432</v>
      </c>
      <c r="K225" s="27" t="s">
        <v>180</v>
      </c>
      <c r="L225" s="27" t="s">
        <v>169</v>
      </c>
      <c r="M225" s="28" t="s">
        <v>170</v>
      </c>
      <c r="N225" s="28" t="s">
        <v>1207</v>
      </c>
      <c r="O225" s="28" t="s">
        <v>1208</v>
      </c>
      <c r="P225" s="29" t="s">
        <v>173</v>
      </c>
      <c r="Q225" s="29" t="s">
        <v>174</v>
      </c>
      <c r="R225" s="29" t="s">
        <v>175</v>
      </c>
      <c r="S225" s="30">
        <v>1681.94</v>
      </c>
      <c r="T225" s="30">
        <v>127.05</v>
      </c>
      <c r="U225" s="30">
        <v>1554.89</v>
      </c>
    </row>
    <row x14ac:dyDescent="0.25" r="226" customHeight="1" ht="18.75">
      <c r="A226" s="21">
        <v>225</v>
      </c>
      <c r="B226" s="22" t="s">
        <v>1209</v>
      </c>
      <c r="C226" s="22" t="s">
        <v>656</v>
      </c>
      <c r="D226" s="22" t="s">
        <v>1210</v>
      </c>
      <c r="E226" s="22" t="s">
        <v>824</v>
      </c>
      <c r="F226" s="23"/>
      <c r="G226" s="22"/>
      <c r="H226" s="24"/>
      <c r="I226" s="25"/>
      <c r="J226" s="26">
        <v>35</v>
      </c>
      <c r="K226" s="27" t="s">
        <v>180</v>
      </c>
      <c r="L226" s="27" t="s">
        <v>169</v>
      </c>
      <c r="M226" s="28" t="s">
        <v>658</v>
      </c>
      <c r="N226" s="28" t="s">
        <v>661</v>
      </c>
      <c r="O226" s="28" t="s">
        <v>662</v>
      </c>
      <c r="P226" s="29" t="s">
        <v>658</v>
      </c>
      <c r="Q226" s="29" t="s">
        <v>661</v>
      </c>
      <c r="R226" s="29" t="s">
        <v>662</v>
      </c>
      <c r="S226" s="30">
        <v>3000</v>
      </c>
      <c r="T226" s="30">
        <v>248.58</v>
      </c>
      <c r="U226" s="30">
        <v>2751.42</v>
      </c>
    </row>
    <row x14ac:dyDescent="0.25" r="227" customHeight="1" ht="18.75">
      <c r="A227" s="21">
        <v>226</v>
      </c>
      <c r="B227" s="22" t="s">
        <v>1211</v>
      </c>
      <c r="C227" s="22" t="s">
        <v>166</v>
      </c>
      <c r="D227" s="22" t="s">
        <v>1212</v>
      </c>
      <c r="E227" s="22" t="s">
        <v>134</v>
      </c>
      <c r="F227" s="23"/>
      <c r="G227" s="22"/>
      <c r="H227" s="24"/>
      <c r="I227" s="25"/>
      <c r="J227" s="26">
        <v>11</v>
      </c>
      <c r="K227" s="27" t="s">
        <v>180</v>
      </c>
      <c r="L227" s="27" t="s">
        <v>169</v>
      </c>
      <c r="M227" s="28" t="s">
        <v>1213</v>
      </c>
      <c r="N227" s="28" t="s">
        <v>1214</v>
      </c>
      <c r="O227" s="28" t="s">
        <v>1215</v>
      </c>
      <c r="P227" s="29" t="s">
        <v>1216</v>
      </c>
      <c r="Q227" s="29" t="s">
        <v>1217</v>
      </c>
      <c r="R227" s="29" t="s">
        <v>1218</v>
      </c>
      <c r="S227" s="30">
        <v>1949.21</v>
      </c>
      <c r="T227" s="30">
        <v>145.03</v>
      </c>
      <c r="U227" s="30">
        <v>1804.18</v>
      </c>
    </row>
    <row x14ac:dyDescent="0.25" r="228" customHeight="1" ht="18.75">
      <c r="A228" s="21">
        <v>227</v>
      </c>
      <c r="B228" s="22" t="s">
        <v>1219</v>
      </c>
      <c r="C228" s="22" t="s">
        <v>378</v>
      </c>
      <c r="D228" s="22" t="s">
        <v>1220</v>
      </c>
      <c r="E228" s="22" t="s">
        <v>134</v>
      </c>
      <c r="F228" s="23"/>
      <c r="G228" s="22"/>
      <c r="H228" s="24"/>
      <c r="I228" s="25"/>
      <c r="J228" s="26">
        <v>150</v>
      </c>
      <c r="K228" s="27" t="s">
        <v>180</v>
      </c>
      <c r="L228" s="27" t="s">
        <v>169</v>
      </c>
      <c r="M228" s="28" t="s">
        <v>1221</v>
      </c>
      <c r="N228" s="28" t="s">
        <v>1222</v>
      </c>
      <c r="O228" s="28" t="s">
        <v>1223</v>
      </c>
      <c r="P228" s="29">
        <v>0</v>
      </c>
      <c r="Q228" s="29">
        <v>0</v>
      </c>
      <c r="R228" s="29">
        <v>0</v>
      </c>
      <c r="S228" s="30">
        <v>1800</v>
      </c>
      <c r="T228" s="30">
        <v>975.3</v>
      </c>
      <c r="U228" s="30">
        <v>824.7</v>
      </c>
    </row>
    <row x14ac:dyDescent="0.25" r="229" customHeight="1" ht="18.75">
      <c r="A229" s="21">
        <v>228</v>
      </c>
      <c r="B229" s="22" t="s">
        <v>1224</v>
      </c>
      <c r="C229" s="22" t="s">
        <v>472</v>
      </c>
      <c r="D229" s="22" t="s">
        <v>1225</v>
      </c>
      <c r="E229" s="22" t="s">
        <v>474</v>
      </c>
      <c r="F229" s="23"/>
      <c r="G229" s="22"/>
      <c r="H229" s="24"/>
      <c r="I229" s="25"/>
      <c r="J229" s="26">
        <v>618</v>
      </c>
      <c r="K229" s="27" t="s">
        <v>475</v>
      </c>
      <c r="L229" s="27" t="s">
        <v>169</v>
      </c>
      <c r="M229" s="28" t="s">
        <v>476</v>
      </c>
      <c r="N229" s="28" t="s">
        <v>477</v>
      </c>
      <c r="O229" s="28" t="s">
        <v>478</v>
      </c>
      <c r="P229" s="29" t="s">
        <v>476</v>
      </c>
      <c r="Q229" s="29" t="s">
        <v>477</v>
      </c>
      <c r="R229" s="29" t="s">
        <v>478</v>
      </c>
      <c r="S229" s="30">
        <v>2800</v>
      </c>
      <c r="T229" s="30">
        <v>227.68</v>
      </c>
      <c r="U229" s="30">
        <v>2572.32</v>
      </c>
    </row>
    <row x14ac:dyDescent="0.25" r="230" customHeight="1" ht="18.75">
      <c r="A230" s="21">
        <v>229</v>
      </c>
      <c r="B230" s="22" t="s">
        <v>1226</v>
      </c>
      <c r="C230" s="22" t="s">
        <v>190</v>
      </c>
      <c r="D230" s="22" t="s">
        <v>1227</v>
      </c>
      <c r="E230" s="22" t="s">
        <v>310</v>
      </c>
      <c r="F230" s="23"/>
      <c r="G230" s="22"/>
      <c r="H230" s="24"/>
      <c r="I230" s="25"/>
      <c r="J230" s="26">
        <v>651</v>
      </c>
      <c r="K230" s="27" t="s">
        <v>1228</v>
      </c>
      <c r="L230" s="27" t="s">
        <v>169</v>
      </c>
      <c r="M230" s="28" t="s">
        <v>1229</v>
      </c>
      <c r="N230" s="28" t="s">
        <v>1230</v>
      </c>
      <c r="O230" s="28" t="s">
        <v>1231</v>
      </c>
      <c r="P230" s="29" t="s">
        <v>236</v>
      </c>
      <c r="Q230" s="29" t="s">
        <v>275</v>
      </c>
      <c r="R230" s="29" t="s">
        <v>276</v>
      </c>
      <c r="S230" s="30">
        <v>3433.34</v>
      </c>
      <c r="T230" s="30">
        <v>300.59</v>
      </c>
      <c r="U230" s="30">
        <v>3132.75</v>
      </c>
    </row>
    <row x14ac:dyDescent="0.25" r="231" customHeight="1" ht="18.75">
      <c r="A231" s="21">
        <v>230</v>
      </c>
      <c r="B231" s="22" t="s">
        <v>1232</v>
      </c>
      <c r="C231" s="22" t="s">
        <v>396</v>
      </c>
      <c r="D231" s="22" t="s">
        <v>1233</v>
      </c>
      <c r="E231" s="22" t="s">
        <v>140</v>
      </c>
      <c r="F231" s="23"/>
      <c r="G231" s="22"/>
      <c r="H231" s="24"/>
      <c r="I231" s="25"/>
      <c r="J231" s="26">
        <v>56</v>
      </c>
      <c r="K231" s="27" t="s">
        <v>180</v>
      </c>
      <c r="L231" s="27" t="s">
        <v>169</v>
      </c>
      <c r="M231" s="28" t="s">
        <v>1234</v>
      </c>
      <c r="N231" s="28" t="s">
        <v>1235</v>
      </c>
      <c r="O231" s="28" t="s">
        <v>1236</v>
      </c>
      <c r="P231" s="29" t="s">
        <v>398</v>
      </c>
      <c r="Q231" s="29" t="s">
        <v>399</v>
      </c>
      <c r="R231" s="29" t="s">
        <v>400</v>
      </c>
      <c r="S231" s="30">
        <v>5204.4</v>
      </c>
      <c r="T231" s="30">
        <v>530.11</v>
      </c>
      <c r="U231" s="30">
        <v>4674.29</v>
      </c>
    </row>
    <row x14ac:dyDescent="0.25" r="232" customHeight="1" ht="18.75">
      <c r="A232" s="21">
        <v>231</v>
      </c>
      <c r="B232" s="22" t="s">
        <v>1237</v>
      </c>
      <c r="C232" s="22" t="s">
        <v>166</v>
      </c>
      <c r="D232" s="22" t="s">
        <v>1238</v>
      </c>
      <c r="E232" s="22" t="s">
        <v>140</v>
      </c>
      <c r="F232" s="23"/>
      <c r="G232" s="22"/>
      <c r="H232" s="24"/>
      <c r="I232" s="25"/>
      <c r="J232" s="26">
        <v>640</v>
      </c>
      <c r="K232" s="27" t="s">
        <v>460</v>
      </c>
      <c r="L232" s="27" t="s">
        <v>169</v>
      </c>
      <c r="M232" s="28" t="s">
        <v>1239</v>
      </c>
      <c r="N232" s="28" t="s">
        <v>1240</v>
      </c>
      <c r="O232" s="28" t="s">
        <v>1241</v>
      </c>
      <c r="P232" s="29" t="s">
        <v>707</v>
      </c>
      <c r="Q232" s="29" t="s">
        <v>723</v>
      </c>
      <c r="R232" s="29" t="s">
        <v>724</v>
      </c>
      <c r="S232" s="30">
        <v>1909.03</v>
      </c>
      <c r="T232" s="30">
        <v>147.49</v>
      </c>
      <c r="U232" s="30">
        <v>1761.54</v>
      </c>
    </row>
    <row x14ac:dyDescent="0.25" r="233" customHeight="1" ht="18.75">
      <c r="A233" s="21">
        <v>232</v>
      </c>
      <c r="B233" s="22" t="s">
        <v>1242</v>
      </c>
      <c r="C233" s="22" t="s">
        <v>190</v>
      </c>
      <c r="D233" s="22" t="s">
        <v>1243</v>
      </c>
      <c r="E233" s="22" t="s">
        <v>140</v>
      </c>
      <c r="F233" s="23"/>
      <c r="G233" s="22"/>
      <c r="H233" s="24"/>
      <c r="I233" s="25"/>
      <c r="J233" s="26">
        <v>132</v>
      </c>
      <c r="K233" s="27" t="s">
        <v>180</v>
      </c>
      <c r="L233" s="27" t="s">
        <v>169</v>
      </c>
      <c r="M233" s="28" t="s">
        <v>1244</v>
      </c>
      <c r="N233" s="28" t="s">
        <v>1245</v>
      </c>
      <c r="O233" s="28" t="s">
        <v>1246</v>
      </c>
      <c r="P233" s="29" t="s">
        <v>1247</v>
      </c>
      <c r="Q233" s="29" t="s">
        <v>1248</v>
      </c>
      <c r="R233" s="29" t="s">
        <v>1249</v>
      </c>
      <c r="S233" s="30">
        <v>3090.01</v>
      </c>
      <c r="T233" s="30">
        <v>259.39</v>
      </c>
      <c r="U233" s="30">
        <v>2830.62</v>
      </c>
    </row>
    <row x14ac:dyDescent="0.25" r="234" customHeight="1" ht="18.75">
      <c r="A234" s="21">
        <v>233</v>
      </c>
      <c r="B234" s="22" t="s">
        <v>1250</v>
      </c>
      <c r="C234" s="22" t="s">
        <v>166</v>
      </c>
      <c r="D234" s="22" t="s">
        <v>1251</v>
      </c>
      <c r="E234" s="22" t="s">
        <v>273</v>
      </c>
      <c r="F234" s="23"/>
      <c r="G234" s="22"/>
      <c r="H234" s="24"/>
      <c r="I234" s="25"/>
      <c r="J234" s="26">
        <v>393</v>
      </c>
      <c r="K234" s="27" t="s">
        <v>180</v>
      </c>
      <c r="L234" s="27" t="s">
        <v>169</v>
      </c>
      <c r="M234" s="28" t="s">
        <v>170</v>
      </c>
      <c r="N234" s="28" t="s">
        <v>171</v>
      </c>
      <c r="O234" s="28" t="s">
        <v>172</v>
      </c>
      <c r="P234" s="29" t="s">
        <v>1252</v>
      </c>
      <c r="Q234" s="29" t="s">
        <v>1253</v>
      </c>
      <c r="R234" s="29" t="s">
        <v>1254</v>
      </c>
      <c r="S234" s="30">
        <v>1682.61</v>
      </c>
      <c r="T234" s="30">
        <v>127.11</v>
      </c>
      <c r="U234" s="30">
        <v>1555.5</v>
      </c>
    </row>
    <row x14ac:dyDescent="0.25" r="235" customHeight="1" ht="18.75">
      <c r="A235" s="21">
        <v>234</v>
      </c>
      <c r="B235" s="22" t="s">
        <v>1255</v>
      </c>
      <c r="C235" s="22" t="s">
        <v>323</v>
      </c>
      <c r="D235" s="22" t="s">
        <v>1256</v>
      </c>
      <c r="E235" s="22" t="s">
        <v>191</v>
      </c>
      <c r="F235" s="23"/>
      <c r="G235" s="22"/>
      <c r="H235" s="24"/>
      <c r="I235" s="25"/>
      <c r="J235" s="26">
        <v>30</v>
      </c>
      <c r="K235" s="27" t="s">
        <v>180</v>
      </c>
      <c r="L235" s="27" t="s">
        <v>169</v>
      </c>
      <c r="M235" s="28" t="s">
        <v>325</v>
      </c>
      <c r="N235" s="28" t="s">
        <v>1257</v>
      </c>
      <c r="O235" s="28" t="s">
        <v>1258</v>
      </c>
      <c r="P235" s="29" t="s">
        <v>325</v>
      </c>
      <c r="Q235" s="29" t="s">
        <v>1257</v>
      </c>
      <c r="R235" s="29" t="s">
        <v>1258</v>
      </c>
      <c r="S235" s="30">
        <v>5787.43</v>
      </c>
      <c r="T235" s="30">
        <v>918.27</v>
      </c>
      <c r="U235" s="30">
        <v>4869.16</v>
      </c>
    </row>
    <row x14ac:dyDescent="0.25" r="236" customHeight="1" ht="18.75">
      <c r="A236" s="21">
        <v>235</v>
      </c>
      <c r="B236" s="22" t="s">
        <v>1259</v>
      </c>
      <c r="C236" s="22" t="s">
        <v>190</v>
      </c>
      <c r="D236" s="22" t="s">
        <v>1260</v>
      </c>
      <c r="E236" s="22" t="s">
        <v>114</v>
      </c>
      <c r="F236" s="23"/>
      <c r="G236" s="22"/>
      <c r="H236" s="24"/>
      <c r="I236" s="25"/>
      <c r="J236" s="26">
        <v>422</v>
      </c>
      <c r="K236" s="27" t="s">
        <v>180</v>
      </c>
      <c r="L236" s="27" t="s">
        <v>169</v>
      </c>
      <c r="M236" s="28" t="s">
        <v>233</v>
      </c>
      <c r="N236" s="28" t="s">
        <v>234</v>
      </c>
      <c r="O236" s="28" t="s">
        <v>235</v>
      </c>
      <c r="P236" s="29" t="s">
        <v>236</v>
      </c>
      <c r="Q236" s="29" t="s">
        <v>275</v>
      </c>
      <c r="R236" s="29" t="s">
        <v>276</v>
      </c>
      <c r="S236" s="30">
        <v>3433.34</v>
      </c>
      <c r="T236" s="30">
        <v>300.59</v>
      </c>
      <c r="U236" s="30">
        <v>3132.75</v>
      </c>
    </row>
    <row x14ac:dyDescent="0.25" r="237" customHeight="1" ht="18.75">
      <c r="A237" s="21">
        <v>236</v>
      </c>
      <c r="B237" s="22" t="s">
        <v>1261</v>
      </c>
      <c r="C237" s="22" t="s">
        <v>166</v>
      </c>
      <c r="D237" s="22" t="s">
        <v>1262</v>
      </c>
      <c r="E237" s="22" t="s">
        <v>49</v>
      </c>
      <c r="F237" s="23"/>
      <c r="G237" s="22"/>
      <c r="H237" s="24"/>
      <c r="I237" s="25"/>
      <c r="J237" s="26">
        <v>376</v>
      </c>
      <c r="K237" s="27" t="s">
        <v>180</v>
      </c>
      <c r="L237" s="27" t="s">
        <v>169</v>
      </c>
      <c r="M237" s="28" t="s">
        <v>170</v>
      </c>
      <c r="N237" s="28" t="s">
        <v>171</v>
      </c>
      <c r="O237" s="28" t="s">
        <v>172</v>
      </c>
      <c r="P237" s="29" t="s">
        <v>173</v>
      </c>
      <c r="Q237" s="29" t="s">
        <v>174</v>
      </c>
      <c r="R237" s="29" t="s">
        <v>175</v>
      </c>
      <c r="S237" s="30">
        <v>1681.94</v>
      </c>
      <c r="T237" s="30">
        <v>127.05</v>
      </c>
      <c r="U237" s="30">
        <v>1554.89</v>
      </c>
    </row>
    <row x14ac:dyDescent="0.25" r="238" customHeight="1" ht="18.75">
      <c r="A238" s="21">
        <v>237</v>
      </c>
      <c r="B238" s="22" t="s">
        <v>1263</v>
      </c>
      <c r="C238" s="22" t="s">
        <v>190</v>
      </c>
      <c r="D238" s="22" t="s">
        <v>1264</v>
      </c>
      <c r="E238" s="22" t="s">
        <v>280</v>
      </c>
      <c r="F238" s="23"/>
      <c r="G238" s="22"/>
      <c r="H238" s="24"/>
      <c r="I238" s="25"/>
      <c r="J238" s="26">
        <v>133</v>
      </c>
      <c r="K238" s="27" t="s">
        <v>180</v>
      </c>
      <c r="L238" s="27" t="s">
        <v>169</v>
      </c>
      <c r="M238" s="28" t="s">
        <v>1265</v>
      </c>
      <c r="N238" s="28" t="s">
        <v>1266</v>
      </c>
      <c r="O238" s="28" t="s">
        <v>1267</v>
      </c>
      <c r="P238" s="29" t="s">
        <v>586</v>
      </c>
      <c r="Q238" s="29" t="s">
        <v>587</v>
      </c>
      <c r="R238" s="29" t="s">
        <v>588</v>
      </c>
      <c r="S238" s="30">
        <v>4787.93</v>
      </c>
      <c r="T238" s="30">
        <v>471.81</v>
      </c>
      <c r="U238" s="30">
        <v>4316.12</v>
      </c>
    </row>
    <row x14ac:dyDescent="0.25" r="239" customHeight="1" ht="18.75">
      <c r="A239" s="21">
        <v>238</v>
      </c>
      <c r="B239" s="22" t="s">
        <v>1268</v>
      </c>
      <c r="C239" s="22" t="s">
        <v>539</v>
      </c>
      <c r="D239" s="22" t="s">
        <v>1269</v>
      </c>
      <c r="E239" s="22" t="s">
        <v>746</v>
      </c>
      <c r="F239" s="23"/>
      <c r="G239" s="22"/>
      <c r="H239" s="24"/>
      <c r="I239" s="25"/>
      <c r="J239" s="26">
        <v>500</v>
      </c>
      <c r="K239" s="27" t="s">
        <v>180</v>
      </c>
      <c r="L239" s="27" t="s">
        <v>169</v>
      </c>
      <c r="M239" s="28" t="s">
        <v>173</v>
      </c>
      <c r="N239" s="28" t="s">
        <v>174</v>
      </c>
      <c r="O239" s="28" t="s">
        <v>175</v>
      </c>
      <c r="P239" s="29" t="s">
        <v>173</v>
      </c>
      <c r="Q239" s="29" t="s">
        <v>174</v>
      </c>
      <c r="R239" s="29" t="s">
        <v>175</v>
      </c>
      <c r="S239" s="30">
        <v>1621</v>
      </c>
      <c r="T239" s="30">
        <v>121.57</v>
      </c>
      <c r="U239" s="30">
        <v>1499.43</v>
      </c>
    </row>
    <row x14ac:dyDescent="0.25" r="240" customHeight="1" ht="18.75">
      <c r="A240" s="21">
        <v>239</v>
      </c>
      <c r="B240" s="22" t="s">
        <v>1270</v>
      </c>
      <c r="C240" s="22" t="s">
        <v>190</v>
      </c>
      <c r="D240" s="22" t="s">
        <v>1271</v>
      </c>
      <c r="E240" s="22" t="s">
        <v>134</v>
      </c>
      <c r="F240" s="23"/>
      <c r="G240" s="22"/>
      <c r="H240" s="24"/>
      <c r="I240" s="25"/>
      <c r="J240" s="26">
        <v>45</v>
      </c>
      <c r="K240" s="27" t="s">
        <v>180</v>
      </c>
      <c r="L240" s="27" t="s">
        <v>169</v>
      </c>
      <c r="M240" s="28" t="s">
        <v>1272</v>
      </c>
      <c r="N240" s="28" t="s">
        <v>1273</v>
      </c>
      <c r="O240" s="28" t="s">
        <v>1274</v>
      </c>
      <c r="P240" s="29" t="s">
        <v>1247</v>
      </c>
      <c r="Q240" s="29" t="s">
        <v>1275</v>
      </c>
      <c r="R240" s="29" t="s">
        <v>1276</v>
      </c>
      <c r="S240" s="30">
        <v>3090.01</v>
      </c>
      <c r="T240" s="30">
        <v>1434.71</v>
      </c>
      <c r="U240" s="30">
        <v>1655.3</v>
      </c>
    </row>
    <row x14ac:dyDescent="0.25" r="241" customHeight="1" ht="18.75">
      <c r="A241" s="21">
        <v>240</v>
      </c>
      <c r="B241" s="22" t="s">
        <v>1277</v>
      </c>
      <c r="C241" s="22" t="s">
        <v>166</v>
      </c>
      <c r="D241" s="22" t="s">
        <v>1278</v>
      </c>
      <c r="E241" s="22" t="s">
        <v>110</v>
      </c>
      <c r="F241" s="23"/>
      <c r="G241" s="22"/>
      <c r="H241" s="24"/>
      <c r="I241" s="25"/>
      <c r="J241" s="26">
        <v>350</v>
      </c>
      <c r="K241" s="27" t="s">
        <v>180</v>
      </c>
      <c r="L241" s="27" t="s">
        <v>169</v>
      </c>
      <c r="M241" s="28" t="s">
        <v>1279</v>
      </c>
      <c r="N241" s="28" t="s">
        <v>171</v>
      </c>
      <c r="O241" s="28" t="s">
        <v>1280</v>
      </c>
      <c r="P241" s="29" t="s">
        <v>201</v>
      </c>
      <c r="Q241" s="29" t="s">
        <v>174</v>
      </c>
      <c r="R241" s="29" t="s">
        <v>202</v>
      </c>
      <c r="S241" s="30">
        <v>1884.56</v>
      </c>
      <c r="T241" s="30">
        <v>127.05</v>
      </c>
      <c r="U241" s="30">
        <v>1757.51</v>
      </c>
    </row>
    <row x14ac:dyDescent="0.25" r="242" customHeight="1" ht="18.75">
      <c r="A242" s="21">
        <v>241</v>
      </c>
      <c r="B242" s="22" t="s">
        <v>1281</v>
      </c>
      <c r="C242" s="22" t="s">
        <v>190</v>
      </c>
      <c r="D242" s="22" t="s">
        <v>1282</v>
      </c>
      <c r="E242" s="22" t="s">
        <v>134</v>
      </c>
      <c r="F242" s="23"/>
      <c r="G242" s="22"/>
      <c r="H242" s="24"/>
      <c r="I242" s="25"/>
      <c r="J242" s="26">
        <v>115</v>
      </c>
      <c r="K242" s="27" t="s">
        <v>180</v>
      </c>
      <c r="L242" s="27" t="s">
        <v>169</v>
      </c>
      <c r="M242" s="28" t="s">
        <v>1283</v>
      </c>
      <c r="N242" s="28" t="s">
        <v>1284</v>
      </c>
      <c r="O242" s="28" t="s">
        <v>1285</v>
      </c>
      <c r="P242" s="29" t="s">
        <v>1286</v>
      </c>
      <c r="Q242" s="29" t="s">
        <v>1287</v>
      </c>
      <c r="R242" s="29" t="s">
        <v>1288</v>
      </c>
      <c r="S242" s="30">
        <v>3533.76</v>
      </c>
      <c r="T242" s="30">
        <v>2050.35</v>
      </c>
      <c r="U242" s="30">
        <v>1483.41</v>
      </c>
    </row>
    <row x14ac:dyDescent="0.25" r="243" customHeight="1" ht="18.75">
      <c r="A243" s="21">
        <v>242</v>
      </c>
      <c r="B243" s="22" t="s">
        <v>1289</v>
      </c>
      <c r="C243" s="22" t="s">
        <v>402</v>
      </c>
      <c r="D243" s="22" t="s">
        <v>1290</v>
      </c>
      <c r="E243" s="22" t="s">
        <v>1188</v>
      </c>
      <c r="F243" s="23"/>
      <c r="G243" s="22"/>
      <c r="H243" s="24"/>
      <c r="I243" s="25"/>
      <c r="J243" s="26">
        <v>229</v>
      </c>
      <c r="K243" s="27" t="s">
        <v>180</v>
      </c>
      <c r="L243" s="27" t="s">
        <v>169</v>
      </c>
      <c r="M243" s="28" t="s">
        <v>1048</v>
      </c>
      <c r="N243" s="28" t="s">
        <v>1049</v>
      </c>
      <c r="O243" s="28" t="s">
        <v>1050</v>
      </c>
      <c r="P243" s="29" t="s">
        <v>1048</v>
      </c>
      <c r="Q243" s="29" t="s">
        <v>1049</v>
      </c>
      <c r="R243" s="29" t="s">
        <v>1050</v>
      </c>
      <c r="S243" s="30">
        <v>3720</v>
      </c>
      <c r="T243" s="30">
        <v>334.98</v>
      </c>
      <c r="U243" s="30">
        <v>3385.02</v>
      </c>
    </row>
    <row x14ac:dyDescent="0.25" r="244" customHeight="1" ht="18.75">
      <c r="A244" s="21">
        <v>243</v>
      </c>
      <c r="B244" s="22" t="s">
        <v>1291</v>
      </c>
      <c r="C244" s="22" t="s">
        <v>166</v>
      </c>
      <c r="D244" s="22" t="s">
        <v>1292</v>
      </c>
      <c r="E244" s="22" t="s">
        <v>106</v>
      </c>
      <c r="F244" s="23"/>
      <c r="G244" s="22"/>
      <c r="H244" s="24"/>
      <c r="I244" s="25"/>
      <c r="J244" s="26">
        <v>246</v>
      </c>
      <c r="K244" s="27" t="s">
        <v>180</v>
      </c>
      <c r="L244" s="27" t="s">
        <v>169</v>
      </c>
      <c r="M244" s="28" t="s">
        <v>170</v>
      </c>
      <c r="N244" s="28" t="s">
        <v>171</v>
      </c>
      <c r="O244" s="28" t="s">
        <v>172</v>
      </c>
      <c r="P244" s="29" t="s">
        <v>173</v>
      </c>
      <c r="Q244" s="29" t="s">
        <v>174</v>
      </c>
      <c r="R244" s="29" t="s">
        <v>175</v>
      </c>
      <c r="S244" s="30">
        <v>1768.44</v>
      </c>
      <c r="T244" s="30">
        <v>134.83</v>
      </c>
      <c r="U244" s="30">
        <v>1633.61</v>
      </c>
    </row>
    <row x14ac:dyDescent="0.25" r="245" customHeight="1" ht="18.75">
      <c r="A245" s="21">
        <v>244</v>
      </c>
      <c r="B245" s="22" t="s">
        <v>1293</v>
      </c>
      <c r="C245" s="22" t="s">
        <v>190</v>
      </c>
      <c r="D245" s="22" t="s">
        <v>1294</v>
      </c>
      <c r="E245" s="22" t="s">
        <v>98</v>
      </c>
      <c r="F245" s="23"/>
      <c r="G245" s="22"/>
      <c r="H245" s="24"/>
      <c r="I245" s="25"/>
      <c r="J245" s="26">
        <v>276</v>
      </c>
      <c r="K245" s="27" t="s">
        <v>180</v>
      </c>
      <c r="L245" s="27" t="s">
        <v>169</v>
      </c>
      <c r="M245" s="28" t="s">
        <v>233</v>
      </c>
      <c r="N245" s="28" t="s">
        <v>234</v>
      </c>
      <c r="O245" s="28" t="s">
        <v>235</v>
      </c>
      <c r="P245" s="29" t="s">
        <v>236</v>
      </c>
      <c r="Q245" s="29" t="s">
        <v>275</v>
      </c>
      <c r="R245" s="29" t="s">
        <v>276</v>
      </c>
      <c r="S245" s="30">
        <v>3433.34</v>
      </c>
      <c r="T245" s="30">
        <v>300.59</v>
      </c>
      <c r="U245" s="30">
        <v>3132.75</v>
      </c>
    </row>
    <row x14ac:dyDescent="0.25" r="246" customHeight="1" ht="18.75">
      <c r="A246" s="21">
        <v>245</v>
      </c>
      <c r="B246" s="22" t="s">
        <v>1295</v>
      </c>
      <c r="C246" s="22" t="s">
        <v>166</v>
      </c>
      <c r="D246" s="22" t="s">
        <v>1296</v>
      </c>
      <c r="E246" s="22" t="s">
        <v>432</v>
      </c>
      <c r="F246" s="23"/>
      <c r="G246" s="22"/>
      <c r="H246" s="24"/>
      <c r="I246" s="25"/>
      <c r="J246" s="26">
        <v>263</v>
      </c>
      <c r="K246" s="27" t="s">
        <v>180</v>
      </c>
      <c r="L246" s="27" t="s">
        <v>169</v>
      </c>
      <c r="M246" s="28" t="s">
        <v>1297</v>
      </c>
      <c r="N246" s="28" t="s">
        <v>1298</v>
      </c>
      <c r="O246" s="28" t="s">
        <v>1299</v>
      </c>
      <c r="P246" s="29" t="s">
        <v>1300</v>
      </c>
      <c r="Q246" s="29" t="s">
        <v>1301</v>
      </c>
      <c r="R246" s="29" t="s">
        <v>1302</v>
      </c>
      <c r="S246" s="30">
        <v>2063.08</v>
      </c>
      <c r="T246" s="30">
        <v>161.35</v>
      </c>
      <c r="U246" s="30">
        <v>1901.73</v>
      </c>
    </row>
    <row x14ac:dyDescent="0.25" r="247" customHeight="1" ht="18.75">
      <c r="A247" s="21">
        <v>246</v>
      </c>
      <c r="B247" s="22" t="s">
        <v>1303</v>
      </c>
      <c r="C247" s="22" t="s">
        <v>487</v>
      </c>
      <c r="D247" s="22" t="s">
        <v>1304</v>
      </c>
      <c r="E247" s="22" t="s">
        <v>249</v>
      </c>
      <c r="F247" s="23"/>
      <c r="G247" s="22"/>
      <c r="H247" s="24"/>
      <c r="I247" s="25"/>
      <c r="J247" s="26">
        <v>227</v>
      </c>
      <c r="K247" s="27" t="s">
        <v>180</v>
      </c>
      <c r="L247" s="27" t="s">
        <v>169</v>
      </c>
      <c r="M247" s="28" t="s">
        <v>1305</v>
      </c>
      <c r="N247" s="28" t="s">
        <v>1306</v>
      </c>
      <c r="O247" s="28" t="s">
        <v>1307</v>
      </c>
      <c r="P247" s="29" t="s">
        <v>1308</v>
      </c>
      <c r="Q247" s="29" t="s">
        <v>1309</v>
      </c>
      <c r="R247" s="29" t="s">
        <v>1310</v>
      </c>
      <c r="S247" s="30">
        <v>8276.53</v>
      </c>
      <c r="T247" s="30">
        <v>3079.22</v>
      </c>
      <c r="U247" s="30">
        <v>5197.31</v>
      </c>
    </row>
    <row x14ac:dyDescent="0.25" r="248" customHeight="1" ht="18.75">
      <c r="A248" s="21">
        <v>247</v>
      </c>
      <c r="B248" s="22" t="s">
        <v>1311</v>
      </c>
      <c r="C248" s="22" t="s">
        <v>520</v>
      </c>
      <c r="D248" s="22" t="s">
        <v>1312</v>
      </c>
      <c r="E248" s="22" t="s">
        <v>812</v>
      </c>
      <c r="F248" s="23"/>
      <c r="G248" s="22"/>
      <c r="H248" s="24"/>
      <c r="I248" s="25"/>
      <c r="J248" s="26">
        <v>397</v>
      </c>
      <c r="K248" s="27" t="s">
        <v>180</v>
      </c>
      <c r="L248" s="27" t="s">
        <v>169</v>
      </c>
      <c r="M248" s="28" t="s">
        <v>1313</v>
      </c>
      <c r="N248" s="28" t="s">
        <v>1314</v>
      </c>
      <c r="O248" s="28" t="s">
        <v>1315</v>
      </c>
      <c r="P248" s="29" t="s">
        <v>1313</v>
      </c>
      <c r="Q248" s="29" t="s">
        <v>1314</v>
      </c>
      <c r="R248" s="29" t="s">
        <v>1315</v>
      </c>
      <c r="S248" s="30">
        <v>6490.5</v>
      </c>
      <c r="T248" s="30">
        <v>1224.45</v>
      </c>
      <c r="U248" s="30">
        <v>5266.05</v>
      </c>
    </row>
    <row x14ac:dyDescent="0.25" r="249" customHeight="1" ht="18.75">
      <c r="A249" s="21">
        <v>248</v>
      </c>
      <c r="B249" s="22" t="s">
        <v>1316</v>
      </c>
      <c r="C249" s="22" t="s">
        <v>166</v>
      </c>
      <c r="D249" s="22" t="s">
        <v>1317</v>
      </c>
      <c r="E249" s="22" t="s">
        <v>140</v>
      </c>
      <c r="F249" s="23"/>
      <c r="G249" s="22"/>
      <c r="H249" s="24"/>
      <c r="I249" s="25"/>
      <c r="J249" s="26">
        <v>421</v>
      </c>
      <c r="K249" s="27" t="s">
        <v>180</v>
      </c>
      <c r="L249" s="27" t="s">
        <v>169</v>
      </c>
      <c r="M249" s="28" t="s">
        <v>266</v>
      </c>
      <c r="N249" s="28" t="s">
        <v>735</v>
      </c>
      <c r="O249" s="28" t="s">
        <v>1318</v>
      </c>
      <c r="P249" s="29" t="s">
        <v>268</v>
      </c>
      <c r="Q249" s="29" t="s">
        <v>1319</v>
      </c>
      <c r="R249" s="29" t="s">
        <v>1320</v>
      </c>
      <c r="S249" s="30">
        <v>1819.66</v>
      </c>
      <c r="T249" s="30">
        <v>212.63</v>
      </c>
      <c r="U249" s="30">
        <v>1607.03</v>
      </c>
    </row>
    <row x14ac:dyDescent="0.25" r="250" customHeight="1" ht="18.75">
      <c r="A250" s="21">
        <v>249</v>
      </c>
      <c r="B250" s="22" t="s">
        <v>1321</v>
      </c>
      <c r="C250" s="22" t="s">
        <v>190</v>
      </c>
      <c r="D250" s="22" t="s">
        <v>1322</v>
      </c>
      <c r="E250" s="22" t="s">
        <v>291</v>
      </c>
      <c r="F250" s="23"/>
      <c r="G250" s="22"/>
      <c r="H250" s="24"/>
      <c r="I250" s="25"/>
      <c r="J250" s="26">
        <v>626</v>
      </c>
      <c r="K250" s="27" t="s">
        <v>1323</v>
      </c>
      <c r="L250" s="27" t="s">
        <v>169</v>
      </c>
      <c r="M250" s="28" t="s">
        <v>233</v>
      </c>
      <c r="N250" s="28" t="s">
        <v>234</v>
      </c>
      <c r="O250" s="28" t="s">
        <v>235</v>
      </c>
      <c r="P250" s="29" t="s">
        <v>236</v>
      </c>
      <c r="Q250" s="29" t="s">
        <v>275</v>
      </c>
      <c r="R250" s="29" t="s">
        <v>276</v>
      </c>
      <c r="S250" s="30">
        <v>3433.34</v>
      </c>
      <c r="T250" s="30">
        <v>300.59</v>
      </c>
      <c r="U250" s="30">
        <v>3132.75</v>
      </c>
    </row>
    <row x14ac:dyDescent="0.25" r="251" customHeight="1" ht="18.75">
      <c r="A251" s="21">
        <v>250</v>
      </c>
      <c r="B251" s="22" t="s">
        <v>1324</v>
      </c>
      <c r="C251" s="22" t="s">
        <v>190</v>
      </c>
      <c r="D251" s="22" t="s">
        <v>1325</v>
      </c>
      <c r="E251" s="22" t="s">
        <v>76</v>
      </c>
      <c r="F251" s="23"/>
      <c r="G251" s="22"/>
      <c r="H251" s="24"/>
      <c r="I251" s="25"/>
      <c r="J251" s="26">
        <v>609</v>
      </c>
      <c r="K251" s="27" t="s">
        <v>743</v>
      </c>
      <c r="L251" s="27" t="s">
        <v>169</v>
      </c>
      <c r="M251" s="28" t="s">
        <v>233</v>
      </c>
      <c r="N251" s="28" t="s">
        <v>234</v>
      </c>
      <c r="O251" s="28" t="s">
        <v>235</v>
      </c>
      <c r="P251" s="29" t="s">
        <v>236</v>
      </c>
      <c r="Q251" s="29" t="s">
        <v>275</v>
      </c>
      <c r="R251" s="29" t="s">
        <v>276</v>
      </c>
      <c r="S251" s="30">
        <v>3433.34</v>
      </c>
      <c r="T251" s="30">
        <v>300.59</v>
      </c>
      <c r="U251" s="30">
        <v>3132.75</v>
      </c>
    </row>
    <row x14ac:dyDescent="0.25" r="252" customHeight="1" ht="18.75">
      <c r="A252" s="21">
        <v>251</v>
      </c>
      <c r="B252" s="22" t="s">
        <v>1326</v>
      </c>
      <c r="C252" s="22" t="s">
        <v>166</v>
      </c>
      <c r="D252" s="22" t="s">
        <v>1327</v>
      </c>
      <c r="E252" s="22" t="s">
        <v>191</v>
      </c>
      <c r="F252" s="23"/>
      <c r="G252" s="22"/>
      <c r="H252" s="24"/>
      <c r="I252" s="25"/>
      <c r="J252" s="26">
        <v>38</v>
      </c>
      <c r="K252" s="27" t="s">
        <v>180</v>
      </c>
      <c r="L252" s="27" t="s">
        <v>169</v>
      </c>
      <c r="M252" s="28" t="s">
        <v>258</v>
      </c>
      <c r="N252" s="28" t="s">
        <v>259</v>
      </c>
      <c r="O252" s="28" t="s">
        <v>260</v>
      </c>
      <c r="P252" s="29" t="s">
        <v>1328</v>
      </c>
      <c r="Q252" s="29" t="s">
        <v>1329</v>
      </c>
      <c r="R252" s="29" t="s">
        <v>1330</v>
      </c>
      <c r="S252" s="30">
        <v>1992.81</v>
      </c>
      <c r="T252" s="30">
        <v>148.95</v>
      </c>
      <c r="U252" s="30">
        <v>1843.86</v>
      </c>
    </row>
    <row x14ac:dyDescent="0.25" r="253" customHeight="1" ht="18.75">
      <c r="A253" s="21">
        <v>252</v>
      </c>
      <c r="B253" s="22" t="s">
        <v>1331</v>
      </c>
      <c r="C253" s="22" t="s">
        <v>539</v>
      </c>
      <c r="D253" s="22" t="s">
        <v>1332</v>
      </c>
      <c r="E253" s="22" t="s">
        <v>582</v>
      </c>
      <c r="F253" s="23"/>
      <c r="G253" s="22"/>
      <c r="H253" s="24"/>
      <c r="I253" s="25"/>
      <c r="J253" s="26">
        <v>277</v>
      </c>
      <c r="K253" s="27" t="s">
        <v>180</v>
      </c>
      <c r="L253" s="27" t="s">
        <v>169</v>
      </c>
      <c r="M253" s="28" t="s">
        <v>1193</v>
      </c>
      <c r="N253" s="28" t="s">
        <v>1194</v>
      </c>
      <c r="O253" s="28" t="s">
        <v>1195</v>
      </c>
      <c r="P253" s="29" t="s">
        <v>1193</v>
      </c>
      <c r="Q253" s="29" t="s">
        <v>1194</v>
      </c>
      <c r="R253" s="29" t="s">
        <v>1195</v>
      </c>
      <c r="S253" s="30">
        <v>2107.3</v>
      </c>
      <c r="T253" s="30">
        <v>165.33</v>
      </c>
      <c r="U253" s="30">
        <v>1941.97</v>
      </c>
    </row>
    <row x14ac:dyDescent="0.25" r="254" customHeight="1" ht="18.75">
      <c r="A254" s="21">
        <v>253</v>
      </c>
      <c r="B254" s="22" t="s">
        <v>1333</v>
      </c>
      <c r="C254" s="22" t="s">
        <v>166</v>
      </c>
      <c r="D254" s="22" t="s">
        <v>1334</v>
      </c>
      <c r="E254" s="22" t="s">
        <v>812</v>
      </c>
      <c r="F254" s="23"/>
      <c r="G254" s="22"/>
      <c r="H254" s="24"/>
      <c r="I254" s="25"/>
      <c r="J254" s="26">
        <v>549</v>
      </c>
      <c r="K254" s="27" t="s">
        <v>180</v>
      </c>
      <c r="L254" s="27" t="s">
        <v>169</v>
      </c>
      <c r="M254" s="28" t="s">
        <v>1335</v>
      </c>
      <c r="N254" s="28" t="s">
        <v>1336</v>
      </c>
      <c r="O254" s="28" t="s">
        <v>1337</v>
      </c>
      <c r="P254" s="29" t="s">
        <v>1193</v>
      </c>
      <c r="Q254" s="29" t="s">
        <v>1194</v>
      </c>
      <c r="R254" s="29" t="s">
        <v>1195</v>
      </c>
      <c r="S254" s="30">
        <v>2186.52</v>
      </c>
      <c r="T254" s="30">
        <v>172.46</v>
      </c>
      <c r="U254" s="30">
        <v>2014.06</v>
      </c>
    </row>
    <row x14ac:dyDescent="0.25" r="255" customHeight="1" ht="18.75">
      <c r="A255" s="21">
        <v>254</v>
      </c>
      <c r="B255" s="22" t="s">
        <v>1338</v>
      </c>
      <c r="C255" s="22" t="s">
        <v>190</v>
      </c>
      <c r="D255" s="22" t="s">
        <v>1339</v>
      </c>
      <c r="E255" s="22" t="s">
        <v>191</v>
      </c>
      <c r="F255" s="23"/>
      <c r="G255" s="22"/>
      <c r="H255" s="24"/>
      <c r="I255" s="25"/>
      <c r="J255" s="26">
        <v>168</v>
      </c>
      <c r="K255" s="27" t="s">
        <v>180</v>
      </c>
      <c r="L255" s="27" t="s">
        <v>169</v>
      </c>
      <c r="M255" s="28" t="s">
        <v>1340</v>
      </c>
      <c r="N255" s="28" t="s">
        <v>1341</v>
      </c>
      <c r="O255" s="28" t="s">
        <v>1342</v>
      </c>
      <c r="P255" s="29" t="s">
        <v>1343</v>
      </c>
      <c r="Q255" s="29" t="s">
        <v>1344</v>
      </c>
      <c r="R255" s="29" t="s">
        <v>1345</v>
      </c>
      <c r="S255" s="30">
        <v>3150.63</v>
      </c>
      <c r="T255" s="30">
        <v>266.66</v>
      </c>
      <c r="U255" s="30">
        <v>2883.97</v>
      </c>
    </row>
    <row x14ac:dyDescent="0.25" r="256" customHeight="1" ht="18.75">
      <c r="A256" s="21">
        <v>255</v>
      </c>
      <c r="B256" s="22" t="s">
        <v>1346</v>
      </c>
      <c r="C256" s="22" t="s">
        <v>166</v>
      </c>
      <c r="D256" s="22" t="s">
        <v>1347</v>
      </c>
      <c r="E256" s="22" t="s">
        <v>895</v>
      </c>
      <c r="F256" s="23"/>
      <c r="G256" s="22"/>
      <c r="H256" s="24"/>
      <c r="I256" s="25"/>
      <c r="J256" s="26">
        <v>610</v>
      </c>
      <c r="K256" s="27" t="s">
        <v>743</v>
      </c>
      <c r="L256" s="27" t="s">
        <v>169</v>
      </c>
      <c r="M256" s="28" t="s">
        <v>1348</v>
      </c>
      <c r="N256" s="28" t="s">
        <v>1349</v>
      </c>
      <c r="O256" s="28" t="s">
        <v>1350</v>
      </c>
      <c r="P256" s="29" t="s">
        <v>1193</v>
      </c>
      <c r="Q256" s="29" t="s">
        <v>1194</v>
      </c>
      <c r="R256" s="29" t="s">
        <v>1195</v>
      </c>
      <c r="S256" s="30">
        <v>2558.84</v>
      </c>
      <c r="T256" s="30">
        <v>205.97</v>
      </c>
      <c r="U256" s="30">
        <v>2352.87</v>
      </c>
    </row>
    <row x14ac:dyDescent="0.25" r="257" customHeight="1" ht="18.75">
      <c r="A257" s="21">
        <v>256</v>
      </c>
      <c r="B257" s="22" t="s">
        <v>1351</v>
      </c>
      <c r="C257" s="22" t="s">
        <v>278</v>
      </c>
      <c r="D257" s="22" t="s">
        <v>1352</v>
      </c>
      <c r="E257" s="22" t="s">
        <v>38</v>
      </c>
      <c r="F257" s="23"/>
      <c r="G257" s="22"/>
      <c r="H257" s="24"/>
      <c r="I257" s="25"/>
      <c r="J257" s="26">
        <v>259</v>
      </c>
      <c r="K257" s="27" t="s">
        <v>180</v>
      </c>
      <c r="L257" s="27" t="s">
        <v>169</v>
      </c>
      <c r="M257" s="28" t="s">
        <v>417</v>
      </c>
      <c r="N257" s="28" t="s">
        <v>418</v>
      </c>
      <c r="O257" s="28" t="s">
        <v>419</v>
      </c>
      <c r="P257" s="29" t="s">
        <v>417</v>
      </c>
      <c r="Q257" s="29" t="s">
        <v>418</v>
      </c>
      <c r="R257" s="29" t="s">
        <v>419</v>
      </c>
      <c r="S257" s="30">
        <v>4280</v>
      </c>
      <c r="T257" s="30">
        <v>1663.42</v>
      </c>
      <c r="U257" s="30">
        <v>2616.58</v>
      </c>
    </row>
    <row x14ac:dyDescent="0.25" r="258" customHeight="1" ht="18.75">
      <c r="A258" s="21">
        <v>257</v>
      </c>
      <c r="B258" s="22" t="s">
        <v>1353</v>
      </c>
      <c r="C258" s="22" t="s">
        <v>396</v>
      </c>
      <c r="D258" s="22" t="s">
        <v>1354</v>
      </c>
      <c r="E258" s="22" t="s">
        <v>134</v>
      </c>
      <c r="F258" s="23"/>
      <c r="G258" s="22"/>
      <c r="H258" s="24"/>
      <c r="I258" s="25"/>
      <c r="J258" s="26">
        <v>160</v>
      </c>
      <c r="K258" s="27" t="s">
        <v>180</v>
      </c>
      <c r="L258" s="27" t="s">
        <v>169</v>
      </c>
      <c r="M258" s="28" t="s">
        <v>216</v>
      </c>
      <c r="N258" s="28" t="s">
        <v>1355</v>
      </c>
      <c r="O258" s="28" t="s">
        <v>1356</v>
      </c>
      <c r="P258" s="29" t="s">
        <v>398</v>
      </c>
      <c r="Q258" s="29" t="s">
        <v>1357</v>
      </c>
      <c r="R258" s="29" t="s">
        <v>1358</v>
      </c>
      <c r="S258" s="30">
        <v>5225.95</v>
      </c>
      <c r="T258" s="30">
        <v>2030.45</v>
      </c>
      <c r="U258" s="30">
        <v>3195.5</v>
      </c>
    </row>
    <row x14ac:dyDescent="0.25" r="259" customHeight="1" ht="18.75">
      <c r="A259" s="21">
        <v>258</v>
      </c>
      <c r="B259" s="22" t="s">
        <v>1359</v>
      </c>
      <c r="C259" s="22" t="s">
        <v>539</v>
      </c>
      <c r="D259" s="22" t="s">
        <v>1360</v>
      </c>
      <c r="E259" s="22" t="s">
        <v>746</v>
      </c>
      <c r="F259" s="23"/>
      <c r="G259" s="22"/>
      <c r="H259" s="24"/>
      <c r="I259" s="25"/>
      <c r="J259" s="26">
        <v>529</v>
      </c>
      <c r="K259" s="27" t="s">
        <v>180</v>
      </c>
      <c r="L259" s="27" t="s">
        <v>169</v>
      </c>
      <c r="M259" s="28" t="s">
        <v>1361</v>
      </c>
      <c r="N259" s="28" t="s">
        <v>1362</v>
      </c>
      <c r="O259" s="28" t="s">
        <v>1363</v>
      </c>
      <c r="P259" s="29" t="s">
        <v>173</v>
      </c>
      <c r="Q259" s="29" t="s">
        <v>174</v>
      </c>
      <c r="R259" s="29" t="s">
        <v>175</v>
      </c>
      <c r="S259" s="30">
        <v>1621</v>
      </c>
      <c r="T259" s="30">
        <v>121.57</v>
      </c>
      <c r="U259" s="30">
        <v>1499.43</v>
      </c>
    </row>
    <row x14ac:dyDescent="0.25" r="260" customHeight="1" ht="18.75">
      <c r="A260" s="21">
        <v>259</v>
      </c>
      <c r="B260" s="22" t="s">
        <v>1364</v>
      </c>
      <c r="C260" s="22" t="s">
        <v>278</v>
      </c>
      <c r="D260" s="22" t="s">
        <v>1365</v>
      </c>
      <c r="E260" s="22" t="s">
        <v>110</v>
      </c>
      <c r="F260" s="23"/>
      <c r="G260" s="22"/>
      <c r="H260" s="24"/>
      <c r="I260" s="25"/>
      <c r="J260" s="26">
        <v>346</v>
      </c>
      <c r="K260" s="27" t="s">
        <v>180</v>
      </c>
      <c r="L260" s="27" t="s">
        <v>169</v>
      </c>
      <c r="M260" s="28" t="s">
        <v>417</v>
      </c>
      <c r="N260" s="28" t="s">
        <v>418</v>
      </c>
      <c r="O260" s="28" t="s">
        <v>419</v>
      </c>
      <c r="P260" s="29" t="s">
        <v>417</v>
      </c>
      <c r="Q260" s="29" t="s">
        <v>418</v>
      </c>
      <c r="R260" s="29" t="s">
        <v>419</v>
      </c>
      <c r="S260" s="30">
        <v>4280</v>
      </c>
      <c r="T260" s="30">
        <v>402.18</v>
      </c>
      <c r="U260" s="30">
        <v>3877.82</v>
      </c>
    </row>
    <row x14ac:dyDescent="0.25" r="261" customHeight="1" ht="18.75">
      <c r="A261" s="21">
        <v>260</v>
      </c>
      <c r="B261" s="22" t="s">
        <v>1366</v>
      </c>
      <c r="C261" s="22" t="s">
        <v>278</v>
      </c>
      <c r="D261" s="22" t="s">
        <v>1367</v>
      </c>
      <c r="E261" s="22" t="s">
        <v>90</v>
      </c>
      <c r="F261" s="23"/>
      <c r="G261" s="22"/>
      <c r="H261" s="24"/>
      <c r="I261" s="25"/>
      <c r="J261" s="26">
        <v>342</v>
      </c>
      <c r="K261" s="27" t="s">
        <v>180</v>
      </c>
      <c r="L261" s="27" t="s">
        <v>169</v>
      </c>
      <c r="M261" s="28" t="s">
        <v>417</v>
      </c>
      <c r="N261" s="28" t="s">
        <v>418</v>
      </c>
      <c r="O261" s="28" t="s">
        <v>419</v>
      </c>
      <c r="P261" s="29" t="s">
        <v>417</v>
      </c>
      <c r="Q261" s="29" t="s">
        <v>418</v>
      </c>
      <c r="R261" s="29" t="s">
        <v>419</v>
      </c>
      <c r="S261" s="30">
        <v>4280</v>
      </c>
      <c r="T261" s="30">
        <v>402.18</v>
      </c>
      <c r="U261" s="30">
        <v>3877.82</v>
      </c>
    </row>
    <row x14ac:dyDescent="0.25" r="262" customHeight="1" ht="18.75">
      <c r="A262" s="21">
        <v>261</v>
      </c>
      <c r="B262" s="22" t="s">
        <v>1368</v>
      </c>
      <c r="C262" s="22" t="s">
        <v>1107</v>
      </c>
      <c r="D262" s="22" t="s">
        <v>1369</v>
      </c>
      <c r="E262" s="22" t="s">
        <v>140</v>
      </c>
      <c r="F262" s="23"/>
      <c r="G262" s="22"/>
      <c r="H262" s="24"/>
      <c r="I262" s="25"/>
      <c r="J262" s="26">
        <v>80</v>
      </c>
      <c r="K262" s="27" t="s">
        <v>180</v>
      </c>
      <c r="L262" s="27" t="s">
        <v>169</v>
      </c>
      <c r="M262" s="28" t="s">
        <v>1370</v>
      </c>
      <c r="N262" s="28" t="s">
        <v>1371</v>
      </c>
      <c r="O262" s="28" t="s">
        <v>1372</v>
      </c>
      <c r="P262" s="29" t="s">
        <v>1373</v>
      </c>
      <c r="Q262" s="29" t="s">
        <v>1374</v>
      </c>
      <c r="R262" s="29" t="s">
        <v>1375</v>
      </c>
      <c r="S262" s="30">
        <v>7396.85</v>
      </c>
      <c r="T262" s="30">
        <v>1628</v>
      </c>
      <c r="U262" s="30">
        <v>5768.85</v>
      </c>
    </row>
    <row x14ac:dyDescent="0.25" r="263" customHeight="1" ht="18.75">
      <c r="A263" s="21">
        <v>262</v>
      </c>
      <c r="B263" s="22" t="s">
        <v>1376</v>
      </c>
      <c r="C263" s="22" t="s">
        <v>166</v>
      </c>
      <c r="D263" s="22" t="s">
        <v>1377</v>
      </c>
      <c r="E263" s="22" t="s">
        <v>86</v>
      </c>
      <c r="F263" s="23"/>
      <c r="G263" s="22"/>
      <c r="H263" s="24"/>
      <c r="I263" s="25"/>
      <c r="J263" s="26">
        <v>313</v>
      </c>
      <c r="K263" s="27" t="s">
        <v>180</v>
      </c>
      <c r="L263" s="27" t="s">
        <v>169</v>
      </c>
      <c r="M263" s="28" t="s">
        <v>170</v>
      </c>
      <c r="N263" s="28" t="s">
        <v>171</v>
      </c>
      <c r="O263" s="28" t="s">
        <v>172</v>
      </c>
      <c r="P263" s="29" t="s">
        <v>173</v>
      </c>
      <c r="Q263" s="29" t="s">
        <v>174</v>
      </c>
      <c r="R263" s="29" t="s">
        <v>175</v>
      </c>
      <c r="S263" s="30">
        <v>1681.94</v>
      </c>
      <c r="T263" s="30">
        <v>127.05</v>
      </c>
      <c r="U263" s="30">
        <v>1554.89</v>
      </c>
    </row>
    <row x14ac:dyDescent="0.25" r="264" customHeight="1" ht="18.75">
      <c r="A264" s="21">
        <v>263</v>
      </c>
      <c r="B264" s="22" t="s">
        <v>1378</v>
      </c>
      <c r="C264" s="22" t="s">
        <v>190</v>
      </c>
      <c r="D264" s="22" t="s">
        <v>1379</v>
      </c>
      <c r="E264" s="22" t="s">
        <v>191</v>
      </c>
      <c r="F264" s="23"/>
      <c r="G264" s="22"/>
      <c r="H264" s="24"/>
      <c r="I264" s="25"/>
      <c r="J264" s="26">
        <v>22</v>
      </c>
      <c r="K264" s="27" t="s">
        <v>180</v>
      </c>
      <c r="L264" s="27" t="s">
        <v>169</v>
      </c>
      <c r="M264" s="28" t="s">
        <v>632</v>
      </c>
      <c r="N264" s="28" t="s">
        <v>1070</v>
      </c>
      <c r="O264" s="28" t="s">
        <v>1071</v>
      </c>
      <c r="P264" s="29" t="s">
        <v>1380</v>
      </c>
      <c r="Q264" s="29" t="s">
        <v>1381</v>
      </c>
      <c r="R264" s="29" t="s">
        <v>1382</v>
      </c>
      <c r="S264" s="30">
        <v>3770.44</v>
      </c>
      <c r="T264" s="30">
        <v>341.04</v>
      </c>
      <c r="U264" s="30">
        <v>3429.4</v>
      </c>
    </row>
    <row x14ac:dyDescent="0.25" r="265" customHeight="1" ht="18.75">
      <c r="A265" s="21">
        <v>264</v>
      </c>
      <c r="B265" s="22" t="s">
        <v>1383</v>
      </c>
      <c r="C265" s="22" t="s">
        <v>190</v>
      </c>
      <c r="D265" s="22" t="s">
        <v>1384</v>
      </c>
      <c r="E265" s="22" t="s">
        <v>895</v>
      </c>
      <c r="F265" s="23"/>
      <c r="G265" s="22"/>
      <c r="H265" s="24"/>
      <c r="I265" s="25"/>
      <c r="J265" s="26">
        <v>613</v>
      </c>
      <c r="K265" s="27" t="s">
        <v>1385</v>
      </c>
      <c r="L265" s="27" t="s">
        <v>169</v>
      </c>
      <c r="M265" s="28" t="s">
        <v>1386</v>
      </c>
      <c r="N265" s="28" t="s">
        <v>1387</v>
      </c>
      <c r="O265" s="28" t="s">
        <v>1388</v>
      </c>
      <c r="P265" s="29" t="s">
        <v>1389</v>
      </c>
      <c r="Q265" s="29" t="s">
        <v>1390</v>
      </c>
      <c r="R265" s="29" t="s">
        <v>1391</v>
      </c>
      <c r="S265" s="30">
        <v>4789.19</v>
      </c>
      <c r="T265" s="30">
        <v>471.98</v>
      </c>
      <c r="U265" s="30">
        <v>4317.21</v>
      </c>
    </row>
    <row x14ac:dyDescent="0.25" r="266" customHeight="1" ht="18.75">
      <c r="A266" s="21">
        <v>265</v>
      </c>
      <c r="B266" s="22" t="s">
        <v>1392</v>
      </c>
      <c r="C266" s="22" t="s">
        <v>166</v>
      </c>
      <c r="D266" s="22" t="s">
        <v>1393</v>
      </c>
      <c r="E266" s="22" t="s">
        <v>1394</v>
      </c>
      <c r="F266" s="23"/>
      <c r="G266" s="22"/>
      <c r="H266" s="24"/>
      <c r="I266" s="25"/>
      <c r="J266" s="26">
        <v>519</v>
      </c>
      <c r="K266" s="27" t="s">
        <v>180</v>
      </c>
      <c r="L266" s="27" t="s">
        <v>169</v>
      </c>
      <c r="M266" s="28" t="s">
        <v>170</v>
      </c>
      <c r="N266" s="28" t="s">
        <v>171</v>
      </c>
      <c r="O266" s="28" t="s">
        <v>172</v>
      </c>
      <c r="P266" s="29" t="s">
        <v>173</v>
      </c>
      <c r="Q266" s="29" t="s">
        <v>174</v>
      </c>
      <c r="R266" s="29" t="s">
        <v>175</v>
      </c>
      <c r="S266" s="30">
        <v>1681.94</v>
      </c>
      <c r="T266" s="30">
        <v>127.05</v>
      </c>
      <c r="U266" s="30">
        <v>1554.89</v>
      </c>
    </row>
    <row x14ac:dyDescent="0.25" r="267" customHeight="1" ht="18.75">
      <c r="A267" s="21">
        <v>266</v>
      </c>
      <c r="B267" s="22" t="s">
        <v>1395</v>
      </c>
      <c r="C267" s="22" t="s">
        <v>166</v>
      </c>
      <c r="D267" s="22" t="s">
        <v>1396</v>
      </c>
      <c r="E267" s="22" t="s">
        <v>140</v>
      </c>
      <c r="F267" s="23"/>
      <c r="G267" s="22"/>
      <c r="H267" s="24"/>
      <c r="I267" s="25"/>
      <c r="J267" s="26">
        <v>650</v>
      </c>
      <c r="K267" s="27" t="s">
        <v>696</v>
      </c>
      <c r="L267" s="27" t="s">
        <v>169</v>
      </c>
      <c r="M267" s="28" t="s">
        <v>1397</v>
      </c>
      <c r="N267" s="28" t="s">
        <v>1398</v>
      </c>
      <c r="O267" s="28" t="s">
        <v>1399</v>
      </c>
      <c r="P267" s="29" t="s">
        <v>1400</v>
      </c>
      <c r="Q267" s="29" t="s">
        <v>723</v>
      </c>
      <c r="R267" s="29" t="s">
        <v>1401</v>
      </c>
      <c r="S267" s="30">
        <v>1975.61</v>
      </c>
      <c r="T267" s="30">
        <v>147.4</v>
      </c>
      <c r="U267" s="30">
        <v>1828.21</v>
      </c>
    </row>
    <row x14ac:dyDescent="0.25" r="268" customHeight="1" ht="18.75">
      <c r="A268" s="21">
        <v>267</v>
      </c>
      <c r="B268" s="22" t="s">
        <v>1402</v>
      </c>
      <c r="C268" s="22" t="s">
        <v>166</v>
      </c>
      <c r="D268" s="22" t="s">
        <v>1403</v>
      </c>
      <c r="E268" s="22" t="s">
        <v>72</v>
      </c>
      <c r="F268" s="23"/>
      <c r="G268" s="22"/>
      <c r="H268" s="24"/>
      <c r="I268" s="25"/>
      <c r="J268" s="26">
        <v>241</v>
      </c>
      <c r="K268" s="27" t="s">
        <v>180</v>
      </c>
      <c r="L268" s="27" t="s">
        <v>169</v>
      </c>
      <c r="M268" s="28" t="s">
        <v>225</v>
      </c>
      <c r="N268" s="28" t="s">
        <v>171</v>
      </c>
      <c r="O268" s="28" t="s">
        <v>226</v>
      </c>
      <c r="P268" s="29" t="s">
        <v>227</v>
      </c>
      <c r="Q268" s="29" t="s">
        <v>174</v>
      </c>
      <c r="R268" s="29" t="s">
        <v>297</v>
      </c>
      <c r="S268" s="30">
        <v>1749.48</v>
      </c>
      <c r="T268" s="30">
        <v>127.05</v>
      </c>
      <c r="U268" s="30">
        <v>1622.43</v>
      </c>
    </row>
    <row x14ac:dyDescent="0.25" r="269" customHeight="1" ht="18.75">
      <c r="A269" s="21">
        <v>268</v>
      </c>
      <c r="B269" s="22" t="s">
        <v>1404</v>
      </c>
      <c r="C269" s="22" t="s">
        <v>190</v>
      </c>
      <c r="D269" s="22" t="s">
        <v>1405</v>
      </c>
      <c r="E269" s="22" t="s">
        <v>249</v>
      </c>
      <c r="F269" s="23"/>
      <c r="G269" s="22"/>
      <c r="H269" s="24"/>
      <c r="I269" s="25"/>
      <c r="J269" s="26">
        <v>37</v>
      </c>
      <c r="K269" s="27" t="s">
        <v>180</v>
      </c>
      <c r="L269" s="27" t="s">
        <v>169</v>
      </c>
      <c r="M269" s="28" t="s">
        <v>1406</v>
      </c>
      <c r="N269" s="28" t="s">
        <v>1407</v>
      </c>
      <c r="O269" s="28" t="s">
        <v>1408</v>
      </c>
      <c r="P269" s="29" t="s">
        <v>1409</v>
      </c>
      <c r="Q269" s="29" t="s">
        <v>1410</v>
      </c>
      <c r="R269" s="29" t="s">
        <v>1411</v>
      </c>
      <c r="S269" s="30">
        <v>3514.25</v>
      </c>
      <c r="T269" s="30">
        <v>310.29</v>
      </c>
      <c r="U269" s="30">
        <v>3203.96</v>
      </c>
    </row>
    <row x14ac:dyDescent="0.25" r="270" customHeight="1" ht="18.75">
      <c r="A270" s="21">
        <v>269</v>
      </c>
      <c r="B270" s="22" t="s">
        <v>1412</v>
      </c>
      <c r="C270" s="22" t="s">
        <v>278</v>
      </c>
      <c r="D270" s="22" t="s">
        <v>1413</v>
      </c>
      <c r="E270" s="22" t="s">
        <v>746</v>
      </c>
      <c r="F270" s="23"/>
      <c r="G270" s="22"/>
      <c r="H270" s="24"/>
      <c r="I270" s="25"/>
      <c r="J270" s="26">
        <v>499</v>
      </c>
      <c r="K270" s="27" t="s">
        <v>180</v>
      </c>
      <c r="L270" s="27" t="s">
        <v>169</v>
      </c>
      <c r="M270" s="28" t="s">
        <v>750</v>
      </c>
      <c r="N270" s="28" t="s">
        <v>1414</v>
      </c>
      <c r="O270" s="28" t="s">
        <v>1415</v>
      </c>
      <c r="P270" s="29" t="s">
        <v>750</v>
      </c>
      <c r="Q270" s="29" t="s">
        <v>1414</v>
      </c>
      <c r="R270" s="29" t="s">
        <v>1415</v>
      </c>
      <c r="S270" s="30">
        <v>5136</v>
      </c>
      <c r="T270" s="30">
        <v>546.08</v>
      </c>
      <c r="U270" s="30">
        <v>4589.92</v>
      </c>
    </row>
    <row x14ac:dyDescent="0.25" r="271" customHeight="1" ht="18.75">
      <c r="A271" s="21">
        <v>270</v>
      </c>
      <c r="B271" s="22" t="s">
        <v>1416</v>
      </c>
      <c r="C271" s="22" t="s">
        <v>190</v>
      </c>
      <c r="D271" s="22" t="s">
        <v>1417</v>
      </c>
      <c r="E271" s="22" t="s">
        <v>102</v>
      </c>
      <c r="F271" s="23"/>
      <c r="G271" s="22"/>
      <c r="H271" s="24"/>
      <c r="I271" s="25"/>
      <c r="J271" s="26">
        <v>389</v>
      </c>
      <c r="K271" s="27" t="s">
        <v>180</v>
      </c>
      <c r="L271" s="27" t="s">
        <v>169</v>
      </c>
      <c r="M271" s="28" t="s">
        <v>233</v>
      </c>
      <c r="N271" s="28" t="s">
        <v>234</v>
      </c>
      <c r="O271" s="28" t="s">
        <v>235</v>
      </c>
      <c r="P271" s="29" t="s">
        <v>236</v>
      </c>
      <c r="Q271" s="29" t="s">
        <v>275</v>
      </c>
      <c r="R271" s="29" t="s">
        <v>276</v>
      </c>
      <c r="S271" s="30">
        <v>3433.34</v>
      </c>
      <c r="T271" s="30">
        <v>300.59</v>
      </c>
      <c r="U271" s="30">
        <v>3132.75</v>
      </c>
    </row>
    <row x14ac:dyDescent="0.25" r="272" customHeight="1" ht="18.75">
      <c r="A272" s="21">
        <v>271</v>
      </c>
      <c r="B272" s="22" t="s">
        <v>1418</v>
      </c>
      <c r="C272" s="22" t="s">
        <v>520</v>
      </c>
      <c r="D272" s="22" t="s">
        <v>1419</v>
      </c>
      <c r="E272" s="22" t="s">
        <v>474</v>
      </c>
      <c r="F272" s="23"/>
      <c r="G272" s="22"/>
      <c r="H272" s="24"/>
      <c r="I272" s="25"/>
      <c r="J272" s="26">
        <v>524</v>
      </c>
      <c r="K272" s="27" t="s">
        <v>180</v>
      </c>
      <c r="L272" s="27" t="s">
        <v>169</v>
      </c>
      <c r="M272" s="28" t="s">
        <v>522</v>
      </c>
      <c r="N272" s="28" t="s">
        <v>523</v>
      </c>
      <c r="O272" s="28" t="s">
        <v>524</v>
      </c>
      <c r="P272" s="29" t="s">
        <v>522</v>
      </c>
      <c r="Q272" s="29" t="s">
        <v>523</v>
      </c>
      <c r="R272" s="29" t="s">
        <v>524</v>
      </c>
      <c r="S272" s="30">
        <v>4327</v>
      </c>
      <c r="T272" s="30">
        <v>407.82</v>
      </c>
      <c r="U272" s="30">
        <v>3919.18</v>
      </c>
    </row>
    <row x14ac:dyDescent="0.25" r="273" customHeight="1" ht="18.75">
      <c r="A273" s="21">
        <v>272</v>
      </c>
      <c r="B273" s="22" t="s">
        <v>1420</v>
      </c>
      <c r="C273" s="22" t="s">
        <v>166</v>
      </c>
      <c r="D273" s="22" t="s">
        <v>1421</v>
      </c>
      <c r="E273" s="22" t="s">
        <v>127</v>
      </c>
      <c r="F273" s="23"/>
      <c r="G273" s="22"/>
      <c r="H273" s="24"/>
      <c r="I273" s="25"/>
      <c r="J273" s="26">
        <v>615</v>
      </c>
      <c r="K273" s="27" t="s">
        <v>1117</v>
      </c>
      <c r="L273" s="27" t="s">
        <v>169</v>
      </c>
      <c r="M273" s="28" t="s">
        <v>170</v>
      </c>
      <c r="N273" s="28" t="s">
        <v>1422</v>
      </c>
      <c r="O273" s="28" t="s">
        <v>1423</v>
      </c>
      <c r="P273" s="29" t="s">
        <v>173</v>
      </c>
      <c r="Q273" s="29" t="s">
        <v>1424</v>
      </c>
      <c r="R273" s="29" t="s">
        <v>1425</v>
      </c>
      <c r="S273" s="30">
        <v>1681.94</v>
      </c>
      <c r="T273" s="30">
        <v>618.5</v>
      </c>
      <c r="U273" s="30">
        <v>1063.44</v>
      </c>
    </row>
    <row x14ac:dyDescent="0.25" r="274" customHeight="1" ht="18.75">
      <c r="A274" s="21">
        <v>273</v>
      </c>
      <c r="B274" s="22" t="s">
        <v>1426</v>
      </c>
      <c r="C274" s="22" t="s">
        <v>166</v>
      </c>
      <c r="D274" s="22" t="s">
        <v>1427</v>
      </c>
      <c r="E274" s="22" t="s">
        <v>140</v>
      </c>
      <c r="F274" s="23"/>
      <c r="G274" s="22"/>
      <c r="H274" s="24"/>
      <c r="I274" s="25"/>
      <c r="J274" s="26">
        <v>144</v>
      </c>
      <c r="K274" s="27" t="s">
        <v>180</v>
      </c>
      <c r="L274" s="27" t="s">
        <v>169</v>
      </c>
      <c r="M274" s="28" t="s">
        <v>170</v>
      </c>
      <c r="N274" s="28" t="s">
        <v>1422</v>
      </c>
      <c r="O274" s="28" t="s">
        <v>1423</v>
      </c>
      <c r="P274" s="29" t="s">
        <v>173</v>
      </c>
      <c r="Q274" s="29" t="s">
        <v>1424</v>
      </c>
      <c r="R274" s="29" t="s">
        <v>1425</v>
      </c>
      <c r="S274" s="30">
        <v>1841.84</v>
      </c>
      <c r="T274" s="30">
        <v>632.89</v>
      </c>
      <c r="U274" s="30">
        <v>1208.95</v>
      </c>
    </row>
    <row x14ac:dyDescent="0.25" r="275" customHeight="1" ht="18.75">
      <c r="A275" s="21">
        <v>274</v>
      </c>
      <c r="B275" s="22" t="s">
        <v>1428</v>
      </c>
      <c r="C275" s="22" t="s">
        <v>166</v>
      </c>
      <c r="D275" s="22" t="s">
        <v>1429</v>
      </c>
      <c r="E275" s="22" t="s">
        <v>26</v>
      </c>
      <c r="F275" s="23"/>
      <c r="G275" s="22"/>
      <c r="H275" s="24"/>
      <c r="I275" s="25"/>
      <c r="J275" s="26">
        <v>599</v>
      </c>
      <c r="K275" s="27" t="s">
        <v>545</v>
      </c>
      <c r="L275" s="27" t="s">
        <v>169</v>
      </c>
      <c r="M275" s="28" t="s">
        <v>225</v>
      </c>
      <c r="N275" s="28" t="s">
        <v>171</v>
      </c>
      <c r="O275" s="28" t="s">
        <v>226</v>
      </c>
      <c r="P275" s="29" t="s">
        <v>227</v>
      </c>
      <c r="Q275" s="29" t="s">
        <v>174</v>
      </c>
      <c r="R275" s="29" t="s">
        <v>297</v>
      </c>
      <c r="S275" s="30">
        <v>1879</v>
      </c>
      <c r="T275" s="30">
        <v>138.71</v>
      </c>
      <c r="U275" s="30">
        <v>1740.29</v>
      </c>
    </row>
    <row x14ac:dyDescent="0.25" r="276" customHeight="1" ht="18.75">
      <c r="A276" s="21">
        <v>275</v>
      </c>
      <c r="B276" s="22" t="s">
        <v>1430</v>
      </c>
      <c r="C276" s="22" t="s">
        <v>278</v>
      </c>
      <c r="D276" s="22" t="s">
        <v>1431</v>
      </c>
      <c r="E276" s="22" t="s">
        <v>746</v>
      </c>
      <c r="F276" s="23"/>
      <c r="G276" s="22"/>
      <c r="H276" s="24"/>
      <c r="I276" s="25"/>
      <c r="J276" s="26">
        <v>501</v>
      </c>
      <c r="K276" s="27" t="s">
        <v>180</v>
      </c>
      <c r="L276" s="27" t="s">
        <v>169</v>
      </c>
      <c r="M276" s="28" t="s">
        <v>750</v>
      </c>
      <c r="N276" s="28" t="s">
        <v>769</v>
      </c>
      <c r="O276" s="28" t="s">
        <v>770</v>
      </c>
      <c r="P276" s="29" t="s">
        <v>750</v>
      </c>
      <c r="Q276" s="29" t="s">
        <v>769</v>
      </c>
      <c r="R276" s="29" t="s">
        <v>770</v>
      </c>
      <c r="S276" s="30">
        <v>5175.17</v>
      </c>
      <c r="T276" s="30">
        <v>588.75</v>
      </c>
      <c r="U276" s="30">
        <v>4586.42</v>
      </c>
    </row>
    <row x14ac:dyDescent="0.25" r="277" customHeight="1" ht="18.75">
      <c r="A277" s="21">
        <v>276</v>
      </c>
      <c r="B277" s="22" t="s">
        <v>1432</v>
      </c>
      <c r="C277" s="22" t="s">
        <v>278</v>
      </c>
      <c r="D277" s="22" t="s">
        <v>1433</v>
      </c>
      <c r="E277" s="22" t="s">
        <v>80</v>
      </c>
      <c r="F277" s="23"/>
      <c r="G277" s="22"/>
      <c r="H277" s="24"/>
      <c r="I277" s="25"/>
      <c r="J277" s="26">
        <v>390</v>
      </c>
      <c r="K277" s="27" t="s">
        <v>180</v>
      </c>
      <c r="L277" s="27" t="s">
        <v>169</v>
      </c>
      <c r="M277" s="28" t="s">
        <v>417</v>
      </c>
      <c r="N277" s="28" t="s">
        <v>418</v>
      </c>
      <c r="O277" s="28" t="s">
        <v>419</v>
      </c>
      <c r="P277" s="29" t="s">
        <v>417</v>
      </c>
      <c r="Q277" s="29" t="s">
        <v>418</v>
      </c>
      <c r="R277" s="29" t="s">
        <v>419</v>
      </c>
      <c r="S277" s="30">
        <v>4615.15</v>
      </c>
      <c r="T277" s="30">
        <v>447.62</v>
      </c>
      <c r="U277" s="30">
        <v>4167.53</v>
      </c>
    </row>
    <row x14ac:dyDescent="0.25" r="278" customHeight="1" ht="18.75">
      <c r="A278" s="21">
        <v>277</v>
      </c>
      <c r="B278" s="22" t="s">
        <v>1434</v>
      </c>
      <c r="C278" s="22" t="s">
        <v>472</v>
      </c>
      <c r="D278" s="22" t="s">
        <v>1435</v>
      </c>
      <c r="E278" s="22" t="s">
        <v>474</v>
      </c>
      <c r="F278" s="23"/>
      <c r="G278" s="22"/>
      <c r="H278" s="24"/>
      <c r="I278" s="25"/>
      <c r="J278" s="26">
        <v>462</v>
      </c>
      <c r="K278" s="27" t="s">
        <v>180</v>
      </c>
      <c r="L278" s="27" t="s">
        <v>169</v>
      </c>
      <c r="M278" s="28" t="s">
        <v>476</v>
      </c>
      <c r="N278" s="28" t="s">
        <v>477</v>
      </c>
      <c r="O278" s="28" t="s">
        <v>478</v>
      </c>
      <c r="P278" s="29" t="s">
        <v>476</v>
      </c>
      <c r="Q278" s="29" t="s">
        <v>477</v>
      </c>
      <c r="R278" s="29" t="s">
        <v>478</v>
      </c>
      <c r="S278" s="30">
        <v>3227.4</v>
      </c>
      <c r="T278" s="30">
        <v>275.87</v>
      </c>
      <c r="U278" s="30">
        <v>2951.53</v>
      </c>
    </row>
    <row x14ac:dyDescent="0.25" r="279" customHeight="1" ht="18.75">
      <c r="A279" s="21">
        <v>278</v>
      </c>
      <c r="B279" s="31" t="s">
        <v>1436</v>
      </c>
      <c r="C279" s="22" t="s">
        <v>166</v>
      </c>
      <c r="D279" s="22"/>
      <c r="E279" s="22" t="s">
        <v>191</v>
      </c>
      <c r="F279" s="23"/>
      <c r="G279" s="22"/>
      <c r="H279" s="24"/>
      <c r="I279" s="25"/>
      <c r="J279" s="32">
        <v>659</v>
      </c>
      <c r="K279" s="27" t="s">
        <v>192</v>
      </c>
      <c r="L279" s="27" t="s">
        <v>169</v>
      </c>
      <c r="M279" s="28"/>
      <c r="N279" s="28"/>
      <c r="O279" s="28"/>
      <c r="P279" s="29" t="s">
        <v>1437</v>
      </c>
      <c r="Q279" s="29" t="s">
        <v>1438</v>
      </c>
      <c r="R279" s="29" t="s">
        <v>1439</v>
      </c>
      <c r="S279" s="30">
        <v>1681.94</v>
      </c>
      <c r="T279" s="30">
        <v>127.05</v>
      </c>
      <c r="U279" s="30">
        <v>1554.89</v>
      </c>
    </row>
    <row x14ac:dyDescent="0.25" r="280" customHeight="1" ht="18.75">
      <c r="A280" s="21">
        <v>279</v>
      </c>
      <c r="B280" s="22" t="s">
        <v>1440</v>
      </c>
      <c r="C280" s="22" t="s">
        <v>166</v>
      </c>
      <c r="D280" s="22" t="s">
        <v>1441</v>
      </c>
      <c r="E280" s="22" t="s">
        <v>273</v>
      </c>
      <c r="F280" s="23"/>
      <c r="G280" s="22"/>
      <c r="H280" s="24"/>
      <c r="I280" s="25"/>
      <c r="J280" s="26">
        <v>630</v>
      </c>
      <c r="K280" s="27" t="s">
        <v>527</v>
      </c>
      <c r="L280" s="27" t="s">
        <v>169</v>
      </c>
      <c r="M280" s="28" t="s">
        <v>1442</v>
      </c>
      <c r="N280" s="28" t="s">
        <v>171</v>
      </c>
      <c r="O280" s="28" t="s">
        <v>1443</v>
      </c>
      <c r="P280" s="29" t="s">
        <v>268</v>
      </c>
      <c r="Q280" s="29" t="s">
        <v>174</v>
      </c>
      <c r="R280" s="29" t="s">
        <v>361</v>
      </c>
      <c r="S280" s="30">
        <v>2073.86</v>
      </c>
      <c r="T280" s="30">
        <v>150.17</v>
      </c>
      <c r="U280" s="30">
        <v>1923.69</v>
      </c>
    </row>
    <row x14ac:dyDescent="0.25" r="281" customHeight="1" ht="18.75">
      <c r="A281" s="21">
        <v>280</v>
      </c>
      <c r="B281" s="22" t="s">
        <v>1444</v>
      </c>
      <c r="C281" s="22" t="s">
        <v>539</v>
      </c>
      <c r="D281" s="22" t="s">
        <v>1445</v>
      </c>
      <c r="E281" s="22" t="s">
        <v>110</v>
      </c>
      <c r="F281" s="23"/>
      <c r="G281" s="22"/>
      <c r="H281" s="24"/>
      <c r="I281" s="25"/>
      <c r="J281" s="26">
        <v>347</v>
      </c>
      <c r="K281" s="27" t="s">
        <v>180</v>
      </c>
      <c r="L281" s="27" t="s">
        <v>169</v>
      </c>
      <c r="M281" s="28" t="s">
        <v>227</v>
      </c>
      <c r="N281" s="28" t="s">
        <v>174</v>
      </c>
      <c r="O281" s="28" t="s">
        <v>297</v>
      </c>
      <c r="P281" s="29" t="s">
        <v>227</v>
      </c>
      <c r="Q281" s="29" t="s">
        <v>174</v>
      </c>
      <c r="R281" s="29" t="s">
        <v>297</v>
      </c>
      <c r="S281" s="30">
        <v>1985.37</v>
      </c>
      <c r="T281" s="30">
        <v>154.36</v>
      </c>
      <c r="U281" s="30">
        <v>1831.01</v>
      </c>
    </row>
    <row x14ac:dyDescent="0.25" r="282" customHeight="1" ht="18.75">
      <c r="A282" s="21">
        <v>281</v>
      </c>
      <c r="B282" s="22" t="s">
        <v>1446</v>
      </c>
      <c r="C282" s="22" t="s">
        <v>472</v>
      </c>
      <c r="D282" s="22" t="s">
        <v>1447</v>
      </c>
      <c r="E282" s="22" t="s">
        <v>1201</v>
      </c>
      <c r="F282" s="23"/>
      <c r="G282" s="22"/>
      <c r="H282" s="24"/>
      <c r="I282" s="25"/>
      <c r="J282" s="26">
        <v>428</v>
      </c>
      <c r="K282" s="27" t="s">
        <v>180</v>
      </c>
      <c r="L282" s="27" t="s">
        <v>169</v>
      </c>
      <c r="M282" s="28" t="s">
        <v>476</v>
      </c>
      <c r="N282" s="28" t="s">
        <v>477</v>
      </c>
      <c r="O282" s="28" t="s">
        <v>478</v>
      </c>
      <c r="P282" s="29" t="s">
        <v>476</v>
      </c>
      <c r="Q282" s="29" t="s">
        <v>477</v>
      </c>
      <c r="R282" s="29" t="s">
        <v>478</v>
      </c>
      <c r="S282" s="30">
        <v>2800</v>
      </c>
      <c r="T282" s="30">
        <v>227.68</v>
      </c>
      <c r="U282" s="30">
        <v>2572.32</v>
      </c>
    </row>
    <row x14ac:dyDescent="0.25" r="283" customHeight="1" ht="18.75">
      <c r="A283" s="21">
        <v>282</v>
      </c>
      <c r="B283" s="22" t="s">
        <v>1448</v>
      </c>
      <c r="C283" s="22" t="s">
        <v>190</v>
      </c>
      <c r="D283" s="22" t="s">
        <v>1449</v>
      </c>
      <c r="E283" s="22" t="s">
        <v>140</v>
      </c>
      <c r="F283" s="23"/>
      <c r="G283" s="22"/>
      <c r="H283" s="24"/>
      <c r="I283" s="25"/>
      <c r="J283" s="26">
        <v>49</v>
      </c>
      <c r="K283" s="27" t="s">
        <v>180</v>
      </c>
      <c r="L283" s="27" t="s">
        <v>169</v>
      </c>
      <c r="M283" s="28" t="s">
        <v>632</v>
      </c>
      <c r="N283" s="28" t="s">
        <v>1070</v>
      </c>
      <c r="O283" s="28" t="s">
        <v>1071</v>
      </c>
      <c r="P283" s="29" t="s">
        <v>1450</v>
      </c>
      <c r="Q283" s="29" t="s">
        <v>1451</v>
      </c>
      <c r="R283" s="29" t="s">
        <v>1452</v>
      </c>
      <c r="S283" s="30">
        <v>4061.21</v>
      </c>
      <c r="T283" s="30">
        <v>375.93</v>
      </c>
      <c r="U283" s="30">
        <v>3685.28</v>
      </c>
    </row>
    <row x14ac:dyDescent="0.25" r="284" customHeight="1" ht="18.75">
      <c r="A284" s="21">
        <v>283</v>
      </c>
      <c r="B284" s="22" t="s">
        <v>1453</v>
      </c>
      <c r="C284" s="22" t="s">
        <v>402</v>
      </c>
      <c r="D284" s="22" t="s">
        <v>1454</v>
      </c>
      <c r="E284" s="22" t="s">
        <v>489</v>
      </c>
      <c r="F284" s="23"/>
      <c r="G284" s="22"/>
      <c r="H284" s="24"/>
      <c r="I284" s="25"/>
      <c r="J284" s="26">
        <v>202</v>
      </c>
      <c r="K284" s="27" t="s">
        <v>180</v>
      </c>
      <c r="L284" s="27" t="s">
        <v>169</v>
      </c>
      <c r="M284" s="28" t="s">
        <v>1048</v>
      </c>
      <c r="N284" s="28" t="s">
        <v>1049</v>
      </c>
      <c r="O284" s="28" t="s">
        <v>1050</v>
      </c>
      <c r="P284" s="29" t="s">
        <v>1048</v>
      </c>
      <c r="Q284" s="29" t="s">
        <v>1049</v>
      </c>
      <c r="R284" s="29" t="s">
        <v>1050</v>
      </c>
      <c r="S284" s="30">
        <v>3720</v>
      </c>
      <c r="T284" s="30">
        <v>334.98</v>
      </c>
      <c r="U284" s="30">
        <v>3385.02</v>
      </c>
    </row>
    <row x14ac:dyDescent="0.25" r="285" customHeight="1" ht="18.75">
      <c r="A285" s="21">
        <v>284</v>
      </c>
      <c r="B285" s="22" t="s">
        <v>1455</v>
      </c>
      <c r="C285" s="22" t="s">
        <v>520</v>
      </c>
      <c r="D285" s="22" t="s">
        <v>1456</v>
      </c>
      <c r="E285" s="22" t="s">
        <v>191</v>
      </c>
      <c r="F285" s="23"/>
      <c r="G285" s="22"/>
      <c r="H285" s="24"/>
      <c r="I285" s="25"/>
      <c r="J285" s="26">
        <v>33</v>
      </c>
      <c r="K285" s="27" t="s">
        <v>180</v>
      </c>
      <c r="L285" s="27" t="s">
        <v>169</v>
      </c>
      <c r="M285" s="28" t="s">
        <v>522</v>
      </c>
      <c r="N285" s="28" t="s">
        <v>523</v>
      </c>
      <c r="O285" s="28" t="s">
        <v>524</v>
      </c>
      <c r="P285" s="29" t="s">
        <v>522</v>
      </c>
      <c r="Q285" s="29" t="s">
        <v>523</v>
      </c>
      <c r="R285" s="29" t="s">
        <v>524</v>
      </c>
      <c r="S285" s="30">
        <v>4327</v>
      </c>
      <c r="T285" s="30">
        <v>435.96</v>
      </c>
      <c r="U285" s="30">
        <v>3891.04</v>
      </c>
    </row>
    <row x14ac:dyDescent="0.25" r="286" customHeight="1" ht="18.75">
      <c r="A286" s="21">
        <v>285</v>
      </c>
      <c r="B286" s="22" t="s">
        <v>1457</v>
      </c>
      <c r="C286" s="22" t="s">
        <v>166</v>
      </c>
      <c r="D286" s="22" t="s">
        <v>1458</v>
      </c>
      <c r="E286" s="22" t="s">
        <v>134</v>
      </c>
      <c r="F286" s="23"/>
      <c r="G286" s="22"/>
      <c r="H286" s="24"/>
      <c r="I286" s="25"/>
      <c r="J286" s="26">
        <v>188</v>
      </c>
      <c r="K286" s="27" t="s">
        <v>180</v>
      </c>
      <c r="L286" s="27" t="s">
        <v>169</v>
      </c>
      <c r="M286" s="28" t="s">
        <v>422</v>
      </c>
      <c r="N286" s="28" t="s">
        <v>1459</v>
      </c>
      <c r="O286" s="28" t="s">
        <v>1460</v>
      </c>
      <c r="P286" s="29" t="s">
        <v>707</v>
      </c>
      <c r="Q286" s="29" t="s">
        <v>1461</v>
      </c>
      <c r="R286" s="29" t="s">
        <v>1462</v>
      </c>
      <c r="S286" s="30">
        <v>1889.55</v>
      </c>
      <c r="T286" s="30">
        <v>283.36</v>
      </c>
      <c r="U286" s="30">
        <v>1606.19</v>
      </c>
    </row>
    <row x14ac:dyDescent="0.25" r="287" customHeight="1" ht="18.75">
      <c r="A287" s="21">
        <v>286</v>
      </c>
      <c r="B287" s="22" t="s">
        <v>1463</v>
      </c>
      <c r="C287" s="22" t="s">
        <v>166</v>
      </c>
      <c r="D287" s="22" t="s">
        <v>1464</v>
      </c>
      <c r="E287" s="22" t="s">
        <v>140</v>
      </c>
      <c r="F287" s="23"/>
      <c r="G287" s="22"/>
      <c r="H287" s="24"/>
      <c r="I287" s="25"/>
      <c r="J287" s="26">
        <v>642</v>
      </c>
      <c r="K287" s="27" t="s">
        <v>460</v>
      </c>
      <c r="L287" s="27" t="s">
        <v>169</v>
      </c>
      <c r="M287" s="28" t="s">
        <v>461</v>
      </c>
      <c r="N287" s="28" t="s">
        <v>174</v>
      </c>
      <c r="O287" s="28" t="s">
        <v>172</v>
      </c>
      <c r="P287" s="29" t="s">
        <v>173</v>
      </c>
      <c r="Q287" s="29" t="s">
        <v>174</v>
      </c>
      <c r="R287" s="29" t="s">
        <v>175</v>
      </c>
      <c r="S287" s="30">
        <v>1720.88</v>
      </c>
      <c r="T287" s="30">
        <v>130.55</v>
      </c>
      <c r="U287" s="30">
        <v>1590.33</v>
      </c>
    </row>
    <row x14ac:dyDescent="0.25" r="288" customHeight="1" ht="18.75">
      <c r="A288" s="21">
        <v>287</v>
      </c>
      <c r="B288" s="22" t="s">
        <v>1465</v>
      </c>
      <c r="C288" s="22" t="s">
        <v>539</v>
      </c>
      <c r="D288" s="22" t="s">
        <v>1466</v>
      </c>
      <c r="E288" s="22" t="s">
        <v>1467</v>
      </c>
      <c r="F288" s="23"/>
      <c r="G288" s="22"/>
      <c r="H288" s="24"/>
      <c r="I288" s="25"/>
      <c r="J288" s="26">
        <v>418</v>
      </c>
      <c r="K288" s="27" t="s">
        <v>180</v>
      </c>
      <c r="L288" s="27" t="s">
        <v>169</v>
      </c>
      <c r="M288" s="28" t="s">
        <v>227</v>
      </c>
      <c r="N288" s="28" t="s">
        <v>1468</v>
      </c>
      <c r="O288" s="28" t="s">
        <v>1469</v>
      </c>
      <c r="P288" s="29" t="s">
        <v>227</v>
      </c>
      <c r="Q288" s="29" t="s">
        <v>1470</v>
      </c>
      <c r="R288" s="29" t="s">
        <v>1471</v>
      </c>
      <c r="S288" s="30">
        <v>1798.63</v>
      </c>
      <c r="T288" s="30">
        <v>565.2</v>
      </c>
      <c r="U288" s="30">
        <v>1233.43</v>
      </c>
    </row>
    <row x14ac:dyDescent="0.25" r="289" customHeight="1" ht="18.75">
      <c r="A289" s="21">
        <v>288</v>
      </c>
      <c r="B289" s="31" t="s">
        <v>1472</v>
      </c>
      <c r="C289" s="22" t="s">
        <v>166</v>
      </c>
      <c r="D289" s="22"/>
      <c r="E289" s="22" t="s">
        <v>31</v>
      </c>
      <c r="F289" s="23"/>
      <c r="G289" s="22"/>
      <c r="H289" s="24"/>
      <c r="I289" s="25"/>
      <c r="J289" s="32">
        <v>660</v>
      </c>
      <c r="K289" s="27" t="s">
        <v>192</v>
      </c>
      <c r="L289" s="27" t="s">
        <v>169</v>
      </c>
      <c r="M289" s="28"/>
      <c r="N289" s="28"/>
      <c r="O289" s="28"/>
      <c r="P289" s="29" t="s">
        <v>1473</v>
      </c>
      <c r="Q289" s="29" t="s">
        <v>1438</v>
      </c>
      <c r="R289" s="29" t="s">
        <v>1474</v>
      </c>
      <c r="S289" s="30">
        <v>1749.48</v>
      </c>
      <c r="T289" s="30">
        <v>127.05</v>
      </c>
      <c r="U289" s="30">
        <v>1622.43</v>
      </c>
    </row>
    <row x14ac:dyDescent="0.25" r="290" customHeight="1" ht="18.75">
      <c r="A290" s="21">
        <v>289</v>
      </c>
      <c r="B290" s="22" t="s">
        <v>1475</v>
      </c>
      <c r="C290" s="22" t="s">
        <v>656</v>
      </c>
      <c r="D290" s="22" t="s">
        <v>1476</v>
      </c>
      <c r="E290" s="22" t="s">
        <v>605</v>
      </c>
      <c r="F290" s="23"/>
      <c r="G290" s="22"/>
      <c r="H290" s="24"/>
      <c r="I290" s="25"/>
      <c r="J290" s="26">
        <v>200</v>
      </c>
      <c r="K290" s="27" t="s">
        <v>180</v>
      </c>
      <c r="L290" s="27" t="s">
        <v>169</v>
      </c>
      <c r="M290" s="28" t="s">
        <v>658</v>
      </c>
      <c r="N290" s="28" t="s">
        <v>661</v>
      </c>
      <c r="O290" s="28" t="s">
        <v>662</v>
      </c>
      <c r="P290" s="29" t="s">
        <v>658</v>
      </c>
      <c r="Q290" s="29" t="s">
        <v>661</v>
      </c>
      <c r="R290" s="29" t="s">
        <v>662</v>
      </c>
      <c r="S290" s="30">
        <v>3902.47</v>
      </c>
      <c r="T290" s="30">
        <v>356.88</v>
      </c>
      <c r="U290" s="30">
        <v>3545.59</v>
      </c>
    </row>
    <row x14ac:dyDescent="0.25" r="291" customHeight="1" ht="18.75">
      <c r="A291" s="21">
        <v>290</v>
      </c>
      <c r="B291" s="22" t="s">
        <v>1477</v>
      </c>
      <c r="C291" s="22" t="s">
        <v>166</v>
      </c>
      <c r="D291" s="22" t="s">
        <v>1478</v>
      </c>
      <c r="E291" s="22" t="s">
        <v>432</v>
      </c>
      <c r="F291" s="23"/>
      <c r="G291" s="22"/>
      <c r="H291" s="24"/>
      <c r="I291" s="25"/>
      <c r="J291" s="26">
        <v>206</v>
      </c>
      <c r="K291" s="27" t="s">
        <v>180</v>
      </c>
      <c r="L291" s="27" t="s">
        <v>169</v>
      </c>
      <c r="M291" s="28" t="s">
        <v>1479</v>
      </c>
      <c r="N291" s="28" t="s">
        <v>1480</v>
      </c>
      <c r="O291" s="28" t="s">
        <v>1481</v>
      </c>
      <c r="P291" s="29" t="s">
        <v>707</v>
      </c>
      <c r="Q291" s="29" t="s">
        <v>723</v>
      </c>
      <c r="R291" s="29" t="s">
        <v>724</v>
      </c>
      <c r="S291" s="30">
        <v>2221.43</v>
      </c>
      <c r="T291" s="30">
        <v>175.6</v>
      </c>
      <c r="U291" s="30">
        <v>2045.83</v>
      </c>
    </row>
    <row x14ac:dyDescent="0.25" r="292" customHeight="1" ht="18.75">
      <c r="A292" s="21">
        <v>291</v>
      </c>
      <c r="B292" s="22" t="s">
        <v>1482</v>
      </c>
      <c r="C292" s="22" t="s">
        <v>166</v>
      </c>
      <c r="D292" s="22" t="s">
        <v>1483</v>
      </c>
      <c r="E292" s="22" t="s">
        <v>224</v>
      </c>
      <c r="F292" s="23"/>
      <c r="G292" s="22"/>
      <c r="H292" s="24"/>
      <c r="I292" s="25"/>
      <c r="J292" s="26">
        <v>292</v>
      </c>
      <c r="K292" s="27" t="s">
        <v>180</v>
      </c>
      <c r="L292" s="27" t="s">
        <v>169</v>
      </c>
      <c r="M292" s="28" t="s">
        <v>1484</v>
      </c>
      <c r="N292" s="28" t="s">
        <v>1485</v>
      </c>
      <c r="O292" s="28" t="s">
        <v>1486</v>
      </c>
      <c r="P292" s="29" t="s">
        <v>425</v>
      </c>
      <c r="Q292" s="29" t="s">
        <v>779</v>
      </c>
      <c r="R292" s="29" t="s">
        <v>780</v>
      </c>
      <c r="S292" s="30">
        <v>2161.8</v>
      </c>
      <c r="T292" s="30">
        <v>170.24</v>
      </c>
      <c r="U292" s="30">
        <v>1991.56</v>
      </c>
    </row>
    <row x14ac:dyDescent="0.25" r="293" customHeight="1" ht="18.75">
      <c r="A293" s="21">
        <v>292</v>
      </c>
      <c r="B293" s="22" t="s">
        <v>1487</v>
      </c>
      <c r="C293" s="22" t="s">
        <v>166</v>
      </c>
      <c r="D293" s="22" t="s">
        <v>1488</v>
      </c>
      <c r="E293" s="22" t="s">
        <v>191</v>
      </c>
      <c r="F293" s="23"/>
      <c r="G293" s="22"/>
      <c r="H293" s="24"/>
      <c r="I293" s="25"/>
      <c r="J293" s="26">
        <v>324</v>
      </c>
      <c r="K293" s="27" t="s">
        <v>180</v>
      </c>
      <c r="L293" s="27" t="s">
        <v>169</v>
      </c>
      <c r="M293" s="28" t="s">
        <v>258</v>
      </c>
      <c r="N293" s="28" t="s">
        <v>259</v>
      </c>
      <c r="O293" s="28" t="s">
        <v>260</v>
      </c>
      <c r="P293" s="29" t="s">
        <v>1489</v>
      </c>
      <c r="Q293" s="29" t="s">
        <v>779</v>
      </c>
      <c r="R293" s="29" t="s">
        <v>1490</v>
      </c>
      <c r="S293" s="30">
        <v>1992.81</v>
      </c>
      <c r="T293" s="30">
        <v>612.09</v>
      </c>
      <c r="U293" s="30">
        <v>1380.72</v>
      </c>
    </row>
    <row x14ac:dyDescent="0.25" r="294" customHeight="1" ht="18.75">
      <c r="A294" s="21">
        <v>293</v>
      </c>
      <c r="B294" s="22" t="s">
        <v>1491</v>
      </c>
      <c r="C294" s="22" t="s">
        <v>278</v>
      </c>
      <c r="D294" s="22" t="s">
        <v>1492</v>
      </c>
      <c r="E294" s="22" t="s">
        <v>746</v>
      </c>
      <c r="F294" s="23"/>
      <c r="G294" s="22"/>
      <c r="H294" s="24"/>
      <c r="I294" s="25"/>
      <c r="J294" s="26">
        <v>509</v>
      </c>
      <c r="K294" s="27" t="s">
        <v>180</v>
      </c>
      <c r="L294" s="27" t="s">
        <v>169</v>
      </c>
      <c r="M294" s="28" t="s">
        <v>1493</v>
      </c>
      <c r="N294" s="28" t="s">
        <v>1494</v>
      </c>
      <c r="O294" s="28" t="s">
        <v>1495</v>
      </c>
      <c r="P294" s="29" t="s">
        <v>750</v>
      </c>
      <c r="Q294" s="29" t="s">
        <v>1414</v>
      </c>
      <c r="R294" s="29" t="s">
        <v>1415</v>
      </c>
      <c r="S294" s="30">
        <v>5136</v>
      </c>
      <c r="T294" s="30">
        <v>546.08</v>
      </c>
      <c r="U294" s="30">
        <v>4589.92</v>
      </c>
    </row>
    <row x14ac:dyDescent="0.25" r="295" customHeight="1" ht="18.75">
      <c r="A295" s="21">
        <v>294</v>
      </c>
      <c r="B295" s="22" t="s">
        <v>1496</v>
      </c>
      <c r="C295" s="22" t="s">
        <v>396</v>
      </c>
      <c r="D295" s="22" t="s">
        <v>1497</v>
      </c>
      <c r="E295" s="22" t="s">
        <v>140</v>
      </c>
      <c r="F295" s="23"/>
      <c r="G295" s="22"/>
      <c r="H295" s="24"/>
      <c r="I295" s="25"/>
      <c r="J295" s="26">
        <v>109</v>
      </c>
      <c r="K295" s="27" t="s">
        <v>180</v>
      </c>
      <c r="L295" s="27" t="s">
        <v>169</v>
      </c>
      <c r="M295" s="28" t="s">
        <v>216</v>
      </c>
      <c r="N295" s="28" t="s">
        <v>217</v>
      </c>
      <c r="O295" s="28" t="s">
        <v>218</v>
      </c>
      <c r="P295" s="29" t="s">
        <v>219</v>
      </c>
      <c r="Q295" s="29" t="s">
        <v>220</v>
      </c>
      <c r="R295" s="29" t="s">
        <v>221</v>
      </c>
      <c r="S295" s="30">
        <v>5700.71</v>
      </c>
      <c r="T295" s="30">
        <v>871.99</v>
      </c>
      <c r="U295" s="30">
        <v>4828.72</v>
      </c>
    </row>
    <row x14ac:dyDescent="0.25" r="296" customHeight="1" ht="18.75">
      <c r="A296" s="21">
        <v>295</v>
      </c>
      <c r="B296" s="22" t="s">
        <v>1498</v>
      </c>
      <c r="C296" s="22" t="s">
        <v>166</v>
      </c>
      <c r="D296" s="22" t="s">
        <v>1499</v>
      </c>
      <c r="E296" s="22" t="s">
        <v>605</v>
      </c>
      <c r="F296" s="23"/>
      <c r="G296" s="22"/>
      <c r="H296" s="24"/>
      <c r="I296" s="25"/>
      <c r="J296" s="26">
        <v>9</v>
      </c>
      <c r="K296" s="27" t="s">
        <v>180</v>
      </c>
      <c r="L296" s="27" t="s">
        <v>169</v>
      </c>
      <c r="M296" s="28" t="s">
        <v>225</v>
      </c>
      <c r="N296" s="28" t="s">
        <v>171</v>
      </c>
      <c r="O296" s="28" t="s">
        <v>226</v>
      </c>
      <c r="P296" s="29" t="s">
        <v>227</v>
      </c>
      <c r="Q296" s="29" t="s">
        <v>174</v>
      </c>
      <c r="R296" s="29" t="s">
        <v>297</v>
      </c>
      <c r="S296" s="30">
        <v>1909.03</v>
      </c>
      <c r="T296" s="30">
        <v>141.41</v>
      </c>
      <c r="U296" s="30">
        <v>1767.62</v>
      </c>
    </row>
    <row x14ac:dyDescent="0.25" r="297" customHeight="1" ht="18.75">
      <c r="A297" s="21">
        <v>296</v>
      </c>
      <c r="B297" s="22" t="s">
        <v>1500</v>
      </c>
      <c r="C297" s="22" t="s">
        <v>402</v>
      </c>
      <c r="D297" s="22" t="s">
        <v>1501</v>
      </c>
      <c r="E297" s="22" t="s">
        <v>582</v>
      </c>
      <c r="F297" s="23"/>
      <c r="G297" s="22"/>
      <c r="H297" s="24"/>
      <c r="I297" s="25"/>
      <c r="J297" s="26">
        <v>434</v>
      </c>
      <c r="K297" s="27" t="s">
        <v>180</v>
      </c>
      <c r="L297" s="27" t="s">
        <v>169</v>
      </c>
      <c r="M297" s="28" t="s">
        <v>1048</v>
      </c>
      <c r="N297" s="28" t="s">
        <v>1049</v>
      </c>
      <c r="O297" s="28" t="s">
        <v>1050</v>
      </c>
      <c r="P297" s="29" t="s">
        <v>1502</v>
      </c>
      <c r="Q297" s="29" t="s">
        <v>1503</v>
      </c>
      <c r="R297" s="29" t="s">
        <v>1504</v>
      </c>
      <c r="S297" s="30">
        <v>4985.77</v>
      </c>
      <c r="T297" s="30">
        <v>499.51</v>
      </c>
      <c r="U297" s="30">
        <v>4486.26</v>
      </c>
    </row>
    <row x14ac:dyDescent="0.25" r="298" customHeight="1" ht="18.75">
      <c r="A298" s="21">
        <v>297</v>
      </c>
      <c r="B298" s="22" t="s">
        <v>1505</v>
      </c>
      <c r="C298" s="22" t="s">
        <v>549</v>
      </c>
      <c r="D298" s="22" t="s">
        <v>1506</v>
      </c>
      <c r="E298" s="22" t="s">
        <v>474</v>
      </c>
      <c r="F298" s="23"/>
      <c r="G298" s="22"/>
      <c r="H298" s="24"/>
      <c r="I298" s="25"/>
      <c r="J298" s="26">
        <v>545</v>
      </c>
      <c r="K298" s="27" t="s">
        <v>180</v>
      </c>
      <c r="L298" s="27" t="s">
        <v>468</v>
      </c>
      <c r="M298" s="28" t="s">
        <v>1221</v>
      </c>
      <c r="N298" s="28" t="s">
        <v>593</v>
      </c>
      <c r="O298" s="28" t="s">
        <v>1507</v>
      </c>
      <c r="P298" s="29" t="s">
        <v>1221</v>
      </c>
      <c r="Q298" s="29" t="s">
        <v>593</v>
      </c>
      <c r="R298" s="29" t="s">
        <v>1507</v>
      </c>
      <c r="S298" s="30">
        <v>4854.99</v>
      </c>
      <c r="T298" s="30">
        <v>4854.99</v>
      </c>
      <c r="U298" s="28">
        <v>0</v>
      </c>
    </row>
    <row x14ac:dyDescent="0.25" r="299" customHeight="1" ht="18.75">
      <c r="A299" s="21">
        <v>298</v>
      </c>
      <c r="B299" s="22" t="s">
        <v>1508</v>
      </c>
      <c r="C299" s="22" t="s">
        <v>166</v>
      </c>
      <c r="D299" s="22" t="s">
        <v>1509</v>
      </c>
      <c r="E299" s="22" t="s">
        <v>140</v>
      </c>
      <c r="F299" s="23"/>
      <c r="G299" s="22"/>
      <c r="H299" s="24"/>
      <c r="I299" s="25"/>
      <c r="J299" s="26">
        <v>78</v>
      </c>
      <c r="K299" s="27" t="s">
        <v>180</v>
      </c>
      <c r="L299" s="27" t="s">
        <v>169</v>
      </c>
      <c r="M299" s="28" t="s">
        <v>170</v>
      </c>
      <c r="N299" s="28" t="s">
        <v>171</v>
      </c>
      <c r="O299" s="28" t="s">
        <v>172</v>
      </c>
      <c r="P299" s="29" t="s">
        <v>173</v>
      </c>
      <c r="Q299" s="29" t="s">
        <v>174</v>
      </c>
      <c r="R299" s="29" t="s">
        <v>175</v>
      </c>
      <c r="S299" s="30">
        <v>1681.94</v>
      </c>
      <c r="T299" s="30">
        <v>127.05</v>
      </c>
      <c r="U299" s="30">
        <v>1554.89</v>
      </c>
    </row>
    <row x14ac:dyDescent="0.25" r="300" customHeight="1" ht="18.75">
      <c r="A300" s="21">
        <v>299</v>
      </c>
      <c r="B300" s="22" t="s">
        <v>1510</v>
      </c>
      <c r="C300" s="22" t="s">
        <v>472</v>
      </c>
      <c r="D300" s="22" t="s">
        <v>1511</v>
      </c>
      <c r="E300" s="22" t="s">
        <v>967</v>
      </c>
      <c r="F300" s="23"/>
      <c r="G300" s="22"/>
      <c r="H300" s="24"/>
      <c r="I300" s="25"/>
      <c r="J300" s="26">
        <v>527</v>
      </c>
      <c r="K300" s="27" t="s">
        <v>180</v>
      </c>
      <c r="L300" s="27" t="s">
        <v>169</v>
      </c>
      <c r="M300" s="28" t="s">
        <v>476</v>
      </c>
      <c r="N300" s="28" t="s">
        <v>477</v>
      </c>
      <c r="O300" s="28" t="s">
        <v>478</v>
      </c>
      <c r="P300" s="29" t="s">
        <v>476</v>
      </c>
      <c r="Q300" s="29" t="s">
        <v>477</v>
      </c>
      <c r="R300" s="29" t="s">
        <v>478</v>
      </c>
      <c r="S300" s="30">
        <v>2800</v>
      </c>
      <c r="T300" s="30">
        <v>227.68</v>
      </c>
      <c r="U300" s="30">
        <v>2572.32</v>
      </c>
    </row>
    <row x14ac:dyDescent="0.25" r="301" customHeight="1" ht="18.75">
      <c r="A301" s="21">
        <v>300</v>
      </c>
      <c r="B301" s="22" t="s">
        <v>1512</v>
      </c>
      <c r="C301" s="22" t="s">
        <v>539</v>
      </c>
      <c r="D301" s="22" t="s">
        <v>1513</v>
      </c>
      <c r="E301" s="22" t="s">
        <v>67</v>
      </c>
      <c r="F301" s="23"/>
      <c r="G301" s="22"/>
      <c r="H301" s="24"/>
      <c r="I301" s="25"/>
      <c r="J301" s="26">
        <v>243</v>
      </c>
      <c r="K301" s="27" t="s">
        <v>180</v>
      </c>
      <c r="L301" s="27" t="s">
        <v>169</v>
      </c>
      <c r="M301" s="28" t="s">
        <v>173</v>
      </c>
      <c r="N301" s="28" t="s">
        <v>1514</v>
      </c>
      <c r="O301" s="28" t="s">
        <v>1515</v>
      </c>
      <c r="P301" s="29" t="s">
        <v>173</v>
      </c>
      <c r="Q301" s="29" t="s">
        <v>174</v>
      </c>
      <c r="R301" s="29" t="s">
        <v>175</v>
      </c>
      <c r="S301" s="30">
        <v>1718.84</v>
      </c>
      <c r="T301" s="30">
        <v>130.37</v>
      </c>
      <c r="U301" s="30">
        <v>1588.47</v>
      </c>
    </row>
    <row x14ac:dyDescent="0.25" r="302" customHeight="1" ht="18.75">
      <c r="A302" s="21">
        <v>301</v>
      </c>
      <c r="B302" s="22" t="s">
        <v>1516</v>
      </c>
      <c r="C302" s="22" t="s">
        <v>1517</v>
      </c>
      <c r="D302" s="22" t="s">
        <v>1518</v>
      </c>
      <c r="E302" s="22" t="s">
        <v>310</v>
      </c>
      <c r="F302" s="23"/>
      <c r="G302" s="22"/>
      <c r="H302" s="24"/>
      <c r="I302" s="25"/>
      <c r="J302" s="26">
        <v>483</v>
      </c>
      <c r="K302" s="27" t="s">
        <v>180</v>
      </c>
      <c r="L302" s="27" t="s">
        <v>169</v>
      </c>
      <c r="M302" s="28" t="s">
        <v>750</v>
      </c>
      <c r="N302" s="28" t="s">
        <v>769</v>
      </c>
      <c r="O302" s="28" t="s">
        <v>770</v>
      </c>
      <c r="P302" s="29" t="s">
        <v>750</v>
      </c>
      <c r="Q302" s="29" t="s">
        <v>769</v>
      </c>
      <c r="R302" s="29" t="s">
        <v>770</v>
      </c>
      <c r="S302" s="30">
        <v>6187.78</v>
      </c>
      <c r="T302" s="30">
        <v>1122.31</v>
      </c>
      <c r="U302" s="30">
        <v>5065.47</v>
      </c>
    </row>
    <row x14ac:dyDescent="0.25" r="303" customHeight="1" ht="18.75">
      <c r="A303" s="21">
        <v>302</v>
      </c>
      <c r="B303" s="22" t="s">
        <v>1519</v>
      </c>
      <c r="C303" s="22" t="s">
        <v>166</v>
      </c>
      <c r="D303" s="22" t="s">
        <v>1520</v>
      </c>
      <c r="E303" s="22" t="s">
        <v>134</v>
      </c>
      <c r="F303" s="23"/>
      <c r="G303" s="22"/>
      <c r="H303" s="24"/>
      <c r="I303" s="25"/>
      <c r="J303" s="26">
        <v>125</v>
      </c>
      <c r="K303" s="27" t="s">
        <v>180</v>
      </c>
      <c r="L303" s="27" t="s">
        <v>169</v>
      </c>
      <c r="M303" s="28" t="s">
        <v>1521</v>
      </c>
      <c r="N303" s="28" t="s">
        <v>1522</v>
      </c>
      <c r="O303" s="28" t="s">
        <v>1523</v>
      </c>
      <c r="P303" s="29" t="s">
        <v>1524</v>
      </c>
      <c r="Q303" s="29" t="s">
        <v>1525</v>
      </c>
      <c r="R303" s="29" t="s">
        <v>1526</v>
      </c>
      <c r="S303" s="30">
        <v>2127.32</v>
      </c>
      <c r="T303" s="30">
        <v>167.13</v>
      </c>
      <c r="U303" s="30">
        <v>1960.19</v>
      </c>
    </row>
    <row x14ac:dyDescent="0.25" r="304" customHeight="1" ht="18.75">
      <c r="A304" s="21">
        <v>303</v>
      </c>
      <c r="B304" s="22" t="s">
        <v>1527</v>
      </c>
      <c r="C304" s="22" t="s">
        <v>190</v>
      </c>
      <c r="D304" s="22" t="s">
        <v>1528</v>
      </c>
      <c r="E304" s="22" t="s">
        <v>273</v>
      </c>
      <c r="F304" s="23"/>
      <c r="G304" s="22"/>
      <c r="H304" s="24"/>
      <c r="I304" s="25"/>
      <c r="J304" s="26">
        <v>295</v>
      </c>
      <c r="K304" s="27" t="s">
        <v>180</v>
      </c>
      <c r="L304" s="27" t="s">
        <v>169</v>
      </c>
      <c r="M304" s="28" t="s">
        <v>233</v>
      </c>
      <c r="N304" s="28" t="s">
        <v>234</v>
      </c>
      <c r="O304" s="28" t="s">
        <v>235</v>
      </c>
      <c r="P304" s="29" t="s">
        <v>236</v>
      </c>
      <c r="Q304" s="29" t="s">
        <v>275</v>
      </c>
      <c r="R304" s="29" t="s">
        <v>276</v>
      </c>
      <c r="S304" s="30">
        <v>3829.88</v>
      </c>
      <c r="T304" s="30">
        <v>348.17</v>
      </c>
      <c r="U304" s="30">
        <v>3481.71</v>
      </c>
    </row>
    <row x14ac:dyDescent="0.25" r="305" customHeight="1" ht="18.75">
      <c r="A305" s="21">
        <v>304</v>
      </c>
      <c r="B305" s="22" t="s">
        <v>1529</v>
      </c>
      <c r="C305" s="22" t="s">
        <v>1530</v>
      </c>
      <c r="D305" s="22" t="s">
        <v>1531</v>
      </c>
      <c r="E305" s="22" t="s">
        <v>591</v>
      </c>
      <c r="F305" s="23"/>
      <c r="G305" s="22"/>
      <c r="H305" s="24"/>
      <c r="I305" s="25"/>
      <c r="J305" s="26">
        <v>474</v>
      </c>
      <c r="K305" s="27" t="s">
        <v>180</v>
      </c>
      <c r="L305" s="27" t="s">
        <v>169</v>
      </c>
      <c r="M305" s="28" t="s">
        <v>490</v>
      </c>
      <c r="N305" s="28" t="s">
        <v>491</v>
      </c>
      <c r="O305" s="28" t="s">
        <v>492</v>
      </c>
      <c r="P305" s="29" t="s">
        <v>490</v>
      </c>
      <c r="Q305" s="29" t="s">
        <v>491</v>
      </c>
      <c r="R305" s="29" t="s">
        <v>492</v>
      </c>
      <c r="S305" s="30">
        <v>6605.58</v>
      </c>
      <c r="T305" s="30">
        <v>1335.24</v>
      </c>
      <c r="U305" s="30">
        <v>5270.34</v>
      </c>
    </row>
    <row x14ac:dyDescent="0.25" r="306" customHeight="1" ht="18.75">
      <c r="A306" s="21">
        <v>305</v>
      </c>
      <c r="B306" s="22" t="s">
        <v>1532</v>
      </c>
      <c r="C306" s="22" t="s">
        <v>166</v>
      </c>
      <c r="D306" s="22" t="s">
        <v>1533</v>
      </c>
      <c r="E306" s="22" t="s">
        <v>140</v>
      </c>
      <c r="F306" s="23"/>
      <c r="G306" s="22"/>
      <c r="H306" s="24"/>
      <c r="I306" s="25"/>
      <c r="J306" s="26">
        <v>117</v>
      </c>
      <c r="K306" s="27" t="s">
        <v>180</v>
      </c>
      <c r="L306" s="27" t="s">
        <v>169</v>
      </c>
      <c r="M306" s="28" t="s">
        <v>720</v>
      </c>
      <c r="N306" s="28" t="s">
        <v>721</v>
      </c>
      <c r="O306" s="28" t="s">
        <v>722</v>
      </c>
      <c r="P306" s="29" t="s">
        <v>707</v>
      </c>
      <c r="Q306" s="29" t="s">
        <v>723</v>
      </c>
      <c r="R306" s="29" t="s">
        <v>724</v>
      </c>
      <c r="S306" s="30">
        <v>1940.07</v>
      </c>
      <c r="T306" s="30">
        <v>150.28</v>
      </c>
      <c r="U306" s="30">
        <v>1789.79</v>
      </c>
    </row>
    <row x14ac:dyDescent="0.25" r="307" customHeight="1" ht="18.75">
      <c r="A307" s="21">
        <v>306</v>
      </c>
      <c r="B307" s="22" t="s">
        <v>1534</v>
      </c>
      <c r="C307" s="22" t="s">
        <v>278</v>
      </c>
      <c r="D307" s="22" t="s">
        <v>1535</v>
      </c>
      <c r="E307" s="22" t="s">
        <v>746</v>
      </c>
      <c r="F307" s="23"/>
      <c r="G307" s="22"/>
      <c r="H307" s="24"/>
      <c r="I307" s="25"/>
      <c r="J307" s="26">
        <v>514</v>
      </c>
      <c r="K307" s="27" t="s">
        <v>180</v>
      </c>
      <c r="L307" s="27" t="s">
        <v>169</v>
      </c>
      <c r="M307" s="28" t="s">
        <v>750</v>
      </c>
      <c r="N307" s="28" t="s">
        <v>769</v>
      </c>
      <c r="O307" s="28" t="s">
        <v>770</v>
      </c>
      <c r="P307" s="29" t="s">
        <v>750</v>
      </c>
      <c r="Q307" s="29" t="s">
        <v>769</v>
      </c>
      <c r="R307" s="29" t="s">
        <v>770</v>
      </c>
      <c r="S307" s="30">
        <v>5740.7</v>
      </c>
      <c r="T307" s="30">
        <v>893.91</v>
      </c>
      <c r="U307" s="30">
        <v>4846.79</v>
      </c>
    </row>
    <row x14ac:dyDescent="0.25" r="308" customHeight="1" ht="18.75">
      <c r="A308" s="21">
        <v>307</v>
      </c>
      <c r="B308" s="22" t="s">
        <v>1536</v>
      </c>
      <c r="C308" s="22" t="s">
        <v>278</v>
      </c>
      <c r="D308" s="22" t="s">
        <v>1537</v>
      </c>
      <c r="E308" s="22" t="s">
        <v>94</v>
      </c>
      <c r="F308" s="23"/>
      <c r="G308" s="22"/>
      <c r="H308" s="24"/>
      <c r="I308" s="25"/>
      <c r="J308" s="26">
        <v>326</v>
      </c>
      <c r="K308" s="27" t="s">
        <v>180</v>
      </c>
      <c r="L308" s="27" t="s">
        <v>169</v>
      </c>
      <c r="M308" s="28" t="s">
        <v>417</v>
      </c>
      <c r="N308" s="28" t="s">
        <v>418</v>
      </c>
      <c r="O308" s="28" t="s">
        <v>419</v>
      </c>
      <c r="P308" s="29" t="s">
        <v>1538</v>
      </c>
      <c r="Q308" s="29" t="s">
        <v>1539</v>
      </c>
      <c r="R308" s="29" t="s">
        <v>1540</v>
      </c>
      <c r="S308" s="30">
        <v>4846.01</v>
      </c>
      <c r="T308" s="30">
        <v>479.94</v>
      </c>
      <c r="U308" s="30">
        <v>4366.07</v>
      </c>
    </row>
    <row x14ac:dyDescent="0.25" r="309" customHeight="1" ht="18.75">
      <c r="A309" s="21">
        <v>308</v>
      </c>
      <c r="B309" s="22" t="s">
        <v>1541</v>
      </c>
      <c r="C309" s="22" t="s">
        <v>539</v>
      </c>
      <c r="D309" s="22" t="s">
        <v>1542</v>
      </c>
      <c r="E309" s="22" t="s">
        <v>49</v>
      </c>
      <c r="F309" s="23"/>
      <c r="G309" s="22"/>
      <c r="H309" s="24"/>
      <c r="I309" s="25"/>
      <c r="J309" s="26">
        <v>373</v>
      </c>
      <c r="K309" s="27" t="s">
        <v>180</v>
      </c>
      <c r="L309" s="27" t="s">
        <v>169</v>
      </c>
      <c r="M309" s="28" t="s">
        <v>173</v>
      </c>
      <c r="N309" s="28" t="s">
        <v>174</v>
      </c>
      <c r="O309" s="28" t="s">
        <v>175</v>
      </c>
      <c r="P309" s="29" t="s">
        <v>173</v>
      </c>
      <c r="Q309" s="29" t="s">
        <v>174</v>
      </c>
      <c r="R309" s="29" t="s">
        <v>175</v>
      </c>
      <c r="S309" s="30">
        <v>1896.88</v>
      </c>
      <c r="T309" s="30">
        <v>146.39</v>
      </c>
      <c r="U309" s="30">
        <v>1750.49</v>
      </c>
    </row>
    <row x14ac:dyDescent="0.25" r="310" customHeight="1" ht="18.75">
      <c r="A310" s="21">
        <v>309</v>
      </c>
      <c r="B310" s="22" t="s">
        <v>1543</v>
      </c>
      <c r="C310" s="22" t="s">
        <v>190</v>
      </c>
      <c r="D310" s="22" t="s">
        <v>1544</v>
      </c>
      <c r="E310" s="22" t="s">
        <v>191</v>
      </c>
      <c r="F310" s="23"/>
      <c r="G310" s="22"/>
      <c r="H310" s="24"/>
      <c r="I310" s="25"/>
      <c r="J310" s="26">
        <v>581</v>
      </c>
      <c r="K310" s="27" t="s">
        <v>168</v>
      </c>
      <c r="L310" s="27" t="s">
        <v>169</v>
      </c>
      <c r="M310" s="28" t="s">
        <v>300</v>
      </c>
      <c r="N310" s="28" t="s">
        <v>301</v>
      </c>
      <c r="O310" s="28" t="s">
        <v>302</v>
      </c>
      <c r="P310" s="29" t="s">
        <v>303</v>
      </c>
      <c r="Q310" s="29" t="s">
        <v>304</v>
      </c>
      <c r="R310" s="29" t="s">
        <v>305</v>
      </c>
      <c r="S310" s="30">
        <v>3296.83</v>
      </c>
      <c r="T310" s="30">
        <v>284.2</v>
      </c>
      <c r="U310" s="30">
        <v>3012.63</v>
      </c>
    </row>
    <row x14ac:dyDescent="0.25" r="311" customHeight="1" ht="18.75">
      <c r="A311" s="21">
        <v>310</v>
      </c>
      <c r="B311" s="22" t="s">
        <v>1545</v>
      </c>
      <c r="C311" s="22" t="s">
        <v>278</v>
      </c>
      <c r="D311" s="22" t="s">
        <v>1546</v>
      </c>
      <c r="E311" s="22" t="s">
        <v>291</v>
      </c>
      <c r="F311" s="23"/>
      <c r="G311" s="22"/>
      <c r="H311" s="24"/>
      <c r="I311" s="25"/>
      <c r="J311" s="26">
        <v>257</v>
      </c>
      <c r="K311" s="27" t="s">
        <v>180</v>
      </c>
      <c r="L311" s="27" t="s">
        <v>169</v>
      </c>
      <c r="M311" s="28" t="s">
        <v>417</v>
      </c>
      <c r="N311" s="28" t="s">
        <v>1547</v>
      </c>
      <c r="O311" s="28" t="s">
        <v>1548</v>
      </c>
      <c r="P311" s="29" t="s">
        <v>417</v>
      </c>
      <c r="Q311" s="29" t="s">
        <v>1547</v>
      </c>
      <c r="R311" s="29" t="s">
        <v>1548</v>
      </c>
      <c r="S311" s="30">
        <v>5659.61</v>
      </c>
      <c r="T311" s="30">
        <v>2133.45</v>
      </c>
      <c r="U311" s="30">
        <v>3526.16</v>
      </c>
    </row>
    <row x14ac:dyDescent="0.25" r="312" customHeight="1" ht="18.75">
      <c r="A312" s="21">
        <v>311</v>
      </c>
      <c r="B312" s="22" t="s">
        <v>1549</v>
      </c>
      <c r="C312" s="22" t="s">
        <v>520</v>
      </c>
      <c r="D312" s="22" t="s">
        <v>1550</v>
      </c>
      <c r="E312" s="22" t="s">
        <v>1551</v>
      </c>
      <c r="F312" s="23"/>
      <c r="G312" s="22"/>
      <c r="H312" s="24"/>
      <c r="I312" s="25"/>
      <c r="J312" s="26">
        <v>349</v>
      </c>
      <c r="K312" s="27" t="s">
        <v>180</v>
      </c>
      <c r="L312" s="27" t="s">
        <v>169</v>
      </c>
      <c r="M312" s="28" t="s">
        <v>522</v>
      </c>
      <c r="N312" s="28" t="s">
        <v>523</v>
      </c>
      <c r="O312" s="28" t="s">
        <v>524</v>
      </c>
      <c r="P312" s="29" t="s">
        <v>522</v>
      </c>
      <c r="Q312" s="29" t="s">
        <v>523</v>
      </c>
      <c r="R312" s="29" t="s">
        <v>524</v>
      </c>
      <c r="S312" s="30">
        <v>4327</v>
      </c>
      <c r="T312" s="30">
        <v>407.82</v>
      </c>
      <c r="U312" s="30">
        <v>3919.18</v>
      </c>
    </row>
    <row x14ac:dyDescent="0.25" r="313" customHeight="1" ht="18.75">
      <c r="A313" s="21">
        <v>312</v>
      </c>
      <c r="B313" s="22" t="s">
        <v>1552</v>
      </c>
      <c r="C313" s="22" t="s">
        <v>190</v>
      </c>
      <c r="D313" s="22" t="s">
        <v>1553</v>
      </c>
      <c r="E313" s="22" t="s">
        <v>33</v>
      </c>
      <c r="F313" s="23"/>
      <c r="G313" s="22"/>
      <c r="H313" s="24"/>
      <c r="I313" s="25"/>
      <c r="J313" s="26">
        <v>394</v>
      </c>
      <c r="K313" s="27" t="s">
        <v>180</v>
      </c>
      <c r="L313" s="27" t="s">
        <v>169</v>
      </c>
      <c r="M313" s="28" t="s">
        <v>233</v>
      </c>
      <c r="N313" s="28" t="s">
        <v>234</v>
      </c>
      <c r="O313" s="28" t="s">
        <v>235</v>
      </c>
      <c r="P313" s="29" t="s">
        <v>236</v>
      </c>
      <c r="Q313" s="29" t="s">
        <v>275</v>
      </c>
      <c r="R313" s="29" t="s">
        <v>276</v>
      </c>
      <c r="S313" s="30">
        <v>3433.34</v>
      </c>
      <c r="T313" s="30">
        <v>300.59</v>
      </c>
      <c r="U313" s="30">
        <v>3132.75</v>
      </c>
    </row>
    <row x14ac:dyDescent="0.25" r="314" customHeight="1" ht="18.75">
      <c r="A314" s="21">
        <v>313</v>
      </c>
      <c r="B314" s="22" t="s">
        <v>1554</v>
      </c>
      <c r="C314" s="22" t="s">
        <v>177</v>
      </c>
      <c r="D314" s="22" t="s">
        <v>1555</v>
      </c>
      <c r="E314" s="22" t="s">
        <v>249</v>
      </c>
      <c r="F314" s="23"/>
      <c r="G314" s="22"/>
      <c r="H314" s="24"/>
      <c r="I314" s="25"/>
      <c r="J314" s="26">
        <v>226</v>
      </c>
      <c r="K314" s="27" t="s">
        <v>180</v>
      </c>
      <c r="L314" s="27" t="s">
        <v>169</v>
      </c>
      <c r="M314" s="28" t="s">
        <v>1556</v>
      </c>
      <c r="N314" s="28" t="s">
        <v>1557</v>
      </c>
      <c r="O314" s="28" t="s">
        <v>1558</v>
      </c>
      <c r="P314" s="29" t="s">
        <v>184</v>
      </c>
      <c r="Q314" s="29" t="s">
        <v>185</v>
      </c>
      <c r="R314" s="29" t="s">
        <v>186</v>
      </c>
      <c r="S314" s="30">
        <v>4739.96</v>
      </c>
      <c r="T314" s="30">
        <v>465.09</v>
      </c>
      <c r="U314" s="30">
        <v>4274.87</v>
      </c>
    </row>
    <row x14ac:dyDescent="0.25" r="315" customHeight="1" ht="18.75">
      <c r="A315" s="21">
        <v>314</v>
      </c>
      <c r="B315" s="22" t="s">
        <v>1559</v>
      </c>
      <c r="C315" s="22" t="s">
        <v>166</v>
      </c>
      <c r="D315" s="22" t="s">
        <v>1560</v>
      </c>
      <c r="E315" s="22" t="s">
        <v>249</v>
      </c>
      <c r="F315" s="23"/>
      <c r="G315" s="22"/>
      <c r="H315" s="24"/>
      <c r="I315" s="25"/>
      <c r="J315" s="26">
        <v>221</v>
      </c>
      <c r="K315" s="27" t="s">
        <v>180</v>
      </c>
      <c r="L315" s="27" t="s">
        <v>169</v>
      </c>
      <c r="M315" s="28" t="s">
        <v>258</v>
      </c>
      <c r="N315" s="28" t="s">
        <v>259</v>
      </c>
      <c r="O315" s="28" t="s">
        <v>260</v>
      </c>
      <c r="P315" s="29" t="s">
        <v>1561</v>
      </c>
      <c r="Q315" s="29" t="s">
        <v>1562</v>
      </c>
      <c r="R315" s="29" t="s">
        <v>1563</v>
      </c>
      <c r="S315" s="30">
        <v>1949.27</v>
      </c>
      <c r="T315" s="30">
        <v>145.03</v>
      </c>
      <c r="U315" s="30">
        <v>1804.24</v>
      </c>
    </row>
    <row x14ac:dyDescent="0.25" r="316" customHeight="1" ht="18.75">
      <c r="A316" s="21">
        <v>315</v>
      </c>
      <c r="B316" s="22" t="s">
        <v>1564</v>
      </c>
      <c r="C316" s="22" t="s">
        <v>539</v>
      </c>
      <c r="D316" s="22" t="s">
        <v>1565</v>
      </c>
      <c r="E316" s="22" t="s">
        <v>17</v>
      </c>
      <c r="F316" s="23"/>
      <c r="G316" s="22"/>
      <c r="H316" s="24"/>
      <c r="I316" s="25"/>
      <c r="J316" s="26">
        <v>479</v>
      </c>
      <c r="K316" s="27" t="s">
        <v>180</v>
      </c>
      <c r="L316" s="27" t="s">
        <v>169</v>
      </c>
      <c r="M316" s="28" t="s">
        <v>173</v>
      </c>
      <c r="N316" s="28" t="s">
        <v>174</v>
      </c>
      <c r="O316" s="28" t="s">
        <v>175</v>
      </c>
      <c r="P316" s="29" t="s">
        <v>173</v>
      </c>
      <c r="Q316" s="29" t="s">
        <v>174</v>
      </c>
      <c r="R316" s="29" t="s">
        <v>175</v>
      </c>
      <c r="S316" s="30">
        <v>1767.62</v>
      </c>
      <c r="T316" s="30">
        <v>134.76</v>
      </c>
      <c r="U316" s="30">
        <v>1632.86</v>
      </c>
    </row>
    <row x14ac:dyDescent="0.25" r="317" customHeight="1" ht="18.75">
      <c r="A317" s="21">
        <v>316</v>
      </c>
      <c r="B317" s="22" t="s">
        <v>1566</v>
      </c>
      <c r="C317" s="22" t="s">
        <v>278</v>
      </c>
      <c r="D317" s="22" t="s">
        <v>1567</v>
      </c>
      <c r="E317" s="22" t="s">
        <v>98</v>
      </c>
      <c r="F317" s="23"/>
      <c r="G317" s="22"/>
      <c r="H317" s="24"/>
      <c r="I317" s="25"/>
      <c r="J317" s="26">
        <v>278</v>
      </c>
      <c r="K317" s="27" t="s">
        <v>180</v>
      </c>
      <c r="L317" s="27" t="s">
        <v>169</v>
      </c>
      <c r="M317" s="28" t="s">
        <v>417</v>
      </c>
      <c r="N317" s="28" t="s">
        <v>418</v>
      </c>
      <c r="O317" s="28" t="s">
        <v>419</v>
      </c>
      <c r="P317" s="29" t="s">
        <v>417</v>
      </c>
      <c r="Q317" s="29" t="s">
        <v>418</v>
      </c>
      <c r="R317" s="29" t="s">
        <v>419</v>
      </c>
      <c r="S317" s="30">
        <v>4631.86</v>
      </c>
      <c r="T317" s="30">
        <v>449.96</v>
      </c>
      <c r="U317" s="30">
        <v>4181.9</v>
      </c>
    </row>
    <row x14ac:dyDescent="0.25" r="318" customHeight="1" ht="18.75">
      <c r="A318" s="21">
        <v>317</v>
      </c>
      <c r="B318" s="22" t="s">
        <v>1568</v>
      </c>
      <c r="C318" s="22" t="s">
        <v>520</v>
      </c>
      <c r="D318" s="22" t="s">
        <v>1569</v>
      </c>
      <c r="E318" s="22" t="s">
        <v>1201</v>
      </c>
      <c r="F318" s="23"/>
      <c r="G318" s="22"/>
      <c r="H318" s="24"/>
      <c r="I318" s="25"/>
      <c r="J318" s="26">
        <v>534</v>
      </c>
      <c r="K318" s="27" t="s">
        <v>1570</v>
      </c>
      <c r="L318" s="27" t="s">
        <v>169</v>
      </c>
      <c r="M318" s="28" t="s">
        <v>522</v>
      </c>
      <c r="N318" s="28" t="s">
        <v>523</v>
      </c>
      <c r="O318" s="28" t="s">
        <v>524</v>
      </c>
      <c r="P318" s="29" t="s">
        <v>522</v>
      </c>
      <c r="Q318" s="29" t="s">
        <v>523</v>
      </c>
      <c r="R318" s="29" t="s">
        <v>524</v>
      </c>
      <c r="S318" s="30">
        <v>4344.3</v>
      </c>
      <c r="T318" s="30">
        <v>409.9</v>
      </c>
      <c r="U318" s="30">
        <v>3934.4</v>
      </c>
    </row>
    <row x14ac:dyDescent="0.25" r="319" customHeight="1" ht="18.75">
      <c r="A319" s="21">
        <v>318</v>
      </c>
      <c r="B319" s="22" t="s">
        <v>1571</v>
      </c>
      <c r="C319" s="22" t="s">
        <v>520</v>
      </c>
      <c r="D319" s="22" t="s">
        <v>1572</v>
      </c>
      <c r="E319" s="22" t="s">
        <v>291</v>
      </c>
      <c r="F319" s="23"/>
      <c r="G319" s="22"/>
      <c r="H319" s="24"/>
      <c r="I319" s="25"/>
      <c r="J319" s="26">
        <v>262</v>
      </c>
      <c r="K319" s="27" t="s">
        <v>180</v>
      </c>
      <c r="L319" s="27" t="s">
        <v>169</v>
      </c>
      <c r="M319" s="28" t="s">
        <v>522</v>
      </c>
      <c r="N319" s="28" t="s">
        <v>523</v>
      </c>
      <c r="O319" s="28" t="s">
        <v>524</v>
      </c>
      <c r="P319" s="29" t="s">
        <v>522</v>
      </c>
      <c r="Q319" s="29" t="s">
        <v>523</v>
      </c>
      <c r="R319" s="29" t="s">
        <v>524</v>
      </c>
      <c r="S319" s="30">
        <v>4327</v>
      </c>
      <c r="T319" s="30">
        <v>523.77</v>
      </c>
      <c r="U319" s="30">
        <v>3803.23</v>
      </c>
    </row>
    <row x14ac:dyDescent="0.25" r="320" customHeight="1" ht="18.75">
      <c r="A320" s="21">
        <v>319</v>
      </c>
      <c r="B320" s="22" t="s">
        <v>1573</v>
      </c>
      <c r="C320" s="22" t="s">
        <v>278</v>
      </c>
      <c r="D320" s="22" t="s">
        <v>1574</v>
      </c>
      <c r="E320" s="22" t="s">
        <v>22</v>
      </c>
      <c r="F320" s="23"/>
      <c r="G320" s="22"/>
      <c r="H320" s="24"/>
      <c r="I320" s="25"/>
      <c r="J320" s="26">
        <v>493</v>
      </c>
      <c r="K320" s="27" t="s">
        <v>180</v>
      </c>
      <c r="L320" s="27" t="s">
        <v>169</v>
      </c>
      <c r="M320" s="28" t="s">
        <v>417</v>
      </c>
      <c r="N320" s="28" t="s">
        <v>418</v>
      </c>
      <c r="O320" s="28" t="s">
        <v>419</v>
      </c>
      <c r="P320" s="29" t="s">
        <v>417</v>
      </c>
      <c r="Q320" s="29" t="s">
        <v>418</v>
      </c>
      <c r="R320" s="29" t="s">
        <v>419</v>
      </c>
      <c r="S320" s="30">
        <v>4311.05</v>
      </c>
      <c r="T320" s="30">
        <v>405.91</v>
      </c>
      <c r="U320" s="30">
        <v>3905.14</v>
      </c>
    </row>
    <row x14ac:dyDescent="0.25" r="321" customHeight="1" ht="18.75">
      <c r="A321" s="21">
        <v>320</v>
      </c>
      <c r="B321" s="22" t="s">
        <v>1575</v>
      </c>
      <c r="C321" s="22" t="s">
        <v>278</v>
      </c>
      <c r="D321" s="22" t="s">
        <v>1576</v>
      </c>
      <c r="E321" s="22" t="s">
        <v>86</v>
      </c>
      <c r="F321" s="23"/>
      <c r="G321" s="22"/>
      <c r="H321" s="24"/>
      <c r="I321" s="25"/>
      <c r="J321" s="26">
        <v>317</v>
      </c>
      <c r="K321" s="27" t="s">
        <v>180</v>
      </c>
      <c r="L321" s="27" t="s">
        <v>169</v>
      </c>
      <c r="M321" s="28" t="s">
        <v>417</v>
      </c>
      <c r="N321" s="28" t="s">
        <v>418</v>
      </c>
      <c r="O321" s="28" t="s">
        <v>419</v>
      </c>
      <c r="P321" s="29" t="s">
        <v>417</v>
      </c>
      <c r="Q321" s="29" t="s">
        <v>1577</v>
      </c>
      <c r="R321" s="29" t="s">
        <v>1578</v>
      </c>
      <c r="S321" s="30">
        <v>4280</v>
      </c>
      <c r="T321" s="30">
        <v>645.17</v>
      </c>
      <c r="U321" s="30">
        <v>3634.83</v>
      </c>
    </row>
    <row x14ac:dyDescent="0.25" r="322" customHeight="1" ht="18.75">
      <c r="A322" s="21">
        <v>321</v>
      </c>
      <c r="B322" s="22" t="s">
        <v>1579</v>
      </c>
      <c r="C322" s="22" t="s">
        <v>472</v>
      </c>
      <c r="D322" s="22" t="s">
        <v>1580</v>
      </c>
      <c r="E322" s="22" t="s">
        <v>824</v>
      </c>
      <c r="F322" s="23"/>
      <c r="G322" s="22"/>
      <c r="H322" s="24"/>
      <c r="I322" s="25"/>
      <c r="J322" s="26">
        <v>93</v>
      </c>
      <c r="K322" s="27" t="s">
        <v>180</v>
      </c>
      <c r="L322" s="27" t="s">
        <v>169</v>
      </c>
      <c r="M322" s="28" t="s">
        <v>476</v>
      </c>
      <c r="N322" s="28" t="s">
        <v>477</v>
      </c>
      <c r="O322" s="28" t="s">
        <v>478</v>
      </c>
      <c r="P322" s="29" t="s">
        <v>476</v>
      </c>
      <c r="Q322" s="29" t="s">
        <v>477</v>
      </c>
      <c r="R322" s="29" t="s">
        <v>478</v>
      </c>
      <c r="S322" s="30">
        <v>2800</v>
      </c>
      <c r="T322" s="30">
        <v>227.68</v>
      </c>
      <c r="U322" s="30">
        <v>2572.32</v>
      </c>
    </row>
    <row x14ac:dyDescent="0.25" r="323" customHeight="1" ht="18.75">
      <c r="A323" s="21">
        <v>322</v>
      </c>
      <c r="B323" s="22" t="s">
        <v>1581</v>
      </c>
      <c r="C323" s="22" t="s">
        <v>656</v>
      </c>
      <c r="D323" s="22" t="s">
        <v>1582</v>
      </c>
      <c r="E323" s="22" t="s">
        <v>232</v>
      </c>
      <c r="F323" s="23"/>
      <c r="G323" s="22"/>
      <c r="H323" s="24"/>
      <c r="I323" s="25"/>
      <c r="J323" s="26">
        <v>654</v>
      </c>
      <c r="K323" s="27" t="s">
        <v>1583</v>
      </c>
      <c r="L323" s="27" t="s">
        <v>169</v>
      </c>
      <c r="M323" s="28" t="s">
        <v>1584</v>
      </c>
      <c r="N323" s="28" t="s">
        <v>1585</v>
      </c>
      <c r="O323" s="28" t="s">
        <v>1586</v>
      </c>
      <c r="P323" s="29" t="s">
        <v>658</v>
      </c>
      <c r="Q323" s="29" t="s">
        <v>661</v>
      </c>
      <c r="R323" s="29" t="s">
        <v>662</v>
      </c>
      <c r="S323" s="30">
        <v>3000</v>
      </c>
      <c r="T323" s="30">
        <v>248.58</v>
      </c>
      <c r="U323" s="30">
        <v>2751.42</v>
      </c>
    </row>
    <row x14ac:dyDescent="0.25" r="324" customHeight="1" ht="18.75">
      <c r="A324" s="21">
        <v>323</v>
      </c>
      <c r="B324" s="22" t="s">
        <v>1587</v>
      </c>
      <c r="C324" s="22" t="s">
        <v>166</v>
      </c>
      <c r="D324" s="22" t="s">
        <v>1588</v>
      </c>
      <c r="E324" s="22" t="s">
        <v>191</v>
      </c>
      <c r="F324" s="23"/>
      <c r="G324" s="22"/>
      <c r="H324" s="24"/>
      <c r="I324" s="25"/>
      <c r="J324" s="26">
        <v>231</v>
      </c>
      <c r="K324" s="27" t="s">
        <v>180</v>
      </c>
      <c r="L324" s="27" t="s">
        <v>169</v>
      </c>
      <c r="M324" s="28" t="s">
        <v>170</v>
      </c>
      <c r="N324" s="28" t="s">
        <v>171</v>
      </c>
      <c r="O324" s="28" t="s">
        <v>172</v>
      </c>
      <c r="P324" s="29" t="s">
        <v>1589</v>
      </c>
      <c r="Q324" s="29" t="s">
        <v>1590</v>
      </c>
      <c r="R324" s="29" t="s">
        <v>1591</v>
      </c>
      <c r="S324" s="30">
        <v>1855.18</v>
      </c>
      <c r="T324" s="30">
        <v>142.64</v>
      </c>
      <c r="U324" s="30">
        <v>1712.54</v>
      </c>
    </row>
    <row x14ac:dyDescent="0.25" r="325" customHeight="1" ht="18.75">
      <c r="A325" s="21">
        <v>324</v>
      </c>
      <c r="B325" s="22" t="s">
        <v>1592</v>
      </c>
      <c r="C325" s="22" t="s">
        <v>190</v>
      </c>
      <c r="D325" s="22" t="s">
        <v>1593</v>
      </c>
      <c r="E325" s="22" t="s">
        <v>224</v>
      </c>
      <c r="F325" s="23"/>
      <c r="G325" s="22"/>
      <c r="H325" s="24"/>
      <c r="I325" s="25"/>
      <c r="J325" s="26">
        <v>311</v>
      </c>
      <c r="K325" s="27" t="s">
        <v>180</v>
      </c>
      <c r="L325" s="27" t="s">
        <v>169</v>
      </c>
      <c r="M325" s="28" t="s">
        <v>632</v>
      </c>
      <c r="N325" s="28" t="s">
        <v>1070</v>
      </c>
      <c r="O325" s="28" t="s">
        <v>1071</v>
      </c>
      <c r="P325" s="29" t="s">
        <v>1594</v>
      </c>
      <c r="Q325" s="29" t="s">
        <v>1595</v>
      </c>
      <c r="R325" s="29" t="s">
        <v>1596</v>
      </c>
      <c r="S325" s="30">
        <v>4172.22</v>
      </c>
      <c r="T325" s="30">
        <v>389.25</v>
      </c>
      <c r="U325" s="30">
        <v>3782.97</v>
      </c>
    </row>
    <row x14ac:dyDescent="0.25" r="326" customHeight="1" ht="18.75">
      <c r="A326" s="21">
        <v>325</v>
      </c>
      <c r="B326" s="22" t="s">
        <v>1597</v>
      </c>
      <c r="C326" s="22" t="s">
        <v>190</v>
      </c>
      <c r="D326" s="22" t="s">
        <v>1598</v>
      </c>
      <c r="E326" s="22" t="s">
        <v>94</v>
      </c>
      <c r="F326" s="23"/>
      <c r="G326" s="22"/>
      <c r="H326" s="24"/>
      <c r="I326" s="25"/>
      <c r="J326" s="26">
        <v>327</v>
      </c>
      <c r="K326" s="27" t="s">
        <v>180</v>
      </c>
      <c r="L326" s="27" t="s">
        <v>169</v>
      </c>
      <c r="M326" s="28" t="s">
        <v>233</v>
      </c>
      <c r="N326" s="28" t="s">
        <v>338</v>
      </c>
      <c r="O326" s="28" t="s">
        <v>339</v>
      </c>
      <c r="P326" s="29" t="s">
        <v>236</v>
      </c>
      <c r="Q326" s="29" t="s">
        <v>275</v>
      </c>
      <c r="R326" s="29" t="s">
        <v>276</v>
      </c>
      <c r="S326" s="30">
        <v>3433.34</v>
      </c>
      <c r="T326" s="30">
        <v>300.59</v>
      </c>
      <c r="U326" s="30">
        <v>3132.75</v>
      </c>
    </row>
    <row x14ac:dyDescent="0.25" r="327" customHeight="1" ht="18.75">
      <c r="A327" s="21">
        <v>326</v>
      </c>
      <c r="B327" s="22" t="s">
        <v>1599</v>
      </c>
      <c r="C327" s="22" t="s">
        <v>520</v>
      </c>
      <c r="D327" s="22" t="s">
        <v>1600</v>
      </c>
      <c r="E327" s="22" t="s">
        <v>232</v>
      </c>
      <c r="F327" s="23"/>
      <c r="G327" s="22"/>
      <c r="H327" s="24"/>
      <c r="I327" s="25"/>
      <c r="J327" s="26">
        <v>298</v>
      </c>
      <c r="K327" s="27" t="s">
        <v>180</v>
      </c>
      <c r="L327" s="27" t="s">
        <v>169</v>
      </c>
      <c r="M327" s="28" t="s">
        <v>325</v>
      </c>
      <c r="N327" s="28" t="s">
        <v>1257</v>
      </c>
      <c r="O327" s="28" t="s">
        <v>1258</v>
      </c>
      <c r="P327" s="29" t="s">
        <v>325</v>
      </c>
      <c r="Q327" s="29" t="s">
        <v>1257</v>
      </c>
      <c r="R327" s="29" t="s">
        <v>1258</v>
      </c>
      <c r="S327" s="30">
        <v>5192.4</v>
      </c>
      <c r="T327" s="30">
        <v>597.33</v>
      </c>
      <c r="U327" s="30">
        <v>4595.07</v>
      </c>
    </row>
    <row x14ac:dyDescent="0.25" r="328" customHeight="1" ht="18.75">
      <c r="A328" s="21">
        <v>327</v>
      </c>
      <c r="B328" s="22" t="s">
        <v>1601</v>
      </c>
      <c r="C328" s="22" t="s">
        <v>396</v>
      </c>
      <c r="D328" s="22" t="s">
        <v>1602</v>
      </c>
      <c r="E328" s="22" t="s">
        <v>140</v>
      </c>
      <c r="F328" s="23"/>
      <c r="G328" s="22"/>
      <c r="H328" s="24"/>
      <c r="I328" s="25"/>
      <c r="J328" s="26">
        <v>129</v>
      </c>
      <c r="K328" s="27" t="s">
        <v>180</v>
      </c>
      <c r="L328" s="27" t="s">
        <v>169</v>
      </c>
      <c r="M328" s="28" t="s">
        <v>1603</v>
      </c>
      <c r="N328" s="28" t="s">
        <v>1604</v>
      </c>
      <c r="O328" s="28" t="s">
        <v>1605</v>
      </c>
      <c r="P328" s="29" t="s">
        <v>1606</v>
      </c>
      <c r="Q328" s="29" t="s">
        <v>1607</v>
      </c>
      <c r="R328" s="29" t="s">
        <v>1608</v>
      </c>
      <c r="S328" s="30">
        <v>5299.13</v>
      </c>
      <c r="T328" s="30">
        <v>651.86</v>
      </c>
      <c r="U328" s="30">
        <v>4647.27</v>
      </c>
    </row>
    <row x14ac:dyDescent="0.25" r="329" customHeight="1" ht="18.75">
      <c r="A329" s="21">
        <v>328</v>
      </c>
      <c r="B329" s="22" t="s">
        <v>1609</v>
      </c>
      <c r="C329" s="22" t="s">
        <v>166</v>
      </c>
      <c r="D329" s="22" t="s">
        <v>1610</v>
      </c>
      <c r="E329" s="22" t="s">
        <v>130</v>
      </c>
      <c r="F329" s="23"/>
      <c r="G329" s="22"/>
      <c r="H329" s="24"/>
      <c r="I329" s="25"/>
      <c r="J329" s="26">
        <v>454</v>
      </c>
      <c r="K329" s="27" t="s">
        <v>180</v>
      </c>
      <c r="L329" s="27" t="s">
        <v>169</v>
      </c>
      <c r="M329" s="28" t="s">
        <v>266</v>
      </c>
      <c r="N329" s="28" t="s">
        <v>1611</v>
      </c>
      <c r="O329" s="28" t="s">
        <v>1612</v>
      </c>
      <c r="P329" s="29" t="s">
        <v>268</v>
      </c>
      <c r="Q329" s="29" t="s">
        <v>1613</v>
      </c>
      <c r="R329" s="29" t="s">
        <v>1614</v>
      </c>
      <c r="S329" s="30">
        <v>1982.51</v>
      </c>
      <c r="T329" s="30">
        <v>464.95</v>
      </c>
      <c r="U329" s="30">
        <v>1517.56</v>
      </c>
    </row>
    <row x14ac:dyDescent="0.25" r="330" customHeight="1" ht="18.75">
      <c r="A330" s="21">
        <v>329</v>
      </c>
      <c r="B330" s="22" t="s">
        <v>1615</v>
      </c>
      <c r="C330" s="22" t="s">
        <v>472</v>
      </c>
      <c r="D330" s="22" t="s">
        <v>1616</v>
      </c>
      <c r="E330" s="22" t="s">
        <v>474</v>
      </c>
      <c r="F330" s="23"/>
      <c r="G330" s="22"/>
      <c r="H330" s="24"/>
      <c r="I330" s="25"/>
      <c r="J330" s="26">
        <v>544</v>
      </c>
      <c r="K330" s="27" t="s">
        <v>180</v>
      </c>
      <c r="L330" s="27" t="s">
        <v>169</v>
      </c>
      <c r="M330" s="28" t="s">
        <v>476</v>
      </c>
      <c r="N330" s="28" t="s">
        <v>477</v>
      </c>
      <c r="O330" s="28" t="s">
        <v>478</v>
      </c>
      <c r="P330" s="29" t="s">
        <v>476</v>
      </c>
      <c r="Q330" s="29" t="s">
        <v>477</v>
      </c>
      <c r="R330" s="29" t="s">
        <v>478</v>
      </c>
      <c r="S330" s="30">
        <v>2800</v>
      </c>
      <c r="T330" s="30">
        <v>227.68</v>
      </c>
      <c r="U330" s="30">
        <v>2572.32</v>
      </c>
    </row>
    <row x14ac:dyDescent="0.25" r="331" customHeight="1" ht="18.75">
      <c r="A331" s="21">
        <v>330</v>
      </c>
      <c r="B331" s="22" t="s">
        <v>1617</v>
      </c>
      <c r="C331" s="22" t="s">
        <v>402</v>
      </c>
      <c r="D331" s="22" t="s">
        <v>1618</v>
      </c>
      <c r="E331" s="22" t="s">
        <v>569</v>
      </c>
      <c r="F331" s="23"/>
      <c r="G331" s="22"/>
      <c r="H331" s="24"/>
      <c r="I331" s="25"/>
      <c r="J331" s="26">
        <v>535</v>
      </c>
      <c r="K331" s="27" t="s">
        <v>180</v>
      </c>
      <c r="L331" s="27" t="s">
        <v>169</v>
      </c>
      <c r="M331" s="28" t="s">
        <v>1048</v>
      </c>
      <c r="N331" s="28" t="s">
        <v>1049</v>
      </c>
      <c r="O331" s="28" t="s">
        <v>1050</v>
      </c>
      <c r="P331" s="29" t="s">
        <v>1048</v>
      </c>
      <c r="Q331" s="29" t="s">
        <v>1049</v>
      </c>
      <c r="R331" s="29" t="s">
        <v>1050</v>
      </c>
      <c r="S331" s="30">
        <v>3720</v>
      </c>
      <c r="T331" s="30">
        <v>565.61</v>
      </c>
      <c r="U331" s="30">
        <v>3154.39</v>
      </c>
    </row>
    <row x14ac:dyDescent="0.25" r="332" customHeight="1" ht="18.75">
      <c r="A332" s="21">
        <v>331</v>
      </c>
      <c r="B332" s="22" t="s">
        <v>1619</v>
      </c>
      <c r="C332" s="22" t="s">
        <v>166</v>
      </c>
      <c r="D332" s="22" t="s">
        <v>1620</v>
      </c>
      <c r="E332" s="22" t="s">
        <v>140</v>
      </c>
      <c r="F332" s="23"/>
      <c r="G332" s="22"/>
      <c r="H332" s="24"/>
      <c r="I332" s="25"/>
      <c r="J332" s="26">
        <v>66</v>
      </c>
      <c r="K332" s="27" t="s">
        <v>180</v>
      </c>
      <c r="L332" s="27" t="s">
        <v>169</v>
      </c>
      <c r="M332" s="28" t="s">
        <v>1621</v>
      </c>
      <c r="N332" s="28" t="s">
        <v>452</v>
      </c>
      <c r="O332" s="28" t="s">
        <v>1622</v>
      </c>
      <c r="P332" s="29" t="s">
        <v>1623</v>
      </c>
      <c r="Q332" s="29" t="s">
        <v>953</v>
      </c>
      <c r="R332" s="29" t="s">
        <v>1624</v>
      </c>
      <c r="S332" s="30">
        <v>1765.7</v>
      </c>
      <c r="T332" s="30">
        <v>128.51</v>
      </c>
      <c r="U332" s="30">
        <v>1637.19</v>
      </c>
    </row>
    <row x14ac:dyDescent="0.25" r="333" customHeight="1" ht="18.75">
      <c r="A333" s="21">
        <v>332</v>
      </c>
      <c r="B333" s="22" t="s">
        <v>1625</v>
      </c>
      <c r="C333" s="22" t="s">
        <v>549</v>
      </c>
      <c r="D333" s="22" t="s">
        <v>1626</v>
      </c>
      <c r="E333" s="22" t="s">
        <v>191</v>
      </c>
      <c r="F333" s="23"/>
      <c r="G333" s="22"/>
      <c r="H333" s="24"/>
      <c r="I333" s="25"/>
      <c r="J333" s="26">
        <v>12</v>
      </c>
      <c r="K333" s="27" t="s">
        <v>180</v>
      </c>
      <c r="L333" s="27" t="s">
        <v>169</v>
      </c>
      <c r="M333" s="28" t="s">
        <v>592</v>
      </c>
      <c r="N333" s="28" t="s">
        <v>593</v>
      </c>
      <c r="O333" s="28" t="s">
        <v>594</v>
      </c>
      <c r="P333" s="29" t="s">
        <v>592</v>
      </c>
      <c r="Q333" s="29" t="s">
        <v>593</v>
      </c>
      <c r="R333" s="29" t="s">
        <v>594</v>
      </c>
      <c r="S333" s="30">
        <v>1800</v>
      </c>
      <c r="T333" s="30">
        <v>188.32</v>
      </c>
      <c r="U333" s="30">
        <v>1611.68</v>
      </c>
    </row>
    <row x14ac:dyDescent="0.25" r="334" customHeight="1" ht="18.75">
      <c r="A334" s="21">
        <v>333</v>
      </c>
      <c r="B334" s="22" t="s">
        <v>1627</v>
      </c>
      <c r="C334" s="22" t="s">
        <v>549</v>
      </c>
      <c r="D334" s="22" t="s">
        <v>1628</v>
      </c>
      <c r="E334" s="22" t="s">
        <v>140</v>
      </c>
      <c r="F334" s="23"/>
      <c r="G334" s="22"/>
      <c r="H334" s="24"/>
      <c r="I334" s="25"/>
      <c r="J334" s="26">
        <v>51</v>
      </c>
      <c r="K334" s="27" t="s">
        <v>180</v>
      </c>
      <c r="L334" s="27" t="s">
        <v>169</v>
      </c>
      <c r="M334" s="28" t="s">
        <v>1629</v>
      </c>
      <c r="N334" s="28" t="s">
        <v>1630</v>
      </c>
      <c r="O334" s="28" t="s">
        <v>1631</v>
      </c>
      <c r="P334" s="29" t="s">
        <v>1632</v>
      </c>
      <c r="Q334" s="29" t="s">
        <v>1633</v>
      </c>
      <c r="R334" s="29" t="s">
        <v>1634</v>
      </c>
      <c r="S334" s="30">
        <v>2546.48</v>
      </c>
      <c r="T334" s="30">
        <v>204.86</v>
      </c>
      <c r="U334" s="30">
        <v>2341.62</v>
      </c>
    </row>
    <row x14ac:dyDescent="0.25" r="335" customHeight="1" ht="18.75">
      <c r="A335" s="21">
        <v>334</v>
      </c>
      <c r="B335" s="22" t="s">
        <v>1635</v>
      </c>
      <c r="C335" s="22" t="s">
        <v>190</v>
      </c>
      <c r="D335" s="22" t="s">
        <v>1636</v>
      </c>
      <c r="E335" s="22" t="s">
        <v>134</v>
      </c>
      <c r="F335" s="23"/>
      <c r="G335" s="22"/>
      <c r="H335" s="24"/>
      <c r="I335" s="25"/>
      <c r="J335" s="26">
        <v>31</v>
      </c>
      <c r="K335" s="27" t="s">
        <v>180</v>
      </c>
      <c r="L335" s="27" t="s">
        <v>169</v>
      </c>
      <c r="M335" s="28" t="s">
        <v>1637</v>
      </c>
      <c r="N335" s="28" t="s">
        <v>1638</v>
      </c>
      <c r="O335" s="28" t="s">
        <v>1639</v>
      </c>
      <c r="P335" s="29" t="s">
        <v>1640</v>
      </c>
      <c r="Q335" s="29" t="s">
        <v>1641</v>
      </c>
      <c r="R335" s="29" t="s">
        <v>1642</v>
      </c>
      <c r="S335" s="30">
        <v>3872.93</v>
      </c>
      <c r="T335" s="30">
        <v>353.34</v>
      </c>
      <c r="U335" s="30">
        <v>3519.59</v>
      </c>
    </row>
    <row x14ac:dyDescent="0.25" r="336" customHeight="1" ht="18.75">
      <c r="A336" s="21">
        <v>335</v>
      </c>
      <c r="B336" s="22" t="s">
        <v>1643</v>
      </c>
      <c r="C336" s="22" t="s">
        <v>965</v>
      </c>
      <c r="D336" s="22" t="s">
        <v>1644</v>
      </c>
      <c r="E336" s="22" t="s">
        <v>474</v>
      </c>
      <c r="F336" s="23"/>
      <c r="G336" s="22"/>
      <c r="H336" s="24"/>
      <c r="I336" s="25"/>
      <c r="J336" s="26">
        <v>542</v>
      </c>
      <c r="K336" s="27" t="s">
        <v>180</v>
      </c>
      <c r="L336" s="27" t="s">
        <v>169</v>
      </c>
      <c r="M336" s="28" t="s">
        <v>314</v>
      </c>
      <c r="N336" s="28" t="s">
        <v>315</v>
      </c>
      <c r="O336" s="28" t="s">
        <v>316</v>
      </c>
      <c r="P336" s="29" t="s">
        <v>314</v>
      </c>
      <c r="Q336" s="29" t="s">
        <v>315</v>
      </c>
      <c r="R336" s="29" t="s">
        <v>316</v>
      </c>
      <c r="S336" s="30">
        <v>4766.66</v>
      </c>
      <c r="T336" s="30">
        <v>468.83</v>
      </c>
      <c r="U336" s="30">
        <v>4297.83</v>
      </c>
    </row>
    <row x14ac:dyDescent="0.25" r="337" customHeight="1" ht="18.75">
      <c r="A337" s="21">
        <v>336</v>
      </c>
      <c r="B337" s="22" t="s">
        <v>1645</v>
      </c>
      <c r="C337" s="22" t="s">
        <v>166</v>
      </c>
      <c r="D337" s="22" t="s">
        <v>1646</v>
      </c>
      <c r="E337" s="22" t="s">
        <v>22</v>
      </c>
      <c r="F337" s="23"/>
      <c r="G337" s="22"/>
      <c r="H337" s="24"/>
      <c r="I337" s="25"/>
      <c r="J337" s="26">
        <v>492</v>
      </c>
      <c r="K337" s="27" t="s">
        <v>180</v>
      </c>
      <c r="L337" s="27" t="s">
        <v>169</v>
      </c>
      <c r="M337" s="28" t="s">
        <v>225</v>
      </c>
      <c r="N337" s="28" t="s">
        <v>171</v>
      </c>
      <c r="O337" s="28" t="s">
        <v>226</v>
      </c>
      <c r="P337" s="29" t="s">
        <v>227</v>
      </c>
      <c r="Q337" s="29" t="s">
        <v>174</v>
      </c>
      <c r="R337" s="29" t="s">
        <v>297</v>
      </c>
      <c r="S337" s="30">
        <v>1951.89</v>
      </c>
      <c r="T337" s="30">
        <v>145.27</v>
      </c>
      <c r="U337" s="30">
        <v>1806.62</v>
      </c>
    </row>
    <row x14ac:dyDescent="0.25" r="338" customHeight="1" ht="18.75">
      <c r="A338" s="21">
        <v>337</v>
      </c>
      <c r="B338" s="22" t="s">
        <v>1647</v>
      </c>
      <c r="C338" s="22" t="s">
        <v>520</v>
      </c>
      <c r="D338" s="22" t="s">
        <v>1648</v>
      </c>
      <c r="E338" s="22" t="s">
        <v>49</v>
      </c>
      <c r="F338" s="23"/>
      <c r="G338" s="22"/>
      <c r="H338" s="24"/>
      <c r="I338" s="25"/>
      <c r="J338" s="26">
        <v>538</v>
      </c>
      <c r="K338" s="27" t="s">
        <v>180</v>
      </c>
      <c r="L338" s="27" t="s">
        <v>169</v>
      </c>
      <c r="M338" s="28" t="s">
        <v>522</v>
      </c>
      <c r="N338" s="28" t="s">
        <v>523</v>
      </c>
      <c r="O338" s="28" t="s">
        <v>524</v>
      </c>
      <c r="P338" s="29" t="s">
        <v>522</v>
      </c>
      <c r="Q338" s="29" t="s">
        <v>523</v>
      </c>
      <c r="R338" s="29" t="s">
        <v>524</v>
      </c>
      <c r="S338" s="30">
        <v>4327</v>
      </c>
      <c r="T338" s="30">
        <v>407.82</v>
      </c>
      <c r="U338" s="30">
        <v>3919.18</v>
      </c>
    </row>
    <row x14ac:dyDescent="0.25" r="339" customHeight="1" ht="18.75">
      <c r="A339" s="21">
        <v>338</v>
      </c>
      <c r="B339" s="22" t="s">
        <v>1649</v>
      </c>
      <c r="C339" s="22" t="s">
        <v>166</v>
      </c>
      <c r="D339" s="22" t="s">
        <v>1650</v>
      </c>
      <c r="E339" s="22" t="s">
        <v>80</v>
      </c>
      <c r="F339" s="23"/>
      <c r="G339" s="22"/>
      <c r="H339" s="24"/>
      <c r="I339" s="25"/>
      <c r="J339" s="26">
        <v>380</v>
      </c>
      <c r="K339" s="27" t="s">
        <v>180</v>
      </c>
      <c r="L339" s="27" t="s">
        <v>169</v>
      </c>
      <c r="M339" s="28" t="s">
        <v>170</v>
      </c>
      <c r="N339" s="28" t="s">
        <v>171</v>
      </c>
      <c r="O339" s="28" t="s">
        <v>172</v>
      </c>
      <c r="P339" s="29" t="s">
        <v>173</v>
      </c>
      <c r="Q339" s="29" t="s">
        <v>174</v>
      </c>
      <c r="R339" s="29" t="s">
        <v>175</v>
      </c>
      <c r="S339" s="30">
        <v>1745.13</v>
      </c>
      <c r="T339" s="30">
        <v>132.74</v>
      </c>
      <c r="U339" s="30">
        <v>1612.39</v>
      </c>
    </row>
    <row x14ac:dyDescent="0.25" r="340" customHeight="1" ht="18.75">
      <c r="A340" s="21">
        <v>339</v>
      </c>
      <c r="B340" s="22" t="s">
        <v>1651</v>
      </c>
      <c r="C340" s="22" t="s">
        <v>166</v>
      </c>
      <c r="D340" s="22" t="s">
        <v>1652</v>
      </c>
      <c r="E340" s="22" t="s">
        <v>140</v>
      </c>
      <c r="F340" s="23"/>
      <c r="G340" s="22"/>
      <c r="H340" s="24"/>
      <c r="I340" s="25"/>
      <c r="J340" s="26">
        <v>67</v>
      </c>
      <c r="K340" s="27" t="s">
        <v>180</v>
      </c>
      <c r="L340" s="27" t="s">
        <v>468</v>
      </c>
      <c r="M340" s="28" t="s">
        <v>451</v>
      </c>
      <c r="N340" s="28" t="s">
        <v>452</v>
      </c>
      <c r="O340" s="28" t="s">
        <v>453</v>
      </c>
      <c r="P340" s="29" t="s">
        <v>1653</v>
      </c>
      <c r="Q340" s="29" t="s">
        <v>1654</v>
      </c>
      <c r="R340" s="29" t="s">
        <v>1655</v>
      </c>
      <c r="S340" s="30">
        <v>5896.8</v>
      </c>
      <c r="T340" s="30">
        <v>5896.8</v>
      </c>
      <c r="U340" s="28">
        <v>0</v>
      </c>
    </row>
    <row x14ac:dyDescent="0.25" r="341" customHeight="1" ht="18.75">
      <c r="A341" s="21">
        <v>340</v>
      </c>
      <c r="B341" s="22" t="s">
        <v>1656</v>
      </c>
      <c r="C341" s="22" t="s">
        <v>190</v>
      </c>
      <c r="D341" s="22" t="s">
        <v>1657</v>
      </c>
      <c r="E341" s="22" t="s">
        <v>474</v>
      </c>
      <c r="F341" s="23"/>
      <c r="G341" s="22"/>
      <c r="H341" s="24"/>
      <c r="I341" s="25"/>
      <c r="J341" s="26">
        <v>537</v>
      </c>
      <c r="K341" s="27" t="s">
        <v>180</v>
      </c>
      <c r="L341" s="27" t="s">
        <v>169</v>
      </c>
      <c r="M341" s="28" t="s">
        <v>300</v>
      </c>
      <c r="N341" s="28" t="s">
        <v>1658</v>
      </c>
      <c r="O341" s="28" t="s">
        <v>1659</v>
      </c>
      <c r="P341" s="29" t="s">
        <v>1660</v>
      </c>
      <c r="Q341" s="29" t="s">
        <v>1661</v>
      </c>
      <c r="R341" s="29" t="s">
        <v>1662</v>
      </c>
      <c r="S341" s="30">
        <v>3776.67</v>
      </c>
      <c r="T341" s="30">
        <v>341.78</v>
      </c>
      <c r="U341" s="30">
        <v>3434.89</v>
      </c>
    </row>
    <row x14ac:dyDescent="0.25" r="342" customHeight="1" ht="18.75">
      <c r="A342" s="21">
        <v>341</v>
      </c>
      <c r="B342" s="22" t="s">
        <v>1663</v>
      </c>
      <c r="C342" s="22" t="s">
        <v>289</v>
      </c>
      <c r="D342" s="22" t="s">
        <v>1664</v>
      </c>
      <c r="E342" s="22" t="s">
        <v>803</v>
      </c>
      <c r="F342" s="23"/>
      <c r="G342" s="22"/>
      <c r="H342" s="24"/>
      <c r="I342" s="25"/>
      <c r="J342" s="26">
        <v>427</v>
      </c>
      <c r="K342" s="27" t="s">
        <v>180</v>
      </c>
      <c r="L342" s="27" t="s">
        <v>169</v>
      </c>
      <c r="M342" s="28" t="s">
        <v>292</v>
      </c>
      <c r="N342" s="28" t="s">
        <v>293</v>
      </c>
      <c r="O342" s="28" t="s">
        <v>294</v>
      </c>
      <c r="P342" s="29" t="s">
        <v>292</v>
      </c>
      <c r="Q342" s="29" t="s">
        <v>293</v>
      </c>
      <c r="R342" s="29" t="s">
        <v>294</v>
      </c>
      <c r="S342" s="30">
        <v>4178.87</v>
      </c>
      <c r="T342" s="30">
        <v>390.05</v>
      </c>
      <c r="U342" s="30">
        <v>3788.82</v>
      </c>
    </row>
    <row x14ac:dyDescent="0.25" r="343" customHeight="1" ht="18.75">
      <c r="A343" s="21">
        <v>342</v>
      </c>
      <c r="B343" s="22" t="s">
        <v>1665</v>
      </c>
      <c r="C343" s="22" t="s">
        <v>396</v>
      </c>
      <c r="D343" s="22" t="s">
        <v>1666</v>
      </c>
      <c r="E343" s="22" t="s">
        <v>134</v>
      </c>
      <c r="F343" s="23"/>
      <c r="G343" s="22"/>
      <c r="H343" s="24"/>
      <c r="I343" s="25"/>
      <c r="J343" s="26">
        <v>177</v>
      </c>
      <c r="K343" s="27" t="s">
        <v>180</v>
      </c>
      <c r="L343" s="27" t="s">
        <v>169</v>
      </c>
      <c r="M343" s="28" t="s">
        <v>1667</v>
      </c>
      <c r="N343" s="28" t="s">
        <v>1668</v>
      </c>
      <c r="O343" s="28" t="s">
        <v>1669</v>
      </c>
      <c r="P343" s="29" t="s">
        <v>219</v>
      </c>
      <c r="Q343" s="29" t="s">
        <v>220</v>
      </c>
      <c r="R343" s="29" t="s">
        <v>221</v>
      </c>
      <c r="S343" s="30">
        <v>5946.26</v>
      </c>
      <c r="T343" s="30">
        <v>999.21</v>
      </c>
      <c r="U343" s="30">
        <v>4947.05</v>
      </c>
    </row>
    <row x14ac:dyDescent="0.25" r="344" customHeight="1" ht="18.75">
      <c r="A344" s="21">
        <v>343</v>
      </c>
      <c r="B344" s="22" t="s">
        <v>1670</v>
      </c>
      <c r="C344" s="22" t="s">
        <v>166</v>
      </c>
      <c r="D344" s="22" t="s">
        <v>1671</v>
      </c>
      <c r="E344" s="22" t="s">
        <v>134</v>
      </c>
      <c r="F344" s="23"/>
      <c r="G344" s="22"/>
      <c r="H344" s="24"/>
      <c r="I344" s="25"/>
      <c r="J344" s="26">
        <v>136</v>
      </c>
      <c r="K344" s="27" t="s">
        <v>180</v>
      </c>
      <c r="L344" s="27" t="s">
        <v>169</v>
      </c>
      <c r="M344" s="28" t="s">
        <v>250</v>
      </c>
      <c r="N344" s="28" t="s">
        <v>251</v>
      </c>
      <c r="O344" s="28" t="s">
        <v>252</v>
      </c>
      <c r="P344" s="29" t="s">
        <v>173</v>
      </c>
      <c r="Q344" s="29" t="s">
        <v>174</v>
      </c>
      <c r="R344" s="29" t="s">
        <v>175</v>
      </c>
      <c r="S344" s="30">
        <v>1792.88</v>
      </c>
      <c r="T344" s="30">
        <v>137.03</v>
      </c>
      <c r="U344" s="30">
        <v>1655.85</v>
      </c>
    </row>
    <row x14ac:dyDescent="0.25" r="345" customHeight="1" ht="18.75">
      <c r="A345" s="21">
        <v>344</v>
      </c>
      <c r="B345" s="22" t="s">
        <v>1672</v>
      </c>
      <c r="C345" s="22" t="s">
        <v>368</v>
      </c>
      <c r="D345" s="22" t="s">
        <v>1673</v>
      </c>
      <c r="E345" s="22" t="s">
        <v>370</v>
      </c>
      <c r="F345" s="23"/>
      <c r="G345" s="22"/>
      <c r="H345" s="24"/>
      <c r="I345" s="25"/>
      <c r="J345" s="26">
        <v>269</v>
      </c>
      <c r="K345" s="27" t="s">
        <v>180</v>
      </c>
      <c r="L345" s="27" t="s">
        <v>169</v>
      </c>
      <c r="M345" s="28" t="s">
        <v>1674</v>
      </c>
      <c r="N345" s="28" t="s">
        <v>1675</v>
      </c>
      <c r="O345" s="28" t="s">
        <v>1676</v>
      </c>
      <c r="P345" s="29" t="s">
        <v>1677</v>
      </c>
      <c r="Q345" s="29" t="s">
        <v>1678</v>
      </c>
      <c r="R345" s="29" t="s">
        <v>1679</v>
      </c>
      <c r="S345" s="30">
        <v>4468.19</v>
      </c>
      <c r="T345" s="30">
        <v>427.04</v>
      </c>
      <c r="U345" s="30">
        <v>4041.15</v>
      </c>
    </row>
    <row x14ac:dyDescent="0.25" r="346" customHeight="1" ht="18.75">
      <c r="A346" s="21">
        <v>345</v>
      </c>
      <c r="B346" s="22" t="s">
        <v>1680</v>
      </c>
      <c r="C346" s="22" t="s">
        <v>1681</v>
      </c>
      <c r="D346" s="22" t="s">
        <v>1682</v>
      </c>
      <c r="E346" s="22" t="s">
        <v>605</v>
      </c>
      <c r="F346" s="23"/>
      <c r="G346" s="22"/>
      <c r="H346" s="24"/>
      <c r="I346" s="25"/>
      <c r="J346" s="26">
        <v>217</v>
      </c>
      <c r="K346" s="27" t="s">
        <v>180</v>
      </c>
      <c r="L346" s="27" t="s">
        <v>169</v>
      </c>
      <c r="M346" s="28" t="s">
        <v>1683</v>
      </c>
      <c r="N346" s="28" t="s">
        <v>1684</v>
      </c>
      <c r="O346" s="28" t="s">
        <v>1685</v>
      </c>
      <c r="P346" s="29" t="s">
        <v>1683</v>
      </c>
      <c r="Q346" s="29" t="s">
        <v>1684</v>
      </c>
      <c r="R346" s="29" t="s">
        <v>1685</v>
      </c>
      <c r="S346" s="30">
        <v>6465.11</v>
      </c>
      <c r="T346" s="30">
        <v>1889.74</v>
      </c>
      <c r="U346" s="30">
        <v>4575.37</v>
      </c>
    </row>
    <row x14ac:dyDescent="0.25" r="347" customHeight="1" ht="18.75">
      <c r="A347" s="21">
        <v>346</v>
      </c>
      <c r="B347" s="22" t="s">
        <v>1686</v>
      </c>
      <c r="C347" s="22" t="s">
        <v>278</v>
      </c>
      <c r="D347" s="22" t="s">
        <v>1687</v>
      </c>
      <c r="E347" s="22" t="s">
        <v>746</v>
      </c>
      <c r="F347" s="23"/>
      <c r="G347" s="22"/>
      <c r="H347" s="24"/>
      <c r="I347" s="25"/>
      <c r="J347" s="26">
        <v>503</v>
      </c>
      <c r="K347" s="27" t="s">
        <v>180</v>
      </c>
      <c r="L347" s="27" t="s">
        <v>169</v>
      </c>
      <c r="M347" s="28" t="s">
        <v>1688</v>
      </c>
      <c r="N347" s="28" t="s">
        <v>1689</v>
      </c>
      <c r="O347" s="28" t="s">
        <v>1690</v>
      </c>
      <c r="P347" s="29" t="s">
        <v>1691</v>
      </c>
      <c r="Q347" s="29" t="s">
        <v>1692</v>
      </c>
      <c r="R347" s="29" t="s">
        <v>1693</v>
      </c>
      <c r="S347" s="30">
        <v>5406.53</v>
      </c>
      <c r="T347" s="30">
        <v>819.59</v>
      </c>
      <c r="U347" s="30">
        <v>4586.94</v>
      </c>
    </row>
    <row x14ac:dyDescent="0.25" r="348" customHeight="1" ht="18.75">
      <c r="A348" s="21">
        <v>347</v>
      </c>
      <c r="B348" s="22" t="s">
        <v>1694</v>
      </c>
      <c r="C348" s="22" t="s">
        <v>278</v>
      </c>
      <c r="D348" s="22" t="s">
        <v>1695</v>
      </c>
      <c r="E348" s="22" t="s">
        <v>94</v>
      </c>
      <c r="F348" s="23"/>
      <c r="G348" s="22"/>
      <c r="H348" s="24"/>
      <c r="I348" s="25"/>
      <c r="J348" s="26">
        <v>329</v>
      </c>
      <c r="K348" s="27" t="s">
        <v>180</v>
      </c>
      <c r="L348" s="27" t="s">
        <v>169</v>
      </c>
      <c r="M348" s="28" t="s">
        <v>417</v>
      </c>
      <c r="N348" s="28" t="s">
        <v>418</v>
      </c>
      <c r="O348" s="28" t="s">
        <v>419</v>
      </c>
      <c r="P348" s="29" t="s">
        <v>417</v>
      </c>
      <c r="Q348" s="29" t="s">
        <v>418</v>
      </c>
      <c r="R348" s="29" t="s">
        <v>419</v>
      </c>
      <c r="S348" s="30">
        <v>4459.12</v>
      </c>
      <c r="T348" s="30">
        <v>425.77</v>
      </c>
      <c r="U348" s="30">
        <v>4033.35</v>
      </c>
    </row>
    <row x14ac:dyDescent="0.25" r="349" customHeight="1" ht="18.75">
      <c r="A349" s="21">
        <v>348</v>
      </c>
      <c r="B349" s="22" t="s">
        <v>1696</v>
      </c>
      <c r="C349" s="22" t="s">
        <v>520</v>
      </c>
      <c r="D349" s="22" t="s">
        <v>1697</v>
      </c>
      <c r="E349" s="22" t="s">
        <v>967</v>
      </c>
      <c r="F349" s="23"/>
      <c r="G349" s="22"/>
      <c r="H349" s="24"/>
      <c r="I349" s="25"/>
      <c r="J349" s="26">
        <v>530</v>
      </c>
      <c r="K349" s="27" t="s">
        <v>180</v>
      </c>
      <c r="L349" s="27" t="s">
        <v>169</v>
      </c>
      <c r="M349" s="28" t="s">
        <v>522</v>
      </c>
      <c r="N349" s="28" t="s">
        <v>523</v>
      </c>
      <c r="O349" s="28" t="s">
        <v>524</v>
      </c>
      <c r="P349" s="29" t="s">
        <v>522</v>
      </c>
      <c r="Q349" s="29" t="s">
        <v>523</v>
      </c>
      <c r="R349" s="29" t="s">
        <v>524</v>
      </c>
      <c r="S349" s="30">
        <v>4850.94</v>
      </c>
      <c r="T349" s="30">
        <v>480.63</v>
      </c>
      <c r="U349" s="30">
        <v>4370.31</v>
      </c>
    </row>
    <row x14ac:dyDescent="0.25" r="350" customHeight="1" ht="18.75">
      <c r="A350" s="21">
        <v>349</v>
      </c>
      <c r="B350" s="22" t="s">
        <v>1698</v>
      </c>
      <c r="C350" s="22" t="s">
        <v>278</v>
      </c>
      <c r="D350" s="22" t="s">
        <v>1699</v>
      </c>
      <c r="E350" s="22" t="s">
        <v>130</v>
      </c>
      <c r="F350" s="23"/>
      <c r="G350" s="22"/>
      <c r="H350" s="24"/>
      <c r="I350" s="25"/>
      <c r="J350" s="26">
        <v>469</v>
      </c>
      <c r="K350" s="27" t="s">
        <v>180</v>
      </c>
      <c r="L350" s="27" t="s">
        <v>169</v>
      </c>
      <c r="M350" s="28" t="s">
        <v>417</v>
      </c>
      <c r="N350" s="28" t="s">
        <v>418</v>
      </c>
      <c r="O350" s="28" t="s">
        <v>419</v>
      </c>
      <c r="P350" s="29" t="s">
        <v>417</v>
      </c>
      <c r="Q350" s="29" t="s">
        <v>418</v>
      </c>
      <c r="R350" s="29" t="s">
        <v>419</v>
      </c>
      <c r="S350" s="30">
        <v>4951.1</v>
      </c>
      <c r="T350" s="30">
        <v>494.65</v>
      </c>
      <c r="U350" s="30">
        <v>4456.45</v>
      </c>
    </row>
    <row x14ac:dyDescent="0.25" r="351" customHeight="1" ht="18.75">
      <c r="A351" s="21">
        <v>350</v>
      </c>
      <c r="B351" s="22" t="s">
        <v>1700</v>
      </c>
      <c r="C351" s="22" t="s">
        <v>190</v>
      </c>
      <c r="D351" s="22" t="s">
        <v>1701</v>
      </c>
      <c r="E351" s="22" t="s">
        <v>134</v>
      </c>
      <c r="F351" s="23"/>
      <c r="G351" s="22"/>
      <c r="H351" s="24"/>
      <c r="I351" s="25"/>
      <c r="J351" s="26">
        <v>151</v>
      </c>
      <c r="K351" s="27" t="s">
        <v>180</v>
      </c>
      <c r="L351" s="27" t="s">
        <v>169</v>
      </c>
      <c r="M351" s="28" t="s">
        <v>1702</v>
      </c>
      <c r="N351" s="28" t="s">
        <v>1703</v>
      </c>
      <c r="O351" s="28" t="s">
        <v>1704</v>
      </c>
      <c r="P351" s="29" t="s">
        <v>1705</v>
      </c>
      <c r="Q351" s="29" t="s">
        <v>1706</v>
      </c>
      <c r="R351" s="29" t="s">
        <v>1707</v>
      </c>
      <c r="S351" s="30">
        <v>4284.51</v>
      </c>
      <c r="T351" s="30">
        <v>870.22</v>
      </c>
      <c r="U351" s="30">
        <v>3414.29</v>
      </c>
    </row>
    <row x14ac:dyDescent="0.25" r="352" customHeight="1" ht="18.75">
      <c r="A352" s="21">
        <v>351</v>
      </c>
      <c r="B352" s="22" t="s">
        <v>1708</v>
      </c>
      <c r="C352" s="22" t="s">
        <v>166</v>
      </c>
      <c r="D352" s="22" t="s">
        <v>1709</v>
      </c>
      <c r="E352" s="22" t="s">
        <v>191</v>
      </c>
      <c r="F352" s="23"/>
      <c r="G352" s="22"/>
      <c r="H352" s="24"/>
      <c r="I352" s="25"/>
      <c r="J352" s="26">
        <v>579</v>
      </c>
      <c r="K352" s="27" t="s">
        <v>168</v>
      </c>
      <c r="L352" s="27" t="s">
        <v>169</v>
      </c>
      <c r="M352" s="28" t="s">
        <v>225</v>
      </c>
      <c r="N352" s="28" t="s">
        <v>171</v>
      </c>
      <c r="O352" s="28" t="s">
        <v>226</v>
      </c>
      <c r="P352" s="29" t="s">
        <v>227</v>
      </c>
      <c r="Q352" s="29" t="s">
        <v>174</v>
      </c>
      <c r="R352" s="29" t="s">
        <v>297</v>
      </c>
      <c r="S352" s="30">
        <v>1890.15</v>
      </c>
      <c r="T352" s="30">
        <v>139.71</v>
      </c>
      <c r="U352" s="30">
        <v>1750.44</v>
      </c>
    </row>
    <row x14ac:dyDescent="0.25" r="353" customHeight="1" ht="18.75">
      <c r="A353" s="21">
        <v>352</v>
      </c>
      <c r="B353" s="22" t="s">
        <v>1710</v>
      </c>
      <c r="C353" s="22" t="s">
        <v>278</v>
      </c>
      <c r="D353" s="22" t="s">
        <v>1711</v>
      </c>
      <c r="E353" s="22" t="s">
        <v>118</v>
      </c>
      <c r="F353" s="23"/>
      <c r="G353" s="22"/>
      <c r="H353" s="24"/>
      <c r="I353" s="25"/>
      <c r="J353" s="26">
        <v>323</v>
      </c>
      <c r="K353" s="27" t="s">
        <v>180</v>
      </c>
      <c r="L353" s="27" t="s">
        <v>169</v>
      </c>
      <c r="M353" s="28" t="s">
        <v>417</v>
      </c>
      <c r="N353" s="28" t="s">
        <v>418</v>
      </c>
      <c r="O353" s="28" t="s">
        <v>419</v>
      </c>
      <c r="P353" s="29" t="s">
        <v>417</v>
      </c>
      <c r="Q353" s="29" t="s">
        <v>418</v>
      </c>
      <c r="R353" s="29" t="s">
        <v>419</v>
      </c>
      <c r="S353" s="30">
        <v>5168.42</v>
      </c>
      <c r="T353" s="30">
        <v>585.39</v>
      </c>
      <c r="U353" s="30">
        <v>4583.03</v>
      </c>
    </row>
    <row x14ac:dyDescent="0.25" r="354" customHeight="1" ht="18.75">
      <c r="A354" s="21">
        <v>353</v>
      </c>
      <c r="B354" s="22" t="s">
        <v>1712</v>
      </c>
      <c r="C354" s="22" t="s">
        <v>190</v>
      </c>
      <c r="D354" s="22" t="s">
        <v>1713</v>
      </c>
      <c r="E354" s="22" t="s">
        <v>232</v>
      </c>
      <c r="F354" s="23"/>
      <c r="G354" s="22"/>
      <c r="H354" s="24"/>
      <c r="I354" s="25"/>
      <c r="J354" s="26">
        <v>595</v>
      </c>
      <c r="K354" s="27" t="s">
        <v>168</v>
      </c>
      <c r="L354" s="27" t="s">
        <v>169</v>
      </c>
      <c r="M354" s="28">
        <v>0</v>
      </c>
      <c r="N354" s="28">
        <v>0</v>
      </c>
      <c r="O354" s="28">
        <v>0</v>
      </c>
      <c r="P354" s="29" t="s">
        <v>236</v>
      </c>
      <c r="Q354" s="29" t="s">
        <v>1714</v>
      </c>
      <c r="R354" s="29" t="s">
        <v>1715</v>
      </c>
      <c r="S354" s="30">
        <v>3433.34</v>
      </c>
      <c r="T354" s="30">
        <v>300.59</v>
      </c>
      <c r="U354" s="30">
        <v>3132.75</v>
      </c>
    </row>
    <row x14ac:dyDescent="0.25" r="355" customHeight="1" ht="18.75">
      <c r="A355" s="21">
        <v>354</v>
      </c>
      <c r="B355" s="22" t="s">
        <v>1716</v>
      </c>
      <c r="C355" s="22" t="s">
        <v>166</v>
      </c>
      <c r="D355" s="22" t="s">
        <v>1717</v>
      </c>
      <c r="E355" s="22" t="s">
        <v>140</v>
      </c>
      <c r="F355" s="23"/>
      <c r="G355" s="22"/>
      <c r="H355" s="24"/>
      <c r="I355" s="25"/>
      <c r="J355" s="26">
        <v>96</v>
      </c>
      <c r="K355" s="27" t="s">
        <v>180</v>
      </c>
      <c r="L355" s="27" t="s">
        <v>169</v>
      </c>
      <c r="M355" s="28" t="s">
        <v>258</v>
      </c>
      <c r="N355" s="28" t="s">
        <v>259</v>
      </c>
      <c r="O355" s="28" t="s">
        <v>260</v>
      </c>
      <c r="P355" s="29" t="s">
        <v>1400</v>
      </c>
      <c r="Q355" s="29" t="s">
        <v>723</v>
      </c>
      <c r="R355" s="29" t="s">
        <v>1401</v>
      </c>
      <c r="S355" s="30">
        <v>2120</v>
      </c>
      <c r="T355" s="30">
        <v>166.48</v>
      </c>
      <c r="U355" s="30">
        <v>1953.52</v>
      </c>
    </row>
    <row x14ac:dyDescent="0.25" r="356" customHeight="1" ht="18.75">
      <c r="A356" s="21">
        <v>355</v>
      </c>
      <c r="B356" s="22" t="s">
        <v>1718</v>
      </c>
      <c r="C356" s="22" t="s">
        <v>190</v>
      </c>
      <c r="D356" s="22" t="s">
        <v>1719</v>
      </c>
      <c r="E356" s="22" t="s">
        <v>26</v>
      </c>
      <c r="F356" s="23"/>
      <c r="G356" s="22"/>
      <c r="H356" s="24"/>
      <c r="I356" s="25"/>
      <c r="J356" s="26">
        <v>260</v>
      </c>
      <c r="K356" s="27" t="s">
        <v>180</v>
      </c>
      <c r="L356" s="27" t="s">
        <v>169</v>
      </c>
      <c r="M356" s="28" t="s">
        <v>1720</v>
      </c>
      <c r="N356" s="28" t="s">
        <v>1721</v>
      </c>
      <c r="O356" s="28" t="s">
        <v>1722</v>
      </c>
      <c r="P356" s="29" t="s">
        <v>236</v>
      </c>
      <c r="Q356" s="29" t="s">
        <v>275</v>
      </c>
      <c r="R356" s="29" t="s">
        <v>276</v>
      </c>
      <c r="S356" s="30">
        <v>3433.34</v>
      </c>
      <c r="T356" s="30">
        <v>300.59</v>
      </c>
      <c r="U356" s="30">
        <v>3132.75</v>
      </c>
    </row>
    <row x14ac:dyDescent="0.25" r="357" customHeight="1" ht="18.75">
      <c r="A357" s="21">
        <v>356</v>
      </c>
      <c r="B357" s="22" t="s">
        <v>1723</v>
      </c>
      <c r="C357" s="22" t="s">
        <v>177</v>
      </c>
      <c r="D357" s="22" t="s">
        <v>1724</v>
      </c>
      <c r="E357" s="22" t="s">
        <v>191</v>
      </c>
      <c r="F357" s="23"/>
      <c r="G357" s="22"/>
      <c r="H357" s="24"/>
      <c r="I357" s="25"/>
      <c r="J357" s="26">
        <v>99</v>
      </c>
      <c r="K357" s="27" t="s">
        <v>180</v>
      </c>
      <c r="L357" s="27" t="s">
        <v>169</v>
      </c>
      <c r="M357" s="28" t="s">
        <v>311</v>
      </c>
      <c r="N357" s="28" t="s">
        <v>1725</v>
      </c>
      <c r="O357" s="28" t="s">
        <v>1726</v>
      </c>
      <c r="P357" s="29" t="s">
        <v>1727</v>
      </c>
      <c r="Q357" s="29" t="s">
        <v>1728</v>
      </c>
      <c r="R357" s="29" t="s">
        <v>1729</v>
      </c>
      <c r="S357" s="30">
        <v>6022.53</v>
      </c>
      <c r="T357" s="30">
        <v>2079.88</v>
      </c>
      <c r="U357" s="30">
        <v>3942.65</v>
      </c>
    </row>
    <row x14ac:dyDescent="0.25" r="358" customHeight="1" ht="18.75">
      <c r="A358" s="21">
        <v>357</v>
      </c>
      <c r="B358" s="22" t="s">
        <v>1730</v>
      </c>
      <c r="C358" s="22" t="s">
        <v>1731</v>
      </c>
      <c r="D358" s="22" t="s">
        <v>1732</v>
      </c>
      <c r="E358" s="22" t="s">
        <v>273</v>
      </c>
      <c r="F358" s="23"/>
      <c r="G358" s="22"/>
      <c r="H358" s="24"/>
      <c r="I358" s="25"/>
      <c r="J358" s="26">
        <v>384</v>
      </c>
      <c r="K358" s="27" t="s">
        <v>180</v>
      </c>
      <c r="L358" s="27" t="s">
        <v>169</v>
      </c>
      <c r="M358" s="28" t="s">
        <v>1202</v>
      </c>
      <c r="N358" s="28" t="s">
        <v>1733</v>
      </c>
      <c r="O358" s="28" t="s">
        <v>1734</v>
      </c>
      <c r="P358" s="29" t="s">
        <v>1202</v>
      </c>
      <c r="Q358" s="29" t="s">
        <v>1735</v>
      </c>
      <c r="R358" s="29" t="s">
        <v>1736</v>
      </c>
      <c r="S358" s="30">
        <v>5010.27</v>
      </c>
      <c r="T358" s="30">
        <v>1783.99</v>
      </c>
      <c r="U358" s="30">
        <v>3226.28</v>
      </c>
    </row>
    <row x14ac:dyDescent="0.25" r="359" customHeight="1" ht="18.75">
      <c r="A359" s="21">
        <v>358</v>
      </c>
      <c r="B359" s="22" t="s">
        <v>1737</v>
      </c>
      <c r="C359" s="22" t="s">
        <v>177</v>
      </c>
      <c r="D359" s="22" t="s">
        <v>1738</v>
      </c>
      <c r="E359" s="22" t="s">
        <v>310</v>
      </c>
      <c r="F359" s="23"/>
      <c r="G359" s="22"/>
      <c r="H359" s="24"/>
      <c r="I359" s="25"/>
      <c r="J359" s="26">
        <v>486</v>
      </c>
      <c r="K359" s="27" t="s">
        <v>180</v>
      </c>
      <c r="L359" s="27" t="s">
        <v>169</v>
      </c>
      <c r="M359" s="28" t="s">
        <v>1739</v>
      </c>
      <c r="N359" s="28" t="s">
        <v>312</v>
      </c>
      <c r="O359" s="28" t="s">
        <v>316</v>
      </c>
      <c r="P359" s="29" t="s">
        <v>1739</v>
      </c>
      <c r="Q359" s="29" t="s">
        <v>315</v>
      </c>
      <c r="R359" s="29" t="s">
        <v>313</v>
      </c>
      <c r="S359" s="30">
        <v>6198.51</v>
      </c>
      <c r="T359" s="30">
        <v>1075.64</v>
      </c>
      <c r="U359" s="30">
        <v>5122.87</v>
      </c>
    </row>
    <row x14ac:dyDescent="0.25" r="360" customHeight="1" ht="18.75">
      <c r="A360" s="21">
        <v>359</v>
      </c>
      <c r="B360" s="22" t="s">
        <v>1740</v>
      </c>
      <c r="C360" s="22" t="s">
        <v>1741</v>
      </c>
      <c r="D360" s="22" t="s">
        <v>1742</v>
      </c>
      <c r="E360" s="22" t="s">
        <v>134</v>
      </c>
      <c r="F360" s="23"/>
      <c r="G360" s="22"/>
      <c r="H360" s="24"/>
      <c r="I360" s="25"/>
      <c r="J360" s="26">
        <v>105</v>
      </c>
      <c r="K360" s="27" t="s">
        <v>180</v>
      </c>
      <c r="L360" s="27" t="s">
        <v>169</v>
      </c>
      <c r="M360" s="28" t="s">
        <v>173</v>
      </c>
      <c r="N360" s="28" t="s">
        <v>174</v>
      </c>
      <c r="O360" s="28" t="s">
        <v>175</v>
      </c>
      <c r="P360" s="29" t="s">
        <v>173</v>
      </c>
      <c r="Q360" s="29" t="s">
        <v>174</v>
      </c>
      <c r="R360" s="29" t="s">
        <v>175</v>
      </c>
      <c r="S360" s="30">
        <v>1621</v>
      </c>
      <c r="T360" s="30">
        <v>121.57</v>
      </c>
      <c r="U360" s="30">
        <v>1499.43</v>
      </c>
    </row>
    <row x14ac:dyDescent="0.25" r="361" customHeight="1" ht="18.75">
      <c r="A361" s="21">
        <v>360</v>
      </c>
      <c r="B361" s="22" t="s">
        <v>1743</v>
      </c>
      <c r="C361" s="22" t="s">
        <v>190</v>
      </c>
      <c r="D361" s="22" t="s">
        <v>1744</v>
      </c>
      <c r="E361" s="22" t="s">
        <v>191</v>
      </c>
      <c r="F361" s="23"/>
      <c r="G361" s="22"/>
      <c r="H361" s="24"/>
      <c r="I361" s="25"/>
      <c r="J361" s="26">
        <v>113</v>
      </c>
      <c r="K361" s="27" t="s">
        <v>180</v>
      </c>
      <c r="L361" s="27" t="s">
        <v>169</v>
      </c>
      <c r="M361" s="28" t="s">
        <v>300</v>
      </c>
      <c r="N361" s="28" t="s">
        <v>301</v>
      </c>
      <c r="O361" s="28" t="s">
        <v>302</v>
      </c>
      <c r="P361" s="29" t="s">
        <v>303</v>
      </c>
      <c r="Q361" s="29" t="s">
        <v>304</v>
      </c>
      <c r="R361" s="29" t="s">
        <v>305</v>
      </c>
      <c r="S361" s="30">
        <v>3090.01</v>
      </c>
      <c r="T361" s="30">
        <v>259.39</v>
      </c>
      <c r="U361" s="30">
        <v>2830.62</v>
      </c>
    </row>
    <row x14ac:dyDescent="0.25" r="362" customHeight="1" ht="18.75">
      <c r="A362" s="21">
        <v>361</v>
      </c>
      <c r="B362" s="22" t="s">
        <v>1745</v>
      </c>
      <c r="C362" s="22" t="s">
        <v>166</v>
      </c>
      <c r="D362" s="22" t="s">
        <v>1746</v>
      </c>
      <c r="E362" s="22" t="s">
        <v>432</v>
      </c>
      <c r="F362" s="23"/>
      <c r="G362" s="22"/>
      <c r="H362" s="24"/>
      <c r="I362" s="25"/>
      <c r="J362" s="26">
        <v>198</v>
      </c>
      <c r="K362" s="27" t="s">
        <v>180</v>
      </c>
      <c r="L362" s="27" t="s">
        <v>169</v>
      </c>
      <c r="M362" s="28" t="s">
        <v>1747</v>
      </c>
      <c r="N362" s="28" t="s">
        <v>1748</v>
      </c>
      <c r="O362" s="28" t="s">
        <v>1749</v>
      </c>
      <c r="P362" s="29" t="s">
        <v>1750</v>
      </c>
      <c r="Q362" s="29" t="s">
        <v>1751</v>
      </c>
      <c r="R362" s="29" t="s">
        <v>1752</v>
      </c>
      <c r="S362" s="30">
        <v>2020.79</v>
      </c>
      <c r="T362" s="30">
        <v>151.47</v>
      </c>
      <c r="U362" s="30">
        <v>1869.32</v>
      </c>
    </row>
    <row x14ac:dyDescent="0.25" r="363" customHeight="1" ht="18.75">
      <c r="A363" s="21">
        <v>362</v>
      </c>
      <c r="B363" s="22" t="s">
        <v>1753</v>
      </c>
      <c r="C363" s="22" t="s">
        <v>166</v>
      </c>
      <c r="D363" s="22" t="s">
        <v>1754</v>
      </c>
      <c r="E363" s="22" t="s">
        <v>134</v>
      </c>
      <c r="F363" s="23"/>
      <c r="G363" s="22"/>
      <c r="H363" s="24"/>
      <c r="I363" s="25"/>
      <c r="J363" s="26">
        <v>19</v>
      </c>
      <c r="K363" s="27" t="s">
        <v>180</v>
      </c>
      <c r="L363" s="27" t="s">
        <v>169</v>
      </c>
      <c r="M363" s="28" t="s">
        <v>1755</v>
      </c>
      <c r="N363" s="28" t="s">
        <v>1756</v>
      </c>
      <c r="O363" s="28" t="s">
        <v>1757</v>
      </c>
      <c r="P363" s="29" t="s">
        <v>1758</v>
      </c>
      <c r="Q363" s="29" t="s">
        <v>1759</v>
      </c>
      <c r="R363" s="29" t="s">
        <v>1760</v>
      </c>
      <c r="S363" s="30">
        <v>2032.41</v>
      </c>
      <c r="T363" s="30">
        <v>146.43</v>
      </c>
      <c r="U363" s="30">
        <v>1885.98</v>
      </c>
    </row>
    <row x14ac:dyDescent="0.25" r="364" customHeight="1" ht="18.75">
      <c r="A364" s="21">
        <v>363</v>
      </c>
      <c r="B364" s="31" t="s">
        <v>1761</v>
      </c>
      <c r="C364" s="22" t="s">
        <v>278</v>
      </c>
      <c r="D364" s="22"/>
      <c r="E364" s="22" t="s">
        <v>17</v>
      </c>
      <c r="F364" s="23"/>
      <c r="G364" s="22"/>
      <c r="H364" s="24"/>
      <c r="I364" s="25"/>
      <c r="J364" s="32">
        <v>662</v>
      </c>
      <c r="K364" s="27" t="s">
        <v>192</v>
      </c>
      <c r="L364" s="27" t="s">
        <v>169</v>
      </c>
      <c r="M364" s="28"/>
      <c r="N364" s="28"/>
      <c r="O364" s="28"/>
      <c r="P364" s="29" t="s">
        <v>1762</v>
      </c>
      <c r="Q364" s="29" t="s">
        <v>1763</v>
      </c>
      <c r="R364" s="29" t="s">
        <v>1764</v>
      </c>
      <c r="S364" s="30">
        <v>4280</v>
      </c>
      <c r="T364" s="30">
        <v>402.18</v>
      </c>
      <c r="U364" s="30">
        <v>3877.82</v>
      </c>
    </row>
    <row x14ac:dyDescent="0.25" r="365" customHeight="1" ht="18.75">
      <c r="A365" s="21">
        <v>364</v>
      </c>
      <c r="B365" s="22" t="s">
        <v>1765</v>
      </c>
      <c r="C365" s="22" t="s">
        <v>539</v>
      </c>
      <c r="D365" s="22" t="s">
        <v>1766</v>
      </c>
      <c r="E365" s="22" t="s">
        <v>86</v>
      </c>
      <c r="F365" s="23"/>
      <c r="G365" s="22"/>
      <c r="H365" s="24"/>
      <c r="I365" s="25"/>
      <c r="J365" s="26">
        <v>314</v>
      </c>
      <c r="K365" s="27" t="s">
        <v>180</v>
      </c>
      <c r="L365" s="27" t="s">
        <v>169</v>
      </c>
      <c r="M365" s="28">
        <v>0</v>
      </c>
      <c r="N365" s="28">
        <v>0</v>
      </c>
      <c r="O365" s="28">
        <v>0</v>
      </c>
      <c r="P365" s="29">
        <v>0</v>
      </c>
      <c r="Q365" s="29">
        <v>0</v>
      </c>
      <c r="R365" s="29">
        <v>0</v>
      </c>
      <c r="S365" s="30">
        <v>1621</v>
      </c>
      <c r="T365" s="30">
        <v>1621</v>
      </c>
      <c r="U365" s="28">
        <v>0</v>
      </c>
    </row>
    <row x14ac:dyDescent="0.25" r="366" customHeight="1" ht="18.75">
      <c r="A366" s="21">
        <v>365</v>
      </c>
      <c r="B366" s="22" t="s">
        <v>1767</v>
      </c>
      <c r="C366" s="22" t="s">
        <v>190</v>
      </c>
      <c r="D366" s="22" t="s">
        <v>1768</v>
      </c>
      <c r="E366" s="22" t="s">
        <v>191</v>
      </c>
      <c r="F366" s="23"/>
      <c r="G366" s="22"/>
      <c r="H366" s="24"/>
      <c r="I366" s="25"/>
      <c r="J366" s="26">
        <v>98</v>
      </c>
      <c r="K366" s="27" t="s">
        <v>180</v>
      </c>
      <c r="L366" s="27" t="s">
        <v>169</v>
      </c>
      <c r="M366" s="28" t="s">
        <v>1769</v>
      </c>
      <c r="N366" s="28" t="s">
        <v>1770</v>
      </c>
      <c r="O366" s="28" t="s">
        <v>1771</v>
      </c>
      <c r="P366" s="29" t="s">
        <v>1163</v>
      </c>
      <c r="Q366" s="29" t="s">
        <v>1772</v>
      </c>
      <c r="R366" s="29" t="s">
        <v>1773</v>
      </c>
      <c r="S366" s="30">
        <v>3239.02</v>
      </c>
      <c r="T366" s="30">
        <v>277.27</v>
      </c>
      <c r="U366" s="30">
        <v>2961.75</v>
      </c>
    </row>
    <row x14ac:dyDescent="0.25" r="367" customHeight="1" ht="18.75">
      <c r="A367" s="21">
        <v>366</v>
      </c>
      <c r="B367" s="22" t="s">
        <v>1774</v>
      </c>
      <c r="C367" s="22" t="s">
        <v>278</v>
      </c>
      <c r="D367" s="22" t="s">
        <v>1775</v>
      </c>
      <c r="E367" s="22" t="s">
        <v>1776</v>
      </c>
      <c r="F367" s="23"/>
      <c r="G367" s="22"/>
      <c r="H367" s="24"/>
      <c r="I367" s="25"/>
      <c r="J367" s="26">
        <v>485</v>
      </c>
      <c r="K367" s="27" t="s">
        <v>180</v>
      </c>
      <c r="L367" s="27" t="s">
        <v>169</v>
      </c>
      <c r="M367" s="28" t="s">
        <v>417</v>
      </c>
      <c r="N367" s="28" t="s">
        <v>418</v>
      </c>
      <c r="O367" s="28" t="s">
        <v>419</v>
      </c>
      <c r="P367" s="29" t="s">
        <v>417</v>
      </c>
      <c r="Q367" s="29" t="s">
        <v>418</v>
      </c>
      <c r="R367" s="29" t="s">
        <v>419</v>
      </c>
      <c r="S367" s="30">
        <v>4280</v>
      </c>
      <c r="T367" s="30">
        <v>402.18</v>
      </c>
      <c r="U367" s="30">
        <v>3877.82</v>
      </c>
    </row>
    <row x14ac:dyDescent="0.25" r="368" customHeight="1" ht="18.75">
      <c r="A368" s="21">
        <v>367</v>
      </c>
      <c r="B368" s="22" t="s">
        <v>1777</v>
      </c>
      <c r="C368" s="22" t="s">
        <v>1107</v>
      </c>
      <c r="D368" s="22" t="s">
        <v>1778</v>
      </c>
      <c r="E368" s="22" t="s">
        <v>134</v>
      </c>
      <c r="F368" s="23"/>
      <c r="G368" s="22"/>
      <c r="H368" s="24"/>
      <c r="I368" s="25"/>
      <c r="J368" s="26">
        <v>159</v>
      </c>
      <c r="K368" s="27" t="s">
        <v>180</v>
      </c>
      <c r="L368" s="27" t="s">
        <v>169</v>
      </c>
      <c r="M368" s="28" t="s">
        <v>1370</v>
      </c>
      <c r="N368" s="28" t="s">
        <v>1779</v>
      </c>
      <c r="O368" s="28" t="s">
        <v>1780</v>
      </c>
      <c r="P368" s="29" t="s">
        <v>1373</v>
      </c>
      <c r="Q368" s="29" t="s">
        <v>1781</v>
      </c>
      <c r="R368" s="29" t="s">
        <v>1782</v>
      </c>
      <c r="S368" s="30">
        <v>8089.76</v>
      </c>
      <c r="T368" s="30">
        <v>1941.01</v>
      </c>
      <c r="U368" s="30">
        <v>6148.75</v>
      </c>
    </row>
    <row x14ac:dyDescent="0.25" r="369" customHeight="1" ht="18.75">
      <c r="A369" s="21">
        <v>368</v>
      </c>
      <c r="B369" s="22" t="s">
        <v>1783</v>
      </c>
      <c r="C369" s="22" t="s">
        <v>166</v>
      </c>
      <c r="D369" s="22" t="s">
        <v>1784</v>
      </c>
      <c r="E369" s="22" t="s">
        <v>134</v>
      </c>
      <c r="F369" s="23"/>
      <c r="G369" s="22"/>
      <c r="H369" s="24"/>
      <c r="I369" s="25"/>
      <c r="J369" s="26">
        <v>145</v>
      </c>
      <c r="K369" s="27" t="s">
        <v>180</v>
      </c>
      <c r="L369" s="27" t="s">
        <v>169</v>
      </c>
      <c r="M369" s="28" t="s">
        <v>170</v>
      </c>
      <c r="N369" s="28" t="s">
        <v>171</v>
      </c>
      <c r="O369" s="28" t="s">
        <v>172</v>
      </c>
      <c r="P369" s="29" t="s">
        <v>173</v>
      </c>
      <c r="Q369" s="29" t="s">
        <v>174</v>
      </c>
      <c r="R369" s="29" t="s">
        <v>175</v>
      </c>
      <c r="S369" s="30">
        <v>1681.94</v>
      </c>
      <c r="T369" s="30">
        <v>127.05</v>
      </c>
      <c r="U369" s="30">
        <v>1554.89</v>
      </c>
    </row>
    <row x14ac:dyDescent="0.25" r="370" customHeight="1" ht="18.75">
      <c r="A370" s="21">
        <v>369</v>
      </c>
      <c r="B370" s="22" t="s">
        <v>1785</v>
      </c>
      <c r="C370" s="22" t="s">
        <v>166</v>
      </c>
      <c r="D370" s="22" t="s">
        <v>1786</v>
      </c>
      <c r="E370" s="22" t="s">
        <v>67</v>
      </c>
      <c r="F370" s="23"/>
      <c r="G370" s="22"/>
      <c r="H370" s="24"/>
      <c r="I370" s="25"/>
      <c r="J370" s="26">
        <v>247</v>
      </c>
      <c r="K370" s="27" t="s">
        <v>180</v>
      </c>
      <c r="L370" s="27" t="s">
        <v>169</v>
      </c>
      <c r="M370" s="28" t="s">
        <v>170</v>
      </c>
      <c r="N370" s="28" t="s">
        <v>171</v>
      </c>
      <c r="O370" s="28" t="s">
        <v>172</v>
      </c>
      <c r="P370" s="29" t="s">
        <v>173</v>
      </c>
      <c r="Q370" s="29" t="s">
        <v>174</v>
      </c>
      <c r="R370" s="29" t="s">
        <v>175</v>
      </c>
      <c r="S370" s="30">
        <v>1681.94</v>
      </c>
      <c r="T370" s="30">
        <v>127.05</v>
      </c>
      <c r="U370" s="30">
        <v>1554.89</v>
      </c>
    </row>
    <row x14ac:dyDescent="0.25" r="371" customHeight="1" ht="18.75">
      <c r="A371" s="21">
        <v>370</v>
      </c>
      <c r="B371" s="22" t="s">
        <v>1787</v>
      </c>
      <c r="C371" s="22" t="s">
        <v>166</v>
      </c>
      <c r="D371" s="22" t="s">
        <v>1788</v>
      </c>
      <c r="E371" s="22" t="s">
        <v>605</v>
      </c>
      <c r="F371" s="23"/>
      <c r="G371" s="22"/>
      <c r="H371" s="24"/>
      <c r="I371" s="25"/>
      <c r="J371" s="26">
        <v>218</v>
      </c>
      <c r="K371" s="27" t="s">
        <v>180</v>
      </c>
      <c r="L371" s="27" t="s">
        <v>169</v>
      </c>
      <c r="M371" s="28" t="s">
        <v>1789</v>
      </c>
      <c r="N371" s="28" t="s">
        <v>1790</v>
      </c>
      <c r="O371" s="28" t="s">
        <v>1791</v>
      </c>
      <c r="P371" s="29" t="s">
        <v>1792</v>
      </c>
      <c r="Q371" s="29" t="s">
        <v>1793</v>
      </c>
      <c r="R371" s="29" t="s">
        <v>1794</v>
      </c>
      <c r="S371" s="30">
        <v>1980.44</v>
      </c>
      <c r="T371" s="30">
        <v>153.91</v>
      </c>
      <c r="U371" s="30">
        <v>1826.53</v>
      </c>
    </row>
    <row x14ac:dyDescent="0.25" r="372" customHeight="1" ht="18.75">
      <c r="A372" s="21">
        <v>371</v>
      </c>
      <c r="B372" s="22" t="s">
        <v>1795</v>
      </c>
      <c r="C372" s="22" t="s">
        <v>190</v>
      </c>
      <c r="D372" s="22" t="s">
        <v>1796</v>
      </c>
      <c r="E372" s="22" t="s">
        <v>134</v>
      </c>
      <c r="F372" s="23"/>
      <c r="G372" s="22"/>
      <c r="H372" s="24"/>
      <c r="I372" s="25"/>
      <c r="J372" s="26">
        <v>161</v>
      </c>
      <c r="K372" s="27" t="s">
        <v>180</v>
      </c>
      <c r="L372" s="27" t="s">
        <v>169</v>
      </c>
      <c r="M372" s="28" t="s">
        <v>1797</v>
      </c>
      <c r="N372" s="28" t="s">
        <v>1798</v>
      </c>
      <c r="O372" s="28" t="s">
        <v>1799</v>
      </c>
      <c r="P372" s="29" t="s">
        <v>1800</v>
      </c>
      <c r="Q372" s="29" t="s">
        <v>1801</v>
      </c>
      <c r="R372" s="29" t="s">
        <v>1802</v>
      </c>
      <c r="S372" s="30">
        <v>3090.01</v>
      </c>
      <c r="T372" s="30">
        <v>259.39</v>
      </c>
      <c r="U372" s="30">
        <v>2830.62</v>
      </c>
    </row>
    <row x14ac:dyDescent="0.25" r="373" customHeight="1" ht="18.75">
      <c r="A373" s="21">
        <v>372</v>
      </c>
      <c r="B373" s="22" t="s">
        <v>1795</v>
      </c>
      <c r="C373" s="22" t="s">
        <v>539</v>
      </c>
      <c r="D373" s="22" t="s">
        <v>1796</v>
      </c>
      <c r="E373" s="22" t="s">
        <v>746</v>
      </c>
      <c r="F373" s="23"/>
      <c r="G373" s="22"/>
      <c r="H373" s="24"/>
      <c r="I373" s="25"/>
      <c r="J373" s="26">
        <v>161</v>
      </c>
      <c r="K373" s="27" t="s">
        <v>180</v>
      </c>
      <c r="L373" s="27" t="s">
        <v>169</v>
      </c>
      <c r="M373" s="28" t="s">
        <v>1797</v>
      </c>
      <c r="N373" s="28" t="s">
        <v>1798</v>
      </c>
      <c r="O373" s="28" t="s">
        <v>1799</v>
      </c>
      <c r="P373" s="29" t="s">
        <v>1800</v>
      </c>
      <c r="Q373" s="29" t="s">
        <v>1801</v>
      </c>
      <c r="R373" s="29" t="s">
        <v>1802</v>
      </c>
      <c r="S373" s="30">
        <v>3090.01</v>
      </c>
      <c r="T373" s="30">
        <v>259.39</v>
      </c>
      <c r="U373" s="30">
        <v>2830.62</v>
      </c>
    </row>
    <row x14ac:dyDescent="0.25" r="374" customHeight="1" ht="18.75">
      <c r="A374" s="21">
        <v>373</v>
      </c>
      <c r="B374" s="22" t="s">
        <v>1803</v>
      </c>
      <c r="C374" s="22" t="s">
        <v>214</v>
      </c>
      <c r="D374" s="22" t="s">
        <v>1804</v>
      </c>
      <c r="E374" s="22" t="s">
        <v>134</v>
      </c>
      <c r="F374" s="23"/>
      <c r="G374" s="22"/>
      <c r="H374" s="24"/>
      <c r="I374" s="25"/>
      <c r="J374" s="26">
        <v>568</v>
      </c>
      <c r="K374" s="27" t="s">
        <v>168</v>
      </c>
      <c r="L374" s="27" t="s">
        <v>169</v>
      </c>
      <c r="M374" s="28" t="s">
        <v>216</v>
      </c>
      <c r="N374" s="28" t="s">
        <v>217</v>
      </c>
      <c r="O374" s="28" t="s">
        <v>218</v>
      </c>
      <c r="P374" s="29" t="s">
        <v>219</v>
      </c>
      <c r="Q374" s="29" t="s">
        <v>220</v>
      </c>
      <c r="R374" s="29" t="s">
        <v>221</v>
      </c>
      <c r="S374" s="30">
        <v>5283.77</v>
      </c>
      <c r="T374" s="30">
        <v>643.45</v>
      </c>
      <c r="U374" s="30">
        <v>4640.32</v>
      </c>
    </row>
    <row x14ac:dyDescent="0.25" r="375" customHeight="1" ht="18.75">
      <c r="A375" s="21">
        <v>374</v>
      </c>
      <c r="B375" s="22" t="s">
        <v>1805</v>
      </c>
      <c r="C375" s="22" t="s">
        <v>166</v>
      </c>
      <c r="D375" s="22" t="s">
        <v>1806</v>
      </c>
      <c r="E375" s="22" t="s">
        <v>134</v>
      </c>
      <c r="F375" s="23"/>
      <c r="G375" s="22"/>
      <c r="H375" s="24"/>
      <c r="I375" s="25"/>
      <c r="J375" s="26">
        <v>638</v>
      </c>
      <c r="K375" s="27" t="s">
        <v>460</v>
      </c>
      <c r="L375" s="27" t="s">
        <v>169</v>
      </c>
      <c r="M375" s="28" t="s">
        <v>1807</v>
      </c>
      <c r="N375" s="28" t="s">
        <v>1808</v>
      </c>
      <c r="O375" s="28" t="s">
        <v>1809</v>
      </c>
      <c r="P375" s="29" t="s">
        <v>1810</v>
      </c>
      <c r="Q375" s="29" t="s">
        <v>1811</v>
      </c>
      <c r="R375" s="29" t="s">
        <v>1812</v>
      </c>
      <c r="S375" s="30">
        <v>1932.58</v>
      </c>
      <c r="T375" s="30">
        <v>149.61</v>
      </c>
      <c r="U375" s="30">
        <v>1782.97</v>
      </c>
    </row>
    <row x14ac:dyDescent="0.25" r="376" customHeight="1" ht="18.75">
      <c r="A376" s="21">
        <v>375</v>
      </c>
      <c r="B376" s="22" t="s">
        <v>1813</v>
      </c>
      <c r="C376" s="22" t="s">
        <v>166</v>
      </c>
      <c r="D376" s="22" t="s">
        <v>1814</v>
      </c>
      <c r="E376" s="22" t="s">
        <v>98</v>
      </c>
      <c r="F376" s="23"/>
      <c r="G376" s="22"/>
      <c r="H376" s="24"/>
      <c r="I376" s="25"/>
      <c r="J376" s="26">
        <v>283</v>
      </c>
      <c r="K376" s="27" t="s">
        <v>180</v>
      </c>
      <c r="L376" s="27" t="s">
        <v>169</v>
      </c>
      <c r="M376" s="28" t="s">
        <v>170</v>
      </c>
      <c r="N376" s="28" t="s">
        <v>171</v>
      </c>
      <c r="O376" s="28" t="s">
        <v>172</v>
      </c>
      <c r="P376" s="29" t="s">
        <v>173</v>
      </c>
      <c r="Q376" s="29" t="s">
        <v>174</v>
      </c>
      <c r="R376" s="29" t="s">
        <v>175</v>
      </c>
      <c r="S376" s="30">
        <v>1681.94</v>
      </c>
      <c r="T376" s="30">
        <v>127.05</v>
      </c>
      <c r="U376" s="30">
        <v>1554.89</v>
      </c>
    </row>
    <row x14ac:dyDescent="0.25" r="377" customHeight="1" ht="18.75">
      <c r="A377" s="21">
        <v>376</v>
      </c>
      <c r="B377" s="22" t="s">
        <v>1815</v>
      </c>
      <c r="C377" s="22" t="s">
        <v>402</v>
      </c>
      <c r="D377" s="22" t="s">
        <v>1816</v>
      </c>
      <c r="E377" s="22" t="s">
        <v>249</v>
      </c>
      <c r="F377" s="23"/>
      <c r="G377" s="22"/>
      <c r="H377" s="24"/>
      <c r="I377" s="25"/>
      <c r="J377" s="26">
        <v>606</v>
      </c>
      <c r="K377" s="27" t="s">
        <v>1047</v>
      </c>
      <c r="L377" s="27" t="s">
        <v>169</v>
      </c>
      <c r="M377" s="28" t="s">
        <v>1048</v>
      </c>
      <c r="N377" s="28" t="s">
        <v>1049</v>
      </c>
      <c r="O377" s="28" t="s">
        <v>1050</v>
      </c>
      <c r="P377" s="29" t="s">
        <v>1048</v>
      </c>
      <c r="Q377" s="29" t="s">
        <v>1049</v>
      </c>
      <c r="R377" s="29" t="s">
        <v>1050</v>
      </c>
      <c r="S377" s="30">
        <v>3720</v>
      </c>
      <c r="T377" s="30">
        <v>334.98</v>
      </c>
      <c r="U377" s="30">
        <v>3385.02</v>
      </c>
    </row>
    <row x14ac:dyDescent="0.25" r="378" customHeight="1" ht="18.75">
      <c r="A378" s="21">
        <v>377</v>
      </c>
      <c r="B378" s="22" t="s">
        <v>1817</v>
      </c>
      <c r="C378" s="22" t="s">
        <v>402</v>
      </c>
      <c r="D378" s="22" t="s">
        <v>1818</v>
      </c>
      <c r="E378" s="22" t="s">
        <v>1188</v>
      </c>
      <c r="F378" s="23"/>
      <c r="G378" s="22"/>
      <c r="H378" s="24"/>
      <c r="I378" s="25"/>
      <c r="J378" s="26">
        <v>624</v>
      </c>
      <c r="K378" s="27" t="s">
        <v>1819</v>
      </c>
      <c r="L378" s="27" t="s">
        <v>169</v>
      </c>
      <c r="M378" s="28" t="s">
        <v>1048</v>
      </c>
      <c r="N378" s="28" t="s">
        <v>1049</v>
      </c>
      <c r="O378" s="28" t="s">
        <v>1050</v>
      </c>
      <c r="P378" s="29" t="s">
        <v>1048</v>
      </c>
      <c r="Q378" s="29" t="s">
        <v>1049</v>
      </c>
      <c r="R378" s="29" t="s">
        <v>1050</v>
      </c>
      <c r="S378" s="30">
        <v>3720</v>
      </c>
      <c r="T378" s="30">
        <v>334.98</v>
      </c>
      <c r="U378" s="30">
        <v>3385.02</v>
      </c>
    </row>
    <row x14ac:dyDescent="0.25" r="379" customHeight="1" ht="18.75">
      <c r="A379" s="21">
        <v>378</v>
      </c>
      <c r="B379" s="22" t="s">
        <v>1820</v>
      </c>
      <c r="C379" s="22" t="s">
        <v>166</v>
      </c>
      <c r="D379" s="22" t="s">
        <v>1821</v>
      </c>
      <c r="E379" s="22" t="s">
        <v>140</v>
      </c>
      <c r="F379" s="23"/>
      <c r="G379" s="22"/>
      <c r="H379" s="24"/>
      <c r="I379" s="25"/>
      <c r="J379" s="26">
        <v>153</v>
      </c>
      <c r="K379" s="27" t="s">
        <v>180</v>
      </c>
      <c r="L379" s="27" t="s">
        <v>169</v>
      </c>
      <c r="M379" s="28" t="s">
        <v>266</v>
      </c>
      <c r="N379" s="28" t="s">
        <v>171</v>
      </c>
      <c r="O379" s="28" t="s">
        <v>267</v>
      </c>
      <c r="P379" s="29" t="s">
        <v>1822</v>
      </c>
      <c r="Q379" s="29" t="s">
        <v>1823</v>
      </c>
      <c r="R379" s="29" t="s">
        <v>1824</v>
      </c>
      <c r="S379" s="30">
        <v>2060.35</v>
      </c>
      <c r="T379" s="30">
        <v>148.95</v>
      </c>
      <c r="U379" s="30">
        <v>1911.4</v>
      </c>
    </row>
    <row x14ac:dyDescent="0.25" r="380" customHeight="1" ht="18.75">
      <c r="A380" s="21">
        <v>379</v>
      </c>
      <c r="B380" s="22" t="s">
        <v>1825</v>
      </c>
      <c r="C380" s="22" t="s">
        <v>166</v>
      </c>
      <c r="D380" s="22" t="s">
        <v>1826</v>
      </c>
      <c r="E380" s="22" t="s">
        <v>38</v>
      </c>
      <c r="F380" s="23"/>
      <c r="G380" s="22"/>
      <c r="H380" s="24"/>
      <c r="I380" s="25"/>
      <c r="J380" s="26">
        <v>255</v>
      </c>
      <c r="K380" s="27" t="s">
        <v>180</v>
      </c>
      <c r="L380" s="27" t="s">
        <v>169</v>
      </c>
      <c r="M380" s="28" t="s">
        <v>170</v>
      </c>
      <c r="N380" s="28" t="s">
        <v>171</v>
      </c>
      <c r="O380" s="28" t="s">
        <v>172</v>
      </c>
      <c r="P380" s="29" t="s">
        <v>173</v>
      </c>
      <c r="Q380" s="29" t="s">
        <v>174</v>
      </c>
      <c r="R380" s="29" t="s">
        <v>175</v>
      </c>
      <c r="S380" s="30">
        <v>1681.94</v>
      </c>
      <c r="T380" s="30">
        <v>127.05</v>
      </c>
      <c r="U380" s="30">
        <v>1554.89</v>
      </c>
    </row>
    <row x14ac:dyDescent="0.25" r="381" customHeight="1" ht="18.75">
      <c r="A381" s="21">
        <v>380</v>
      </c>
      <c r="B381" s="22" t="s">
        <v>1827</v>
      </c>
      <c r="C381" s="22" t="s">
        <v>166</v>
      </c>
      <c r="D381" s="22" t="s">
        <v>1828</v>
      </c>
      <c r="E381" s="22" t="s">
        <v>90</v>
      </c>
      <c r="F381" s="23"/>
      <c r="G381" s="22"/>
      <c r="H381" s="24"/>
      <c r="I381" s="25"/>
      <c r="J381" s="26">
        <v>338</v>
      </c>
      <c r="K381" s="27" t="s">
        <v>180</v>
      </c>
      <c r="L381" s="27" t="s">
        <v>169</v>
      </c>
      <c r="M381" s="28" t="s">
        <v>170</v>
      </c>
      <c r="N381" s="28" t="s">
        <v>171</v>
      </c>
      <c r="O381" s="28" t="s">
        <v>172</v>
      </c>
      <c r="P381" s="29" t="s">
        <v>173</v>
      </c>
      <c r="Q381" s="29" t="s">
        <v>174</v>
      </c>
      <c r="R381" s="29" t="s">
        <v>175</v>
      </c>
      <c r="S381" s="30">
        <v>1681.94</v>
      </c>
      <c r="T381" s="30">
        <v>127.05</v>
      </c>
      <c r="U381" s="30">
        <v>1554.89</v>
      </c>
    </row>
    <row x14ac:dyDescent="0.25" r="382" customHeight="1" ht="18.75">
      <c r="A382" s="21">
        <v>381</v>
      </c>
      <c r="B382" s="22" t="s">
        <v>1829</v>
      </c>
      <c r="C382" s="22" t="s">
        <v>356</v>
      </c>
      <c r="D382" s="22" t="s">
        <v>1830</v>
      </c>
      <c r="E382" s="22" t="s">
        <v>98</v>
      </c>
      <c r="F382" s="23"/>
      <c r="G382" s="22"/>
      <c r="H382" s="24"/>
      <c r="I382" s="25"/>
      <c r="J382" s="26">
        <v>281</v>
      </c>
      <c r="K382" s="27" t="s">
        <v>180</v>
      </c>
      <c r="L382" s="27" t="s">
        <v>169</v>
      </c>
      <c r="M382" s="28" t="s">
        <v>1831</v>
      </c>
      <c r="N382" s="28" t="s">
        <v>1832</v>
      </c>
      <c r="O382" s="28" t="s">
        <v>1833</v>
      </c>
      <c r="P382" s="29" t="s">
        <v>173</v>
      </c>
      <c r="Q382" s="29" t="s">
        <v>174</v>
      </c>
      <c r="R382" s="29" t="s">
        <v>175</v>
      </c>
      <c r="S382" s="30">
        <v>1757.02</v>
      </c>
      <c r="T382" s="30">
        <v>133.81</v>
      </c>
      <c r="U382" s="30">
        <v>1623.21</v>
      </c>
    </row>
    <row x14ac:dyDescent="0.25" r="383" customHeight="1" ht="18.75">
      <c r="A383" s="21">
        <v>382</v>
      </c>
      <c r="B383" s="22" t="s">
        <v>1834</v>
      </c>
      <c r="C383" s="22" t="s">
        <v>278</v>
      </c>
      <c r="D383" s="22" t="s">
        <v>1835</v>
      </c>
      <c r="E383" s="22" t="s">
        <v>114</v>
      </c>
      <c r="F383" s="23"/>
      <c r="G383" s="22"/>
      <c r="H383" s="24"/>
      <c r="I383" s="25"/>
      <c r="J383" s="26">
        <v>584</v>
      </c>
      <c r="K383" s="27" t="s">
        <v>168</v>
      </c>
      <c r="L383" s="27" t="s">
        <v>169</v>
      </c>
      <c r="M383" s="28" t="s">
        <v>417</v>
      </c>
      <c r="N383" s="28" t="s">
        <v>418</v>
      </c>
      <c r="O383" s="28" t="s">
        <v>419</v>
      </c>
      <c r="P383" s="29" t="s">
        <v>417</v>
      </c>
      <c r="Q383" s="29" t="s">
        <v>418</v>
      </c>
      <c r="R383" s="29" t="s">
        <v>419</v>
      </c>
      <c r="S383" s="30">
        <v>4280</v>
      </c>
      <c r="T383" s="30">
        <v>402.18</v>
      </c>
      <c r="U383" s="30">
        <v>3877.82</v>
      </c>
    </row>
    <row x14ac:dyDescent="0.25" r="384" customHeight="1" ht="18.75">
      <c r="A384" s="21">
        <v>383</v>
      </c>
      <c r="B384" s="22" t="s">
        <v>1836</v>
      </c>
      <c r="C384" s="22" t="s">
        <v>356</v>
      </c>
      <c r="D384" s="22" t="s">
        <v>1837</v>
      </c>
      <c r="E384" s="22" t="s">
        <v>191</v>
      </c>
      <c r="F384" s="23"/>
      <c r="G384" s="22"/>
      <c r="H384" s="24"/>
      <c r="I384" s="25"/>
      <c r="J384" s="26">
        <v>7</v>
      </c>
      <c r="K384" s="27" t="s">
        <v>180</v>
      </c>
      <c r="L384" s="27" t="s">
        <v>169</v>
      </c>
      <c r="M384" s="28" t="s">
        <v>1838</v>
      </c>
      <c r="N384" s="28" t="s">
        <v>1839</v>
      </c>
      <c r="O384" s="28" t="s">
        <v>1840</v>
      </c>
      <c r="P384" s="29" t="s">
        <v>344</v>
      </c>
      <c r="Q384" s="29" t="s">
        <v>454</v>
      </c>
      <c r="R384" s="29" t="s">
        <v>455</v>
      </c>
      <c r="S384" s="30">
        <v>1714.38</v>
      </c>
      <c r="T384" s="30">
        <v>129.97</v>
      </c>
      <c r="U384" s="30">
        <v>1584.41</v>
      </c>
    </row>
    <row x14ac:dyDescent="0.25" r="385" customHeight="1" ht="18.75">
      <c r="A385" s="21">
        <v>384</v>
      </c>
      <c r="B385" s="22" t="s">
        <v>1841</v>
      </c>
      <c r="C385" s="22" t="s">
        <v>1842</v>
      </c>
      <c r="D385" s="22" t="s">
        <v>1843</v>
      </c>
      <c r="E385" s="22" t="s">
        <v>249</v>
      </c>
      <c r="F385" s="23"/>
      <c r="G385" s="22"/>
      <c r="H385" s="24"/>
      <c r="I385" s="25"/>
      <c r="J385" s="26">
        <v>212</v>
      </c>
      <c r="K385" s="27" t="s">
        <v>180</v>
      </c>
      <c r="L385" s="27" t="s">
        <v>169</v>
      </c>
      <c r="M385" s="28" t="s">
        <v>1202</v>
      </c>
      <c r="N385" s="28" t="s">
        <v>1203</v>
      </c>
      <c r="O385" s="28" t="s">
        <v>1204</v>
      </c>
      <c r="P385" s="29" t="s">
        <v>1202</v>
      </c>
      <c r="Q385" s="29" t="s">
        <v>1203</v>
      </c>
      <c r="R385" s="29" t="s">
        <v>1204</v>
      </c>
      <c r="S385" s="30">
        <v>4034.28</v>
      </c>
      <c r="T385" s="30">
        <v>372.7</v>
      </c>
      <c r="U385" s="30">
        <v>3661.58</v>
      </c>
    </row>
    <row x14ac:dyDescent="0.25" r="386" customHeight="1" ht="18.75">
      <c r="A386" s="21">
        <v>385</v>
      </c>
      <c r="B386" s="22" t="s">
        <v>1844</v>
      </c>
      <c r="C386" s="22" t="s">
        <v>166</v>
      </c>
      <c r="D386" s="22" t="s">
        <v>1845</v>
      </c>
      <c r="E386" s="22" t="s">
        <v>114</v>
      </c>
      <c r="F386" s="23"/>
      <c r="G386" s="22"/>
      <c r="H386" s="24"/>
      <c r="I386" s="25"/>
      <c r="J386" s="26">
        <v>424</v>
      </c>
      <c r="K386" s="27" t="s">
        <v>180</v>
      </c>
      <c r="L386" s="27" t="s">
        <v>169</v>
      </c>
      <c r="M386" s="28" t="s">
        <v>170</v>
      </c>
      <c r="N386" s="28" t="s">
        <v>171</v>
      </c>
      <c r="O386" s="28" t="s">
        <v>172</v>
      </c>
      <c r="P386" s="29" t="s">
        <v>173</v>
      </c>
      <c r="Q386" s="29" t="s">
        <v>174</v>
      </c>
      <c r="R386" s="29" t="s">
        <v>175</v>
      </c>
      <c r="S386" s="30">
        <v>1681.94</v>
      </c>
      <c r="T386" s="30">
        <v>127.05</v>
      </c>
      <c r="U386" s="30">
        <v>1554.89</v>
      </c>
    </row>
    <row x14ac:dyDescent="0.25" r="387" customHeight="1" ht="18.75">
      <c r="A387" s="21">
        <v>386</v>
      </c>
      <c r="B387" s="22" t="s">
        <v>1846</v>
      </c>
      <c r="C387" s="22" t="s">
        <v>472</v>
      </c>
      <c r="D387" s="22" t="s">
        <v>1847</v>
      </c>
      <c r="E387" s="22" t="s">
        <v>474</v>
      </c>
      <c r="F387" s="23"/>
      <c r="G387" s="22"/>
      <c r="H387" s="24"/>
      <c r="I387" s="25"/>
      <c r="J387" s="26">
        <v>625</v>
      </c>
      <c r="K387" s="27" t="s">
        <v>1819</v>
      </c>
      <c r="L387" s="27" t="s">
        <v>169</v>
      </c>
      <c r="M387" s="28" t="s">
        <v>476</v>
      </c>
      <c r="N387" s="28" t="s">
        <v>477</v>
      </c>
      <c r="O387" s="28" t="s">
        <v>478</v>
      </c>
      <c r="P387" s="29" t="s">
        <v>476</v>
      </c>
      <c r="Q387" s="29" t="s">
        <v>477</v>
      </c>
      <c r="R387" s="29" t="s">
        <v>478</v>
      </c>
      <c r="S387" s="30">
        <v>2800</v>
      </c>
      <c r="T387" s="30">
        <v>227.68</v>
      </c>
      <c r="U387" s="30">
        <v>2572.32</v>
      </c>
    </row>
    <row x14ac:dyDescent="0.25" r="388" customHeight="1" ht="18.75">
      <c r="A388" s="21">
        <v>387</v>
      </c>
      <c r="B388" s="22" t="s">
        <v>1848</v>
      </c>
      <c r="C388" s="22" t="s">
        <v>166</v>
      </c>
      <c r="D388" s="22" t="s">
        <v>1849</v>
      </c>
      <c r="E388" s="22" t="s">
        <v>90</v>
      </c>
      <c r="F388" s="23"/>
      <c r="G388" s="22"/>
      <c r="H388" s="24"/>
      <c r="I388" s="25"/>
      <c r="J388" s="26">
        <v>636</v>
      </c>
      <c r="K388" s="27" t="s">
        <v>460</v>
      </c>
      <c r="L388" s="27" t="s">
        <v>169</v>
      </c>
      <c r="M388" s="28" t="s">
        <v>1850</v>
      </c>
      <c r="N388" s="28" t="s">
        <v>174</v>
      </c>
      <c r="O388" s="28" t="s">
        <v>1851</v>
      </c>
      <c r="P388" s="29" t="s">
        <v>173</v>
      </c>
      <c r="Q388" s="29" t="s">
        <v>174</v>
      </c>
      <c r="R388" s="29" t="s">
        <v>175</v>
      </c>
      <c r="S388" s="30">
        <v>1681.94</v>
      </c>
      <c r="T388" s="30">
        <v>127.05</v>
      </c>
      <c r="U388" s="30">
        <v>1554.89</v>
      </c>
    </row>
    <row x14ac:dyDescent="0.25" r="389" customHeight="1" ht="18.75">
      <c r="A389" s="21">
        <v>388</v>
      </c>
      <c r="B389" s="22" t="s">
        <v>1852</v>
      </c>
      <c r="C389" s="22" t="s">
        <v>166</v>
      </c>
      <c r="D389" s="22" t="s">
        <v>1853</v>
      </c>
      <c r="E389" s="22" t="s">
        <v>191</v>
      </c>
      <c r="F389" s="23"/>
      <c r="G389" s="22"/>
      <c r="H389" s="24"/>
      <c r="I389" s="25"/>
      <c r="J389" s="26">
        <v>54</v>
      </c>
      <c r="K389" s="27" t="s">
        <v>180</v>
      </c>
      <c r="L389" s="27" t="s">
        <v>169</v>
      </c>
      <c r="M389" s="28" t="s">
        <v>1854</v>
      </c>
      <c r="N389" s="28" t="s">
        <v>1855</v>
      </c>
      <c r="O389" s="28" t="s">
        <v>1856</v>
      </c>
      <c r="P389" s="29" t="s">
        <v>1857</v>
      </c>
      <c r="Q389" s="29" t="s">
        <v>1858</v>
      </c>
      <c r="R389" s="29" t="s">
        <v>1859</v>
      </c>
      <c r="S389" s="30">
        <v>2042.35</v>
      </c>
      <c r="T389" s="30">
        <v>147.33</v>
      </c>
      <c r="U389" s="30">
        <v>1895.02</v>
      </c>
    </row>
    <row x14ac:dyDescent="0.25" r="390" customHeight="1" ht="18.75">
      <c r="A390" s="21">
        <v>389</v>
      </c>
      <c r="B390" s="22" t="s">
        <v>1860</v>
      </c>
      <c r="C390" s="22" t="s">
        <v>190</v>
      </c>
      <c r="D390" s="22" t="s">
        <v>1861</v>
      </c>
      <c r="E390" s="22" t="s">
        <v>1862</v>
      </c>
      <c r="F390" s="23"/>
      <c r="G390" s="22"/>
      <c r="H390" s="24"/>
      <c r="I390" s="25"/>
      <c r="J390" s="26">
        <v>352</v>
      </c>
      <c r="K390" s="27" t="s">
        <v>180</v>
      </c>
      <c r="L390" s="27" t="s">
        <v>169</v>
      </c>
      <c r="M390" s="28" t="s">
        <v>233</v>
      </c>
      <c r="N390" s="28" t="s">
        <v>234</v>
      </c>
      <c r="O390" s="28" t="s">
        <v>235</v>
      </c>
      <c r="P390" s="29" t="s">
        <v>236</v>
      </c>
      <c r="Q390" s="29" t="s">
        <v>275</v>
      </c>
      <c r="R390" s="29" t="s">
        <v>276</v>
      </c>
      <c r="S390" s="30">
        <v>3650.79</v>
      </c>
      <c r="T390" s="30">
        <v>326.68</v>
      </c>
      <c r="U390" s="30">
        <v>3324.11</v>
      </c>
    </row>
    <row x14ac:dyDescent="0.25" r="391" customHeight="1" ht="18.75">
      <c r="A391" s="21">
        <v>390</v>
      </c>
      <c r="B391" s="22" t="s">
        <v>1863</v>
      </c>
      <c r="C391" s="22" t="s">
        <v>166</v>
      </c>
      <c r="D391" s="22" t="s">
        <v>1864</v>
      </c>
      <c r="E391" s="22" t="s">
        <v>273</v>
      </c>
      <c r="F391" s="23"/>
      <c r="G391" s="22"/>
      <c r="H391" s="24"/>
      <c r="I391" s="25"/>
      <c r="J391" s="26">
        <v>304</v>
      </c>
      <c r="K391" s="27" t="s">
        <v>180</v>
      </c>
      <c r="L391" s="27" t="s">
        <v>169</v>
      </c>
      <c r="M391" s="28" t="s">
        <v>170</v>
      </c>
      <c r="N391" s="28" t="s">
        <v>171</v>
      </c>
      <c r="O391" s="28" t="s">
        <v>172</v>
      </c>
      <c r="P391" s="29" t="s">
        <v>173</v>
      </c>
      <c r="Q391" s="29" t="s">
        <v>174</v>
      </c>
      <c r="R391" s="29" t="s">
        <v>175</v>
      </c>
      <c r="S391" s="30">
        <v>1681.94</v>
      </c>
      <c r="T391" s="30">
        <v>127.05</v>
      </c>
      <c r="U391" s="30">
        <v>1554.89</v>
      </c>
    </row>
    <row x14ac:dyDescent="0.25" r="392" customHeight="1" ht="18.75">
      <c r="A392" s="21">
        <v>391</v>
      </c>
      <c r="B392" s="22" t="s">
        <v>1865</v>
      </c>
      <c r="C392" s="22" t="s">
        <v>190</v>
      </c>
      <c r="D392" s="22" t="s">
        <v>1866</v>
      </c>
      <c r="E392" s="22" t="s">
        <v>140</v>
      </c>
      <c r="F392" s="23"/>
      <c r="G392" s="22"/>
      <c r="H392" s="24"/>
      <c r="I392" s="25"/>
      <c r="J392" s="26">
        <v>15</v>
      </c>
      <c r="K392" s="27" t="s">
        <v>180</v>
      </c>
      <c r="L392" s="27" t="s">
        <v>169</v>
      </c>
      <c r="M392" s="28" t="s">
        <v>300</v>
      </c>
      <c r="N392" s="28" t="s">
        <v>1867</v>
      </c>
      <c r="O392" s="28" t="s">
        <v>1868</v>
      </c>
      <c r="P392" s="29" t="s">
        <v>303</v>
      </c>
      <c r="Q392" s="29" t="s">
        <v>304</v>
      </c>
      <c r="R392" s="29" t="s">
        <v>305</v>
      </c>
      <c r="S392" s="30">
        <v>3090.01</v>
      </c>
      <c r="T392" s="30">
        <v>259.39</v>
      </c>
      <c r="U392" s="30">
        <v>2830.62</v>
      </c>
    </row>
    <row x14ac:dyDescent="0.25" r="393" customHeight="1" ht="18.75">
      <c r="A393" s="21">
        <v>392</v>
      </c>
      <c r="B393" s="22" t="s">
        <v>1869</v>
      </c>
      <c r="C393" s="22" t="s">
        <v>278</v>
      </c>
      <c r="D393" s="22" t="s">
        <v>1870</v>
      </c>
      <c r="E393" s="22" t="s">
        <v>746</v>
      </c>
      <c r="F393" s="23"/>
      <c r="G393" s="22"/>
      <c r="H393" s="24"/>
      <c r="I393" s="25"/>
      <c r="J393" s="26">
        <v>523</v>
      </c>
      <c r="K393" s="27" t="s">
        <v>180</v>
      </c>
      <c r="L393" s="27" t="s">
        <v>169</v>
      </c>
      <c r="M393" s="28" t="s">
        <v>750</v>
      </c>
      <c r="N393" s="28" t="s">
        <v>1414</v>
      </c>
      <c r="O393" s="28" t="s">
        <v>1415</v>
      </c>
      <c r="P393" s="29" t="s">
        <v>750</v>
      </c>
      <c r="Q393" s="29" t="s">
        <v>1414</v>
      </c>
      <c r="R393" s="29" t="s">
        <v>1415</v>
      </c>
      <c r="S393" s="30">
        <v>5250.81</v>
      </c>
      <c r="T393" s="30">
        <v>774.07</v>
      </c>
      <c r="U393" s="30">
        <v>4476.74</v>
      </c>
    </row>
    <row x14ac:dyDescent="0.25" r="394" customHeight="1" ht="18.75">
      <c r="A394" s="21">
        <v>393</v>
      </c>
      <c r="B394" s="22" t="s">
        <v>1871</v>
      </c>
      <c r="C394" s="22" t="s">
        <v>166</v>
      </c>
      <c r="D394" s="22" t="s">
        <v>1872</v>
      </c>
      <c r="E394" s="22" t="s">
        <v>140</v>
      </c>
      <c r="F394" s="23"/>
      <c r="G394" s="22"/>
      <c r="H394" s="24"/>
      <c r="I394" s="25"/>
      <c r="J394" s="26">
        <v>588</v>
      </c>
      <c r="K394" s="27" t="s">
        <v>168</v>
      </c>
      <c r="L394" s="27" t="s">
        <v>169</v>
      </c>
      <c r="M394" s="28" t="s">
        <v>1873</v>
      </c>
      <c r="N394" s="28" t="s">
        <v>1874</v>
      </c>
      <c r="O394" s="28" t="s">
        <v>1875</v>
      </c>
      <c r="P394" s="29" t="s">
        <v>1876</v>
      </c>
      <c r="Q394" s="29" t="s">
        <v>1877</v>
      </c>
      <c r="R394" s="29" t="s">
        <v>1878</v>
      </c>
      <c r="S394" s="30">
        <v>1911.7</v>
      </c>
      <c r="T394" s="30">
        <v>389.24</v>
      </c>
      <c r="U394" s="30">
        <v>1522.46</v>
      </c>
    </row>
    <row x14ac:dyDescent="0.25" r="395" customHeight="1" ht="18.75">
      <c r="A395" s="21">
        <v>394</v>
      </c>
      <c r="B395" s="22" t="s">
        <v>1879</v>
      </c>
      <c r="C395" s="22" t="s">
        <v>472</v>
      </c>
      <c r="D395" s="22" t="s">
        <v>1880</v>
      </c>
      <c r="E395" s="22" t="s">
        <v>967</v>
      </c>
      <c r="F395" s="23"/>
      <c r="G395" s="22"/>
      <c r="H395" s="24"/>
      <c r="I395" s="25"/>
      <c r="J395" s="26">
        <v>532</v>
      </c>
      <c r="K395" s="27" t="s">
        <v>180</v>
      </c>
      <c r="L395" s="27" t="s">
        <v>169</v>
      </c>
      <c r="M395" s="28" t="s">
        <v>476</v>
      </c>
      <c r="N395" s="28" t="s">
        <v>477</v>
      </c>
      <c r="O395" s="28" t="s">
        <v>478</v>
      </c>
      <c r="P395" s="29" t="s">
        <v>476</v>
      </c>
      <c r="Q395" s="29" t="s">
        <v>477</v>
      </c>
      <c r="R395" s="29" t="s">
        <v>478</v>
      </c>
      <c r="S395" s="30">
        <v>2884.72</v>
      </c>
      <c r="T395" s="30">
        <v>235.3</v>
      </c>
      <c r="U395" s="30">
        <v>2649.42</v>
      </c>
    </row>
    <row x14ac:dyDescent="0.25" r="396" customHeight="1" ht="18.75">
      <c r="A396" s="21">
        <v>395</v>
      </c>
      <c r="B396" s="22" t="s">
        <v>1881</v>
      </c>
      <c r="C396" s="22" t="s">
        <v>166</v>
      </c>
      <c r="D396" s="22" t="s">
        <v>1882</v>
      </c>
      <c r="E396" s="22" t="s">
        <v>249</v>
      </c>
      <c r="F396" s="23"/>
      <c r="G396" s="22"/>
      <c r="H396" s="24"/>
      <c r="I396" s="25"/>
      <c r="J396" s="26">
        <v>209</v>
      </c>
      <c r="K396" s="27" t="s">
        <v>180</v>
      </c>
      <c r="L396" s="27" t="s">
        <v>169</v>
      </c>
      <c r="M396" s="28" t="s">
        <v>451</v>
      </c>
      <c r="N396" s="28" t="s">
        <v>452</v>
      </c>
      <c r="O396" s="28" t="s">
        <v>453</v>
      </c>
      <c r="P396" s="29" t="s">
        <v>173</v>
      </c>
      <c r="Q396" s="29" t="s">
        <v>174</v>
      </c>
      <c r="R396" s="29" t="s">
        <v>175</v>
      </c>
      <c r="S396" s="30">
        <v>1681.94</v>
      </c>
      <c r="T396" s="30">
        <v>127.05</v>
      </c>
      <c r="U396" s="30">
        <v>1554.89</v>
      </c>
    </row>
    <row x14ac:dyDescent="0.25" r="397" customHeight="1" ht="18.75">
      <c r="A397" s="21">
        <v>396</v>
      </c>
      <c r="B397" s="22" t="s">
        <v>1883</v>
      </c>
      <c r="C397" s="22" t="s">
        <v>190</v>
      </c>
      <c r="D397" s="22" t="s">
        <v>1884</v>
      </c>
      <c r="E397" s="22" t="s">
        <v>134</v>
      </c>
      <c r="F397" s="23"/>
      <c r="G397" s="22"/>
      <c r="H397" s="24"/>
      <c r="I397" s="25"/>
      <c r="J397" s="26">
        <v>23</v>
      </c>
      <c r="K397" s="27" t="s">
        <v>180</v>
      </c>
      <c r="L397" s="27" t="s">
        <v>169</v>
      </c>
      <c r="M397" s="28" t="s">
        <v>300</v>
      </c>
      <c r="N397" s="28" t="s">
        <v>301</v>
      </c>
      <c r="O397" s="28" t="s">
        <v>302</v>
      </c>
      <c r="P397" s="29" t="s">
        <v>303</v>
      </c>
      <c r="Q397" s="29" t="s">
        <v>304</v>
      </c>
      <c r="R397" s="29" t="s">
        <v>305</v>
      </c>
      <c r="S397" s="30">
        <v>3090.01</v>
      </c>
      <c r="T397" s="30">
        <v>259.39</v>
      </c>
      <c r="U397" s="30">
        <v>2830.62</v>
      </c>
    </row>
    <row x14ac:dyDescent="0.25" r="398" customHeight="1" ht="18.75">
      <c r="A398" s="21">
        <v>397</v>
      </c>
      <c r="B398" s="22" t="s">
        <v>1885</v>
      </c>
      <c r="C398" s="22" t="s">
        <v>166</v>
      </c>
      <c r="D398" s="22" t="s">
        <v>1886</v>
      </c>
      <c r="E398" s="22" t="s">
        <v>432</v>
      </c>
      <c r="F398" s="23"/>
      <c r="G398" s="22"/>
      <c r="H398" s="24"/>
      <c r="I398" s="25"/>
      <c r="J398" s="26">
        <v>205</v>
      </c>
      <c r="K398" s="27" t="s">
        <v>180</v>
      </c>
      <c r="L398" s="27" t="s">
        <v>169</v>
      </c>
      <c r="M398" s="28" t="s">
        <v>983</v>
      </c>
      <c r="N398" s="28" t="s">
        <v>984</v>
      </c>
      <c r="O398" s="28" t="s">
        <v>985</v>
      </c>
      <c r="P398" s="29" t="s">
        <v>707</v>
      </c>
      <c r="Q398" s="29" t="s">
        <v>723</v>
      </c>
      <c r="R398" s="29" t="s">
        <v>724</v>
      </c>
      <c r="S398" s="30">
        <v>2257.32</v>
      </c>
      <c r="T398" s="30">
        <v>178.83</v>
      </c>
      <c r="U398" s="30">
        <v>2078.49</v>
      </c>
    </row>
    <row x14ac:dyDescent="0.25" r="399" customHeight="1" ht="18.75">
      <c r="A399" s="21">
        <v>398</v>
      </c>
      <c r="B399" s="22" t="s">
        <v>1887</v>
      </c>
      <c r="C399" s="22" t="s">
        <v>166</v>
      </c>
      <c r="D399" s="22" t="s">
        <v>1888</v>
      </c>
      <c r="E399" s="22" t="s">
        <v>140</v>
      </c>
      <c r="F399" s="23"/>
      <c r="G399" s="22"/>
      <c r="H399" s="24"/>
      <c r="I399" s="25"/>
      <c r="J399" s="26">
        <v>135</v>
      </c>
      <c r="K399" s="27" t="s">
        <v>180</v>
      </c>
      <c r="L399" s="27" t="s">
        <v>169</v>
      </c>
      <c r="M399" s="28" t="s">
        <v>451</v>
      </c>
      <c r="N399" s="28" t="s">
        <v>452</v>
      </c>
      <c r="O399" s="28" t="s">
        <v>453</v>
      </c>
      <c r="P399" s="29" t="s">
        <v>253</v>
      </c>
      <c r="Q399" s="29" t="s">
        <v>254</v>
      </c>
      <c r="R399" s="29" t="s">
        <v>255</v>
      </c>
      <c r="S399" s="30">
        <v>1714.38</v>
      </c>
      <c r="T399" s="30">
        <v>633.46</v>
      </c>
      <c r="U399" s="30">
        <v>1080.92</v>
      </c>
    </row>
    <row x14ac:dyDescent="0.25" r="400" customHeight="1" ht="18.75">
      <c r="A400" s="21">
        <v>399</v>
      </c>
      <c r="B400" s="22" t="s">
        <v>1889</v>
      </c>
      <c r="C400" s="22" t="s">
        <v>166</v>
      </c>
      <c r="D400" s="22" t="s">
        <v>1890</v>
      </c>
      <c r="E400" s="22" t="s">
        <v>80</v>
      </c>
      <c r="F400" s="23"/>
      <c r="G400" s="22"/>
      <c r="H400" s="24"/>
      <c r="I400" s="25"/>
      <c r="J400" s="26">
        <v>386</v>
      </c>
      <c r="K400" s="27" t="s">
        <v>180</v>
      </c>
      <c r="L400" s="27" t="s">
        <v>169</v>
      </c>
      <c r="M400" s="28" t="s">
        <v>170</v>
      </c>
      <c r="N400" s="28" t="s">
        <v>171</v>
      </c>
      <c r="O400" s="28" t="s">
        <v>172</v>
      </c>
      <c r="P400" s="29" t="s">
        <v>173</v>
      </c>
      <c r="Q400" s="29" t="s">
        <v>174</v>
      </c>
      <c r="R400" s="29" t="s">
        <v>175</v>
      </c>
      <c r="S400" s="30">
        <v>1749.48</v>
      </c>
      <c r="T400" s="30">
        <v>518.59</v>
      </c>
      <c r="U400" s="30">
        <v>1230.89</v>
      </c>
    </row>
    <row x14ac:dyDescent="0.25" r="401" customHeight="1" ht="18.75">
      <c r="A401" s="21">
        <v>400</v>
      </c>
      <c r="B401" s="22" t="s">
        <v>1891</v>
      </c>
      <c r="C401" s="22" t="s">
        <v>190</v>
      </c>
      <c r="D401" s="22" t="s">
        <v>1892</v>
      </c>
      <c r="E401" s="22" t="s">
        <v>803</v>
      </c>
      <c r="F401" s="23"/>
      <c r="G401" s="22"/>
      <c r="H401" s="24"/>
      <c r="I401" s="25"/>
      <c r="J401" s="26">
        <v>429</v>
      </c>
      <c r="K401" s="27" t="s">
        <v>180</v>
      </c>
      <c r="L401" s="27" t="s">
        <v>169</v>
      </c>
      <c r="M401" s="28" t="s">
        <v>233</v>
      </c>
      <c r="N401" s="28" t="s">
        <v>234</v>
      </c>
      <c r="O401" s="28" t="s">
        <v>235</v>
      </c>
      <c r="P401" s="29" t="s">
        <v>236</v>
      </c>
      <c r="Q401" s="29" t="s">
        <v>275</v>
      </c>
      <c r="R401" s="29" t="s">
        <v>276</v>
      </c>
      <c r="S401" s="30">
        <v>3433.34</v>
      </c>
      <c r="T401" s="30">
        <v>300.59</v>
      </c>
      <c r="U401" s="30">
        <v>3132.75</v>
      </c>
    </row>
    <row x14ac:dyDescent="0.25" r="402" customHeight="1" ht="18.75">
      <c r="A402" s="21">
        <v>401</v>
      </c>
      <c r="B402" s="22" t="s">
        <v>1893</v>
      </c>
      <c r="C402" s="22" t="s">
        <v>166</v>
      </c>
      <c r="D402" s="22" t="s">
        <v>1894</v>
      </c>
      <c r="E402" s="22" t="s">
        <v>895</v>
      </c>
      <c r="F402" s="23"/>
      <c r="G402" s="22"/>
      <c r="H402" s="24"/>
      <c r="I402" s="25"/>
      <c r="J402" s="26">
        <v>401</v>
      </c>
      <c r="K402" s="27" t="s">
        <v>180</v>
      </c>
      <c r="L402" s="27" t="s">
        <v>169</v>
      </c>
      <c r="M402" s="28" t="s">
        <v>1335</v>
      </c>
      <c r="N402" s="28" t="s">
        <v>1336</v>
      </c>
      <c r="O402" s="28" t="s">
        <v>1337</v>
      </c>
      <c r="P402" s="29" t="s">
        <v>1193</v>
      </c>
      <c r="Q402" s="29" t="s">
        <v>1194</v>
      </c>
      <c r="R402" s="29" t="s">
        <v>1195</v>
      </c>
      <c r="S402" s="30">
        <v>2187.87</v>
      </c>
      <c r="T402" s="30">
        <v>172.58</v>
      </c>
      <c r="U402" s="30">
        <v>2015.29</v>
      </c>
    </row>
    <row x14ac:dyDescent="0.25" r="403" customHeight="1" ht="18.75">
      <c r="A403" s="21">
        <v>402</v>
      </c>
      <c r="B403" s="22" t="s">
        <v>1895</v>
      </c>
      <c r="C403" s="22" t="s">
        <v>166</v>
      </c>
      <c r="D403" s="22" t="s">
        <v>1896</v>
      </c>
      <c r="E403" s="22" t="s">
        <v>47</v>
      </c>
      <c r="F403" s="23"/>
      <c r="G403" s="22"/>
      <c r="H403" s="24"/>
      <c r="I403" s="25"/>
      <c r="J403" s="26">
        <v>550</v>
      </c>
      <c r="K403" s="27" t="s">
        <v>180</v>
      </c>
      <c r="L403" s="27" t="s">
        <v>169</v>
      </c>
      <c r="M403" s="28" t="s">
        <v>170</v>
      </c>
      <c r="N403" s="28" t="s">
        <v>171</v>
      </c>
      <c r="O403" s="28" t="s">
        <v>172</v>
      </c>
      <c r="P403" s="29" t="s">
        <v>173</v>
      </c>
      <c r="Q403" s="29" t="s">
        <v>174</v>
      </c>
      <c r="R403" s="29" t="s">
        <v>175</v>
      </c>
      <c r="S403" s="30">
        <v>1783.93</v>
      </c>
      <c r="T403" s="30">
        <v>136.23</v>
      </c>
      <c r="U403" s="30">
        <v>1647.7</v>
      </c>
    </row>
    <row x14ac:dyDescent="0.25" r="404" customHeight="1" ht="18.75">
      <c r="A404" s="21">
        <v>403</v>
      </c>
      <c r="B404" s="22" t="s">
        <v>1897</v>
      </c>
      <c r="C404" s="22" t="s">
        <v>539</v>
      </c>
      <c r="D404" s="22" t="s">
        <v>1898</v>
      </c>
      <c r="E404" s="22" t="s">
        <v>90</v>
      </c>
      <c r="F404" s="23"/>
      <c r="G404" s="22"/>
      <c r="H404" s="24"/>
      <c r="I404" s="25"/>
      <c r="J404" s="26">
        <v>594</v>
      </c>
      <c r="K404" s="27" t="s">
        <v>1899</v>
      </c>
      <c r="L404" s="27" t="s">
        <v>169</v>
      </c>
      <c r="M404" s="28" t="s">
        <v>173</v>
      </c>
      <c r="N404" s="28" t="s">
        <v>1900</v>
      </c>
      <c r="O404" s="28" t="s">
        <v>1901</v>
      </c>
      <c r="P404" s="29" t="s">
        <v>173</v>
      </c>
      <c r="Q404" s="29" t="s">
        <v>1902</v>
      </c>
      <c r="R404" s="29" t="s">
        <v>1903</v>
      </c>
      <c r="S404" s="30">
        <v>1621</v>
      </c>
      <c r="T404" s="30">
        <v>286.21</v>
      </c>
      <c r="U404" s="30">
        <v>1334.79</v>
      </c>
    </row>
    <row x14ac:dyDescent="0.25" r="405" customHeight="1" ht="18.75">
      <c r="A405" s="21">
        <v>404</v>
      </c>
      <c r="B405" s="22" t="s">
        <v>1904</v>
      </c>
      <c r="C405" s="22" t="s">
        <v>190</v>
      </c>
      <c r="D405" s="22" t="s">
        <v>1905</v>
      </c>
      <c r="E405" s="22" t="s">
        <v>130</v>
      </c>
      <c r="F405" s="23"/>
      <c r="G405" s="22"/>
      <c r="H405" s="24"/>
      <c r="I405" s="25"/>
      <c r="J405" s="26">
        <v>441</v>
      </c>
      <c r="K405" s="27" t="s">
        <v>180</v>
      </c>
      <c r="L405" s="27" t="s">
        <v>169</v>
      </c>
      <c r="M405" s="28" t="s">
        <v>233</v>
      </c>
      <c r="N405" s="28" t="s">
        <v>234</v>
      </c>
      <c r="O405" s="28" t="s">
        <v>235</v>
      </c>
      <c r="P405" s="29" t="s">
        <v>236</v>
      </c>
      <c r="Q405" s="29" t="s">
        <v>275</v>
      </c>
      <c r="R405" s="29" t="s">
        <v>276</v>
      </c>
      <c r="S405" s="30">
        <v>3433.34</v>
      </c>
      <c r="T405" s="30">
        <v>300.59</v>
      </c>
      <c r="U405" s="30">
        <v>3132.75</v>
      </c>
    </row>
    <row x14ac:dyDescent="0.25" r="406" customHeight="1" ht="18.75">
      <c r="A406" s="21">
        <v>405</v>
      </c>
      <c r="B406" s="22" t="s">
        <v>1906</v>
      </c>
      <c r="C406" s="22" t="s">
        <v>190</v>
      </c>
      <c r="D406" s="22" t="s">
        <v>1907</v>
      </c>
      <c r="E406" s="22" t="s">
        <v>134</v>
      </c>
      <c r="F406" s="23"/>
      <c r="G406" s="22"/>
      <c r="H406" s="24"/>
      <c r="I406" s="25"/>
      <c r="J406" s="26">
        <v>179</v>
      </c>
      <c r="K406" s="27" t="s">
        <v>180</v>
      </c>
      <c r="L406" s="27" t="s">
        <v>169</v>
      </c>
      <c r="M406" s="28" t="s">
        <v>1908</v>
      </c>
      <c r="N406" s="28" t="s">
        <v>1909</v>
      </c>
      <c r="O406" s="28" t="s">
        <v>1910</v>
      </c>
      <c r="P406" s="29" t="s">
        <v>1911</v>
      </c>
      <c r="Q406" s="29" t="s">
        <v>1912</v>
      </c>
      <c r="R406" s="29" t="s">
        <v>1913</v>
      </c>
      <c r="S406" s="30">
        <v>3504.42</v>
      </c>
      <c r="T406" s="30">
        <v>309.11</v>
      </c>
      <c r="U406" s="30">
        <v>3195.31</v>
      </c>
    </row>
    <row x14ac:dyDescent="0.25" r="407" customHeight="1" ht="18.75">
      <c r="A407" s="21">
        <v>406</v>
      </c>
      <c r="B407" s="22" t="s">
        <v>1914</v>
      </c>
      <c r="C407" s="22" t="s">
        <v>190</v>
      </c>
      <c r="D407" s="22" t="s">
        <v>1915</v>
      </c>
      <c r="E407" s="22" t="s">
        <v>134</v>
      </c>
      <c r="F407" s="23"/>
      <c r="G407" s="22"/>
      <c r="H407" s="24"/>
      <c r="I407" s="25"/>
      <c r="J407" s="26">
        <v>128</v>
      </c>
      <c r="K407" s="27" t="s">
        <v>180</v>
      </c>
      <c r="L407" s="27" t="s">
        <v>169</v>
      </c>
      <c r="M407" s="28" t="s">
        <v>300</v>
      </c>
      <c r="N407" s="28" t="s">
        <v>301</v>
      </c>
      <c r="O407" s="28" t="s">
        <v>302</v>
      </c>
      <c r="P407" s="29" t="s">
        <v>1916</v>
      </c>
      <c r="Q407" s="29" t="s">
        <v>1917</v>
      </c>
      <c r="R407" s="29" t="s">
        <v>1918</v>
      </c>
      <c r="S407" s="30">
        <v>3090.01</v>
      </c>
      <c r="T407" s="30">
        <v>259.39</v>
      </c>
      <c r="U407" s="30">
        <v>2830.62</v>
      </c>
    </row>
    <row x14ac:dyDescent="0.25" r="408" customHeight="1" ht="18.75">
      <c r="A408" s="21">
        <v>407</v>
      </c>
      <c r="B408" s="22" t="s">
        <v>1919</v>
      </c>
      <c r="C408" s="22" t="s">
        <v>166</v>
      </c>
      <c r="D408" s="22" t="s">
        <v>1920</v>
      </c>
      <c r="E408" s="22" t="s">
        <v>605</v>
      </c>
      <c r="F408" s="23"/>
      <c r="G408" s="22"/>
      <c r="H408" s="24"/>
      <c r="I408" s="25"/>
      <c r="J408" s="26">
        <v>216</v>
      </c>
      <c r="K408" s="27" t="s">
        <v>180</v>
      </c>
      <c r="L408" s="27" t="s">
        <v>169</v>
      </c>
      <c r="M408" s="28" t="s">
        <v>1921</v>
      </c>
      <c r="N408" s="28" t="s">
        <v>1922</v>
      </c>
      <c r="O408" s="28" t="s">
        <v>1923</v>
      </c>
      <c r="P408" s="29" t="s">
        <v>1924</v>
      </c>
      <c r="Q408" s="29" t="s">
        <v>1925</v>
      </c>
      <c r="R408" s="29" t="s">
        <v>1926</v>
      </c>
      <c r="S408" s="30">
        <v>2586.55</v>
      </c>
      <c r="T408" s="30">
        <v>319.09</v>
      </c>
      <c r="U408" s="30">
        <v>2267.46</v>
      </c>
    </row>
    <row x14ac:dyDescent="0.25" r="409" customHeight="1" ht="18.75">
      <c r="A409" s="21">
        <v>408</v>
      </c>
      <c r="B409" s="22" t="s">
        <v>1927</v>
      </c>
      <c r="C409" s="22" t="s">
        <v>656</v>
      </c>
      <c r="D409" s="22" t="s">
        <v>1928</v>
      </c>
      <c r="E409" s="22" t="s">
        <v>191</v>
      </c>
      <c r="F409" s="23"/>
      <c r="G409" s="22"/>
      <c r="H409" s="24"/>
      <c r="I409" s="25"/>
      <c r="J409" s="26">
        <v>183</v>
      </c>
      <c r="K409" s="27" t="s">
        <v>180</v>
      </c>
      <c r="L409" s="27" t="s">
        <v>169</v>
      </c>
      <c r="M409" s="28" t="s">
        <v>658</v>
      </c>
      <c r="N409" s="28" t="s">
        <v>661</v>
      </c>
      <c r="O409" s="28" t="s">
        <v>662</v>
      </c>
      <c r="P409" s="29" t="s">
        <v>658</v>
      </c>
      <c r="Q409" s="29" t="s">
        <v>661</v>
      </c>
      <c r="R409" s="29" t="s">
        <v>662</v>
      </c>
      <c r="S409" s="30">
        <v>3000</v>
      </c>
      <c r="T409" s="30">
        <v>248.58</v>
      </c>
      <c r="U409" s="30">
        <v>2751.42</v>
      </c>
    </row>
    <row x14ac:dyDescent="0.25" r="410" customHeight="1" ht="18.75">
      <c r="A410" s="21">
        <v>409</v>
      </c>
      <c r="B410" s="22" t="s">
        <v>1929</v>
      </c>
      <c r="C410" s="22" t="s">
        <v>656</v>
      </c>
      <c r="D410" s="22" t="s">
        <v>1930</v>
      </c>
      <c r="E410" s="22" t="s">
        <v>489</v>
      </c>
      <c r="F410" s="23"/>
      <c r="G410" s="22"/>
      <c r="H410" s="24"/>
      <c r="I410" s="25"/>
      <c r="J410" s="26">
        <v>435</v>
      </c>
      <c r="K410" s="27" t="s">
        <v>180</v>
      </c>
      <c r="L410" s="27" t="s">
        <v>169</v>
      </c>
      <c r="M410" s="28" t="s">
        <v>658</v>
      </c>
      <c r="N410" s="28" t="s">
        <v>661</v>
      </c>
      <c r="O410" s="28" t="s">
        <v>662</v>
      </c>
      <c r="P410" s="29" t="s">
        <v>658</v>
      </c>
      <c r="Q410" s="29" t="s">
        <v>661</v>
      </c>
      <c r="R410" s="29" t="s">
        <v>662</v>
      </c>
      <c r="S410" s="30">
        <v>3000</v>
      </c>
      <c r="T410" s="30">
        <v>248.58</v>
      </c>
      <c r="U410" s="30">
        <v>2751.42</v>
      </c>
    </row>
    <row x14ac:dyDescent="0.25" r="411" customHeight="1" ht="18.75">
      <c r="A411" s="21">
        <v>410</v>
      </c>
      <c r="B411" s="22" t="s">
        <v>1931</v>
      </c>
      <c r="C411" s="22" t="s">
        <v>166</v>
      </c>
      <c r="D411" s="22" t="s">
        <v>1932</v>
      </c>
      <c r="E411" s="22" t="s">
        <v>134</v>
      </c>
      <c r="F411" s="23"/>
      <c r="G411" s="22"/>
      <c r="H411" s="24"/>
      <c r="I411" s="25"/>
      <c r="J411" s="26">
        <v>16</v>
      </c>
      <c r="K411" s="27" t="s">
        <v>180</v>
      </c>
      <c r="L411" s="27" t="s">
        <v>169</v>
      </c>
      <c r="M411" s="28" t="s">
        <v>1933</v>
      </c>
      <c r="N411" s="28" t="s">
        <v>1934</v>
      </c>
      <c r="O411" s="28" t="s">
        <v>1935</v>
      </c>
      <c r="P411" s="29" t="s">
        <v>1936</v>
      </c>
      <c r="Q411" s="29" t="s">
        <v>1937</v>
      </c>
      <c r="R411" s="29" t="s">
        <v>1938</v>
      </c>
      <c r="S411" s="30">
        <v>4108.84</v>
      </c>
      <c r="T411" s="30">
        <v>381.65</v>
      </c>
      <c r="U411" s="30">
        <v>3727.19</v>
      </c>
    </row>
    <row x14ac:dyDescent="0.25" r="412" customHeight="1" ht="18.75">
      <c r="A412" s="21">
        <v>411</v>
      </c>
      <c r="B412" s="22" t="s">
        <v>1939</v>
      </c>
      <c r="C412" s="22" t="s">
        <v>278</v>
      </c>
      <c r="D412" s="22" t="s">
        <v>1940</v>
      </c>
      <c r="E412" s="22" t="s">
        <v>72</v>
      </c>
      <c r="F412" s="23"/>
      <c r="G412" s="22"/>
      <c r="H412" s="24"/>
      <c r="I412" s="25"/>
      <c r="J412" s="26">
        <v>343</v>
      </c>
      <c r="K412" s="27" t="s">
        <v>180</v>
      </c>
      <c r="L412" s="27" t="s">
        <v>169</v>
      </c>
      <c r="M412" s="28" t="s">
        <v>417</v>
      </c>
      <c r="N412" s="28" t="s">
        <v>1941</v>
      </c>
      <c r="O412" s="28" t="s">
        <v>1942</v>
      </c>
      <c r="P412" s="29" t="s">
        <v>417</v>
      </c>
      <c r="Q412" s="29" t="s">
        <v>1941</v>
      </c>
      <c r="R412" s="29" t="s">
        <v>1942</v>
      </c>
      <c r="S412" s="30">
        <v>4280</v>
      </c>
      <c r="T412" s="30">
        <v>1442.23</v>
      </c>
      <c r="U412" s="30">
        <v>2837.77</v>
      </c>
    </row>
    <row x14ac:dyDescent="0.25" r="413" customHeight="1" ht="18.75">
      <c r="A413" s="21">
        <v>412</v>
      </c>
      <c r="B413" s="22" t="s">
        <v>1943</v>
      </c>
      <c r="C413" s="22" t="s">
        <v>289</v>
      </c>
      <c r="D413" s="22" t="s">
        <v>1944</v>
      </c>
      <c r="E413" s="22" t="s">
        <v>134</v>
      </c>
      <c r="F413" s="23"/>
      <c r="G413" s="22"/>
      <c r="H413" s="24"/>
      <c r="I413" s="25"/>
      <c r="J413" s="26">
        <v>213</v>
      </c>
      <c r="K413" s="27" t="s">
        <v>180</v>
      </c>
      <c r="L413" s="27" t="s">
        <v>169</v>
      </c>
      <c r="M413" s="28" t="s">
        <v>292</v>
      </c>
      <c r="N413" s="28" t="s">
        <v>293</v>
      </c>
      <c r="O413" s="28" t="s">
        <v>294</v>
      </c>
      <c r="P413" s="29" t="s">
        <v>292</v>
      </c>
      <c r="Q413" s="29" t="s">
        <v>293</v>
      </c>
      <c r="R413" s="29" t="s">
        <v>294</v>
      </c>
      <c r="S413" s="30">
        <v>3818.4</v>
      </c>
      <c r="T413" s="30">
        <v>346.79</v>
      </c>
      <c r="U413" s="30">
        <v>3471.61</v>
      </c>
    </row>
    <row x14ac:dyDescent="0.25" r="414" customHeight="1" ht="18.75">
      <c r="A414" s="21">
        <v>413</v>
      </c>
      <c r="B414" s="22" t="s">
        <v>1945</v>
      </c>
      <c r="C414" s="22" t="s">
        <v>166</v>
      </c>
      <c r="D414" s="22" t="s">
        <v>1946</v>
      </c>
      <c r="E414" s="22" t="s">
        <v>33</v>
      </c>
      <c r="F414" s="23"/>
      <c r="G414" s="22"/>
      <c r="H414" s="24"/>
      <c r="I414" s="25"/>
      <c r="J414" s="26">
        <v>399</v>
      </c>
      <c r="K414" s="27" t="s">
        <v>180</v>
      </c>
      <c r="L414" s="27" t="s">
        <v>169</v>
      </c>
      <c r="M414" s="28" t="s">
        <v>170</v>
      </c>
      <c r="N414" s="28" t="s">
        <v>171</v>
      </c>
      <c r="O414" s="28" t="s">
        <v>172</v>
      </c>
      <c r="P414" s="29" t="s">
        <v>173</v>
      </c>
      <c r="Q414" s="29" t="s">
        <v>174</v>
      </c>
      <c r="R414" s="29" t="s">
        <v>175</v>
      </c>
      <c r="S414" s="30">
        <v>1681.94</v>
      </c>
      <c r="T414" s="30">
        <v>176.43</v>
      </c>
      <c r="U414" s="30">
        <v>1505.51</v>
      </c>
    </row>
    <row x14ac:dyDescent="0.25" r="415" customHeight="1" ht="18.75">
      <c r="A415" s="21">
        <v>414</v>
      </c>
      <c r="B415" s="22" t="s">
        <v>1947</v>
      </c>
      <c r="C415" s="22" t="s">
        <v>166</v>
      </c>
      <c r="D415" s="22" t="s">
        <v>1948</v>
      </c>
      <c r="E415" s="22" t="s">
        <v>134</v>
      </c>
      <c r="F415" s="23"/>
      <c r="G415" s="22"/>
      <c r="H415" s="24"/>
      <c r="I415" s="25"/>
      <c r="J415" s="26">
        <v>647</v>
      </c>
      <c r="K415" s="27" t="s">
        <v>696</v>
      </c>
      <c r="L415" s="27" t="s">
        <v>169</v>
      </c>
      <c r="M415" s="28" t="s">
        <v>1949</v>
      </c>
      <c r="N415" s="28" t="s">
        <v>1950</v>
      </c>
      <c r="O415" s="28" t="s">
        <v>598</v>
      </c>
      <c r="P415" s="29" t="s">
        <v>1951</v>
      </c>
      <c r="Q415" s="29" t="s">
        <v>1952</v>
      </c>
      <c r="R415" s="29" t="s">
        <v>1953</v>
      </c>
      <c r="S415" s="30">
        <v>2037.19</v>
      </c>
      <c r="T415" s="30">
        <v>146.86</v>
      </c>
      <c r="U415" s="30">
        <v>1890.33</v>
      </c>
    </row>
    <row x14ac:dyDescent="0.25" r="416" customHeight="1" ht="18.75">
      <c r="A416" s="21">
        <v>415</v>
      </c>
      <c r="B416" s="22" t="s">
        <v>1954</v>
      </c>
      <c r="C416" s="22" t="s">
        <v>166</v>
      </c>
      <c r="D416" s="22" t="s">
        <v>1955</v>
      </c>
      <c r="E416" s="22" t="s">
        <v>26</v>
      </c>
      <c r="F416" s="23"/>
      <c r="G416" s="22"/>
      <c r="H416" s="24"/>
      <c r="I416" s="25"/>
      <c r="J416" s="26">
        <v>256</v>
      </c>
      <c r="K416" s="27" t="s">
        <v>180</v>
      </c>
      <c r="L416" s="27" t="s">
        <v>169</v>
      </c>
      <c r="M416" s="28" t="s">
        <v>170</v>
      </c>
      <c r="N416" s="28" t="s">
        <v>171</v>
      </c>
      <c r="O416" s="28" t="s">
        <v>172</v>
      </c>
      <c r="P416" s="29" t="s">
        <v>173</v>
      </c>
      <c r="Q416" s="29" t="s">
        <v>174</v>
      </c>
      <c r="R416" s="29" t="s">
        <v>175</v>
      </c>
      <c r="S416" s="30">
        <v>1682.57</v>
      </c>
      <c r="T416" s="30">
        <v>127.11</v>
      </c>
      <c r="U416" s="30">
        <v>1555.46</v>
      </c>
    </row>
    <row x14ac:dyDescent="0.25" r="417" customHeight="1" ht="18.75">
      <c r="A417" s="21">
        <v>416</v>
      </c>
      <c r="B417" s="22" t="s">
        <v>1956</v>
      </c>
      <c r="C417" s="22" t="s">
        <v>166</v>
      </c>
      <c r="D417" s="22" t="s">
        <v>1957</v>
      </c>
      <c r="E417" s="22" t="s">
        <v>291</v>
      </c>
      <c r="F417" s="23"/>
      <c r="G417" s="22"/>
      <c r="H417" s="24"/>
      <c r="I417" s="25"/>
      <c r="J417" s="26">
        <v>253</v>
      </c>
      <c r="K417" s="27" t="s">
        <v>180</v>
      </c>
      <c r="L417" s="27" t="s">
        <v>169</v>
      </c>
      <c r="M417" s="28" t="s">
        <v>225</v>
      </c>
      <c r="N417" s="28" t="s">
        <v>171</v>
      </c>
      <c r="O417" s="28" t="s">
        <v>226</v>
      </c>
      <c r="P417" s="29" t="s">
        <v>227</v>
      </c>
      <c r="Q417" s="29" t="s">
        <v>174</v>
      </c>
      <c r="R417" s="29" t="s">
        <v>297</v>
      </c>
      <c r="S417" s="30">
        <v>1749.48</v>
      </c>
      <c r="T417" s="30">
        <v>127.05</v>
      </c>
      <c r="U417" s="30">
        <v>1622.43</v>
      </c>
    </row>
    <row x14ac:dyDescent="0.25" r="418" customHeight="1" ht="18.75">
      <c r="A418" s="21">
        <v>417</v>
      </c>
      <c r="B418" s="22" t="s">
        <v>1958</v>
      </c>
      <c r="C418" s="22" t="s">
        <v>520</v>
      </c>
      <c r="D418" s="22" t="s">
        <v>1959</v>
      </c>
      <c r="E418" s="22" t="s">
        <v>489</v>
      </c>
      <c r="F418" s="23"/>
      <c r="G418" s="22"/>
      <c r="H418" s="24"/>
      <c r="I418" s="25"/>
      <c r="J418" s="26">
        <v>197</v>
      </c>
      <c r="K418" s="27" t="s">
        <v>180</v>
      </c>
      <c r="L418" s="27" t="s">
        <v>169</v>
      </c>
      <c r="M418" s="28" t="s">
        <v>941</v>
      </c>
      <c r="N418" s="28" t="s">
        <v>942</v>
      </c>
      <c r="O418" s="28" t="s">
        <v>943</v>
      </c>
      <c r="P418" s="29" t="s">
        <v>941</v>
      </c>
      <c r="Q418" s="29" t="s">
        <v>942</v>
      </c>
      <c r="R418" s="29" t="s">
        <v>943</v>
      </c>
      <c r="S418" s="30">
        <v>4759.7</v>
      </c>
      <c r="T418" s="30">
        <v>467.86</v>
      </c>
      <c r="U418" s="30">
        <v>4291.84</v>
      </c>
    </row>
    <row x14ac:dyDescent="0.25" r="419" customHeight="1" ht="18.75">
      <c r="A419" s="21">
        <v>418</v>
      </c>
      <c r="B419" s="22" t="s">
        <v>1960</v>
      </c>
      <c r="C419" s="22" t="s">
        <v>539</v>
      </c>
      <c r="D419" s="22" t="s">
        <v>1961</v>
      </c>
      <c r="E419" s="22" t="s">
        <v>12</v>
      </c>
      <c r="F419" s="23"/>
      <c r="G419" s="22"/>
      <c r="H419" s="24"/>
      <c r="I419" s="25"/>
      <c r="J419" s="26">
        <v>358</v>
      </c>
      <c r="K419" s="27" t="s">
        <v>180</v>
      </c>
      <c r="L419" s="27" t="s">
        <v>169</v>
      </c>
      <c r="M419" s="28" t="s">
        <v>227</v>
      </c>
      <c r="N419" s="28" t="s">
        <v>174</v>
      </c>
      <c r="O419" s="28" t="s">
        <v>297</v>
      </c>
      <c r="P419" s="29" t="s">
        <v>227</v>
      </c>
      <c r="Q419" s="29" t="s">
        <v>174</v>
      </c>
      <c r="R419" s="29" t="s">
        <v>297</v>
      </c>
      <c r="S419" s="30">
        <v>1688.54</v>
      </c>
      <c r="T419" s="30">
        <v>121.57</v>
      </c>
      <c r="U419" s="30">
        <v>1566.97</v>
      </c>
    </row>
    <row x14ac:dyDescent="0.25" r="420" customHeight="1" ht="18.75">
      <c r="A420" s="21">
        <v>419</v>
      </c>
      <c r="B420" s="22" t="s">
        <v>1962</v>
      </c>
      <c r="C420" s="22" t="s">
        <v>378</v>
      </c>
      <c r="D420" s="22" t="s">
        <v>1963</v>
      </c>
      <c r="E420" s="22" t="s">
        <v>140</v>
      </c>
      <c r="F420" s="23"/>
      <c r="G420" s="22"/>
      <c r="H420" s="24"/>
      <c r="I420" s="25"/>
      <c r="J420" s="26">
        <v>95</v>
      </c>
      <c r="K420" s="27" t="s">
        <v>180</v>
      </c>
      <c r="L420" s="27" t="s">
        <v>169</v>
      </c>
      <c r="M420" s="28" t="s">
        <v>1964</v>
      </c>
      <c r="N420" s="28" t="s">
        <v>1965</v>
      </c>
      <c r="O420" s="28" t="s">
        <v>1966</v>
      </c>
      <c r="P420" s="29" t="s">
        <v>1967</v>
      </c>
      <c r="Q420" s="29" t="s">
        <v>1968</v>
      </c>
      <c r="R420" s="29" t="s">
        <v>1969</v>
      </c>
      <c r="S420" s="30">
        <v>1979.82</v>
      </c>
      <c r="T420" s="30">
        <v>726.99</v>
      </c>
      <c r="U420" s="30">
        <v>1252.83</v>
      </c>
    </row>
    <row x14ac:dyDescent="0.25" r="421" customHeight="1" ht="18.75">
      <c r="A421" s="21">
        <v>420</v>
      </c>
      <c r="B421" s="22" t="s">
        <v>1970</v>
      </c>
      <c r="C421" s="22" t="s">
        <v>278</v>
      </c>
      <c r="D421" s="22" t="s">
        <v>1971</v>
      </c>
      <c r="E421" s="22" t="s">
        <v>22</v>
      </c>
      <c r="F421" s="23"/>
      <c r="G421" s="22"/>
      <c r="H421" s="24"/>
      <c r="I421" s="25"/>
      <c r="J421" s="26">
        <v>495</v>
      </c>
      <c r="K421" s="27" t="s">
        <v>180</v>
      </c>
      <c r="L421" s="27" t="s">
        <v>169</v>
      </c>
      <c r="M421" s="28" t="s">
        <v>417</v>
      </c>
      <c r="N421" s="28" t="s">
        <v>418</v>
      </c>
      <c r="O421" s="28" t="s">
        <v>419</v>
      </c>
      <c r="P421" s="29" t="s">
        <v>417</v>
      </c>
      <c r="Q421" s="29" t="s">
        <v>418</v>
      </c>
      <c r="R421" s="29" t="s">
        <v>419</v>
      </c>
      <c r="S421" s="30">
        <v>4280</v>
      </c>
      <c r="T421" s="30">
        <v>402.18</v>
      </c>
      <c r="U421" s="30">
        <v>3877.82</v>
      </c>
    </row>
    <row x14ac:dyDescent="0.25" r="422" customHeight="1" ht="18.75">
      <c r="A422" s="21">
        <v>421</v>
      </c>
      <c r="B422" s="22" t="s">
        <v>1972</v>
      </c>
      <c r="C422" s="22" t="s">
        <v>278</v>
      </c>
      <c r="D422" s="22" t="s">
        <v>1973</v>
      </c>
      <c r="E422" s="22" t="s">
        <v>582</v>
      </c>
      <c r="F422" s="23"/>
      <c r="G422" s="22"/>
      <c r="H422" s="24"/>
      <c r="I422" s="25"/>
      <c r="J422" s="26">
        <v>273</v>
      </c>
      <c r="K422" s="27" t="s">
        <v>180</v>
      </c>
      <c r="L422" s="27" t="s">
        <v>169</v>
      </c>
      <c r="M422" s="28" t="s">
        <v>281</v>
      </c>
      <c r="N422" s="28" t="s">
        <v>282</v>
      </c>
      <c r="O422" s="28" t="s">
        <v>283</v>
      </c>
      <c r="P422" s="29" t="s">
        <v>281</v>
      </c>
      <c r="Q422" s="29" t="s">
        <v>282</v>
      </c>
      <c r="R422" s="29" t="s">
        <v>283</v>
      </c>
      <c r="S422" s="30">
        <v>6391.92</v>
      </c>
      <c r="T422" s="30">
        <v>1122.07</v>
      </c>
      <c r="U422" s="30">
        <v>5269.85</v>
      </c>
    </row>
    <row x14ac:dyDescent="0.25" r="423" customHeight="1" ht="18.75">
      <c r="A423" s="21">
        <v>422</v>
      </c>
      <c r="B423" s="22" t="s">
        <v>1974</v>
      </c>
      <c r="C423" s="22" t="s">
        <v>190</v>
      </c>
      <c r="D423" s="22" t="s">
        <v>1975</v>
      </c>
      <c r="E423" s="22" t="s">
        <v>54</v>
      </c>
      <c r="F423" s="23"/>
      <c r="G423" s="22"/>
      <c r="H423" s="24"/>
      <c r="I423" s="25"/>
      <c r="J423" s="26">
        <v>456</v>
      </c>
      <c r="K423" s="27" t="s">
        <v>180</v>
      </c>
      <c r="L423" s="27" t="s">
        <v>169</v>
      </c>
      <c r="M423" s="28" t="s">
        <v>233</v>
      </c>
      <c r="N423" s="28" t="s">
        <v>234</v>
      </c>
      <c r="O423" s="28" t="s">
        <v>235</v>
      </c>
      <c r="P423" s="29" t="s">
        <v>236</v>
      </c>
      <c r="Q423" s="29" t="s">
        <v>275</v>
      </c>
      <c r="R423" s="29" t="s">
        <v>276</v>
      </c>
      <c r="S423" s="30">
        <v>3433.34</v>
      </c>
      <c r="T423" s="30">
        <v>300.59</v>
      </c>
      <c r="U423" s="30">
        <v>3132.75</v>
      </c>
    </row>
    <row x14ac:dyDescent="0.25" r="424" customHeight="1" ht="18.75">
      <c r="A424" s="21">
        <v>423</v>
      </c>
      <c r="B424" s="22" t="s">
        <v>1976</v>
      </c>
      <c r="C424" s="22" t="s">
        <v>190</v>
      </c>
      <c r="D424" s="22" t="s">
        <v>1977</v>
      </c>
      <c r="E424" s="22" t="s">
        <v>134</v>
      </c>
      <c r="F424" s="23"/>
      <c r="G424" s="22"/>
      <c r="H424" s="24"/>
      <c r="I424" s="25"/>
      <c r="J424" s="26">
        <v>152</v>
      </c>
      <c r="K424" s="27" t="s">
        <v>180</v>
      </c>
      <c r="L424" s="27" t="s">
        <v>169</v>
      </c>
      <c r="M424" s="28" t="s">
        <v>1978</v>
      </c>
      <c r="N424" s="28" t="s">
        <v>1979</v>
      </c>
      <c r="O424" s="28" t="s">
        <v>1980</v>
      </c>
      <c r="P424" s="29" t="s">
        <v>1981</v>
      </c>
      <c r="Q424" s="29" t="s">
        <v>1982</v>
      </c>
      <c r="R424" s="29" t="s">
        <v>1983</v>
      </c>
      <c r="S424" s="30">
        <v>4260.97</v>
      </c>
      <c r="T424" s="30">
        <v>399.9</v>
      </c>
      <c r="U424" s="30">
        <v>3861.07</v>
      </c>
    </row>
    <row x14ac:dyDescent="0.25" r="425" customHeight="1" ht="18.75">
      <c r="A425" s="21">
        <v>424</v>
      </c>
      <c r="B425" s="22" t="s">
        <v>1984</v>
      </c>
      <c r="C425" s="22" t="s">
        <v>166</v>
      </c>
      <c r="D425" s="22" t="s">
        <v>1985</v>
      </c>
      <c r="E425" s="22" t="s">
        <v>291</v>
      </c>
      <c r="F425" s="23"/>
      <c r="G425" s="22"/>
      <c r="H425" s="24"/>
      <c r="I425" s="25"/>
      <c r="J425" s="26">
        <v>254</v>
      </c>
      <c r="K425" s="27" t="s">
        <v>180</v>
      </c>
      <c r="L425" s="27" t="s">
        <v>169</v>
      </c>
      <c r="M425" s="28" t="s">
        <v>170</v>
      </c>
      <c r="N425" s="28" t="s">
        <v>171</v>
      </c>
      <c r="O425" s="28" t="s">
        <v>172</v>
      </c>
      <c r="P425" s="29" t="s">
        <v>173</v>
      </c>
      <c r="Q425" s="29" t="s">
        <v>174</v>
      </c>
      <c r="R425" s="29" t="s">
        <v>175</v>
      </c>
      <c r="S425" s="30">
        <v>1681.94</v>
      </c>
      <c r="T425" s="30">
        <v>127.05</v>
      </c>
      <c r="U425" s="30">
        <v>1554.89</v>
      </c>
    </row>
    <row x14ac:dyDescent="0.25" r="426" customHeight="1" ht="18.75">
      <c r="A426" s="21">
        <v>425</v>
      </c>
      <c r="B426" s="22" t="s">
        <v>1986</v>
      </c>
      <c r="C426" s="22" t="s">
        <v>190</v>
      </c>
      <c r="D426" s="22" t="s">
        <v>1987</v>
      </c>
      <c r="E426" s="22" t="s">
        <v>191</v>
      </c>
      <c r="F426" s="23"/>
      <c r="G426" s="22"/>
      <c r="H426" s="24"/>
      <c r="I426" s="25"/>
      <c r="J426" s="26">
        <v>143</v>
      </c>
      <c r="K426" s="27" t="s">
        <v>180</v>
      </c>
      <c r="L426" s="27" t="s">
        <v>169</v>
      </c>
      <c r="M426" s="28" t="s">
        <v>300</v>
      </c>
      <c r="N426" s="28" t="s">
        <v>301</v>
      </c>
      <c r="O426" s="28" t="s">
        <v>302</v>
      </c>
      <c r="P426" s="29" t="s">
        <v>1988</v>
      </c>
      <c r="Q426" s="29" t="s">
        <v>1989</v>
      </c>
      <c r="R426" s="29" t="s">
        <v>1990</v>
      </c>
      <c r="S426" s="30">
        <v>3209.21</v>
      </c>
      <c r="T426" s="30">
        <v>273.69</v>
      </c>
      <c r="U426" s="30">
        <v>2935.52</v>
      </c>
    </row>
    <row x14ac:dyDescent="0.25" r="427" customHeight="1" ht="18.75">
      <c r="A427" s="21">
        <v>426</v>
      </c>
      <c r="B427" s="22" t="s">
        <v>1991</v>
      </c>
      <c r="C427" s="22" t="s">
        <v>166</v>
      </c>
      <c r="D427" s="22" t="s">
        <v>1992</v>
      </c>
      <c r="E427" s="22" t="s">
        <v>191</v>
      </c>
      <c r="F427" s="23"/>
      <c r="G427" s="22"/>
      <c r="H427" s="24"/>
      <c r="I427" s="25"/>
      <c r="J427" s="26">
        <v>40</v>
      </c>
      <c r="K427" s="27" t="s">
        <v>180</v>
      </c>
      <c r="L427" s="27" t="s">
        <v>169</v>
      </c>
      <c r="M427" s="28" t="s">
        <v>912</v>
      </c>
      <c r="N427" s="28" t="s">
        <v>242</v>
      </c>
      <c r="O427" s="28" t="s">
        <v>1993</v>
      </c>
      <c r="P427" s="29" t="s">
        <v>1589</v>
      </c>
      <c r="Q427" s="29" t="s">
        <v>1590</v>
      </c>
      <c r="R427" s="29" t="s">
        <v>1591</v>
      </c>
      <c r="S427" s="30">
        <v>1698.16</v>
      </c>
      <c r="T427" s="30">
        <v>128.51</v>
      </c>
      <c r="U427" s="30">
        <v>1569.65</v>
      </c>
    </row>
    <row x14ac:dyDescent="0.25" r="428" customHeight="1" ht="18.75">
      <c r="A428" s="21">
        <v>427</v>
      </c>
      <c r="B428" s="22" t="s">
        <v>1994</v>
      </c>
      <c r="C428" s="22" t="s">
        <v>1530</v>
      </c>
      <c r="D428" s="22" t="s">
        <v>1995</v>
      </c>
      <c r="E428" s="22" t="s">
        <v>591</v>
      </c>
      <c r="F428" s="23"/>
      <c r="G428" s="22"/>
      <c r="H428" s="24"/>
      <c r="I428" s="25"/>
      <c r="J428" s="26">
        <v>461</v>
      </c>
      <c r="K428" s="27" t="s">
        <v>180</v>
      </c>
      <c r="L428" s="27" t="s">
        <v>169</v>
      </c>
      <c r="M428" s="28" t="s">
        <v>490</v>
      </c>
      <c r="N428" s="28" t="s">
        <v>491</v>
      </c>
      <c r="O428" s="28" t="s">
        <v>492</v>
      </c>
      <c r="P428" s="29" t="s">
        <v>490</v>
      </c>
      <c r="Q428" s="29" t="s">
        <v>491</v>
      </c>
      <c r="R428" s="29" t="s">
        <v>492</v>
      </c>
      <c r="S428" s="30">
        <v>6117.3</v>
      </c>
      <c r="T428" s="30">
        <v>1086.39</v>
      </c>
      <c r="U428" s="30">
        <v>5030.91</v>
      </c>
    </row>
    <row x14ac:dyDescent="0.25" r="429" customHeight="1" ht="18.75">
      <c r="A429" s="21">
        <v>428</v>
      </c>
      <c r="B429" s="22" t="s">
        <v>1996</v>
      </c>
      <c r="C429" s="22" t="s">
        <v>190</v>
      </c>
      <c r="D429" s="22" t="s">
        <v>1997</v>
      </c>
      <c r="E429" s="22" t="s">
        <v>134</v>
      </c>
      <c r="F429" s="23"/>
      <c r="G429" s="22"/>
      <c r="H429" s="24"/>
      <c r="I429" s="25"/>
      <c r="J429" s="26">
        <v>29</v>
      </c>
      <c r="K429" s="27" t="s">
        <v>180</v>
      </c>
      <c r="L429" s="27" t="s">
        <v>169</v>
      </c>
      <c r="M429" s="28" t="s">
        <v>1998</v>
      </c>
      <c r="N429" s="28" t="s">
        <v>1999</v>
      </c>
      <c r="O429" s="28" t="s">
        <v>2000</v>
      </c>
      <c r="P429" s="29" t="s">
        <v>2001</v>
      </c>
      <c r="Q429" s="29" t="s">
        <v>2002</v>
      </c>
      <c r="R429" s="29" t="s">
        <v>2003</v>
      </c>
      <c r="S429" s="30">
        <v>3508.89</v>
      </c>
      <c r="T429" s="30">
        <v>309.65</v>
      </c>
      <c r="U429" s="30">
        <v>3199.24</v>
      </c>
    </row>
    <row x14ac:dyDescent="0.25" r="430" customHeight="1" ht="18.75">
      <c r="A430" s="21">
        <v>429</v>
      </c>
      <c r="B430" s="22" t="s">
        <v>2004</v>
      </c>
      <c r="C430" s="22" t="s">
        <v>190</v>
      </c>
      <c r="D430" s="22" t="s">
        <v>2005</v>
      </c>
      <c r="E430" s="22" t="s">
        <v>6</v>
      </c>
      <c r="F430" s="23"/>
      <c r="G430" s="22"/>
      <c r="H430" s="24"/>
      <c r="I430" s="25"/>
      <c r="J430" s="26">
        <v>406</v>
      </c>
      <c r="K430" s="27" t="s">
        <v>180</v>
      </c>
      <c r="L430" s="27" t="s">
        <v>169</v>
      </c>
      <c r="M430" s="28" t="s">
        <v>233</v>
      </c>
      <c r="N430" s="28" t="s">
        <v>234</v>
      </c>
      <c r="O430" s="28" t="s">
        <v>235</v>
      </c>
      <c r="P430" s="29" t="s">
        <v>236</v>
      </c>
      <c r="Q430" s="29" t="s">
        <v>275</v>
      </c>
      <c r="R430" s="29" t="s">
        <v>276</v>
      </c>
      <c r="S430" s="30">
        <v>3433.34</v>
      </c>
      <c r="T430" s="30">
        <v>300.59</v>
      </c>
      <c r="U430" s="30">
        <v>3132.75</v>
      </c>
    </row>
    <row x14ac:dyDescent="0.25" r="431" customHeight="1" ht="18.75">
      <c r="A431" s="21">
        <v>430</v>
      </c>
      <c r="B431" s="22" t="s">
        <v>2006</v>
      </c>
      <c r="C431" s="22" t="s">
        <v>166</v>
      </c>
      <c r="D431" s="22" t="s">
        <v>2007</v>
      </c>
      <c r="E431" s="22" t="s">
        <v>249</v>
      </c>
      <c r="F431" s="23"/>
      <c r="G431" s="22"/>
      <c r="H431" s="24"/>
      <c r="I431" s="25"/>
      <c r="J431" s="26">
        <v>211</v>
      </c>
      <c r="K431" s="27" t="s">
        <v>180</v>
      </c>
      <c r="L431" s="27" t="s">
        <v>169</v>
      </c>
      <c r="M431" s="28" t="s">
        <v>451</v>
      </c>
      <c r="N431" s="28" t="s">
        <v>452</v>
      </c>
      <c r="O431" s="28" t="s">
        <v>453</v>
      </c>
      <c r="P431" s="29" t="s">
        <v>173</v>
      </c>
      <c r="Q431" s="29" t="s">
        <v>174</v>
      </c>
      <c r="R431" s="29" t="s">
        <v>175</v>
      </c>
      <c r="S431" s="30">
        <v>1681.94</v>
      </c>
      <c r="T431" s="30">
        <v>127.05</v>
      </c>
      <c r="U431" s="30">
        <v>1554.89</v>
      </c>
    </row>
    <row x14ac:dyDescent="0.25" r="432" customHeight="1" ht="18.75">
      <c r="A432" s="21">
        <v>431</v>
      </c>
      <c r="B432" s="22" t="s">
        <v>2008</v>
      </c>
      <c r="C432" s="22" t="s">
        <v>656</v>
      </c>
      <c r="D432" s="22" t="s">
        <v>2009</v>
      </c>
      <c r="E432" s="22" t="s">
        <v>140</v>
      </c>
      <c r="F432" s="23"/>
      <c r="G432" s="22"/>
      <c r="H432" s="24"/>
      <c r="I432" s="25"/>
      <c r="J432" s="26">
        <v>48</v>
      </c>
      <c r="K432" s="27" t="s">
        <v>180</v>
      </c>
      <c r="L432" s="27" t="s">
        <v>169</v>
      </c>
      <c r="M432" s="28" t="s">
        <v>658</v>
      </c>
      <c r="N432" s="28" t="s">
        <v>661</v>
      </c>
      <c r="O432" s="28" t="s">
        <v>662</v>
      </c>
      <c r="P432" s="29" t="s">
        <v>658</v>
      </c>
      <c r="Q432" s="29" t="s">
        <v>2010</v>
      </c>
      <c r="R432" s="29" t="s">
        <v>2011</v>
      </c>
      <c r="S432" s="30">
        <v>3757.39</v>
      </c>
      <c r="T432" s="30">
        <v>604.28</v>
      </c>
      <c r="U432" s="30">
        <v>3153.11</v>
      </c>
    </row>
    <row x14ac:dyDescent="0.25" r="433" customHeight="1" ht="18.75">
      <c r="A433" s="21">
        <v>432</v>
      </c>
      <c r="B433" s="22" t="s">
        <v>2012</v>
      </c>
      <c r="C433" s="22" t="s">
        <v>190</v>
      </c>
      <c r="D433" s="22" t="s">
        <v>2013</v>
      </c>
      <c r="E433" s="22" t="s">
        <v>80</v>
      </c>
      <c r="F433" s="23"/>
      <c r="G433" s="22"/>
      <c r="H433" s="24"/>
      <c r="I433" s="25"/>
      <c r="J433" s="26">
        <v>611</v>
      </c>
      <c r="K433" s="27" t="s">
        <v>743</v>
      </c>
      <c r="L433" s="27" t="s">
        <v>169</v>
      </c>
      <c r="M433" s="28" t="s">
        <v>678</v>
      </c>
      <c r="N433" s="28" t="s">
        <v>679</v>
      </c>
      <c r="O433" s="28" t="s">
        <v>680</v>
      </c>
      <c r="P433" s="29" t="s">
        <v>236</v>
      </c>
      <c r="Q433" s="29" t="s">
        <v>275</v>
      </c>
      <c r="R433" s="29" t="s">
        <v>276</v>
      </c>
      <c r="S433" s="30">
        <v>3873.34</v>
      </c>
      <c r="T433" s="30">
        <v>353.39</v>
      </c>
      <c r="U433" s="30">
        <v>3519.95</v>
      </c>
    </row>
    <row x14ac:dyDescent="0.25" r="434" customHeight="1" ht="18.75">
      <c r="A434" s="21">
        <v>433</v>
      </c>
      <c r="B434" s="22" t="s">
        <v>2014</v>
      </c>
      <c r="C434" s="22" t="s">
        <v>166</v>
      </c>
      <c r="D434" s="22" t="s">
        <v>2015</v>
      </c>
      <c r="E434" s="22" t="s">
        <v>191</v>
      </c>
      <c r="F434" s="23"/>
      <c r="G434" s="22"/>
      <c r="H434" s="24"/>
      <c r="I434" s="25"/>
      <c r="J434" s="26">
        <v>578</v>
      </c>
      <c r="K434" s="27" t="s">
        <v>168</v>
      </c>
      <c r="L434" s="27" t="s">
        <v>169</v>
      </c>
      <c r="M434" s="28" t="s">
        <v>170</v>
      </c>
      <c r="N434" s="28" t="s">
        <v>171</v>
      </c>
      <c r="O434" s="28" t="s">
        <v>172</v>
      </c>
      <c r="P434" s="29" t="s">
        <v>173</v>
      </c>
      <c r="Q434" s="29" t="s">
        <v>174</v>
      </c>
      <c r="R434" s="29" t="s">
        <v>175</v>
      </c>
      <c r="S434" s="30">
        <v>1698.16</v>
      </c>
      <c r="T434" s="30">
        <v>128.51</v>
      </c>
      <c r="U434" s="30">
        <v>1569.65</v>
      </c>
    </row>
    <row x14ac:dyDescent="0.25" r="435" customHeight="1" ht="18.75">
      <c r="A435" s="21">
        <v>434</v>
      </c>
      <c r="B435" s="22" t="s">
        <v>2016</v>
      </c>
      <c r="C435" s="22" t="s">
        <v>190</v>
      </c>
      <c r="D435" s="22" t="s">
        <v>2017</v>
      </c>
      <c r="E435" s="22" t="s">
        <v>90</v>
      </c>
      <c r="F435" s="23"/>
      <c r="G435" s="22"/>
      <c r="H435" s="24"/>
      <c r="I435" s="25"/>
      <c r="J435" s="26">
        <v>340</v>
      </c>
      <c r="K435" s="27" t="s">
        <v>180</v>
      </c>
      <c r="L435" s="27" t="s">
        <v>169</v>
      </c>
      <c r="M435" s="28" t="s">
        <v>233</v>
      </c>
      <c r="N435" s="28" t="s">
        <v>234</v>
      </c>
      <c r="O435" s="28" t="s">
        <v>235</v>
      </c>
      <c r="P435" s="29" t="s">
        <v>236</v>
      </c>
      <c r="Q435" s="29" t="s">
        <v>275</v>
      </c>
      <c r="R435" s="29" t="s">
        <v>276</v>
      </c>
      <c r="S435" s="30">
        <v>4024.05</v>
      </c>
      <c r="T435" s="30">
        <v>371.47</v>
      </c>
      <c r="U435" s="30">
        <v>3652.58</v>
      </c>
    </row>
    <row x14ac:dyDescent="0.25" r="436" customHeight="1" ht="18.75">
      <c r="A436" s="21">
        <v>435</v>
      </c>
      <c r="B436" s="22" t="s">
        <v>2018</v>
      </c>
      <c r="C436" s="22" t="s">
        <v>539</v>
      </c>
      <c r="D436" s="22" t="s">
        <v>2019</v>
      </c>
      <c r="E436" s="22" t="s">
        <v>38</v>
      </c>
      <c r="F436" s="23"/>
      <c r="G436" s="22"/>
      <c r="H436" s="24"/>
      <c r="I436" s="25"/>
      <c r="J436" s="26">
        <v>265</v>
      </c>
      <c r="K436" s="27" t="s">
        <v>180</v>
      </c>
      <c r="L436" s="27" t="s">
        <v>169</v>
      </c>
      <c r="M436" s="28" t="s">
        <v>173</v>
      </c>
      <c r="N436" s="28" t="s">
        <v>174</v>
      </c>
      <c r="O436" s="28" t="s">
        <v>175</v>
      </c>
      <c r="P436" s="29" t="s">
        <v>173</v>
      </c>
      <c r="Q436" s="29" t="s">
        <v>2020</v>
      </c>
      <c r="R436" s="29" t="s">
        <v>2021</v>
      </c>
      <c r="S436" s="30">
        <v>1621</v>
      </c>
      <c r="T436" s="30">
        <v>541.41</v>
      </c>
      <c r="U436" s="30">
        <v>1079.59</v>
      </c>
    </row>
    <row x14ac:dyDescent="0.25" r="437" customHeight="1" ht="18.75">
      <c r="A437" s="21">
        <v>436</v>
      </c>
      <c r="B437" s="22" t="s">
        <v>2022</v>
      </c>
      <c r="C437" s="22" t="s">
        <v>166</v>
      </c>
      <c r="D437" s="22" t="s">
        <v>2023</v>
      </c>
      <c r="E437" s="22" t="s">
        <v>191</v>
      </c>
      <c r="F437" s="23"/>
      <c r="G437" s="22"/>
      <c r="H437" s="24"/>
      <c r="I437" s="25"/>
      <c r="J437" s="26">
        <v>5</v>
      </c>
      <c r="K437" s="27" t="s">
        <v>180</v>
      </c>
      <c r="L437" s="27" t="s">
        <v>169</v>
      </c>
      <c r="M437" s="28" t="s">
        <v>2024</v>
      </c>
      <c r="N437" s="28" t="s">
        <v>2025</v>
      </c>
      <c r="O437" s="28" t="s">
        <v>2026</v>
      </c>
      <c r="P437" s="29" t="s">
        <v>2027</v>
      </c>
      <c r="Q437" s="29" t="s">
        <v>2028</v>
      </c>
      <c r="R437" s="29" t="s">
        <v>2029</v>
      </c>
      <c r="S437" s="30">
        <v>1781.92</v>
      </c>
      <c r="T437" s="30">
        <v>195.18</v>
      </c>
      <c r="U437" s="30">
        <v>1586.74</v>
      </c>
    </row>
    <row x14ac:dyDescent="0.25" r="438" customHeight="1" ht="18.75">
      <c r="A438" s="21">
        <v>437</v>
      </c>
      <c r="B438" s="22" t="s">
        <v>2030</v>
      </c>
      <c r="C438" s="22" t="s">
        <v>520</v>
      </c>
      <c r="D438" s="22" t="s">
        <v>2031</v>
      </c>
      <c r="E438" s="22" t="s">
        <v>90</v>
      </c>
      <c r="F438" s="23"/>
      <c r="G438" s="22"/>
      <c r="H438" s="24"/>
      <c r="I438" s="25"/>
      <c r="J438" s="26">
        <v>339</v>
      </c>
      <c r="K438" s="27" t="s">
        <v>180</v>
      </c>
      <c r="L438" s="27" t="s">
        <v>169</v>
      </c>
      <c r="M438" s="28" t="s">
        <v>522</v>
      </c>
      <c r="N438" s="28" t="s">
        <v>523</v>
      </c>
      <c r="O438" s="28" t="s">
        <v>524</v>
      </c>
      <c r="P438" s="29" t="s">
        <v>522</v>
      </c>
      <c r="Q438" s="29" t="s">
        <v>523</v>
      </c>
      <c r="R438" s="29" t="s">
        <v>524</v>
      </c>
      <c r="S438" s="30">
        <v>4327</v>
      </c>
      <c r="T438" s="30">
        <v>407.82</v>
      </c>
      <c r="U438" s="30">
        <v>3919.18</v>
      </c>
    </row>
    <row x14ac:dyDescent="0.25" r="439" customHeight="1" ht="18.75">
      <c r="A439" s="21">
        <v>438</v>
      </c>
      <c r="B439" s="22" t="s">
        <v>2032</v>
      </c>
      <c r="C439" s="22" t="s">
        <v>190</v>
      </c>
      <c r="D439" s="22" t="s">
        <v>2033</v>
      </c>
      <c r="E439" s="22" t="s">
        <v>130</v>
      </c>
      <c r="F439" s="23"/>
      <c r="G439" s="22"/>
      <c r="H439" s="24"/>
      <c r="I439" s="25"/>
      <c r="J439" s="26">
        <v>444</v>
      </c>
      <c r="K439" s="27" t="s">
        <v>180</v>
      </c>
      <c r="L439" s="27" t="s">
        <v>169</v>
      </c>
      <c r="M439" s="28" t="s">
        <v>233</v>
      </c>
      <c r="N439" s="28" t="s">
        <v>234</v>
      </c>
      <c r="O439" s="28" t="s">
        <v>235</v>
      </c>
      <c r="P439" s="29" t="s">
        <v>236</v>
      </c>
      <c r="Q439" s="29" t="s">
        <v>275</v>
      </c>
      <c r="R439" s="29" t="s">
        <v>276</v>
      </c>
      <c r="S439" s="30">
        <v>3479.64</v>
      </c>
      <c r="T439" s="30">
        <v>306.14</v>
      </c>
      <c r="U439" s="30">
        <v>3173.5</v>
      </c>
    </row>
    <row x14ac:dyDescent="0.25" r="440" customHeight="1" ht="18.75">
      <c r="A440" s="21">
        <v>439</v>
      </c>
      <c r="B440" s="22" t="s">
        <v>2034</v>
      </c>
      <c r="C440" s="22" t="s">
        <v>368</v>
      </c>
      <c r="D440" s="22" t="s">
        <v>2035</v>
      </c>
      <c r="E440" s="22" t="s">
        <v>370</v>
      </c>
      <c r="F440" s="23"/>
      <c r="G440" s="22"/>
      <c r="H440" s="24"/>
      <c r="I440" s="25"/>
      <c r="J440" s="26">
        <v>431</v>
      </c>
      <c r="K440" s="27" t="s">
        <v>180</v>
      </c>
      <c r="L440" s="27" t="s">
        <v>169</v>
      </c>
      <c r="M440" s="28" t="s">
        <v>1674</v>
      </c>
      <c r="N440" s="28" t="s">
        <v>2036</v>
      </c>
      <c r="O440" s="28" t="s">
        <v>2037</v>
      </c>
      <c r="P440" s="29" t="s">
        <v>923</v>
      </c>
      <c r="Q440" s="29" t="s">
        <v>2038</v>
      </c>
      <c r="R440" s="29" t="s">
        <v>2039</v>
      </c>
      <c r="S440" s="30">
        <v>3326.88</v>
      </c>
      <c r="T440" s="30">
        <v>823.98</v>
      </c>
      <c r="U440" s="30">
        <v>2502.9</v>
      </c>
    </row>
    <row x14ac:dyDescent="0.25" r="441" customHeight="1" ht="18.75">
      <c r="A441" s="21">
        <v>440</v>
      </c>
      <c r="B441" s="22" t="s">
        <v>2040</v>
      </c>
      <c r="C441" s="22" t="s">
        <v>190</v>
      </c>
      <c r="D441" s="22" t="s">
        <v>2041</v>
      </c>
      <c r="E441" s="22" t="s">
        <v>191</v>
      </c>
      <c r="F441" s="23"/>
      <c r="G441" s="22"/>
      <c r="H441" s="24"/>
      <c r="I441" s="25"/>
      <c r="J441" s="26">
        <v>86</v>
      </c>
      <c r="K441" s="27" t="s">
        <v>180</v>
      </c>
      <c r="L441" s="27" t="s">
        <v>169</v>
      </c>
      <c r="M441" s="28" t="s">
        <v>300</v>
      </c>
      <c r="N441" s="28" t="s">
        <v>301</v>
      </c>
      <c r="O441" s="28" t="s">
        <v>302</v>
      </c>
      <c r="P441" s="29" t="s">
        <v>303</v>
      </c>
      <c r="Q441" s="29" t="s">
        <v>304</v>
      </c>
      <c r="R441" s="29" t="s">
        <v>305</v>
      </c>
      <c r="S441" s="30">
        <v>3095.08</v>
      </c>
      <c r="T441" s="30">
        <v>259.99</v>
      </c>
      <c r="U441" s="30">
        <v>2835.09</v>
      </c>
    </row>
    <row x14ac:dyDescent="0.25" r="442" customHeight="1" ht="18.75">
      <c r="A442" s="21">
        <v>441</v>
      </c>
      <c r="B442" s="22" t="s">
        <v>2042</v>
      </c>
      <c r="C442" s="22" t="s">
        <v>472</v>
      </c>
      <c r="D442" s="22" t="s">
        <v>2043</v>
      </c>
      <c r="E442" s="22" t="s">
        <v>474</v>
      </c>
      <c r="F442" s="23"/>
      <c r="G442" s="22"/>
      <c r="H442" s="24"/>
      <c r="I442" s="25"/>
      <c r="J442" s="26">
        <v>547</v>
      </c>
      <c r="K442" s="27" t="s">
        <v>180</v>
      </c>
      <c r="L442" s="27" t="s">
        <v>169</v>
      </c>
      <c r="M442" s="28" t="s">
        <v>476</v>
      </c>
      <c r="N442" s="28" t="s">
        <v>477</v>
      </c>
      <c r="O442" s="28" t="s">
        <v>478</v>
      </c>
      <c r="P442" s="29" t="s">
        <v>476</v>
      </c>
      <c r="Q442" s="29" t="s">
        <v>477</v>
      </c>
      <c r="R442" s="29" t="s">
        <v>478</v>
      </c>
      <c r="S442" s="30">
        <v>2800</v>
      </c>
      <c r="T442" s="30">
        <v>227.68</v>
      </c>
      <c r="U442" s="30">
        <v>2572.32</v>
      </c>
    </row>
    <row x14ac:dyDescent="0.25" r="443" customHeight="1" ht="18.75">
      <c r="A443" s="21">
        <v>442</v>
      </c>
      <c r="B443" s="22" t="s">
        <v>2044</v>
      </c>
      <c r="C443" s="22" t="s">
        <v>549</v>
      </c>
      <c r="D443" s="22" t="s">
        <v>2045</v>
      </c>
      <c r="E443" s="22" t="s">
        <v>140</v>
      </c>
      <c r="F443" s="23"/>
      <c r="G443" s="22"/>
      <c r="H443" s="24"/>
      <c r="I443" s="25"/>
      <c r="J443" s="26">
        <v>652</v>
      </c>
      <c r="K443" s="27" t="s">
        <v>1228</v>
      </c>
      <c r="L443" s="27" t="s">
        <v>169</v>
      </c>
      <c r="M443" s="28" t="s">
        <v>2046</v>
      </c>
      <c r="N443" s="28" t="s">
        <v>2047</v>
      </c>
      <c r="O443" s="28" t="s">
        <v>2048</v>
      </c>
      <c r="P443" s="29" t="s">
        <v>2049</v>
      </c>
      <c r="Q443" s="29" t="s">
        <v>2050</v>
      </c>
      <c r="R443" s="29" t="s">
        <v>2051</v>
      </c>
      <c r="S443" s="30">
        <v>2134.8</v>
      </c>
      <c r="T443" s="30">
        <v>167.81</v>
      </c>
      <c r="U443" s="30">
        <v>1966.99</v>
      </c>
    </row>
    <row x14ac:dyDescent="0.25" r="444" customHeight="1" ht="18.75">
      <c r="A444" s="21">
        <v>443</v>
      </c>
      <c r="B444" s="22" t="s">
        <v>2052</v>
      </c>
      <c r="C444" s="22" t="s">
        <v>539</v>
      </c>
      <c r="D444" s="22" t="s">
        <v>2053</v>
      </c>
      <c r="E444" s="22" t="s">
        <v>98</v>
      </c>
      <c r="F444" s="23"/>
      <c r="G444" s="22"/>
      <c r="H444" s="24"/>
      <c r="I444" s="25"/>
      <c r="J444" s="26">
        <v>586</v>
      </c>
      <c r="K444" s="27" t="s">
        <v>168</v>
      </c>
      <c r="L444" s="27" t="s">
        <v>169</v>
      </c>
      <c r="M444" s="28">
        <v>0</v>
      </c>
      <c r="N444" s="28">
        <v>0</v>
      </c>
      <c r="O444" s="28">
        <v>0</v>
      </c>
      <c r="P444" s="29" t="s">
        <v>173</v>
      </c>
      <c r="Q444" s="29" t="s">
        <v>2054</v>
      </c>
      <c r="R444" s="29" t="s">
        <v>2055</v>
      </c>
      <c r="S444" s="30">
        <v>1621</v>
      </c>
      <c r="T444" s="30">
        <v>121.57</v>
      </c>
      <c r="U444" s="30">
        <v>1499.43</v>
      </c>
    </row>
    <row x14ac:dyDescent="0.25" r="445" customHeight="1" ht="18.75">
      <c r="A445" s="21">
        <v>444</v>
      </c>
      <c r="B445" s="22" t="s">
        <v>2056</v>
      </c>
      <c r="C445" s="22" t="s">
        <v>166</v>
      </c>
      <c r="D445" s="22" t="s">
        <v>2057</v>
      </c>
      <c r="E445" s="22" t="s">
        <v>86</v>
      </c>
      <c r="F445" s="23"/>
      <c r="G445" s="22"/>
      <c r="H445" s="24"/>
      <c r="I445" s="25"/>
      <c r="J445" s="26">
        <v>318</v>
      </c>
      <c r="K445" s="27" t="s">
        <v>180</v>
      </c>
      <c r="L445" s="27" t="s">
        <v>169</v>
      </c>
      <c r="M445" s="28" t="s">
        <v>170</v>
      </c>
      <c r="N445" s="28" t="s">
        <v>171</v>
      </c>
      <c r="O445" s="28" t="s">
        <v>172</v>
      </c>
      <c r="P445" s="29" t="s">
        <v>173</v>
      </c>
      <c r="Q445" s="29" t="s">
        <v>174</v>
      </c>
      <c r="R445" s="29" t="s">
        <v>175</v>
      </c>
      <c r="S445" s="30">
        <v>1681.94</v>
      </c>
      <c r="T445" s="30">
        <v>127.05</v>
      </c>
      <c r="U445" s="30">
        <v>1554.89</v>
      </c>
    </row>
    <row x14ac:dyDescent="0.25" r="446" customHeight="1" ht="18.75">
      <c r="A446" s="21">
        <v>445</v>
      </c>
      <c r="B446" s="22" t="s">
        <v>2058</v>
      </c>
      <c r="C446" s="22" t="s">
        <v>190</v>
      </c>
      <c r="D446" s="22" t="s">
        <v>2059</v>
      </c>
      <c r="E446" s="22" t="s">
        <v>58</v>
      </c>
      <c r="F446" s="23"/>
      <c r="G446" s="22"/>
      <c r="H446" s="24"/>
      <c r="I446" s="25"/>
      <c r="J446" s="26">
        <v>288</v>
      </c>
      <c r="K446" s="27" t="s">
        <v>180</v>
      </c>
      <c r="L446" s="27" t="s">
        <v>169</v>
      </c>
      <c r="M446" s="28" t="s">
        <v>233</v>
      </c>
      <c r="N446" s="28" t="s">
        <v>234</v>
      </c>
      <c r="O446" s="28" t="s">
        <v>235</v>
      </c>
      <c r="P446" s="29" t="s">
        <v>236</v>
      </c>
      <c r="Q446" s="29" t="s">
        <v>275</v>
      </c>
      <c r="R446" s="29" t="s">
        <v>276</v>
      </c>
      <c r="S446" s="30">
        <v>3547.33</v>
      </c>
      <c r="T446" s="30">
        <v>314.26</v>
      </c>
      <c r="U446" s="30">
        <v>3233.07</v>
      </c>
    </row>
    <row x14ac:dyDescent="0.25" r="447" customHeight="1" ht="18.75">
      <c r="A447" s="21">
        <v>446</v>
      </c>
      <c r="B447" s="22" t="s">
        <v>2060</v>
      </c>
      <c r="C447" s="22" t="s">
        <v>166</v>
      </c>
      <c r="D447" s="22" t="s">
        <v>2061</v>
      </c>
      <c r="E447" s="22" t="s">
        <v>134</v>
      </c>
      <c r="F447" s="23"/>
      <c r="G447" s="22"/>
      <c r="H447" s="24"/>
      <c r="I447" s="25"/>
      <c r="J447" s="26">
        <v>118</v>
      </c>
      <c r="K447" s="27" t="s">
        <v>180</v>
      </c>
      <c r="L447" s="27" t="s">
        <v>169</v>
      </c>
      <c r="M447" s="28" t="s">
        <v>983</v>
      </c>
      <c r="N447" s="28" t="s">
        <v>984</v>
      </c>
      <c r="O447" s="28" t="s">
        <v>985</v>
      </c>
      <c r="P447" s="29" t="s">
        <v>707</v>
      </c>
      <c r="Q447" s="29" t="s">
        <v>723</v>
      </c>
      <c r="R447" s="29" t="s">
        <v>724</v>
      </c>
      <c r="S447" s="30">
        <v>1923.91</v>
      </c>
      <c r="T447" s="30">
        <v>148.83</v>
      </c>
      <c r="U447" s="30">
        <v>1775.08</v>
      </c>
    </row>
    <row x14ac:dyDescent="0.25" r="448" customHeight="1" ht="18.75">
      <c r="A448" s="21">
        <v>447</v>
      </c>
      <c r="B448" s="22" t="s">
        <v>2062</v>
      </c>
      <c r="C448" s="22" t="s">
        <v>166</v>
      </c>
      <c r="D448" s="22" t="s">
        <v>2063</v>
      </c>
      <c r="E448" s="22" t="s">
        <v>140</v>
      </c>
      <c r="F448" s="23"/>
      <c r="G448" s="22"/>
      <c r="H448" s="24"/>
      <c r="I448" s="25"/>
      <c r="J448" s="26">
        <v>63</v>
      </c>
      <c r="K448" s="27" t="s">
        <v>180</v>
      </c>
      <c r="L448" s="27" t="s">
        <v>169</v>
      </c>
      <c r="M448" s="28" t="s">
        <v>2024</v>
      </c>
      <c r="N448" s="28" t="s">
        <v>251</v>
      </c>
      <c r="O448" s="28" t="s">
        <v>2064</v>
      </c>
      <c r="P448" s="29" t="s">
        <v>227</v>
      </c>
      <c r="Q448" s="29" t="s">
        <v>174</v>
      </c>
      <c r="R448" s="29" t="s">
        <v>297</v>
      </c>
      <c r="S448" s="30">
        <v>1781.92</v>
      </c>
      <c r="T448" s="30">
        <v>129.97</v>
      </c>
      <c r="U448" s="30">
        <v>1651.95</v>
      </c>
    </row>
    <row x14ac:dyDescent="0.25" r="449" customHeight="1" ht="18.75">
      <c r="A449" s="21">
        <v>448</v>
      </c>
      <c r="B449" s="22" t="s">
        <v>2065</v>
      </c>
      <c r="C449" s="22" t="s">
        <v>166</v>
      </c>
      <c r="D449" s="22" t="s">
        <v>2066</v>
      </c>
      <c r="E449" s="22" t="s">
        <v>114</v>
      </c>
      <c r="F449" s="23"/>
      <c r="G449" s="22"/>
      <c r="H449" s="24"/>
      <c r="I449" s="25"/>
      <c r="J449" s="26">
        <v>425</v>
      </c>
      <c r="K449" s="27" t="s">
        <v>180</v>
      </c>
      <c r="L449" s="27" t="s">
        <v>169</v>
      </c>
      <c r="M449" s="28" t="s">
        <v>170</v>
      </c>
      <c r="N449" s="28" t="s">
        <v>171</v>
      </c>
      <c r="O449" s="28" t="s">
        <v>172</v>
      </c>
      <c r="P449" s="29" t="s">
        <v>173</v>
      </c>
      <c r="Q449" s="29" t="s">
        <v>174</v>
      </c>
      <c r="R449" s="29" t="s">
        <v>175</v>
      </c>
      <c r="S449" s="30">
        <v>1681.94</v>
      </c>
      <c r="T449" s="30">
        <v>127.05</v>
      </c>
      <c r="U449" s="30">
        <v>1554.89</v>
      </c>
    </row>
    <row x14ac:dyDescent="0.25" r="450" customHeight="1" ht="18.75">
      <c r="A450" s="21">
        <v>449</v>
      </c>
      <c r="B450" s="22" t="s">
        <v>2067</v>
      </c>
      <c r="C450" s="22" t="s">
        <v>539</v>
      </c>
      <c r="D450" s="22" t="s">
        <v>2068</v>
      </c>
      <c r="E450" s="22" t="s">
        <v>291</v>
      </c>
      <c r="F450" s="23"/>
      <c r="G450" s="22"/>
      <c r="H450" s="24"/>
      <c r="I450" s="25"/>
      <c r="J450" s="26">
        <v>238</v>
      </c>
      <c r="K450" s="27" t="s">
        <v>180</v>
      </c>
      <c r="L450" s="27" t="s">
        <v>169</v>
      </c>
      <c r="M450" s="28" t="s">
        <v>173</v>
      </c>
      <c r="N450" s="28" t="s">
        <v>174</v>
      </c>
      <c r="O450" s="28" t="s">
        <v>175</v>
      </c>
      <c r="P450" s="29" t="s">
        <v>173</v>
      </c>
      <c r="Q450" s="29" t="s">
        <v>174</v>
      </c>
      <c r="R450" s="29" t="s">
        <v>175</v>
      </c>
      <c r="S450" s="30">
        <v>1621</v>
      </c>
      <c r="T450" s="30">
        <v>121.57</v>
      </c>
      <c r="U450" s="30">
        <v>1499.43</v>
      </c>
    </row>
    <row x14ac:dyDescent="0.25" r="451" customHeight="1" ht="18.75">
      <c r="A451" s="21">
        <v>450</v>
      </c>
      <c r="B451" s="22" t="s">
        <v>2069</v>
      </c>
      <c r="C451" s="22" t="s">
        <v>166</v>
      </c>
      <c r="D451" s="22" t="s">
        <v>2070</v>
      </c>
      <c r="E451" s="22" t="s">
        <v>38</v>
      </c>
      <c r="F451" s="23"/>
      <c r="G451" s="22"/>
      <c r="H451" s="24"/>
      <c r="I451" s="25"/>
      <c r="J451" s="26">
        <v>268</v>
      </c>
      <c r="K451" s="27" t="s">
        <v>180</v>
      </c>
      <c r="L451" s="27" t="s">
        <v>169</v>
      </c>
      <c r="M451" s="28" t="s">
        <v>170</v>
      </c>
      <c r="N451" s="28" t="s">
        <v>171</v>
      </c>
      <c r="O451" s="28" t="s">
        <v>172</v>
      </c>
      <c r="P451" s="29" t="s">
        <v>173</v>
      </c>
      <c r="Q451" s="29" t="s">
        <v>174</v>
      </c>
      <c r="R451" s="29" t="s">
        <v>175</v>
      </c>
      <c r="S451" s="30">
        <v>1806.61</v>
      </c>
      <c r="T451" s="30">
        <v>138.27</v>
      </c>
      <c r="U451" s="30">
        <v>1668.34</v>
      </c>
    </row>
    <row x14ac:dyDescent="0.25" r="452" customHeight="1" ht="18.75">
      <c r="A452" s="21">
        <v>451</v>
      </c>
      <c r="B452" s="22" t="s">
        <v>2071</v>
      </c>
      <c r="C452" s="22" t="s">
        <v>190</v>
      </c>
      <c r="D452" s="22" t="s">
        <v>2072</v>
      </c>
      <c r="E452" s="22" t="s">
        <v>812</v>
      </c>
      <c r="F452" s="23"/>
      <c r="G452" s="22"/>
      <c r="H452" s="24"/>
      <c r="I452" s="25"/>
      <c r="J452" s="26">
        <v>403</v>
      </c>
      <c r="K452" s="27" t="s">
        <v>180</v>
      </c>
      <c r="L452" s="27" t="s">
        <v>169</v>
      </c>
      <c r="M452" s="28" t="s">
        <v>2073</v>
      </c>
      <c r="N452" s="28" t="s">
        <v>2074</v>
      </c>
      <c r="O452" s="28" t="s">
        <v>2075</v>
      </c>
      <c r="P452" s="29" t="s">
        <v>586</v>
      </c>
      <c r="Q452" s="29" t="s">
        <v>587</v>
      </c>
      <c r="R452" s="29" t="s">
        <v>588</v>
      </c>
      <c r="S452" s="30">
        <v>4780.47</v>
      </c>
      <c r="T452" s="30">
        <v>470.76</v>
      </c>
      <c r="U452" s="30">
        <v>4309.71</v>
      </c>
    </row>
    <row x14ac:dyDescent="0.25" r="453" customHeight="1" ht="18.75">
      <c r="A453" s="21">
        <v>452</v>
      </c>
      <c r="B453" s="22" t="s">
        <v>2076</v>
      </c>
      <c r="C453" s="22" t="s">
        <v>177</v>
      </c>
      <c r="D453" s="22" t="s">
        <v>2077</v>
      </c>
      <c r="E453" s="22" t="s">
        <v>291</v>
      </c>
      <c r="F453" s="23"/>
      <c r="G453" s="22"/>
      <c r="H453" s="24"/>
      <c r="I453" s="25"/>
      <c r="J453" s="26">
        <v>242</v>
      </c>
      <c r="K453" s="27" t="s">
        <v>180</v>
      </c>
      <c r="L453" s="27" t="s">
        <v>169</v>
      </c>
      <c r="M453" s="28" t="s">
        <v>181</v>
      </c>
      <c r="N453" s="28" t="s">
        <v>182</v>
      </c>
      <c r="O453" s="28" t="s">
        <v>183</v>
      </c>
      <c r="P453" s="29" t="s">
        <v>184</v>
      </c>
      <c r="Q453" s="29" t="s">
        <v>185</v>
      </c>
      <c r="R453" s="29" t="s">
        <v>186</v>
      </c>
      <c r="S453" s="30">
        <v>4369.44</v>
      </c>
      <c r="T453" s="30">
        <v>413.22</v>
      </c>
      <c r="U453" s="30">
        <v>3956.22</v>
      </c>
    </row>
    <row x14ac:dyDescent="0.25" r="454" customHeight="1" ht="18.75">
      <c r="A454" s="21">
        <v>453</v>
      </c>
      <c r="B454" s="22" t="s">
        <v>2078</v>
      </c>
      <c r="C454" s="22" t="s">
        <v>289</v>
      </c>
      <c r="D454" s="22" t="s">
        <v>2079</v>
      </c>
      <c r="E454" s="22" t="s">
        <v>134</v>
      </c>
      <c r="F454" s="23"/>
      <c r="G454" s="22"/>
      <c r="H454" s="24"/>
      <c r="I454" s="25"/>
      <c r="J454" s="26">
        <v>648</v>
      </c>
      <c r="K454" s="27" t="s">
        <v>696</v>
      </c>
      <c r="L454" s="27" t="s">
        <v>169</v>
      </c>
      <c r="M454" s="28" t="s">
        <v>292</v>
      </c>
      <c r="N454" s="28" t="s">
        <v>293</v>
      </c>
      <c r="O454" s="28" t="s">
        <v>294</v>
      </c>
      <c r="P454" s="29" t="s">
        <v>292</v>
      </c>
      <c r="Q454" s="29" t="s">
        <v>293</v>
      </c>
      <c r="R454" s="29" t="s">
        <v>294</v>
      </c>
      <c r="S454" s="30">
        <v>3818.4</v>
      </c>
      <c r="T454" s="30">
        <v>346.79</v>
      </c>
      <c r="U454" s="30">
        <v>3471.61</v>
      </c>
    </row>
    <row x14ac:dyDescent="0.25" r="455" customHeight="1" ht="18.75">
      <c r="A455" s="21">
        <v>454</v>
      </c>
      <c r="B455" s="22" t="s">
        <v>2080</v>
      </c>
      <c r="C455" s="22" t="s">
        <v>190</v>
      </c>
      <c r="D455" s="22" t="s">
        <v>2081</v>
      </c>
      <c r="E455" s="22" t="s">
        <v>90</v>
      </c>
      <c r="F455" s="23"/>
      <c r="G455" s="22"/>
      <c r="H455" s="24"/>
      <c r="I455" s="25"/>
      <c r="J455" s="26">
        <v>344</v>
      </c>
      <c r="K455" s="27" t="s">
        <v>180</v>
      </c>
      <c r="L455" s="27" t="s">
        <v>169</v>
      </c>
      <c r="M455" s="28" t="s">
        <v>233</v>
      </c>
      <c r="N455" s="28" t="s">
        <v>234</v>
      </c>
      <c r="O455" s="28" t="s">
        <v>235</v>
      </c>
      <c r="P455" s="29" t="s">
        <v>236</v>
      </c>
      <c r="Q455" s="29" t="s">
        <v>275</v>
      </c>
      <c r="R455" s="29" t="s">
        <v>276</v>
      </c>
      <c r="S455" s="30">
        <v>3713.37</v>
      </c>
      <c r="T455" s="30">
        <v>334.19</v>
      </c>
      <c r="U455" s="30">
        <v>3379.18</v>
      </c>
    </row>
    <row x14ac:dyDescent="0.25" r="456" customHeight="1" ht="18.75">
      <c r="A456" s="21">
        <v>455</v>
      </c>
      <c r="B456" s="22" t="s">
        <v>2082</v>
      </c>
      <c r="C456" s="22" t="s">
        <v>190</v>
      </c>
      <c r="D456" s="22" t="s">
        <v>2083</v>
      </c>
      <c r="E456" s="22" t="s">
        <v>140</v>
      </c>
      <c r="F456" s="23"/>
      <c r="G456" s="22"/>
      <c r="H456" s="24"/>
      <c r="I456" s="25"/>
      <c r="J456" s="26">
        <v>148</v>
      </c>
      <c r="K456" s="27" t="s">
        <v>180</v>
      </c>
      <c r="L456" s="27" t="s">
        <v>169</v>
      </c>
      <c r="M456" s="28" t="s">
        <v>300</v>
      </c>
      <c r="N456" s="28" t="s">
        <v>301</v>
      </c>
      <c r="O456" s="28" t="s">
        <v>302</v>
      </c>
      <c r="P456" s="29" t="s">
        <v>2084</v>
      </c>
      <c r="Q456" s="29" t="s">
        <v>2085</v>
      </c>
      <c r="R456" s="29" t="s">
        <v>2086</v>
      </c>
      <c r="S456" s="30">
        <v>3128.28</v>
      </c>
      <c r="T456" s="30">
        <v>263.98</v>
      </c>
      <c r="U456" s="30">
        <v>2864.3</v>
      </c>
    </row>
    <row x14ac:dyDescent="0.25" r="457" customHeight="1" ht="18.75">
      <c r="A457" s="21">
        <v>456</v>
      </c>
      <c r="B457" s="22" t="s">
        <v>2087</v>
      </c>
      <c r="C457" s="22" t="s">
        <v>190</v>
      </c>
      <c r="D457" s="22" t="s">
        <v>2088</v>
      </c>
      <c r="E457" s="22" t="s">
        <v>84</v>
      </c>
      <c r="F457" s="23"/>
      <c r="G457" s="22"/>
      <c r="H457" s="24"/>
      <c r="I457" s="25"/>
      <c r="J457" s="26">
        <v>455</v>
      </c>
      <c r="K457" s="27" t="s">
        <v>180</v>
      </c>
      <c r="L457" s="27" t="s">
        <v>169</v>
      </c>
      <c r="M457" s="28" t="s">
        <v>233</v>
      </c>
      <c r="N457" s="28" t="s">
        <v>234</v>
      </c>
      <c r="O457" s="28" t="s">
        <v>235</v>
      </c>
      <c r="P457" s="29" t="s">
        <v>236</v>
      </c>
      <c r="Q457" s="29" t="s">
        <v>275</v>
      </c>
      <c r="R457" s="29" t="s">
        <v>276</v>
      </c>
      <c r="S457" s="30">
        <v>3536.16</v>
      </c>
      <c r="T457" s="30">
        <v>312.92</v>
      </c>
      <c r="U457" s="30">
        <v>3223.24</v>
      </c>
    </row>
    <row x14ac:dyDescent="0.25" r="458" customHeight="1" ht="18.75">
      <c r="A458" s="21">
        <v>457</v>
      </c>
      <c r="B458" s="22" t="s">
        <v>2089</v>
      </c>
      <c r="C458" s="22" t="s">
        <v>166</v>
      </c>
      <c r="D458" s="22" t="s">
        <v>2090</v>
      </c>
      <c r="E458" s="22" t="s">
        <v>224</v>
      </c>
      <c r="F458" s="23"/>
      <c r="G458" s="22"/>
      <c r="H458" s="24"/>
      <c r="I458" s="25"/>
      <c r="J458" s="26">
        <v>294</v>
      </c>
      <c r="K458" s="27" t="s">
        <v>180</v>
      </c>
      <c r="L458" s="27" t="s">
        <v>169</v>
      </c>
      <c r="M458" s="28" t="s">
        <v>451</v>
      </c>
      <c r="N458" s="28" t="s">
        <v>2091</v>
      </c>
      <c r="O458" s="28" t="s">
        <v>2092</v>
      </c>
      <c r="P458" s="29" t="s">
        <v>173</v>
      </c>
      <c r="Q458" s="29" t="s">
        <v>2093</v>
      </c>
      <c r="R458" s="29" t="s">
        <v>2094</v>
      </c>
      <c r="S458" s="30">
        <v>2327.59</v>
      </c>
      <c r="T458" s="30">
        <v>516.06</v>
      </c>
      <c r="U458" s="30">
        <v>1811.53</v>
      </c>
    </row>
    <row x14ac:dyDescent="0.25" r="459" customHeight="1" ht="18.75">
      <c r="A459" s="21">
        <v>458</v>
      </c>
      <c r="B459" s="22" t="s">
        <v>2095</v>
      </c>
      <c r="C459" s="22" t="s">
        <v>166</v>
      </c>
      <c r="D459" s="22" t="s">
        <v>2096</v>
      </c>
      <c r="E459" s="22" t="s">
        <v>224</v>
      </c>
      <c r="F459" s="23"/>
      <c r="G459" s="22"/>
      <c r="H459" s="24"/>
      <c r="I459" s="25"/>
      <c r="J459" s="26">
        <v>293</v>
      </c>
      <c r="K459" s="27" t="s">
        <v>180</v>
      </c>
      <c r="L459" s="27" t="s">
        <v>169</v>
      </c>
      <c r="M459" s="28" t="s">
        <v>225</v>
      </c>
      <c r="N459" s="28" t="s">
        <v>2097</v>
      </c>
      <c r="O459" s="28" t="s">
        <v>2098</v>
      </c>
      <c r="P459" s="29" t="s">
        <v>227</v>
      </c>
      <c r="Q459" s="29" t="s">
        <v>2099</v>
      </c>
      <c r="R459" s="29" t="s">
        <v>2100</v>
      </c>
      <c r="S459" s="30">
        <v>2186.52</v>
      </c>
      <c r="T459" s="30">
        <v>319.99</v>
      </c>
      <c r="U459" s="30">
        <v>1866.53</v>
      </c>
    </row>
    <row x14ac:dyDescent="0.25" r="460" customHeight="1" ht="18.75">
      <c r="A460" s="21">
        <v>459</v>
      </c>
      <c r="B460" s="22" t="s">
        <v>2101</v>
      </c>
      <c r="C460" s="22" t="s">
        <v>278</v>
      </c>
      <c r="D460" s="22" t="s">
        <v>2102</v>
      </c>
      <c r="E460" s="22" t="s">
        <v>746</v>
      </c>
      <c r="F460" s="23"/>
      <c r="G460" s="22"/>
      <c r="H460" s="24"/>
      <c r="I460" s="25"/>
      <c r="J460" s="26">
        <v>525</v>
      </c>
      <c r="K460" s="27" t="s">
        <v>180</v>
      </c>
      <c r="L460" s="27" t="s">
        <v>169</v>
      </c>
      <c r="M460" s="28" t="s">
        <v>750</v>
      </c>
      <c r="N460" s="28" t="s">
        <v>769</v>
      </c>
      <c r="O460" s="28" t="s">
        <v>770</v>
      </c>
      <c r="P460" s="29" t="s">
        <v>750</v>
      </c>
      <c r="Q460" s="29" t="s">
        <v>769</v>
      </c>
      <c r="R460" s="29" t="s">
        <v>770</v>
      </c>
      <c r="S460" s="30">
        <v>6140.97</v>
      </c>
      <c r="T460" s="30">
        <v>1098.45</v>
      </c>
      <c r="U460" s="30">
        <v>5042.52</v>
      </c>
    </row>
    <row x14ac:dyDescent="0.25" r="461" customHeight="1" ht="18.75">
      <c r="A461" s="21">
        <v>460</v>
      </c>
      <c r="B461" s="22" t="s">
        <v>2103</v>
      </c>
      <c r="C461" s="22" t="s">
        <v>278</v>
      </c>
      <c r="D461" s="22" t="s">
        <v>2104</v>
      </c>
      <c r="E461" s="22" t="s">
        <v>110</v>
      </c>
      <c r="F461" s="23"/>
      <c r="G461" s="22"/>
      <c r="H461" s="24"/>
      <c r="I461" s="25"/>
      <c r="J461" s="26">
        <v>351</v>
      </c>
      <c r="K461" s="27" t="s">
        <v>180</v>
      </c>
      <c r="L461" s="27" t="s">
        <v>169</v>
      </c>
      <c r="M461" s="28" t="s">
        <v>417</v>
      </c>
      <c r="N461" s="28" t="s">
        <v>418</v>
      </c>
      <c r="O461" s="28" t="s">
        <v>419</v>
      </c>
      <c r="P461" s="29" t="s">
        <v>417</v>
      </c>
      <c r="Q461" s="29" t="s">
        <v>418</v>
      </c>
      <c r="R461" s="29" t="s">
        <v>419</v>
      </c>
      <c r="S461" s="30">
        <v>4280</v>
      </c>
      <c r="T461" s="30">
        <v>402.18</v>
      </c>
      <c r="U461" s="30">
        <v>3877.82</v>
      </c>
    </row>
    <row x14ac:dyDescent="0.25" r="462" customHeight="1" ht="18.75">
      <c r="A462" s="21">
        <v>461</v>
      </c>
      <c r="B462" s="22" t="s">
        <v>2105</v>
      </c>
      <c r="C462" s="22" t="s">
        <v>166</v>
      </c>
      <c r="D462" s="22" t="s">
        <v>2106</v>
      </c>
      <c r="E462" s="22" t="s">
        <v>140</v>
      </c>
      <c r="F462" s="23"/>
      <c r="G462" s="22"/>
      <c r="H462" s="24"/>
      <c r="I462" s="25"/>
      <c r="J462" s="26">
        <v>73</v>
      </c>
      <c r="K462" s="27" t="s">
        <v>180</v>
      </c>
      <c r="L462" s="27" t="s">
        <v>169</v>
      </c>
      <c r="M462" s="28" t="s">
        <v>828</v>
      </c>
      <c r="N462" s="28" t="s">
        <v>2107</v>
      </c>
      <c r="O462" s="28" t="s">
        <v>2108</v>
      </c>
      <c r="P462" s="29" t="s">
        <v>830</v>
      </c>
      <c r="Q462" s="29" t="s">
        <v>2109</v>
      </c>
      <c r="R462" s="29" t="s">
        <v>2110</v>
      </c>
      <c r="S462" s="30">
        <v>2060.35</v>
      </c>
      <c r="T462" s="30">
        <v>594.48</v>
      </c>
      <c r="U462" s="30">
        <v>1465.87</v>
      </c>
    </row>
    <row x14ac:dyDescent="0.25" r="463" customHeight="1" ht="18.75">
      <c r="A463" s="21">
        <v>462</v>
      </c>
      <c r="B463" s="22" t="s">
        <v>2111</v>
      </c>
      <c r="C463" s="22" t="s">
        <v>166</v>
      </c>
      <c r="D463" s="22" t="s">
        <v>2112</v>
      </c>
      <c r="E463" s="22" t="s">
        <v>704</v>
      </c>
      <c r="F463" s="23"/>
      <c r="G463" s="22"/>
      <c r="H463" s="24"/>
      <c r="I463" s="25"/>
      <c r="J463" s="26">
        <v>296</v>
      </c>
      <c r="K463" s="27" t="s">
        <v>180</v>
      </c>
      <c r="L463" s="27" t="s">
        <v>169</v>
      </c>
      <c r="M463" s="28" t="s">
        <v>451</v>
      </c>
      <c r="N463" s="28" t="s">
        <v>452</v>
      </c>
      <c r="O463" s="28" t="s">
        <v>453</v>
      </c>
      <c r="P463" s="29" t="s">
        <v>173</v>
      </c>
      <c r="Q463" s="29" t="s">
        <v>174</v>
      </c>
      <c r="R463" s="29" t="s">
        <v>175</v>
      </c>
      <c r="S463" s="30">
        <v>1698.16</v>
      </c>
      <c r="T463" s="30">
        <v>128.51</v>
      </c>
      <c r="U463" s="30">
        <v>1569.65</v>
      </c>
    </row>
    <row x14ac:dyDescent="0.25" r="464" customHeight="1" ht="18.75">
      <c r="A464" s="21">
        <v>463</v>
      </c>
      <c r="B464" s="22" t="s">
        <v>2113</v>
      </c>
      <c r="C464" s="22" t="s">
        <v>166</v>
      </c>
      <c r="D464" s="22" t="s">
        <v>2114</v>
      </c>
      <c r="E464" s="22" t="s">
        <v>134</v>
      </c>
      <c r="F464" s="23"/>
      <c r="G464" s="22"/>
      <c r="H464" s="24"/>
      <c r="I464" s="25"/>
      <c r="J464" s="26">
        <v>21</v>
      </c>
      <c r="K464" s="27" t="s">
        <v>180</v>
      </c>
      <c r="L464" s="27" t="s">
        <v>169</v>
      </c>
      <c r="M464" s="28" t="s">
        <v>258</v>
      </c>
      <c r="N464" s="28" t="s">
        <v>2115</v>
      </c>
      <c r="O464" s="28" t="s">
        <v>2116</v>
      </c>
      <c r="P464" s="29" t="s">
        <v>1400</v>
      </c>
      <c r="Q464" s="29" t="s">
        <v>2117</v>
      </c>
      <c r="R464" s="29" t="s">
        <v>2118</v>
      </c>
      <c r="S464" s="30">
        <v>1992.81</v>
      </c>
      <c r="T464" s="30">
        <v>548.62</v>
      </c>
      <c r="U464" s="30">
        <v>1444.19</v>
      </c>
    </row>
    <row x14ac:dyDescent="0.25" r="465" customHeight="1" ht="18.75">
      <c r="A465" s="21">
        <v>464</v>
      </c>
      <c r="B465" s="22" t="s">
        <v>2119</v>
      </c>
      <c r="C465" s="22" t="s">
        <v>190</v>
      </c>
      <c r="D465" s="22" t="s">
        <v>2120</v>
      </c>
      <c r="E465" s="22" t="s">
        <v>273</v>
      </c>
      <c r="F465" s="23"/>
      <c r="G465" s="22"/>
      <c r="H465" s="24"/>
      <c r="I465" s="25"/>
      <c r="J465" s="26">
        <v>379</v>
      </c>
      <c r="K465" s="27" t="s">
        <v>180</v>
      </c>
      <c r="L465" s="27" t="s">
        <v>169</v>
      </c>
      <c r="M465" s="28" t="s">
        <v>233</v>
      </c>
      <c r="N465" s="28" t="s">
        <v>234</v>
      </c>
      <c r="O465" s="28" t="s">
        <v>235</v>
      </c>
      <c r="P465" s="29" t="s">
        <v>236</v>
      </c>
      <c r="Q465" s="29" t="s">
        <v>275</v>
      </c>
      <c r="R465" s="29" t="s">
        <v>276</v>
      </c>
      <c r="S465" s="30">
        <v>3757.54</v>
      </c>
      <c r="T465" s="30">
        <v>339.49</v>
      </c>
      <c r="U465" s="30">
        <v>3418.05</v>
      </c>
    </row>
    <row x14ac:dyDescent="0.25" r="466" customHeight="1" ht="18.75">
      <c r="A466" s="21">
        <v>465</v>
      </c>
      <c r="B466" s="22" t="s">
        <v>2121</v>
      </c>
      <c r="C466" s="22" t="s">
        <v>166</v>
      </c>
      <c r="D466" s="22" t="s">
        <v>2122</v>
      </c>
      <c r="E466" s="22" t="s">
        <v>140</v>
      </c>
      <c r="F466" s="23"/>
      <c r="G466" s="22"/>
      <c r="H466" s="24"/>
      <c r="I466" s="25"/>
      <c r="J466" s="26">
        <v>139</v>
      </c>
      <c r="K466" s="27" t="s">
        <v>180</v>
      </c>
      <c r="L466" s="27" t="s">
        <v>169</v>
      </c>
      <c r="M466" s="28" t="s">
        <v>2123</v>
      </c>
      <c r="N466" s="28" t="s">
        <v>2124</v>
      </c>
      <c r="O466" s="28" t="s">
        <v>2125</v>
      </c>
      <c r="P466" s="29" t="s">
        <v>2126</v>
      </c>
      <c r="Q466" s="29" t="s">
        <v>2127</v>
      </c>
      <c r="R466" s="29" t="s">
        <v>2128</v>
      </c>
      <c r="S466" s="30">
        <v>1849.46</v>
      </c>
      <c r="T466" s="30">
        <v>129.97</v>
      </c>
      <c r="U466" s="30">
        <v>1719.49</v>
      </c>
    </row>
    <row x14ac:dyDescent="0.25" r="467" customHeight="1" ht="18.75">
      <c r="A467" s="21">
        <v>466</v>
      </c>
      <c r="B467" s="22" t="s">
        <v>2129</v>
      </c>
      <c r="C467" s="22" t="s">
        <v>278</v>
      </c>
      <c r="D467" s="22" t="s">
        <v>2130</v>
      </c>
      <c r="E467" s="22" t="s">
        <v>106</v>
      </c>
      <c r="F467" s="23"/>
      <c r="G467" s="22"/>
      <c r="H467" s="24"/>
      <c r="I467" s="25"/>
      <c r="J467" s="26">
        <v>240</v>
      </c>
      <c r="K467" s="27" t="s">
        <v>180</v>
      </c>
      <c r="L467" s="27" t="s">
        <v>169</v>
      </c>
      <c r="M467" s="28" t="s">
        <v>417</v>
      </c>
      <c r="N467" s="28" t="s">
        <v>418</v>
      </c>
      <c r="O467" s="28" t="s">
        <v>419</v>
      </c>
      <c r="P467" s="29" t="s">
        <v>417</v>
      </c>
      <c r="Q467" s="29" t="s">
        <v>418</v>
      </c>
      <c r="R467" s="29" t="s">
        <v>419</v>
      </c>
      <c r="S467" s="30">
        <v>4280</v>
      </c>
      <c r="T467" s="30">
        <v>402.18</v>
      </c>
      <c r="U467" s="30">
        <v>3877.82</v>
      </c>
    </row>
    <row x14ac:dyDescent="0.25" r="468" customHeight="1" ht="18.75">
      <c r="A468" s="21">
        <v>467</v>
      </c>
      <c r="B468" s="22" t="s">
        <v>2131</v>
      </c>
      <c r="C468" s="22" t="s">
        <v>190</v>
      </c>
      <c r="D468" s="22" t="s">
        <v>2132</v>
      </c>
      <c r="E468" s="22" t="s">
        <v>273</v>
      </c>
      <c r="F468" s="23"/>
      <c r="G468" s="22"/>
      <c r="H468" s="24"/>
      <c r="I468" s="25"/>
      <c r="J468" s="26">
        <v>377</v>
      </c>
      <c r="K468" s="27" t="s">
        <v>180</v>
      </c>
      <c r="L468" s="27" t="s">
        <v>169</v>
      </c>
      <c r="M468" s="28" t="s">
        <v>233</v>
      </c>
      <c r="N468" s="28" t="s">
        <v>234</v>
      </c>
      <c r="O468" s="28" t="s">
        <v>235</v>
      </c>
      <c r="P468" s="29" t="s">
        <v>236</v>
      </c>
      <c r="Q468" s="29" t="s">
        <v>275</v>
      </c>
      <c r="R468" s="29" t="s">
        <v>276</v>
      </c>
      <c r="S468" s="30">
        <v>3967.91</v>
      </c>
      <c r="T468" s="30">
        <v>364.73</v>
      </c>
      <c r="U468" s="30">
        <v>3603.18</v>
      </c>
    </row>
    <row x14ac:dyDescent="0.25" r="469" customHeight="1" ht="18.75">
      <c r="A469" s="21">
        <v>468</v>
      </c>
      <c r="B469" s="22" t="s">
        <v>2133</v>
      </c>
      <c r="C469" s="22" t="s">
        <v>190</v>
      </c>
      <c r="D469" s="22" t="s">
        <v>2134</v>
      </c>
      <c r="E469" s="22" t="s">
        <v>106</v>
      </c>
      <c r="F469" s="23"/>
      <c r="G469" s="22"/>
      <c r="H469" s="24"/>
      <c r="I469" s="25"/>
      <c r="J469" s="26">
        <v>232</v>
      </c>
      <c r="K469" s="27" t="s">
        <v>180</v>
      </c>
      <c r="L469" s="27" t="s">
        <v>169</v>
      </c>
      <c r="M469" s="28" t="s">
        <v>233</v>
      </c>
      <c r="N469" s="28" t="s">
        <v>234</v>
      </c>
      <c r="O469" s="28" t="s">
        <v>235</v>
      </c>
      <c r="P469" s="29" t="s">
        <v>236</v>
      </c>
      <c r="Q469" s="29" t="s">
        <v>275</v>
      </c>
      <c r="R469" s="29" t="s">
        <v>276</v>
      </c>
      <c r="S469" s="30">
        <v>3493.05</v>
      </c>
      <c r="T469" s="30">
        <v>307.75</v>
      </c>
      <c r="U469" s="30">
        <v>3185.3</v>
      </c>
    </row>
    <row x14ac:dyDescent="0.25" r="470" customHeight="1" ht="18.75">
      <c r="A470" s="21">
        <v>469</v>
      </c>
      <c r="B470" s="22" t="s">
        <v>2135</v>
      </c>
      <c r="C470" s="22" t="s">
        <v>166</v>
      </c>
      <c r="D470" s="22" t="s">
        <v>2136</v>
      </c>
      <c r="E470" s="22" t="s">
        <v>191</v>
      </c>
      <c r="F470" s="23"/>
      <c r="G470" s="22"/>
      <c r="H470" s="24"/>
      <c r="I470" s="25"/>
      <c r="J470" s="26">
        <v>83</v>
      </c>
      <c r="K470" s="27" t="s">
        <v>180</v>
      </c>
      <c r="L470" s="27" t="s">
        <v>169</v>
      </c>
      <c r="M470" s="28" t="s">
        <v>170</v>
      </c>
      <c r="N470" s="28" t="s">
        <v>171</v>
      </c>
      <c r="O470" s="28" t="s">
        <v>172</v>
      </c>
      <c r="P470" s="29" t="s">
        <v>173</v>
      </c>
      <c r="Q470" s="29" t="s">
        <v>174</v>
      </c>
      <c r="R470" s="29" t="s">
        <v>175</v>
      </c>
      <c r="S470" s="30">
        <v>1714.38</v>
      </c>
      <c r="T470" s="30">
        <v>129.97</v>
      </c>
      <c r="U470" s="30">
        <v>1584.41</v>
      </c>
    </row>
    <row x14ac:dyDescent="0.25" r="471" customHeight="1" ht="18.75">
      <c r="A471" s="21">
        <v>470</v>
      </c>
      <c r="B471" s="22" t="s">
        <v>2137</v>
      </c>
      <c r="C471" s="22" t="s">
        <v>190</v>
      </c>
      <c r="D471" s="22" t="s">
        <v>2138</v>
      </c>
      <c r="E471" s="22" t="s">
        <v>140</v>
      </c>
      <c r="F471" s="23"/>
      <c r="G471" s="22"/>
      <c r="H471" s="24"/>
      <c r="I471" s="25"/>
      <c r="J471" s="26">
        <v>600</v>
      </c>
      <c r="K471" s="27" t="s">
        <v>545</v>
      </c>
      <c r="L471" s="27" t="s">
        <v>169</v>
      </c>
      <c r="M471" s="28" t="s">
        <v>2139</v>
      </c>
      <c r="N471" s="28" t="s">
        <v>2140</v>
      </c>
      <c r="O471" s="28" t="s">
        <v>2141</v>
      </c>
      <c r="P471" s="29" t="s">
        <v>2142</v>
      </c>
      <c r="Q471" s="29" t="s">
        <v>2143</v>
      </c>
      <c r="R471" s="29" t="s">
        <v>2144</v>
      </c>
      <c r="S471" s="30">
        <v>3504.03</v>
      </c>
      <c r="T471" s="30">
        <v>309.07</v>
      </c>
      <c r="U471" s="30">
        <v>3194.96</v>
      </c>
    </row>
    <row x14ac:dyDescent="0.25" r="472" customHeight="1" ht="18.75">
      <c r="A472" s="21">
        <v>471</v>
      </c>
      <c r="B472" s="22" t="s">
        <v>2145</v>
      </c>
      <c r="C472" s="22" t="s">
        <v>166</v>
      </c>
      <c r="D472" s="22" t="s">
        <v>2146</v>
      </c>
      <c r="E472" s="22" t="s">
        <v>432</v>
      </c>
      <c r="F472" s="23"/>
      <c r="G472" s="22"/>
      <c r="H472" s="24"/>
      <c r="I472" s="25"/>
      <c r="J472" s="26">
        <v>192</v>
      </c>
      <c r="K472" s="27" t="s">
        <v>180</v>
      </c>
      <c r="L472" s="27" t="s">
        <v>169</v>
      </c>
      <c r="M472" s="28">
        <v>0</v>
      </c>
      <c r="N472" s="28">
        <v>0</v>
      </c>
      <c r="O472" s="28">
        <v>0</v>
      </c>
      <c r="P472" s="29">
        <v>0</v>
      </c>
      <c r="Q472" s="29">
        <v>0</v>
      </c>
      <c r="R472" s="29">
        <v>0</v>
      </c>
      <c r="S472" s="30">
        <v>1721.3</v>
      </c>
      <c r="T472" s="30">
        <v>1721.3</v>
      </c>
      <c r="U472" s="28">
        <v>0</v>
      </c>
    </row>
    <row x14ac:dyDescent="0.25" r="473" customHeight="1" ht="18.75">
      <c r="A473" s="21">
        <v>472</v>
      </c>
      <c r="B473" s="22" t="s">
        <v>2147</v>
      </c>
      <c r="C473" s="22" t="s">
        <v>166</v>
      </c>
      <c r="D473" s="22" t="s">
        <v>2148</v>
      </c>
      <c r="E473" s="22" t="s">
        <v>134</v>
      </c>
      <c r="F473" s="23"/>
      <c r="G473" s="22"/>
      <c r="H473" s="24"/>
      <c r="I473" s="25"/>
      <c r="J473" s="26">
        <v>631</v>
      </c>
      <c r="K473" s="27" t="s">
        <v>527</v>
      </c>
      <c r="L473" s="27" t="s">
        <v>169</v>
      </c>
      <c r="M473" s="28" t="s">
        <v>1621</v>
      </c>
      <c r="N473" s="28" t="s">
        <v>452</v>
      </c>
      <c r="O473" s="28" t="s">
        <v>1622</v>
      </c>
      <c r="P473" s="29" t="s">
        <v>2149</v>
      </c>
      <c r="Q473" s="29" t="s">
        <v>2150</v>
      </c>
      <c r="R473" s="29" t="s">
        <v>2151</v>
      </c>
      <c r="S473" s="30">
        <v>1765.7</v>
      </c>
      <c r="T473" s="30">
        <v>128.51</v>
      </c>
      <c r="U473" s="30">
        <v>1637.19</v>
      </c>
    </row>
    <row x14ac:dyDescent="0.25" r="474" customHeight="1" ht="18.75">
      <c r="A474" s="21">
        <v>473</v>
      </c>
      <c r="B474" s="22" t="s">
        <v>2152</v>
      </c>
      <c r="C474" s="22" t="s">
        <v>539</v>
      </c>
      <c r="D474" s="22" t="s">
        <v>2153</v>
      </c>
      <c r="E474" s="22" t="s">
        <v>591</v>
      </c>
      <c r="F474" s="23"/>
      <c r="G474" s="22"/>
      <c r="H474" s="24"/>
      <c r="I474" s="25"/>
      <c r="J474" s="26">
        <v>465</v>
      </c>
      <c r="K474" s="27" t="s">
        <v>180</v>
      </c>
      <c r="L474" s="27" t="s">
        <v>169</v>
      </c>
      <c r="M474" s="28" t="s">
        <v>173</v>
      </c>
      <c r="N474" s="28" t="s">
        <v>174</v>
      </c>
      <c r="O474" s="28" t="s">
        <v>175</v>
      </c>
      <c r="P474" s="29" t="s">
        <v>173</v>
      </c>
      <c r="Q474" s="29" t="s">
        <v>174</v>
      </c>
      <c r="R474" s="29" t="s">
        <v>175</v>
      </c>
      <c r="S474" s="30">
        <v>1652.66</v>
      </c>
      <c r="T474" s="30">
        <v>124.41</v>
      </c>
      <c r="U474" s="30">
        <v>1528.25</v>
      </c>
    </row>
    <row x14ac:dyDescent="0.25" r="475" customHeight="1" ht="18.75">
      <c r="A475" s="21">
        <v>474</v>
      </c>
      <c r="B475" s="22" t="s">
        <v>2154</v>
      </c>
      <c r="C475" s="22" t="s">
        <v>520</v>
      </c>
      <c r="D475" s="22" t="s">
        <v>2155</v>
      </c>
      <c r="E475" s="22" t="s">
        <v>591</v>
      </c>
      <c r="F475" s="23"/>
      <c r="G475" s="22"/>
      <c r="H475" s="24"/>
      <c r="I475" s="25"/>
      <c r="J475" s="26">
        <v>601</v>
      </c>
      <c r="K475" s="27" t="s">
        <v>545</v>
      </c>
      <c r="L475" s="27" t="s">
        <v>169</v>
      </c>
      <c r="M475" s="28" t="s">
        <v>522</v>
      </c>
      <c r="N475" s="28" t="s">
        <v>523</v>
      </c>
      <c r="O475" s="28" t="s">
        <v>524</v>
      </c>
      <c r="P475" s="29" t="s">
        <v>522</v>
      </c>
      <c r="Q475" s="29" t="s">
        <v>523</v>
      </c>
      <c r="R475" s="29" t="s">
        <v>524</v>
      </c>
      <c r="S475" s="30">
        <v>4895.21</v>
      </c>
      <c r="T475" s="30">
        <v>486.83</v>
      </c>
      <c r="U475" s="30">
        <v>4408.38</v>
      </c>
    </row>
    <row x14ac:dyDescent="0.25" r="476" customHeight="1" ht="18.75">
      <c r="A476" s="21">
        <v>475</v>
      </c>
      <c r="B476" s="31" t="s">
        <v>2156</v>
      </c>
      <c r="C476" s="22" t="s">
        <v>190</v>
      </c>
      <c r="D476" s="22"/>
      <c r="E476" s="22" t="s">
        <v>134</v>
      </c>
      <c r="F476" s="23"/>
      <c r="G476" s="22"/>
      <c r="H476" s="24"/>
      <c r="I476" s="25"/>
      <c r="J476" s="32">
        <v>664</v>
      </c>
      <c r="K476" s="27" t="s">
        <v>2157</v>
      </c>
      <c r="L476" s="27" t="s">
        <v>169</v>
      </c>
      <c r="M476" s="28"/>
      <c r="N476" s="28"/>
      <c r="O476" s="28"/>
      <c r="P476" s="29" t="s">
        <v>2158</v>
      </c>
      <c r="Q476" s="29" t="s">
        <v>2159</v>
      </c>
      <c r="R476" s="29" t="s">
        <v>2160</v>
      </c>
      <c r="S476" s="30">
        <v>3500.67</v>
      </c>
      <c r="T476" s="30">
        <v>308.66</v>
      </c>
      <c r="U476" s="30">
        <v>3192.01</v>
      </c>
    </row>
    <row x14ac:dyDescent="0.25" r="477" customHeight="1" ht="18.75">
      <c r="A477" s="21">
        <v>476</v>
      </c>
      <c r="B477" s="22" t="s">
        <v>2161</v>
      </c>
      <c r="C477" s="22" t="s">
        <v>166</v>
      </c>
      <c r="D477" s="22" t="s">
        <v>2162</v>
      </c>
      <c r="E477" s="22" t="s">
        <v>140</v>
      </c>
      <c r="F477" s="23"/>
      <c r="G477" s="22"/>
      <c r="H477" s="24"/>
      <c r="I477" s="25"/>
      <c r="J477" s="26">
        <v>137</v>
      </c>
      <c r="K477" s="27" t="s">
        <v>180</v>
      </c>
      <c r="L477" s="27" t="s">
        <v>169</v>
      </c>
      <c r="M477" s="28" t="s">
        <v>983</v>
      </c>
      <c r="N477" s="28" t="s">
        <v>2163</v>
      </c>
      <c r="O477" s="28" t="s">
        <v>2164</v>
      </c>
      <c r="P477" s="29" t="s">
        <v>2165</v>
      </c>
      <c r="Q477" s="29" t="s">
        <v>2166</v>
      </c>
      <c r="R477" s="29" t="s">
        <v>2167</v>
      </c>
      <c r="S477" s="30">
        <v>1925.27</v>
      </c>
      <c r="T477" s="30">
        <v>213.77</v>
      </c>
      <c r="U477" s="30">
        <v>1711.5</v>
      </c>
    </row>
    <row x14ac:dyDescent="0.25" r="478" customHeight="1" ht="18.75">
      <c r="A478" s="21">
        <v>477</v>
      </c>
      <c r="B478" s="22" t="s">
        <v>2168</v>
      </c>
      <c r="C478" s="22" t="s">
        <v>166</v>
      </c>
      <c r="D478" s="22" t="s">
        <v>2169</v>
      </c>
      <c r="E478" s="22" t="s">
        <v>582</v>
      </c>
      <c r="F478" s="23"/>
      <c r="G478" s="22"/>
      <c r="H478" s="24"/>
      <c r="I478" s="25"/>
      <c r="J478" s="26">
        <v>282</v>
      </c>
      <c r="K478" s="27" t="s">
        <v>180</v>
      </c>
      <c r="L478" s="27" t="s">
        <v>169</v>
      </c>
      <c r="M478" s="28" t="s">
        <v>1335</v>
      </c>
      <c r="N478" s="28" t="s">
        <v>2170</v>
      </c>
      <c r="O478" s="28" t="s">
        <v>2171</v>
      </c>
      <c r="P478" s="29" t="s">
        <v>1193</v>
      </c>
      <c r="Q478" s="29" t="s">
        <v>2172</v>
      </c>
      <c r="R478" s="29" t="s">
        <v>2173</v>
      </c>
      <c r="S478" s="30">
        <v>2227.86</v>
      </c>
      <c r="T478" s="30">
        <v>606.15</v>
      </c>
      <c r="U478" s="30">
        <v>1621.71</v>
      </c>
    </row>
    <row x14ac:dyDescent="0.25" r="479" customHeight="1" ht="18.75">
      <c r="A479" s="21">
        <v>478</v>
      </c>
      <c r="B479" s="22" t="s">
        <v>2174</v>
      </c>
      <c r="C479" s="22" t="s">
        <v>289</v>
      </c>
      <c r="D479" s="22" t="s">
        <v>2175</v>
      </c>
      <c r="E479" s="22" t="s">
        <v>335</v>
      </c>
      <c r="F479" s="23"/>
      <c r="G479" s="22"/>
      <c r="H479" s="24"/>
      <c r="I479" s="25"/>
      <c r="J479" s="26">
        <v>488</v>
      </c>
      <c r="K479" s="27" t="s">
        <v>180</v>
      </c>
      <c r="L479" s="27" t="s">
        <v>169</v>
      </c>
      <c r="M479" s="28" t="s">
        <v>292</v>
      </c>
      <c r="N479" s="28" t="s">
        <v>293</v>
      </c>
      <c r="O479" s="28" t="s">
        <v>294</v>
      </c>
      <c r="P479" s="29" t="s">
        <v>292</v>
      </c>
      <c r="Q479" s="29" t="s">
        <v>293</v>
      </c>
      <c r="R479" s="29" t="s">
        <v>294</v>
      </c>
      <c r="S479" s="30">
        <v>3818.4</v>
      </c>
      <c r="T479" s="30">
        <v>346.79</v>
      </c>
      <c r="U479" s="30">
        <v>3471.61</v>
      </c>
    </row>
    <row x14ac:dyDescent="0.25" r="480" customHeight="1" ht="18.75">
      <c r="A480" s="21">
        <v>479</v>
      </c>
      <c r="B480" s="22" t="s">
        <v>2176</v>
      </c>
      <c r="C480" s="22" t="s">
        <v>166</v>
      </c>
      <c r="D480" s="22" t="s">
        <v>2177</v>
      </c>
      <c r="E480" s="22" t="s">
        <v>280</v>
      </c>
      <c r="F480" s="23"/>
      <c r="G480" s="22"/>
      <c r="H480" s="24"/>
      <c r="I480" s="25"/>
      <c r="J480" s="26">
        <v>201</v>
      </c>
      <c r="K480" s="27" t="s">
        <v>180</v>
      </c>
      <c r="L480" s="27" t="s">
        <v>169</v>
      </c>
      <c r="M480" s="28" t="s">
        <v>1335</v>
      </c>
      <c r="N480" s="28" t="s">
        <v>1336</v>
      </c>
      <c r="O480" s="28" t="s">
        <v>1337</v>
      </c>
      <c r="P480" s="29" t="s">
        <v>1193</v>
      </c>
      <c r="Q480" s="29" t="s">
        <v>2178</v>
      </c>
      <c r="R480" s="29" t="s">
        <v>2179</v>
      </c>
      <c r="S480" s="30">
        <v>2248.33</v>
      </c>
      <c r="T480" s="30">
        <v>704.8</v>
      </c>
      <c r="U480" s="30">
        <v>1543.53</v>
      </c>
    </row>
    <row x14ac:dyDescent="0.25" r="481" customHeight="1" ht="18.75">
      <c r="A481" s="21">
        <v>480</v>
      </c>
      <c r="B481" s="22" t="s">
        <v>2180</v>
      </c>
      <c r="C481" s="22" t="s">
        <v>368</v>
      </c>
      <c r="D481" s="22" t="s">
        <v>2181</v>
      </c>
      <c r="E481" s="22" t="s">
        <v>370</v>
      </c>
      <c r="F481" s="23"/>
      <c r="G481" s="22"/>
      <c r="H481" s="24"/>
      <c r="I481" s="25"/>
      <c r="J481" s="26">
        <v>267</v>
      </c>
      <c r="K481" s="27" t="s">
        <v>180</v>
      </c>
      <c r="L481" s="27" t="s">
        <v>169</v>
      </c>
      <c r="M481" s="28" t="s">
        <v>2182</v>
      </c>
      <c r="N481" s="28" t="s">
        <v>2183</v>
      </c>
      <c r="O481" s="28" t="s">
        <v>2184</v>
      </c>
      <c r="P481" s="29" t="s">
        <v>2185</v>
      </c>
      <c r="Q481" s="29" t="s">
        <v>2186</v>
      </c>
      <c r="R481" s="29" t="s">
        <v>2187</v>
      </c>
      <c r="S481" s="30">
        <v>4746.54</v>
      </c>
      <c r="T481" s="30">
        <v>466.01</v>
      </c>
      <c r="U481" s="30">
        <v>4280.53</v>
      </c>
    </row>
    <row x14ac:dyDescent="0.25" r="482" customHeight="1" ht="18.75">
      <c r="A482" s="21">
        <v>481</v>
      </c>
      <c r="B482" s="22" t="s">
        <v>2188</v>
      </c>
      <c r="C482" s="22" t="s">
        <v>166</v>
      </c>
      <c r="D482" s="22" t="s">
        <v>2189</v>
      </c>
      <c r="E482" s="22" t="s">
        <v>140</v>
      </c>
      <c r="F482" s="23"/>
      <c r="G482" s="22"/>
      <c r="H482" s="24"/>
      <c r="I482" s="25"/>
      <c r="J482" s="26">
        <v>138</v>
      </c>
      <c r="K482" s="27" t="s">
        <v>180</v>
      </c>
      <c r="L482" s="27" t="s">
        <v>169</v>
      </c>
      <c r="M482" s="28" t="s">
        <v>422</v>
      </c>
      <c r="N482" s="28" t="s">
        <v>2190</v>
      </c>
      <c r="O482" s="28" t="s">
        <v>2191</v>
      </c>
      <c r="P482" s="29" t="s">
        <v>2192</v>
      </c>
      <c r="Q482" s="29" t="s">
        <v>2193</v>
      </c>
      <c r="R482" s="29" t="s">
        <v>2194</v>
      </c>
      <c r="S482" s="30">
        <v>1925.27</v>
      </c>
      <c r="T482" s="30">
        <v>419.53</v>
      </c>
      <c r="U482" s="30">
        <v>1505.74</v>
      </c>
    </row>
    <row x14ac:dyDescent="0.25" r="483" customHeight="1" ht="18.75">
      <c r="A483" s="21">
        <v>482</v>
      </c>
      <c r="B483" s="22" t="s">
        <v>2195</v>
      </c>
      <c r="C483" s="22" t="s">
        <v>190</v>
      </c>
      <c r="D483" s="22" t="s">
        <v>2196</v>
      </c>
      <c r="E483" s="22" t="s">
        <v>140</v>
      </c>
      <c r="F483" s="23"/>
      <c r="G483" s="22"/>
      <c r="H483" s="24"/>
      <c r="I483" s="25"/>
      <c r="J483" s="26">
        <v>585</v>
      </c>
      <c r="K483" s="27" t="s">
        <v>168</v>
      </c>
      <c r="L483" s="27" t="s">
        <v>169</v>
      </c>
      <c r="M483" s="28" t="s">
        <v>2197</v>
      </c>
      <c r="N483" s="28" t="s">
        <v>2198</v>
      </c>
      <c r="O483" s="28" t="s">
        <v>2199</v>
      </c>
      <c r="P483" s="29" t="s">
        <v>2200</v>
      </c>
      <c r="Q483" s="29" t="s">
        <v>2201</v>
      </c>
      <c r="R483" s="29" t="s">
        <v>2202</v>
      </c>
      <c r="S483" s="30">
        <v>3537.03</v>
      </c>
      <c r="T483" s="30">
        <v>313.03</v>
      </c>
      <c r="U483" s="30">
        <v>3224</v>
      </c>
    </row>
    <row x14ac:dyDescent="0.25" r="484" customHeight="1" ht="18.75">
      <c r="A484" s="21">
        <v>483</v>
      </c>
      <c r="B484" s="22" t="s">
        <v>2203</v>
      </c>
      <c r="C484" s="22" t="s">
        <v>190</v>
      </c>
      <c r="D484" s="22" t="s">
        <v>2204</v>
      </c>
      <c r="E484" s="22" t="s">
        <v>140</v>
      </c>
      <c r="F484" s="23"/>
      <c r="G484" s="22"/>
      <c r="H484" s="24"/>
      <c r="I484" s="25"/>
      <c r="J484" s="26">
        <v>634</v>
      </c>
      <c r="K484" s="27" t="s">
        <v>2205</v>
      </c>
      <c r="L484" s="27" t="s">
        <v>169</v>
      </c>
      <c r="M484" s="28" t="s">
        <v>2206</v>
      </c>
      <c r="N484" s="28" t="s">
        <v>275</v>
      </c>
      <c r="O484" s="28" t="s">
        <v>2207</v>
      </c>
      <c r="P484" s="29" t="s">
        <v>236</v>
      </c>
      <c r="Q484" s="29" t="s">
        <v>275</v>
      </c>
      <c r="R484" s="29" t="s">
        <v>276</v>
      </c>
      <c r="S484" s="30">
        <v>3566.49</v>
      </c>
      <c r="T484" s="30">
        <v>316.56</v>
      </c>
      <c r="U484" s="30">
        <v>3249.93</v>
      </c>
    </row>
    <row x14ac:dyDescent="0.25" r="485" customHeight="1" ht="18.75">
      <c r="A485" s="21">
        <v>484</v>
      </c>
      <c r="B485" s="22" t="s">
        <v>2208</v>
      </c>
      <c r="C485" s="22" t="s">
        <v>278</v>
      </c>
      <c r="D485" s="22" t="s">
        <v>2209</v>
      </c>
      <c r="E485" s="22" t="s">
        <v>33</v>
      </c>
      <c r="F485" s="23"/>
      <c r="G485" s="22"/>
      <c r="H485" s="24"/>
      <c r="I485" s="25"/>
      <c r="J485" s="26">
        <v>643</v>
      </c>
      <c r="K485" s="27" t="s">
        <v>460</v>
      </c>
      <c r="L485" s="27" t="s">
        <v>169</v>
      </c>
      <c r="M485" s="28" t="s">
        <v>417</v>
      </c>
      <c r="N485" s="28" t="s">
        <v>418</v>
      </c>
      <c r="O485" s="28" t="s">
        <v>419</v>
      </c>
      <c r="P485" s="29" t="s">
        <v>417</v>
      </c>
      <c r="Q485" s="29" t="s">
        <v>418</v>
      </c>
      <c r="R485" s="29" t="s">
        <v>419</v>
      </c>
      <c r="S485" s="30">
        <v>4280</v>
      </c>
      <c r="T485" s="30">
        <v>402.18</v>
      </c>
      <c r="U485" s="30">
        <v>3877.82</v>
      </c>
    </row>
    <row x14ac:dyDescent="0.25" r="486" customHeight="1" ht="18.75">
      <c r="A486" s="21">
        <v>485</v>
      </c>
      <c r="B486" s="22" t="s">
        <v>2210</v>
      </c>
      <c r="C486" s="22" t="s">
        <v>656</v>
      </c>
      <c r="D486" s="22" t="s">
        <v>2211</v>
      </c>
      <c r="E486" s="22" t="s">
        <v>191</v>
      </c>
      <c r="F486" s="23"/>
      <c r="G486" s="22"/>
      <c r="H486" s="24"/>
      <c r="I486" s="25"/>
      <c r="J486" s="26">
        <v>59</v>
      </c>
      <c r="K486" s="27" t="s">
        <v>180</v>
      </c>
      <c r="L486" s="27" t="s">
        <v>169</v>
      </c>
      <c r="M486" s="28" t="s">
        <v>658</v>
      </c>
      <c r="N486" s="28" t="s">
        <v>661</v>
      </c>
      <c r="O486" s="28" t="s">
        <v>662</v>
      </c>
      <c r="P486" s="29" t="s">
        <v>658</v>
      </c>
      <c r="Q486" s="29" t="s">
        <v>661</v>
      </c>
      <c r="R486" s="29" t="s">
        <v>662</v>
      </c>
      <c r="S486" s="30">
        <v>3000</v>
      </c>
      <c r="T486" s="30">
        <v>308.25</v>
      </c>
      <c r="U486" s="30">
        <v>2691.75</v>
      </c>
    </row>
    <row x14ac:dyDescent="0.25" r="487" customHeight="1" ht="18.75">
      <c r="A487" s="21">
        <v>486</v>
      </c>
      <c r="B487" s="22" t="s">
        <v>2212</v>
      </c>
      <c r="C487" s="22" t="s">
        <v>402</v>
      </c>
      <c r="D487" s="22" t="s">
        <v>2213</v>
      </c>
      <c r="E487" s="22" t="s">
        <v>489</v>
      </c>
      <c r="F487" s="23"/>
      <c r="G487" s="22"/>
      <c r="H487" s="24"/>
      <c r="I487" s="25"/>
      <c r="J487" s="26">
        <v>190</v>
      </c>
      <c r="K487" s="27" t="s">
        <v>180</v>
      </c>
      <c r="L487" s="27" t="s">
        <v>169</v>
      </c>
      <c r="M487" s="28" t="s">
        <v>1048</v>
      </c>
      <c r="N487" s="28" t="s">
        <v>1049</v>
      </c>
      <c r="O487" s="28" t="s">
        <v>1050</v>
      </c>
      <c r="P487" s="29" t="s">
        <v>1048</v>
      </c>
      <c r="Q487" s="29" t="s">
        <v>1049</v>
      </c>
      <c r="R487" s="29" t="s">
        <v>1050</v>
      </c>
      <c r="S487" s="30">
        <v>3720</v>
      </c>
      <c r="T487" s="30">
        <v>334.98</v>
      </c>
      <c r="U487" s="30">
        <v>3385.02</v>
      </c>
    </row>
    <row x14ac:dyDescent="0.25" r="488" customHeight="1" ht="18.75">
      <c r="A488" s="21">
        <v>487</v>
      </c>
      <c r="B488" s="22" t="s">
        <v>2214</v>
      </c>
      <c r="C488" s="22" t="s">
        <v>289</v>
      </c>
      <c r="D488" s="22" t="s">
        <v>2215</v>
      </c>
      <c r="E488" s="22" t="s">
        <v>232</v>
      </c>
      <c r="F488" s="23"/>
      <c r="G488" s="22"/>
      <c r="H488" s="24"/>
      <c r="I488" s="25"/>
      <c r="J488" s="26">
        <v>557</v>
      </c>
      <c r="K488" s="27" t="s">
        <v>180</v>
      </c>
      <c r="L488" s="27" t="s">
        <v>169</v>
      </c>
      <c r="M488" s="28" t="s">
        <v>292</v>
      </c>
      <c r="N488" s="28" t="s">
        <v>293</v>
      </c>
      <c r="O488" s="28" t="s">
        <v>294</v>
      </c>
      <c r="P488" s="29" t="s">
        <v>292</v>
      </c>
      <c r="Q488" s="29" t="s">
        <v>293</v>
      </c>
      <c r="R488" s="29" t="s">
        <v>294</v>
      </c>
      <c r="S488" s="30">
        <v>3818.4</v>
      </c>
      <c r="T488" s="30">
        <v>346.79</v>
      </c>
      <c r="U488" s="30">
        <v>3471.61</v>
      </c>
    </row>
    <row x14ac:dyDescent="0.25" r="489" customHeight="1" ht="18.75">
      <c r="A489" s="21">
        <v>488</v>
      </c>
      <c r="B489" s="22" t="s">
        <v>2216</v>
      </c>
      <c r="C489" s="22" t="s">
        <v>190</v>
      </c>
      <c r="D489" s="22" t="s">
        <v>2217</v>
      </c>
      <c r="E489" s="22" t="s">
        <v>249</v>
      </c>
      <c r="F489" s="23"/>
      <c r="G489" s="22"/>
      <c r="H489" s="24"/>
      <c r="I489" s="25"/>
      <c r="J489" s="26">
        <v>210</v>
      </c>
      <c r="K489" s="27" t="s">
        <v>180</v>
      </c>
      <c r="L489" s="27" t="s">
        <v>169</v>
      </c>
      <c r="M489" s="28" t="s">
        <v>2218</v>
      </c>
      <c r="N489" s="28" t="s">
        <v>2219</v>
      </c>
      <c r="O489" s="28" t="s">
        <v>2220</v>
      </c>
      <c r="P489" s="29" t="s">
        <v>303</v>
      </c>
      <c r="Q489" s="29" t="s">
        <v>304</v>
      </c>
      <c r="R489" s="29" t="s">
        <v>305</v>
      </c>
      <c r="S489" s="30">
        <v>3504.05</v>
      </c>
      <c r="T489" s="30">
        <v>309.07</v>
      </c>
      <c r="U489" s="30">
        <v>3194.98</v>
      </c>
    </row>
    <row x14ac:dyDescent="0.25" r="490" customHeight="1" ht="18.75">
      <c r="A490" s="21">
        <v>489</v>
      </c>
      <c r="B490" s="22" t="s">
        <v>2221</v>
      </c>
      <c r="C490" s="22" t="s">
        <v>396</v>
      </c>
      <c r="D490" s="22" t="s">
        <v>2222</v>
      </c>
      <c r="E490" s="22" t="s">
        <v>191</v>
      </c>
      <c r="F490" s="23"/>
      <c r="G490" s="22"/>
      <c r="H490" s="24"/>
      <c r="I490" s="25"/>
      <c r="J490" s="26">
        <v>184</v>
      </c>
      <c r="K490" s="27" t="s">
        <v>180</v>
      </c>
      <c r="L490" s="27" t="s">
        <v>169</v>
      </c>
      <c r="M490" s="28" t="s">
        <v>642</v>
      </c>
      <c r="N490" s="28" t="s">
        <v>643</v>
      </c>
      <c r="O490" s="28" t="s">
        <v>644</v>
      </c>
      <c r="P490" s="29" t="s">
        <v>645</v>
      </c>
      <c r="Q490" s="29" t="s">
        <v>646</v>
      </c>
      <c r="R490" s="29" t="s">
        <v>647</v>
      </c>
      <c r="S490" s="30">
        <v>4909.37</v>
      </c>
      <c r="T490" s="30">
        <v>488.81</v>
      </c>
      <c r="U490" s="30">
        <v>4420.56</v>
      </c>
    </row>
    <row x14ac:dyDescent="0.25" r="491" customHeight="1" ht="18.75">
      <c r="A491" s="21">
        <v>490</v>
      </c>
      <c r="B491" s="31" t="s">
        <v>2223</v>
      </c>
      <c r="C491" s="22" t="s">
        <v>549</v>
      </c>
      <c r="D491" s="22"/>
      <c r="E491" s="22" t="s">
        <v>474</v>
      </c>
      <c r="F491" s="23"/>
      <c r="G491" s="22"/>
      <c r="H491" s="24"/>
      <c r="I491" s="25"/>
      <c r="J491" s="32"/>
      <c r="K491" s="27"/>
      <c r="L491" s="27" t="s">
        <v>169</v>
      </c>
      <c r="M491" s="28"/>
      <c r="N491" s="28"/>
      <c r="O491" s="28"/>
      <c r="P491" s="29"/>
      <c r="Q491" s="29"/>
      <c r="R491" s="29"/>
      <c r="S491" s="30">
        <v>1625.81</v>
      </c>
      <c r="T491" s="28">
        <v>122</v>
      </c>
      <c r="U491" s="30">
        <v>1503.81</v>
      </c>
    </row>
    <row x14ac:dyDescent="0.25" r="492" customHeight="1" ht="18.75">
      <c r="A492" s="21">
        <v>491</v>
      </c>
      <c r="B492" s="22" t="s">
        <v>2224</v>
      </c>
      <c r="C492" s="22" t="s">
        <v>190</v>
      </c>
      <c r="D492" s="22" t="s">
        <v>2225</v>
      </c>
      <c r="E492" s="22" t="s">
        <v>98</v>
      </c>
      <c r="F492" s="23"/>
      <c r="G492" s="22"/>
      <c r="H492" s="24"/>
      <c r="I492" s="25"/>
      <c r="J492" s="26">
        <v>603</v>
      </c>
      <c r="K492" s="27" t="s">
        <v>545</v>
      </c>
      <c r="L492" s="27" t="s">
        <v>169</v>
      </c>
      <c r="M492" s="28" t="s">
        <v>2206</v>
      </c>
      <c r="N492" s="28" t="s">
        <v>275</v>
      </c>
      <c r="O492" s="28" t="s">
        <v>2207</v>
      </c>
      <c r="P492" s="29" t="s">
        <v>236</v>
      </c>
      <c r="Q492" s="29" t="s">
        <v>2226</v>
      </c>
      <c r="R492" s="29" t="s">
        <v>2227</v>
      </c>
      <c r="S492" s="30">
        <v>3433.34</v>
      </c>
      <c r="T492" s="30">
        <v>1177.61</v>
      </c>
      <c r="U492" s="30">
        <v>2255.73</v>
      </c>
    </row>
    <row x14ac:dyDescent="0.25" r="493" customHeight="1" ht="18.75">
      <c r="A493" s="21">
        <v>492</v>
      </c>
      <c r="B493" s="22" t="s">
        <v>2228</v>
      </c>
      <c r="C493" s="22" t="s">
        <v>166</v>
      </c>
      <c r="D493" s="22" t="s">
        <v>2229</v>
      </c>
      <c r="E493" s="22" t="s">
        <v>110</v>
      </c>
      <c r="F493" s="23"/>
      <c r="G493" s="22"/>
      <c r="H493" s="24"/>
      <c r="I493" s="25"/>
      <c r="J493" s="26">
        <v>621</v>
      </c>
      <c r="K493" s="27" t="s">
        <v>475</v>
      </c>
      <c r="L493" s="27" t="s">
        <v>169</v>
      </c>
      <c r="M493" s="28" t="s">
        <v>266</v>
      </c>
      <c r="N493" s="28" t="s">
        <v>171</v>
      </c>
      <c r="O493" s="28" t="s">
        <v>267</v>
      </c>
      <c r="P493" s="29" t="s">
        <v>268</v>
      </c>
      <c r="Q493" s="29" t="s">
        <v>174</v>
      </c>
      <c r="R493" s="29" t="s">
        <v>361</v>
      </c>
      <c r="S493" s="30">
        <v>1835.97</v>
      </c>
      <c r="T493" s="30">
        <v>128.76</v>
      </c>
      <c r="U493" s="30">
        <v>1707.21</v>
      </c>
    </row>
    <row x14ac:dyDescent="0.25" r="494" customHeight="1" ht="18.75">
      <c r="A494" s="21">
        <v>493</v>
      </c>
      <c r="B494" s="22" t="s">
        <v>2230</v>
      </c>
      <c r="C494" s="22" t="s">
        <v>190</v>
      </c>
      <c r="D494" s="22" t="s">
        <v>2231</v>
      </c>
      <c r="E494" s="22" t="s">
        <v>191</v>
      </c>
      <c r="F494" s="23"/>
      <c r="G494" s="22"/>
      <c r="H494" s="24"/>
      <c r="I494" s="25"/>
      <c r="J494" s="26">
        <v>3</v>
      </c>
      <c r="K494" s="27" t="s">
        <v>180</v>
      </c>
      <c r="L494" s="27" t="s">
        <v>169</v>
      </c>
      <c r="M494" s="28" t="s">
        <v>2232</v>
      </c>
      <c r="N494" s="28" t="s">
        <v>2233</v>
      </c>
      <c r="O494" s="28" t="s">
        <v>2234</v>
      </c>
      <c r="P494" s="29" t="s">
        <v>2235</v>
      </c>
      <c r="Q494" s="29" t="s">
        <v>2236</v>
      </c>
      <c r="R494" s="29" t="s">
        <v>2237</v>
      </c>
      <c r="S494" s="30">
        <v>3184.61</v>
      </c>
      <c r="T494" s="30">
        <v>468.94</v>
      </c>
      <c r="U494" s="30">
        <v>2715.67</v>
      </c>
    </row>
    <row x14ac:dyDescent="0.25" r="495" customHeight="1" ht="18.75">
      <c r="A495" s="21">
        <v>494</v>
      </c>
      <c r="B495" s="22" t="s">
        <v>2238</v>
      </c>
      <c r="C495" s="22" t="s">
        <v>166</v>
      </c>
      <c r="D495" s="22" t="s">
        <v>2239</v>
      </c>
      <c r="E495" s="22" t="s">
        <v>191</v>
      </c>
      <c r="F495" s="23"/>
      <c r="G495" s="22"/>
      <c r="H495" s="24"/>
      <c r="I495" s="25"/>
      <c r="J495" s="26">
        <v>90</v>
      </c>
      <c r="K495" s="27" t="s">
        <v>180</v>
      </c>
      <c r="L495" s="27" t="s">
        <v>169</v>
      </c>
      <c r="M495" s="28" t="s">
        <v>2240</v>
      </c>
      <c r="N495" s="28" t="s">
        <v>2241</v>
      </c>
      <c r="O495" s="28" t="s">
        <v>2242</v>
      </c>
      <c r="P495" s="29" t="s">
        <v>344</v>
      </c>
      <c r="Q495" s="29" t="s">
        <v>454</v>
      </c>
      <c r="R495" s="29" t="s">
        <v>455</v>
      </c>
      <c r="S495" s="30">
        <v>1701.11</v>
      </c>
      <c r="T495" s="30">
        <v>128.77</v>
      </c>
      <c r="U495" s="30">
        <v>1572.34</v>
      </c>
    </row>
    <row x14ac:dyDescent="0.25" r="496" customHeight="1" ht="18.75">
      <c r="A496" s="21">
        <v>495</v>
      </c>
      <c r="B496" s="22" t="s">
        <v>2243</v>
      </c>
      <c r="C496" s="22" t="s">
        <v>166</v>
      </c>
      <c r="D496" s="22" t="s">
        <v>2244</v>
      </c>
      <c r="E496" s="22" t="s">
        <v>191</v>
      </c>
      <c r="F496" s="23"/>
      <c r="G496" s="22"/>
      <c r="H496" s="24"/>
      <c r="I496" s="25"/>
      <c r="J496" s="26">
        <v>2</v>
      </c>
      <c r="K496" s="27" t="s">
        <v>180</v>
      </c>
      <c r="L496" s="27" t="s">
        <v>169</v>
      </c>
      <c r="M496" s="28" t="s">
        <v>170</v>
      </c>
      <c r="N496" s="28" t="s">
        <v>171</v>
      </c>
      <c r="O496" s="28" t="s">
        <v>172</v>
      </c>
      <c r="P496" s="29" t="s">
        <v>344</v>
      </c>
      <c r="Q496" s="29" t="s">
        <v>454</v>
      </c>
      <c r="R496" s="29" t="s">
        <v>455</v>
      </c>
      <c r="S496" s="30">
        <v>1730.61</v>
      </c>
      <c r="T496" s="30">
        <v>427.59</v>
      </c>
      <c r="U496" s="30">
        <v>1303.02</v>
      </c>
    </row>
    <row x14ac:dyDescent="0.25" r="497" customHeight="1" ht="18.75">
      <c r="A497" s="21">
        <v>496</v>
      </c>
      <c r="B497" s="22" t="s">
        <v>2245</v>
      </c>
      <c r="C497" s="22" t="s">
        <v>166</v>
      </c>
      <c r="D497" s="22" t="s">
        <v>2246</v>
      </c>
      <c r="E497" s="22" t="s">
        <v>273</v>
      </c>
      <c r="F497" s="23"/>
      <c r="G497" s="22"/>
      <c r="H497" s="24"/>
      <c r="I497" s="25"/>
      <c r="J497" s="26">
        <v>300</v>
      </c>
      <c r="K497" s="27" t="s">
        <v>180</v>
      </c>
      <c r="L497" s="27" t="s">
        <v>169</v>
      </c>
      <c r="M497" s="28" t="s">
        <v>266</v>
      </c>
      <c r="N497" s="28" t="s">
        <v>171</v>
      </c>
      <c r="O497" s="28" t="s">
        <v>267</v>
      </c>
      <c r="P497" s="29" t="s">
        <v>268</v>
      </c>
      <c r="Q497" s="29" t="s">
        <v>174</v>
      </c>
      <c r="R497" s="29" t="s">
        <v>361</v>
      </c>
      <c r="S497" s="30">
        <v>1817.02</v>
      </c>
      <c r="T497" s="30">
        <v>127.05</v>
      </c>
      <c r="U497" s="30">
        <v>1689.97</v>
      </c>
    </row>
    <row x14ac:dyDescent="0.25" r="498" customHeight="1" ht="18.75">
      <c r="A498" s="21">
        <v>497</v>
      </c>
      <c r="B498" s="22" t="s">
        <v>2247</v>
      </c>
      <c r="C498" s="22" t="s">
        <v>166</v>
      </c>
      <c r="D498" s="22" t="s">
        <v>2248</v>
      </c>
      <c r="E498" s="22" t="s">
        <v>140</v>
      </c>
      <c r="F498" s="23"/>
      <c r="G498" s="22"/>
      <c r="H498" s="24"/>
      <c r="I498" s="25"/>
      <c r="J498" s="26">
        <v>123</v>
      </c>
      <c r="K498" s="27" t="s">
        <v>180</v>
      </c>
      <c r="L498" s="27" t="s">
        <v>169</v>
      </c>
      <c r="M498" s="28" t="s">
        <v>2249</v>
      </c>
      <c r="N498" s="28" t="s">
        <v>2250</v>
      </c>
      <c r="O498" s="28" t="s">
        <v>2251</v>
      </c>
      <c r="P498" s="29" t="s">
        <v>2252</v>
      </c>
      <c r="Q498" s="29" t="s">
        <v>2253</v>
      </c>
      <c r="R498" s="29" t="s">
        <v>2254</v>
      </c>
      <c r="S498" s="30">
        <v>1925.27</v>
      </c>
      <c r="T498" s="30">
        <v>684.06</v>
      </c>
      <c r="U498" s="30">
        <v>1241.21</v>
      </c>
    </row>
    <row x14ac:dyDescent="0.25" r="499" customHeight="1" ht="18.75">
      <c r="A499" s="21">
        <v>498</v>
      </c>
      <c r="B499" s="22" t="s">
        <v>2255</v>
      </c>
      <c r="C499" s="22" t="s">
        <v>166</v>
      </c>
      <c r="D499" s="22" t="s">
        <v>2256</v>
      </c>
      <c r="E499" s="22" t="s">
        <v>474</v>
      </c>
      <c r="F499" s="23"/>
      <c r="G499" s="22"/>
      <c r="H499" s="24"/>
      <c r="I499" s="25"/>
      <c r="J499" s="26">
        <v>540</v>
      </c>
      <c r="K499" s="27" t="s">
        <v>180</v>
      </c>
      <c r="L499" s="27" t="s">
        <v>169</v>
      </c>
      <c r="M499" s="28" t="s">
        <v>170</v>
      </c>
      <c r="N499" s="28" t="s">
        <v>171</v>
      </c>
      <c r="O499" s="28" t="s">
        <v>172</v>
      </c>
      <c r="P499" s="29" t="s">
        <v>173</v>
      </c>
      <c r="Q499" s="29" t="s">
        <v>174</v>
      </c>
      <c r="R499" s="29" t="s">
        <v>175</v>
      </c>
      <c r="S499" s="30">
        <v>1681.94</v>
      </c>
      <c r="T499" s="30">
        <v>127.05</v>
      </c>
      <c r="U499" s="30">
        <v>1554.89</v>
      </c>
    </row>
    <row x14ac:dyDescent="0.25" r="500" customHeight="1" ht="18.75">
      <c r="A500" s="21">
        <v>499</v>
      </c>
      <c r="B500" s="22" t="s">
        <v>2257</v>
      </c>
      <c r="C500" s="22" t="s">
        <v>396</v>
      </c>
      <c r="D500" s="22" t="s">
        <v>2258</v>
      </c>
      <c r="E500" s="22" t="s">
        <v>474</v>
      </c>
      <c r="F500" s="23"/>
      <c r="G500" s="22"/>
      <c r="H500" s="24"/>
      <c r="I500" s="25"/>
      <c r="J500" s="26">
        <v>541</v>
      </c>
      <c r="K500" s="27" t="s">
        <v>180</v>
      </c>
      <c r="L500" s="27" t="s">
        <v>169</v>
      </c>
      <c r="M500" s="28" t="s">
        <v>642</v>
      </c>
      <c r="N500" s="28" t="s">
        <v>643</v>
      </c>
      <c r="O500" s="28" t="s">
        <v>644</v>
      </c>
      <c r="P500" s="29" t="s">
        <v>645</v>
      </c>
      <c r="Q500" s="29" t="s">
        <v>646</v>
      </c>
      <c r="R500" s="29" t="s">
        <v>647</v>
      </c>
      <c r="S500" s="30">
        <v>4909.37</v>
      </c>
      <c r="T500" s="30">
        <v>488.81</v>
      </c>
      <c r="U500" s="30">
        <v>4420.56</v>
      </c>
    </row>
    <row x14ac:dyDescent="0.25" r="501" customHeight="1" ht="18.75">
      <c r="A501" s="21">
        <v>500</v>
      </c>
      <c r="B501" s="22" t="s">
        <v>2259</v>
      </c>
      <c r="C501" s="22" t="s">
        <v>166</v>
      </c>
      <c r="D501" s="22" t="s">
        <v>2260</v>
      </c>
      <c r="E501" s="22" t="s">
        <v>140</v>
      </c>
      <c r="F501" s="23"/>
      <c r="G501" s="22"/>
      <c r="H501" s="24"/>
      <c r="I501" s="25"/>
      <c r="J501" s="26">
        <v>106</v>
      </c>
      <c r="K501" s="27" t="s">
        <v>180</v>
      </c>
      <c r="L501" s="27" t="s">
        <v>169</v>
      </c>
      <c r="M501" s="28" t="s">
        <v>2261</v>
      </c>
      <c r="N501" s="28" t="s">
        <v>575</v>
      </c>
      <c r="O501" s="28" t="s">
        <v>2262</v>
      </c>
      <c r="P501" s="29" t="s">
        <v>2263</v>
      </c>
      <c r="Q501" s="29" t="s">
        <v>2264</v>
      </c>
      <c r="R501" s="29" t="s">
        <v>2265</v>
      </c>
      <c r="S501" s="30">
        <v>1957.04</v>
      </c>
      <c r="T501" s="30">
        <v>145.73</v>
      </c>
      <c r="U501" s="30">
        <v>1811.31</v>
      </c>
    </row>
    <row x14ac:dyDescent="0.25" r="502" customHeight="1" ht="18.75">
      <c r="A502" s="21">
        <v>501</v>
      </c>
      <c r="B502" s="22" t="s">
        <v>2266</v>
      </c>
      <c r="C502" s="22" t="s">
        <v>278</v>
      </c>
      <c r="D502" s="22" t="s">
        <v>2267</v>
      </c>
      <c r="E502" s="22" t="s">
        <v>63</v>
      </c>
      <c r="F502" s="23"/>
      <c r="G502" s="22"/>
      <c r="H502" s="24"/>
      <c r="I502" s="25"/>
      <c r="J502" s="26">
        <v>528</v>
      </c>
      <c r="K502" s="27" t="s">
        <v>180</v>
      </c>
      <c r="L502" s="27" t="s">
        <v>169</v>
      </c>
      <c r="M502" s="28" t="s">
        <v>417</v>
      </c>
      <c r="N502" s="28" t="s">
        <v>418</v>
      </c>
      <c r="O502" s="28" t="s">
        <v>419</v>
      </c>
      <c r="P502" s="29" t="s">
        <v>417</v>
      </c>
      <c r="Q502" s="29" t="s">
        <v>418</v>
      </c>
      <c r="R502" s="29" t="s">
        <v>419</v>
      </c>
      <c r="S502" s="30">
        <v>4280</v>
      </c>
      <c r="T502" s="30">
        <v>402.18</v>
      </c>
      <c r="U502" s="30">
        <v>3877.82</v>
      </c>
    </row>
    <row x14ac:dyDescent="0.25" r="503" customHeight="1" ht="18.75">
      <c r="A503" s="21">
        <v>502</v>
      </c>
      <c r="B503" s="22" t="s">
        <v>2268</v>
      </c>
      <c r="C503" s="22" t="s">
        <v>166</v>
      </c>
      <c r="D503" s="22" t="s">
        <v>2269</v>
      </c>
      <c r="E503" s="22" t="s">
        <v>63</v>
      </c>
      <c r="F503" s="23"/>
      <c r="G503" s="22"/>
      <c r="H503" s="24"/>
      <c r="I503" s="25"/>
      <c r="J503" s="26">
        <v>569</v>
      </c>
      <c r="K503" s="27" t="s">
        <v>2270</v>
      </c>
      <c r="L503" s="27" t="s">
        <v>169</v>
      </c>
      <c r="M503" s="28" t="s">
        <v>170</v>
      </c>
      <c r="N503" s="28" t="s">
        <v>171</v>
      </c>
      <c r="O503" s="28" t="s">
        <v>172</v>
      </c>
      <c r="P503" s="29" t="s">
        <v>173</v>
      </c>
      <c r="Q503" s="29" t="s">
        <v>174</v>
      </c>
      <c r="R503" s="29" t="s">
        <v>175</v>
      </c>
      <c r="S503" s="30">
        <v>1681.94</v>
      </c>
      <c r="T503" s="30">
        <v>127.05</v>
      </c>
      <c r="U503" s="30">
        <v>1554.89</v>
      </c>
    </row>
    <row x14ac:dyDescent="0.25" r="504" customHeight="1" ht="18.75">
      <c r="A504" s="21">
        <v>503</v>
      </c>
      <c r="B504" s="22" t="s">
        <v>2271</v>
      </c>
      <c r="C504" s="22" t="s">
        <v>549</v>
      </c>
      <c r="D504" s="22" t="s">
        <v>2272</v>
      </c>
      <c r="E504" s="22" t="s">
        <v>591</v>
      </c>
      <c r="F504" s="23"/>
      <c r="G504" s="22"/>
      <c r="H504" s="24"/>
      <c r="I504" s="25"/>
      <c r="J504" s="26">
        <v>472</v>
      </c>
      <c r="K504" s="27" t="s">
        <v>180</v>
      </c>
      <c r="L504" s="27" t="s">
        <v>169</v>
      </c>
      <c r="M504" s="28" t="s">
        <v>592</v>
      </c>
      <c r="N504" s="28" t="s">
        <v>2273</v>
      </c>
      <c r="O504" s="28" t="s">
        <v>2274</v>
      </c>
      <c r="P504" s="29" t="s">
        <v>592</v>
      </c>
      <c r="Q504" s="29" t="s">
        <v>2273</v>
      </c>
      <c r="R504" s="29" t="s">
        <v>2274</v>
      </c>
      <c r="S504" s="30">
        <v>1805.02</v>
      </c>
      <c r="T504" s="30">
        <v>474.27</v>
      </c>
      <c r="U504" s="30">
        <v>1330.75</v>
      </c>
    </row>
    <row x14ac:dyDescent="0.25" r="505" customHeight="1" ht="18.75">
      <c r="A505" s="21">
        <v>504</v>
      </c>
      <c r="B505" s="22" t="s">
        <v>2275</v>
      </c>
      <c r="C505" s="22" t="s">
        <v>190</v>
      </c>
      <c r="D505" s="22" t="s">
        <v>2276</v>
      </c>
      <c r="E505" s="22" t="s">
        <v>191</v>
      </c>
      <c r="F505" s="23"/>
      <c r="G505" s="22"/>
      <c r="H505" s="24"/>
      <c r="I505" s="25"/>
      <c r="J505" s="26">
        <v>77</v>
      </c>
      <c r="K505" s="27" t="s">
        <v>180</v>
      </c>
      <c r="L505" s="27" t="s">
        <v>169</v>
      </c>
      <c r="M505" s="28" t="s">
        <v>2277</v>
      </c>
      <c r="N505" s="28" t="s">
        <v>2278</v>
      </c>
      <c r="O505" s="28" t="s">
        <v>2279</v>
      </c>
      <c r="P505" s="29" t="s">
        <v>1343</v>
      </c>
      <c r="Q505" s="29" t="s">
        <v>1344</v>
      </c>
      <c r="R505" s="29" t="s">
        <v>1345</v>
      </c>
      <c r="S505" s="30">
        <v>3486.69</v>
      </c>
      <c r="T505" s="30">
        <v>306.99</v>
      </c>
      <c r="U505" s="30">
        <v>3179.7</v>
      </c>
    </row>
    <row x14ac:dyDescent="0.25" r="506" customHeight="1" ht="18.75">
      <c r="A506" s="21">
        <v>505</v>
      </c>
      <c r="B506" s="22" t="s">
        <v>2280</v>
      </c>
      <c r="C506" s="22" t="s">
        <v>378</v>
      </c>
      <c r="D506" s="22" t="s">
        <v>2281</v>
      </c>
      <c r="E506" s="22" t="s">
        <v>191</v>
      </c>
      <c r="F506" s="23"/>
      <c r="G506" s="22"/>
      <c r="H506" s="24"/>
      <c r="I506" s="25"/>
      <c r="J506" s="26">
        <v>627</v>
      </c>
      <c r="K506" s="27" t="s">
        <v>2282</v>
      </c>
      <c r="L506" s="27" t="s">
        <v>169</v>
      </c>
      <c r="M506" s="28" t="s">
        <v>2283</v>
      </c>
      <c r="N506" s="28" t="s">
        <v>2284</v>
      </c>
      <c r="O506" s="28" t="s">
        <v>2285</v>
      </c>
      <c r="P506" s="29" t="s">
        <v>2286</v>
      </c>
      <c r="Q506" s="29" t="s">
        <v>2287</v>
      </c>
      <c r="R506" s="29" t="s">
        <v>2288</v>
      </c>
      <c r="S506" s="30">
        <v>2577.83</v>
      </c>
      <c r="T506" s="30">
        <v>284.99</v>
      </c>
      <c r="U506" s="30">
        <v>2292.84</v>
      </c>
    </row>
    <row x14ac:dyDescent="0.25" r="507" customHeight="1" ht="18.75">
      <c r="A507" s="21">
        <v>506</v>
      </c>
      <c r="B507" s="22" t="s">
        <v>2289</v>
      </c>
      <c r="C507" s="22" t="s">
        <v>166</v>
      </c>
      <c r="D507" s="22" t="s">
        <v>2290</v>
      </c>
      <c r="E507" s="22" t="s">
        <v>26</v>
      </c>
      <c r="F507" s="23"/>
      <c r="G507" s="22"/>
      <c r="H507" s="24"/>
      <c r="I507" s="25"/>
      <c r="J507" s="26">
        <v>614</v>
      </c>
      <c r="K507" s="27" t="s">
        <v>1117</v>
      </c>
      <c r="L507" s="27" t="s">
        <v>169</v>
      </c>
      <c r="M507" s="28" t="s">
        <v>225</v>
      </c>
      <c r="N507" s="28" t="s">
        <v>171</v>
      </c>
      <c r="O507" s="28" t="s">
        <v>226</v>
      </c>
      <c r="P507" s="29" t="s">
        <v>227</v>
      </c>
      <c r="Q507" s="29" t="s">
        <v>174</v>
      </c>
      <c r="R507" s="29" t="s">
        <v>297</v>
      </c>
      <c r="S507" s="30">
        <v>1749.48</v>
      </c>
      <c r="T507" s="30">
        <v>284.82</v>
      </c>
      <c r="U507" s="30">
        <v>1464.66</v>
      </c>
    </row>
    <row x14ac:dyDescent="0.25" r="508" customHeight="1" ht="18.75">
      <c r="A508" s="21">
        <v>507</v>
      </c>
      <c r="B508" s="22" t="s">
        <v>2291</v>
      </c>
      <c r="C508" s="22" t="s">
        <v>396</v>
      </c>
      <c r="D508" s="22" t="s">
        <v>2292</v>
      </c>
      <c r="E508" s="22" t="s">
        <v>191</v>
      </c>
      <c r="F508" s="23"/>
      <c r="G508" s="22"/>
      <c r="H508" s="24"/>
      <c r="I508" s="25"/>
      <c r="J508" s="26">
        <v>27</v>
      </c>
      <c r="K508" s="27" t="s">
        <v>180</v>
      </c>
      <c r="L508" s="27" t="s">
        <v>169</v>
      </c>
      <c r="M508" s="28" t="s">
        <v>642</v>
      </c>
      <c r="N508" s="28" t="s">
        <v>643</v>
      </c>
      <c r="O508" s="28" t="s">
        <v>644</v>
      </c>
      <c r="P508" s="29" t="s">
        <v>645</v>
      </c>
      <c r="Q508" s="29" t="s">
        <v>646</v>
      </c>
      <c r="R508" s="29" t="s">
        <v>647</v>
      </c>
      <c r="S508" s="30">
        <v>4909.81</v>
      </c>
      <c r="T508" s="30">
        <v>488.87</v>
      </c>
      <c r="U508" s="30">
        <v>4420.94</v>
      </c>
    </row>
    <row x14ac:dyDescent="0.25" r="509" customHeight="1" ht="18.75">
      <c r="A509" s="21">
        <v>508</v>
      </c>
      <c r="B509" s="22" t="s">
        <v>2293</v>
      </c>
      <c r="C509" s="22" t="s">
        <v>166</v>
      </c>
      <c r="D509" s="22" t="s">
        <v>2294</v>
      </c>
      <c r="E509" s="22" t="s">
        <v>6</v>
      </c>
      <c r="F509" s="23"/>
      <c r="G509" s="22"/>
      <c r="H509" s="24"/>
      <c r="I509" s="25"/>
      <c r="J509" s="26">
        <v>409</v>
      </c>
      <c r="K509" s="27" t="s">
        <v>180</v>
      </c>
      <c r="L509" s="27" t="s">
        <v>169</v>
      </c>
      <c r="M509" s="28" t="s">
        <v>266</v>
      </c>
      <c r="N509" s="28" t="s">
        <v>171</v>
      </c>
      <c r="O509" s="28" t="s">
        <v>267</v>
      </c>
      <c r="P509" s="29" t="s">
        <v>268</v>
      </c>
      <c r="Q509" s="29" t="s">
        <v>174</v>
      </c>
      <c r="R509" s="29" t="s">
        <v>361</v>
      </c>
      <c r="S509" s="30">
        <v>1817.02</v>
      </c>
      <c r="T509" s="30">
        <v>127.05</v>
      </c>
      <c r="U509" s="30">
        <v>1689.97</v>
      </c>
    </row>
    <row x14ac:dyDescent="0.25" r="510" customHeight="1" ht="18.75">
      <c r="A510" s="21">
        <v>509</v>
      </c>
      <c r="B510" s="22" t="s">
        <v>2295</v>
      </c>
      <c r="C510" s="22" t="s">
        <v>166</v>
      </c>
      <c r="D510" s="22" t="s">
        <v>2296</v>
      </c>
      <c r="E510" s="22" t="s">
        <v>94</v>
      </c>
      <c r="F510" s="23"/>
      <c r="G510" s="22"/>
      <c r="H510" s="24"/>
      <c r="I510" s="25"/>
      <c r="J510" s="26">
        <v>331</v>
      </c>
      <c r="K510" s="27" t="s">
        <v>180</v>
      </c>
      <c r="L510" s="27" t="s">
        <v>169</v>
      </c>
      <c r="M510" s="28" t="s">
        <v>170</v>
      </c>
      <c r="N510" s="28" t="s">
        <v>171</v>
      </c>
      <c r="O510" s="28" t="s">
        <v>172</v>
      </c>
      <c r="P510" s="29" t="s">
        <v>173</v>
      </c>
      <c r="Q510" s="29" t="s">
        <v>174</v>
      </c>
      <c r="R510" s="29" t="s">
        <v>175</v>
      </c>
      <c r="S510" s="30">
        <v>1686.79</v>
      </c>
      <c r="T510" s="30">
        <v>127.49</v>
      </c>
      <c r="U510" s="30">
        <v>1559.3</v>
      </c>
    </row>
    <row x14ac:dyDescent="0.25" r="511" customHeight="1" ht="18.75">
      <c r="A511" s="21">
        <v>510</v>
      </c>
      <c r="B511" s="22" t="s">
        <v>2297</v>
      </c>
      <c r="C511" s="22" t="s">
        <v>190</v>
      </c>
      <c r="D511" s="22" t="s">
        <v>2298</v>
      </c>
      <c r="E511" s="22" t="s">
        <v>370</v>
      </c>
      <c r="F511" s="23"/>
      <c r="G511" s="22"/>
      <c r="H511" s="24"/>
      <c r="I511" s="25"/>
      <c r="J511" s="26">
        <v>270</v>
      </c>
      <c r="K511" s="27" t="s">
        <v>180</v>
      </c>
      <c r="L511" s="27" t="s">
        <v>169</v>
      </c>
      <c r="M511" s="28" t="s">
        <v>2299</v>
      </c>
      <c r="N511" s="28" t="s">
        <v>2300</v>
      </c>
      <c r="O511" s="28" t="s">
        <v>2301</v>
      </c>
      <c r="P511" s="29" t="s">
        <v>2302</v>
      </c>
      <c r="Q511" s="29" t="s">
        <v>2303</v>
      </c>
      <c r="R511" s="29" t="s">
        <v>2304</v>
      </c>
      <c r="S511" s="30">
        <v>3756.16</v>
      </c>
      <c r="T511" s="30">
        <v>534.24</v>
      </c>
      <c r="U511" s="30">
        <v>3221.92</v>
      </c>
    </row>
    <row x14ac:dyDescent="0.25" r="512" customHeight="1" ht="18.75">
      <c r="A512" s="21">
        <v>511</v>
      </c>
      <c r="B512" s="22" t="s">
        <v>2305</v>
      </c>
      <c r="C512" s="22" t="s">
        <v>190</v>
      </c>
      <c r="D512" s="22" t="s">
        <v>2306</v>
      </c>
      <c r="E512" s="22" t="s">
        <v>191</v>
      </c>
      <c r="F512" s="23"/>
      <c r="G512" s="22"/>
      <c r="H512" s="24"/>
      <c r="I512" s="25"/>
      <c r="J512" s="26">
        <v>182</v>
      </c>
      <c r="K512" s="27" t="s">
        <v>180</v>
      </c>
      <c r="L512" s="27" t="s">
        <v>169</v>
      </c>
      <c r="M512" s="28" t="s">
        <v>1160</v>
      </c>
      <c r="N512" s="28" t="s">
        <v>2307</v>
      </c>
      <c r="O512" s="28" t="s">
        <v>2308</v>
      </c>
      <c r="P512" s="29" t="s">
        <v>2309</v>
      </c>
      <c r="Q512" s="29" t="s">
        <v>2310</v>
      </c>
      <c r="R512" s="29" t="s">
        <v>2311</v>
      </c>
      <c r="S512" s="30">
        <v>3537.03</v>
      </c>
      <c r="T512" s="30">
        <v>313.03</v>
      </c>
      <c r="U512" s="30">
        <v>3224</v>
      </c>
    </row>
    <row x14ac:dyDescent="0.25" r="513" customHeight="1" ht="18.75">
      <c r="A513" s="21">
        <v>512</v>
      </c>
      <c r="B513" s="22" t="s">
        <v>2312</v>
      </c>
      <c r="C513" s="22" t="s">
        <v>166</v>
      </c>
      <c r="D513" s="22" t="s">
        <v>2313</v>
      </c>
      <c r="E513" s="22" t="s">
        <v>191</v>
      </c>
      <c r="F513" s="23"/>
      <c r="G513" s="22"/>
      <c r="H513" s="24"/>
      <c r="I513" s="25"/>
      <c r="J513" s="26">
        <v>28</v>
      </c>
      <c r="K513" s="27" t="s">
        <v>180</v>
      </c>
      <c r="L513" s="27" t="s">
        <v>169</v>
      </c>
      <c r="M513" s="28" t="s">
        <v>250</v>
      </c>
      <c r="N513" s="28" t="s">
        <v>251</v>
      </c>
      <c r="O513" s="28" t="s">
        <v>252</v>
      </c>
      <c r="P513" s="29" t="s">
        <v>952</v>
      </c>
      <c r="Q513" s="29" t="s">
        <v>953</v>
      </c>
      <c r="R513" s="29" t="s">
        <v>954</v>
      </c>
      <c r="S513" s="30">
        <v>1726.18</v>
      </c>
      <c r="T513" s="30">
        <v>131.03</v>
      </c>
      <c r="U513" s="30">
        <v>1595.15</v>
      </c>
    </row>
    <row x14ac:dyDescent="0.25" r="514" customHeight="1" ht="18.75">
      <c r="A514" s="21">
        <v>513</v>
      </c>
      <c r="B514" s="22" t="s">
        <v>2314</v>
      </c>
      <c r="C514" s="22" t="s">
        <v>278</v>
      </c>
      <c r="D514" s="22" t="s">
        <v>2315</v>
      </c>
      <c r="E514" s="22" t="s">
        <v>746</v>
      </c>
      <c r="F514" s="23"/>
      <c r="G514" s="22"/>
      <c r="H514" s="24"/>
      <c r="I514" s="25"/>
      <c r="J514" s="26">
        <v>498</v>
      </c>
      <c r="K514" s="27" t="s">
        <v>180</v>
      </c>
      <c r="L514" s="27" t="s">
        <v>169</v>
      </c>
      <c r="M514" s="28" t="s">
        <v>2316</v>
      </c>
      <c r="N514" s="28" t="s">
        <v>2317</v>
      </c>
      <c r="O514" s="28" t="s">
        <v>2318</v>
      </c>
      <c r="P514" s="29" t="s">
        <v>2319</v>
      </c>
      <c r="Q514" s="29" t="s">
        <v>2320</v>
      </c>
      <c r="R514" s="29" t="s">
        <v>2321</v>
      </c>
      <c r="S514" s="30">
        <v>4777.03</v>
      </c>
      <c r="T514" s="30">
        <v>1832.11</v>
      </c>
      <c r="U514" s="30">
        <v>2944.92</v>
      </c>
    </row>
    <row x14ac:dyDescent="0.25" r="515" customHeight="1" ht="18.75">
      <c r="A515" s="21">
        <v>514</v>
      </c>
      <c r="B515" s="22" t="s">
        <v>2322</v>
      </c>
      <c r="C515" s="22" t="s">
        <v>402</v>
      </c>
      <c r="D515" s="22" t="s">
        <v>2323</v>
      </c>
      <c r="E515" s="22" t="s">
        <v>1188</v>
      </c>
      <c r="F515" s="23"/>
      <c r="G515" s="22"/>
      <c r="H515" s="24"/>
      <c r="I515" s="25"/>
      <c r="J515" s="26">
        <v>382</v>
      </c>
      <c r="K515" s="27" t="s">
        <v>180</v>
      </c>
      <c r="L515" s="27" t="s">
        <v>169</v>
      </c>
      <c r="M515" s="28" t="s">
        <v>2324</v>
      </c>
      <c r="N515" s="28" t="s">
        <v>2325</v>
      </c>
      <c r="O515" s="28" t="s">
        <v>2326</v>
      </c>
      <c r="P515" s="29" t="s">
        <v>2324</v>
      </c>
      <c r="Q515" s="29" t="s">
        <v>2325</v>
      </c>
      <c r="R515" s="29" t="s">
        <v>2326</v>
      </c>
      <c r="S515" s="30">
        <v>4464</v>
      </c>
      <c r="T515" s="30">
        <v>426.46</v>
      </c>
      <c r="U515" s="30">
        <v>4037.54</v>
      </c>
    </row>
    <row x14ac:dyDescent="0.25" r="516" customHeight="1" ht="18.75">
      <c r="A516" s="21">
        <v>515</v>
      </c>
      <c r="B516" s="22" t="s">
        <v>2327</v>
      </c>
      <c r="C516" s="22" t="s">
        <v>2328</v>
      </c>
      <c r="D516" s="22" t="s">
        <v>2329</v>
      </c>
      <c r="E516" s="22" t="s">
        <v>191</v>
      </c>
      <c r="F516" s="23"/>
      <c r="G516" s="22"/>
      <c r="H516" s="24"/>
      <c r="I516" s="25"/>
      <c r="J516" s="26">
        <v>156</v>
      </c>
      <c r="K516" s="27" t="s">
        <v>180</v>
      </c>
      <c r="L516" s="27" t="s">
        <v>169</v>
      </c>
      <c r="M516" s="28" t="s">
        <v>2330</v>
      </c>
      <c r="N516" s="28" t="s">
        <v>2331</v>
      </c>
      <c r="O516" s="28" t="s">
        <v>2332</v>
      </c>
      <c r="P516" s="29" t="s">
        <v>2330</v>
      </c>
      <c r="Q516" s="29" t="s">
        <v>2331</v>
      </c>
      <c r="R516" s="29" t="s">
        <v>2332</v>
      </c>
      <c r="S516" s="30">
        <v>6712.55</v>
      </c>
      <c r="T516" s="30">
        <v>2264.15</v>
      </c>
      <c r="U516" s="30">
        <v>4448.4</v>
      </c>
    </row>
    <row x14ac:dyDescent="0.25" r="517" customHeight="1" ht="18.75">
      <c r="A517" s="21">
        <v>516</v>
      </c>
      <c r="B517" s="22" t="s">
        <v>2333</v>
      </c>
      <c r="C517" s="22" t="s">
        <v>278</v>
      </c>
      <c r="D517" s="22" t="s">
        <v>2334</v>
      </c>
      <c r="E517" s="22" t="s">
        <v>2335</v>
      </c>
      <c r="F517" s="23"/>
      <c r="G517" s="22"/>
      <c r="H517" s="24"/>
      <c r="I517" s="25"/>
      <c r="J517" s="26">
        <v>604</v>
      </c>
      <c r="K517" s="27" t="s">
        <v>545</v>
      </c>
      <c r="L517" s="27" t="s">
        <v>169</v>
      </c>
      <c r="M517" s="28" t="s">
        <v>417</v>
      </c>
      <c r="N517" s="28" t="s">
        <v>418</v>
      </c>
      <c r="O517" s="28" t="s">
        <v>419</v>
      </c>
      <c r="P517" s="29" t="s">
        <v>417</v>
      </c>
      <c r="Q517" s="29" t="s">
        <v>418</v>
      </c>
      <c r="R517" s="29" t="s">
        <v>419</v>
      </c>
      <c r="S517" s="30">
        <v>4280</v>
      </c>
      <c r="T517" s="30">
        <v>402.18</v>
      </c>
      <c r="U517" s="30">
        <v>3877.82</v>
      </c>
    </row>
    <row x14ac:dyDescent="0.25" r="518" customHeight="1" ht="18.75">
      <c r="A518" s="21">
        <v>517</v>
      </c>
      <c r="B518" s="22" t="s">
        <v>2336</v>
      </c>
      <c r="C518" s="22" t="s">
        <v>166</v>
      </c>
      <c r="D518" s="22" t="s">
        <v>2337</v>
      </c>
      <c r="E518" s="22" t="s">
        <v>140</v>
      </c>
      <c r="F518" s="23"/>
      <c r="G518" s="22"/>
      <c r="H518" s="24"/>
      <c r="I518" s="25"/>
      <c r="J518" s="26">
        <v>388</v>
      </c>
      <c r="K518" s="27" t="s">
        <v>180</v>
      </c>
      <c r="L518" s="27" t="s">
        <v>169</v>
      </c>
      <c r="M518" s="28" t="s">
        <v>170</v>
      </c>
      <c r="N518" s="28" t="s">
        <v>171</v>
      </c>
      <c r="O518" s="28" t="s">
        <v>172</v>
      </c>
      <c r="P518" s="29" t="s">
        <v>173</v>
      </c>
      <c r="Q518" s="29" t="s">
        <v>174</v>
      </c>
      <c r="R518" s="29" t="s">
        <v>175</v>
      </c>
      <c r="S518" s="30">
        <v>1698.16</v>
      </c>
      <c r="T518" s="30">
        <v>128.51</v>
      </c>
      <c r="U518" s="30">
        <v>1569.65</v>
      </c>
    </row>
    <row x14ac:dyDescent="0.25" r="519" customHeight="1" ht="18.75">
      <c r="A519" s="21">
        <v>518</v>
      </c>
      <c r="B519" s="22" t="s">
        <v>2338</v>
      </c>
      <c r="C519" s="22" t="s">
        <v>166</v>
      </c>
      <c r="D519" s="22" t="s">
        <v>2339</v>
      </c>
      <c r="E519" s="22" t="s">
        <v>98</v>
      </c>
      <c r="F519" s="23"/>
      <c r="G519" s="22"/>
      <c r="H519" s="24"/>
      <c r="I519" s="25"/>
      <c r="J519" s="26">
        <v>286</v>
      </c>
      <c r="K519" s="27" t="s">
        <v>180</v>
      </c>
      <c r="L519" s="27" t="s">
        <v>169</v>
      </c>
      <c r="M519" s="28" t="s">
        <v>170</v>
      </c>
      <c r="N519" s="28" t="s">
        <v>171</v>
      </c>
      <c r="O519" s="28" t="s">
        <v>172</v>
      </c>
      <c r="P519" s="29" t="s">
        <v>173</v>
      </c>
      <c r="Q519" s="29" t="s">
        <v>946</v>
      </c>
      <c r="R519" s="29" t="s">
        <v>508</v>
      </c>
      <c r="S519" s="30">
        <v>1794.85</v>
      </c>
      <c r="T519" s="30">
        <v>137.21</v>
      </c>
      <c r="U519" s="30">
        <v>1657.64</v>
      </c>
    </row>
    <row x14ac:dyDescent="0.25" r="520" customHeight="1" ht="18.75">
      <c r="A520" s="21">
        <v>519</v>
      </c>
      <c r="B520" s="22" t="s">
        <v>2340</v>
      </c>
      <c r="C520" s="22" t="s">
        <v>166</v>
      </c>
      <c r="D520" s="22" t="s">
        <v>2341</v>
      </c>
      <c r="E520" s="22" t="s">
        <v>134</v>
      </c>
      <c r="F520" s="23"/>
      <c r="G520" s="22"/>
      <c r="H520" s="24"/>
      <c r="I520" s="25"/>
      <c r="J520" s="26">
        <v>186</v>
      </c>
      <c r="K520" s="27" t="s">
        <v>180</v>
      </c>
      <c r="L520" s="27" t="s">
        <v>169</v>
      </c>
      <c r="M520" s="28" t="s">
        <v>225</v>
      </c>
      <c r="N520" s="28" t="s">
        <v>171</v>
      </c>
      <c r="O520" s="28" t="s">
        <v>226</v>
      </c>
      <c r="P520" s="29" t="s">
        <v>2342</v>
      </c>
      <c r="Q520" s="29" t="s">
        <v>254</v>
      </c>
      <c r="R520" s="29" t="s">
        <v>2343</v>
      </c>
      <c r="S520" s="30">
        <v>1765.7</v>
      </c>
      <c r="T520" s="30">
        <v>128.51</v>
      </c>
      <c r="U520" s="30">
        <v>1637.19</v>
      </c>
    </row>
    <row x14ac:dyDescent="0.25" r="521" customHeight="1" ht="18.75">
      <c r="A521" s="21">
        <v>520</v>
      </c>
      <c r="B521" s="22" t="s">
        <v>2344</v>
      </c>
      <c r="C521" s="22" t="s">
        <v>190</v>
      </c>
      <c r="D521" s="22" t="s">
        <v>2345</v>
      </c>
      <c r="E521" s="22" t="s">
        <v>140</v>
      </c>
      <c r="F521" s="23"/>
      <c r="G521" s="22"/>
      <c r="H521" s="24"/>
      <c r="I521" s="25"/>
      <c r="J521" s="26">
        <v>111</v>
      </c>
      <c r="K521" s="27" t="s">
        <v>180</v>
      </c>
      <c r="L521" s="27" t="s">
        <v>169</v>
      </c>
      <c r="M521" s="28" t="s">
        <v>300</v>
      </c>
      <c r="N521" s="28" t="s">
        <v>301</v>
      </c>
      <c r="O521" s="28" t="s">
        <v>302</v>
      </c>
      <c r="P521" s="29" t="s">
        <v>303</v>
      </c>
      <c r="Q521" s="29" t="s">
        <v>304</v>
      </c>
      <c r="R521" s="29" t="s">
        <v>305</v>
      </c>
      <c r="S521" s="30">
        <v>3119.81</v>
      </c>
      <c r="T521" s="30">
        <v>262.96</v>
      </c>
      <c r="U521" s="30">
        <v>2856.85</v>
      </c>
    </row>
    <row x14ac:dyDescent="0.25" r="522" customHeight="1" ht="18.75">
      <c r="A522" s="21">
        <v>521</v>
      </c>
      <c r="B522" s="22" t="s">
        <v>2346</v>
      </c>
      <c r="C522" s="22" t="s">
        <v>166</v>
      </c>
      <c r="D522" s="22" t="s">
        <v>2347</v>
      </c>
      <c r="E522" s="22" t="s">
        <v>38</v>
      </c>
      <c r="F522" s="23"/>
      <c r="G522" s="22"/>
      <c r="H522" s="24"/>
      <c r="I522" s="25"/>
      <c r="J522" s="26">
        <v>245</v>
      </c>
      <c r="K522" s="27" t="s">
        <v>180</v>
      </c>
      <c r="L522" s="27" t="s">
        <v>169</v>
      </c>
      <c r="M522" s="28" t="s">
        <v>170</v>
      </c>
      <c r="N522" s="28" t="s">
        <v>171</v>
      </c>
      <c r="O522" s="28" t="s">
        <v>172</v>
      </c>
      <c r="P522" s="29" t="s">
        <v>173</v>
      </c>
      <c r="Q522" s="29" t="s">
        <v>174</v>
      </c>
      <c r="R522" s="29" t="s">
        <v>175</v>
      </c>
      <c r="S522" s="30">
        <v>1681.94</v>
      </c>
      <c r="T522" s="30">
        <v>127.05</v>
      </c>
      <c r="U522" s="30">
        <v>1554.89</v>
      </c>
    </row>
    <row x14ac:dyDescent="0.25" r="523" customHeight="1" ht="18.75">
      <c r="A523" s="21">
        <v>522</v>
      </c>
      <c r="B523" s="22" t="s">
        <v>2348</v>
      </c>
      <c r="C523" s="22" t="s">
        <v>166</v>
      </c>
      <c r="D523" s="22" t="s">
        <v>2349</v>
      </c>
      <c r="E523" s="22" t="s">
        <v>6</v>
      </c>
      <c r="F523" s="23"/>
      <c r="G523" s="22"/>
      <c r="H523" s="24"/>
      <c r="I523" s="25"/>
      <c r="J523" s="26">
        <v>407</v>
      </c>
      <c r="K523" s="27" t="s">
        <v>180</v>
      </c>
      <c r="L523" s="27" t="s">
        <v>169</v>
      </c>
      <c r="M523" s="28" t="s">
        <v>170</v>
      </c>
      <c r="N523" s="28" t="s">
        <v>171</v>
      </c>
      <c r="O523" s="28" t="s">
        <v>172</v>
      </c>
      <c r="P523" s="29" t="s">
        <v>173</v>
      </c>
      <c r="Q523" s="29" t="s">
        <v>174</v>
      </c>
      <c r="R523" s="29" t="s">
        <v>175</v>
      </c>
      <c r="S523" s="30">
        <v>1681.94</v>
      </c>
      <c r="T523" s="30">
        <v>127.05</v>
      </c>
      <c r="U523" s="30">
        <v>1554.89</v>
      </c>
    </row>
    <row x14ac:dyDescent="0.25" r="524" customHeight="1" ht="18.75">
      <c r="A524" s="21">
        <v>523</v>
      </c>
      <c r="B524" s="22" t="s">
        <v>2350</v>
      </c>
      <c r="C524" s="22" t="s">
        <v>166</v>
      </c>
      <c r="D524" s="22" t="s">
        <v>2351</v>
      </c>
      <c r="E524" s="22" t="s">
        <v>140</v>
      </c>
      <c r="F524" s="23"/>
      <c r="G524" s="22"/>
      <c r="H524" s="24"/>
      <c r="I524" s="25"/>
      <c r="J524" s="26">
        <v>94</v>
      </c>
      <c r="K524" s="27" t="s">
        <v>180</v>
      </c>
      <c r="L524" s="27" t="s">
        <v>169</v>
      </c>
      <c r="M524" s="28" t="s">
        <v>266</v>
      </c>
      <c r="N524" s="28" t="s">
        <v>171</v>
      </c>
      <c r="O524" s="28" t="s">
        <v>267</v>
      </c>
      <c r="P524" s="29" t="s">
        <v>268</v>
      </c>
      <c r="Q524" s="29" t="s">
        <v>174</v>
      </c>
      <c r="R524" s="29" t="s">
        <v>361</v>
      </c>
      <c r="S524" s="30">
        <v>1817.02</v>
      </c>
      <c r="T524" s="30">
        <v>127.05</v>
      </c>
      <c r="U524" s="30">
        <v>1689.97</v>
      </c>
    </row>
    <row x14ac:dyDescent="0.25" r="525" customHeight="1" ht="18.75">
      <c r="A525" s="21">
        <v>524</v>
      </c>
      <c r="B525" s="22" t="s">
        <v>2352</v>
      </c>
      <c r="C525" s="22" t="s">
        <v>190</v>
      </c>
      <c r="D525" s="22" t="s">
        <v>2353</v>
      </c>
      <c r="E525" s="22" t="s">
        <v>86</v>
      </c>
      <c r="F525" s="23"/>
      <c r="G525" s="22"/>
      <c r="H525" s="24"/>
      <c r="I525" s="25"/>
      <c r="J525" s="26">
        <v>315</v>
      </c>
      <c r="K525" s="27" t="s">
        <v>180</v>
      </c>
      <c r="L525" s="27" t="s">
        <v>169</v>
      </c>
      <c r="M525" s="28" t="s">
        <v>233</v>
      </c>
      <c r="N525" s="28" t="s">
        <v>234</v>
      </c>
      <c r="O525" s="28" t="s">
        <v>235</v>
      </c>
      <c r="P525" s="29" t="s">
        <v>236</v>
      </c>
      <c r="Q525" s="29" t="s">
        <v>275</v>
      </c>
      <c r="R525" s="29" t="s">
        <v>276</v>
      </c>
      <c r="S525" s="30">
        <v>3433.34</v>
      </c>
      <c r="T525" s="30">
        <v>398.05</v>
      </c>
      <c r="U525" s="30">
        <v>3035.29</v>
      </c>
    </row>
    <row x14ac:dyDescent="0.25" r="526" customHeight="1" ht="18.75">
      <c r="A526" s="21">
        <v>525</v>
      </c>
      <c r="B526" s="22" t="s">
        <v>2354</v>
      </c>
      <c r="C526" s="22" t="s">
        <v>166</v>
      </c>
      <c r="D526" s="22" t="s">
        <v>2355</v>
      </c>
      <c r="E526" s="22" t="s">
        <v>191</v>
      </c>
      <c r="F526" s="23"/>
      <c r="G526" s="22"/>
      <c r="H526" s="24"/>
      <c r="I526" s="25"/>
      <c r="J526" s="26">
        <v>46</v>
      </c>
      <c r="K526" s="27" t="s">
        <v>180</v>
      </c>
      <c r="L526" s="27" t="s">
        <v>169</v>
      </c>
      <c r="M526" s="28" t="s">
        <v>2356</v>
      </c>
      <c r="N526" s="28" t="s">
        <v>2357</v>
      </c>
      <c r="O526" s="28" t="s">
        <v>2358</v>
      </c>
      <c r="P526" s="29" t="s">
        <v>253</v>
      </c>
      <c r="Q526" s="29" t="s">
        <v>254</v>
      </c>
      <c r="R526" s="29" t="s">
        <v>255</v>
      </c>
      <c r="S526" s="30">
        <v>1715.04</v>
      </c>
      <c r="T526" s="30">
        <v>130.03</v>
      </c>
      <c r="U526" s="30">
        <v>1585.01</v>
      </c>
    </row>
    <row x14ac:dyDescent="0.25" r="527" customHeight="1" ht="18.75">
      <c r="A527" s="21">
        <v>526</v>
      </c>
      <c r="B527" s="22" t="s">
        <v>2359</v>
      </c>
      <c r="C527" s="22" t="s">
        <v>166</v>
      </c>
      <c r="D527" s="22" t="s">
        <v>2360</v>
      </c>
      <c r="E527" s="22" t="s">
        <v>432</v>
      </c>
      <c r="F527" s="23"/>
      <c r="G527" s="22"/>
      <c r="H527" s="24"/>
      <c r="I527" s="25"/>
      <c r="J527" s="26">
        <v>562</v>
      </c>
      <c r="K527" s="27" t="s">
        <v>168</v>
      </c>
      <c r="L527" s="27" t="s">
        <v>169</v>
      </c>
      <c r="M527" s="28" t="s">
        <v>2361</v>
      </c>
      <c r="N527" s="28" t="s">
        <v>2362</v>
      </c>
      <c r="O527" s="28" t="s">
        <v>2363</v>
      </c>
      <c r="P527" s="29" t="s">
        <v>2364</v>
      </c>
      <c r="Q527" s="29" t="s">
        <v>2365</v>
      </c>
      <c r="R527" s="29" t="s">
        <v>2366</v>
      </c>
      <c r="S527" s="30">
        <v>1988.47</v>
      </c>
      <c r="T527" s="30">
        <v>607.12</v>
      </c>
      <c r="U527" s="30">
        <v>1381.35</v>
      </c>
    </row>
    <row x14ac:dyDescent="0.25" r="528" customHeight="1" ht="18.75">
      <c r="A528" s="21">
        <v>527</v>
      </c>
      <c r="B528" s="22" t="s">
        <v>2367</v>
      </c>
      <c r="C528" s="22" t="s">
        <v>402</v>
      </c>
      <c r="D528" s="22" t="s">
        <v>2368</v>
      </c>
      <c r="E528" s="22" t="s">
        <v>967</v>
      </c>
      <c r="F528" s="23"/>
      <c r="G528" s="22"/>
      <c r="H528" s="24"/>
      <c r="I528" s="25"/>
      <c r="J528" s="26">
        <v>531</v>
      </c>
      <c r="K528" s="27" t="s">
        <v>180</v>
      </c>
      <c r="L528" s="27" t="s">
        <v>169</v>
      </c>
      <c r="M528" s="28" t="s">
        <v>1048</v>
      </c>
      <c r="N528" s="28" t="s">
        <v>1049</v>
      </c>
      <c r="O528" s="28" t="s">
        <v>1050</v>
      </c>
      <c r="P528" s="29" t="s">
        <v>1048</v>
      </c>
      <c r="Q528" s="29" t="s">
        <v>1049</v>
      </c>
      <c r="R528" s="29" t="s">
        <v>1050</v>
      </c>
      <c r="S528" s="30">
        <v>3720.02</v>
      </c>
      <c r="T528" s="30">
        <v>334.99</v>
      </c>
      <c r="U528" s="30">
        <v>3385.03</v>
      </c>
    </row>
    <row x14ac:dyDescent="0.25" r="529" customHeight="1" ht="18.75">
      <c r="A529" s="21">
        <v>528</v>
      </c>
      <c r="B529" s="22" t="s">
        <v>2369</v>
      </c>
      <c r="C529" s="22" t="s">
        <v>166</v>
      </c>
      <c r="D529" s="22" t="s">
        <v>2370</v>
      </c>
      <c r="E529" s="22" t="s">
        <v>474</v>
      </c>
      <c r="F529" s="23"/>
      <c r="G529" s="22"/>
      <c r="H529" s="24"/>
      <c r="I529" s="25"/>
      <c r="J529" s="26">
        <v>546</v>
      </c>
      <c r="K529" s="27" t="s">
        <v>180</v>
      </c>
      <c r="L529" s="27" t="s">
        <v>169</v>
      </c>
      <c r="M529" s="28" t="s">
        <v>170</v>
      </c>
      <c r="N529" s="28" t="s">
        <v>171</v>
      </c>
      <c r="O529" s="28" t="s">
        <v>172</v>
      </c>
      <c r="P529" s="29" t="s">
        <v>173</v>
      </c>
      <c r="Q529" s="29" t="s">
        <v>174</v>
      </c>
      <c r="R529" s="29" t="s">
        <v>175</v>
      </c>
      <c r="S529" s="30">
        <v>1681.94</v>
      </c>
      <c r="T529" s="30">
        <v>127.05</v>
      </c>
      <c r="U529" s="30">
        <v>1554.89</v>
      </c>
    </row>
    <row x14ac:dyDescent="0.25" r="530" customHeight="1" ht="18.75">
      <c r="A530" s="21">
        <v>529</v>
      </c>
      <c r="B530" s="22" t="s">
        <v>2371</v>
      </c>
      <c r="C530" s="22" t="s">
        <v>396</v>
      </c>
      <c r="D530" s="22" t="s">
        <v>2372</v>
      </c>
      <c r="E530" s="22" t="s">
        <v>134</v>
      </c>
      <c r="F530" s="23"/>
      <c r="G530" s="22"/>
      <c r="H530" s="24"/>
      <c r="I530" s="25"/>
      <c r="J530" s="26">
        <v>180</v>
      </c>
      <c r="K530" s="27" t="s">
        <v>180</v>
      </c>
      <c r="L530" s="27" t="s">
        <v>169</v>
      </c>
      <c r="M530" s="28" t="s">
        <v>1151</v>
      </c>
      <c r="N530" s="28" t="s">
        <v>2373</v>
      </c>
      <c r="O530" s="28" t="s">
        <v>2374</v>
      </c>
      <c r="P530" s="29" t="s">
        <v>398</v>
      </c>
      <c r="Q530" s="29" t="s">
        <v>399</v>
      </c>
      <c r="R530" s="29" t="s">
        <v>400</v>
      </c>
      <c r="S530" s="30">
        <v>5349.78</v>
      </c>
      <c r="T530" s="30">
        <v>679.63</v>
      </c>
      <c r="U530" s="30">
        <v>4670.15</v>
      </c>
    </row>
    <row x14ac:dyDescent="0.25" r="531" customHeight="1" ht="18.75">
      <c r="A531" s="21">
        <v>530</v>
      </c>
      <c r="B531" s="22" t="s">
        <v>2375</v>
      </c>
      <c r="C531" s="22" t="s">
        <v>166</v>
      </c>
      <c r="D531" s="22" t="s">
        <v>2376</v>
      </c>
      <c r="E531" s="22" t="s">
        <v>140</v>
      </c>
      <c r="F531" s="23"/>
      <c r="G531" s="22"/>
      <c r="H531" s="24"/>
      <c r="I531" s="25"/>
      <c r="J531" s="26">
        <v>76</v>
      </c>
      <c r="K531" s="27" t="s">
        <v>180</v>
      </c>
      <c r="L531" s="27" t="s">
        <v>169</v>
      </c>
      <c r="M531" s="28" t="s">
        <v>258</v>
      </c>
      <c r="N531" s="28" t="s">
        <v>259</v>
      </c>
      <c r="O531" s="28" t="s">
        <v>260</v>
      </c>
      <c r="P531" s="29" t="s">
        <v>2377</v>
      </c>
      <c r="Q531" s="29" t="s">
        <v>2378</v>
      </c>
      <c r="R531" s="29" t="s">
        <v>2379</v>
      </c>
      <c r="S531" s="30">
        <v>1958.46</v>
      </c>
      <c r="T531" s="30">
        <v>195.23</v>
      </c>
      <c r="U531" s="30">
        <v>1763.23</v>
      </c>
    </row>
    <row x14ac:dyDescent="0.25" r="532" customHeight="1" ht="18.75">
      <c r="A532" s="21">
        <v>531</v>
      </c>
      <c r="B532" s="22" t="s">
        <v>2380</v>
      </c>
      <c r="C532" s="22" t="s">
        <v>190</v>
      </c>
      <c r="D532" s="22" t="s">
        <v>2381</v>
      </c>
      <c r="E532" s="22" t="s">
        <v>2382</v>
      </c>
      <c r="F532" s="23"/>
      <c r="G532" s="22"/>
      <c r="H532" s="24"/>
      <c r="I532" s="25"/>
      <c r="J532" s="26">
        <v>419</v>
      </c>
      <c r="K532" s="27" t="s">
        <v>180</v>
      </c>
      <c r="L532" s="27" t="s">
        <v>169</v>
      </c>
      <c r="M532" s="28" t="s">
        <v>233</v>
      </c>
      <c r="N532" s="28" t="s">
        <v>234</v>
      </c>
      <c r="O532" s="28" t="s">
        <v>235</v>
      </c>
      <c r="P532" s="29" t="s">
        <v>236</v>
      </c>
      <c r="Q532" s="29" t="s">
        <v>275</v>
      </c>
      <c r="R532" s="29" t="s">
        <v>276</v>
      </c>
      <c r="S532" s="30">
        <v>3902.46</v>
      </c>
      <c r="T532" s="30">
        <v>356.88</v>
      </c>
      <c r="U532" s="30">
        <v>3545.58</v>
      </c>
    </row>
    <row x14ac:dyDescent="0.25" r="533" customHeight="1" ht="18.75">
      <c r="A533" s="21">
        <v>532</v>
      </c>
      <c r="B533" s="22" t="s">
        <v>2383</v>
      </c>
      <c r="C533" s="22" t="s">
        <v>166</v>
      </c>
      <c r="D533" s="22" t="s">
        <v>2384</v>
      </c>
      <c r="E533" s="22" t="s">
        <v>134</v>
      </c>
      <c r="F533" s="23"/>
      <c r="G533" s="22"/>
      <c r="H533" s="24"/>
      <c r="I533" s="25"/>
      <c r="J533" s="26">
        <v>171</v>
      </c>
      <c r="K533" s="27" t="s">
        <v>180</v>
      </c>
      <c r="L533" s="27" t="s">
        <v>169</v>
      </c>
      <c r="M533" s="28" t="s">
        <v>2385</v>
      </c>
      <c r="N533" s="28" t="s">
        <v>2386</v>
      </c>
      <c r="O533" s="28" t="s">
        <v>2387</v>
      </c>
      <c r="P533" s="29" t="s">
        <v>2388</v>
      </c>
      <c r="Q533" s="29" t="s">
        <v>2389</v>
      </c>
      <c r="R533" s="29" t="s">
        <v>2390</v>
      </c>
      <c r="S533" s="30">
        <v>2267.42</v>
      </c>
      <c r="T533" s="30">
        <v>263.52</v>
      </c>
      <c r="U533" s="30">
        <v>2003.9</v>
      </c>
    </row>
    <row x14ac:dyDescent="0.25" r="534" customHeight="1" ht="18.75">
      <c r="A534" s="21">
        <v>533</v>
      </c>
      <c r="B534" s="22" t="s">
        <v>2391</v>
      </c>
      <c r="C534" s="22" t="s">
        <v>410</v>
      </c>
      <c r="D534" s="22" t="s">
        <v>2392</v>
      </c>
      <c r="E534" s="22" t="s">
        <v>140</v>
      </c>
      <c r="F534" s="23"/>
      <c r="G534" s="22"/>
      <c r="H534" s="24"/>
      <c r="I534" s="25"/>
      <c r="J534" s="26">
        <v>87</v>
      </c>
      <c r="K534" s="27" t="s">
        <v>180</v>
      </c>
      <c r="L534" s="27" t="s">
        <v>169</v>
      </c>
      <c r="M534" s="28" t="s">
        <v>2393</v>
      </c>
      <c r="N534" s="28" t="s">
        <v>2394</v>
      </c>
      <c r="O534" s="28" t="s">
        <v>2395</v>
      </c>
      <c r="P534" s="29" t="s">
        <v>2396</v>
      </c>
      <c r="Q534" s="29" t="s">
        <v>2397</v>
      </c>
      <c r="R534" s="29" t="s">
        <v>2398</v>
      </c>
      <c r="S534" s="30">
        <v>3537.03</v>
      </c>
      <c r="T534" s="30">
        <v>313.03</v>
      </c>
      <c r="U534" s="30">
        <v>3224</v>
      </c>
    </row>
    <row x14ac:dyDescent="0.25" r="535" customHeight="1" ht="18.75">
      <c r="A535" s="21">
        <v>534</v>
      </c>
      <c r="B535" s="22" t="s">
        <v>2399</v>
      </c>
      <c r="C535" s="22" t="s">
        <v>539</v>
      </c>
      <c r="D535" s="22" t="s">
        <v>2400</v>
      </c>
      <c r="E535" s="22" t="s">
        <v>43</v>
      </c>
      <c r="F535" s="23"/>
      <c r="G535" s="22"/>
      <c r="H535" s="24"/>
      <c r="I535" s="25"/>
      <c r="J535" s="26">
        <v>457</v>
      </c>
      <c r="K535" s="27" t="s">
        <v>180</v>
      </c>
      <c r="L535" s="27" t="s">
        <v>169</v>
      </c>
      <c r="M535" s="28" t="s">
        <v>173</v>
      </c>
      <c r="N535" s="28" t="s">
        <v>174</v>
      </c>
      <c r="O535" s="28" t="s">
        <v>175</v>
      </c>
      <c r="P535" s="29" t="s">
        <v>173</v>
      </c>
      <c r="Q535" s="29" t="s">
        <v>174</v>
      </c>
      <c r="R535" s="29" t="s">
        <v>175</v>
      </c>
      <c r="S535" s="30">
        <v>1621.49</v>
      </c>
      <c r="T535" s="30">
        <v>121.61</v>
      </c>
      <c r="U535" s="30">
        <v>1499.88</v>
      </c>
    </row>
    <row x14ac:dyDescent="0.25" r="536" customHeight="1" ht="18.75">
      <c r="A536" s="21">
        <v>535</v>
      </c>
      <c r="B536" s="22" t="s">
        <v>2401</v>
      </c>
      <c r="C536" s="22" t="s">
        <v>166</v>
      </c>
      <c r="D536" s="22" t="s">
        <v>2402</v>
      </c>
      <c r="E536" s="22" t="s">
        <v>1394</v>
      </c>
      <c r="F536" s="23"/>
      <c r="G536" s="22"/>
      <c r="H536" s="24"/>
      <c r="I536" s="25"/>
      <c r="J536" s="26">
        <v>515</v>
      </c>
      <c r="K536" s="27" t="s">
        <v>180</v>
      </c>
      <c r="L536" s="27" t="s">
        <v>169</v>
      </c>
      <c r="M536" s="28" t="s">
        <v>170</v>
      </c>
      <c r="N536" s="28" t="s">
        <v>171</v>
      </c>
      <c r="O536" s="28" t="s">
        <v>172</v>
      </c>
      <c r="P536" s="29" t="s">
        <v>173</v>
      </c>
      <c r="Q536" s="29" t="s">
        <v>174</v>
      </c>
      <c r="R536" s="29" t="s">
        <v>175</v>
      </c>
      <c r="S536" s="30">
        <v>1699.15</v>
      </c>
      <c r="T536" s="30">
        <v>128.6</v>
      </c>
      <c r="U536" s="30">
        <v>1570.55</v>
      </c>
    </row>
    <row x14ac:dyDescent="0.25" r="537" customHeight="1" ht="18.75">
      <c r="A537" s="21">
        <v>536</v>
      </c>
      <c r="B537" s="22" t="s">
        <v>2403</v>
      </c>
      <c r="C537" s="22" t="s">
        <v>166</v>
      </c>
      <c r="D537" s="22" t="s">
        <v>2404</v>
      </c>
      <c r="E537" s="22" t="s">
        <v>191</v>
      </c>
      <c r="F537" s="23"/>
      <c r="G537" s="22"/>
      <c r="H537" s="24"/>
      <c r="I537" s="25"/>
      <c r="J537" s="26">
        <v>591</v>
      </c>
      <c r="K537" s="27" t="s">
        <v>168</v>
      </c>
      <c r="L537" s="27" t="s">
        <v>169</v>
      </c>
      <c r="M537" s="28" t="s">
        <v>170</v>
      </c>
      <c r="N537" s="28" t="s">
        <v>171</v>
      </c>
      <c r="O537" s="28" t="s">
        <v>172</v>
      </c>
      <c r="P537" s="29" t="s">
        <v>173</v>
      </c>
      <c r="Q537" s="29" t="s">
        <v>174</v>
      </c>
      <c r="R537" s="29" t="s">
        <v>175</v>
      </c>
      <c r="S537" s="30">
        <v>1698.16</v>
      </c>
      <c r="T537" s="30">
        <v>128.51</v>
      </c>
      <c r="U537" s="30">
        <v>1569.65</v>
      </c>
    </row>
    <row x14ac:dyDescent="0.25" r="538" customHeight="1" ht="18.75">
      <c r="A538" s="21">
        <v>537</v>
      </c>
      <c r="B538" s="22" t="s">
        <v>2405</v>
      </c>
      <c r="C538" s="22" t="s">
        <v>166</v>
      </c>
      <c r="D538" s="22" t="s">
        <v>2406</v>
      </c>
      <c r="E538" s="22" t="s">
        <v>191</v>
      </c>
      <c r="F538" s="23"/>
      <c r="G538" s="22"/>
      <c r="H538" s="24"/>
      <c r="I538" s="25"/>
      <c r="J538" s="26">
        <v>107</v>
      </c>
      <c r="K538" s="27" t="s">
        <v>180</v>
      </c>
      <c r="L538" s="27" t="s">
        <v>169</v>
      </c>
      <c r="M538" s="28" t="s">
        <v>2407</v>
      </c>
      <c r="N538" s="28" t="s">
        <v>2408</v>
      </c>
      <c r="O538" s="28" t="s">
        <v>2409</v>
      </c>
      <c r="P538" s="29" t="s">
        <v>2410</v>
      </c>
      <c r="Q538" s="29" t="s">
        <v>2411</v>
      </c>
      <c r="R538" s="29" t="s">
        <v>2412</v>
      </c>
      <c r="S538" s="30">
        <v>1892.81</v>
      </c>
      <c r="T538" s="30">
        <v>522.26</v>
      </c>
      <c r="U538" s="30">
        <v>1370.55</v>
      </c>
    </row>
    <row x14ac:dyDescent="0.25" r="539" customHeight="1" ht="18.75">
      <c r="A539" s="21">
        <v>538</v>
      </c>
      <c r="B539" s="22" t="s">
        <v>2413</v>
      </c>
      <c r="C539" s="22" t="s">
        <v>190</v>
      </c>
      <c r="D539" s="22" t="s">
        <v>2414</v>
      </c>
      <c r="E539" s="22" t="s">
        <v>140</v>
      </c>
      <c r="F539" s="23"/>
      <c r="G539" s="22"/>
      <c r="H539" s="24"/>
      <c r="I539" s="25"/>
      <c r="J539" s="26">
        <v>476</v>
      </c>
      <c r="K539" s="27" t="s">
        <v>180</v>
      </c>
      <c r="L539" s="27" t="s">
        <v>169</v>
      </c>
      <c r="M539" s="28" t="s">
        <v>2415</v>
      </c>
      <c r="N539" s="28" t="s">
        <v>2416</v>
      </c>
      <c r="O539" s="28" t="s">
        <v>2417</v>
      </c>
      <c r="P539" s="29" t="s">
        <v>2418</v>
      </c>
      <c r="Q539" s="29" t="s">
        <v>2419</v>
      </c>
      <c r="R539" s="29" t="s">
        <v>2420</v>
      </c>
      <c r="S539" s="30">
        <v>3445.25</v>
      </c>
      <c r="T539" s="30">
        <v>1368.93</v>
      </c>
      <c r="U539" s="30">
        <v>2076.32</v>
      </c>
    </row>
    <row x14ac:dyDescent="0.25" r="540" customHeight="1" ht="18.75">
      <c r="A540" s="21">
        <v>539</v>
      </c>
      <c r="B540" s="22" t="s">
        <v>2421</v>
      </c>
      <c r="C540" s="22" t="s">
        <v>177</v>
      </c>
      <c r="D540" s="22" t="s">
        <v>2422</v>
      </c>
      <c r="E540" s="22" t="s">
        <v>140</v>
      </c>
      <c r="F540" s="23"/>
      <c r="G540" s="22"/>
      <c r="H540" s="24"/>
      <c r="I540" s="25"/>
      <c r="J540" s="26">
        <v>124</v>
      </c>
      <c r="K540" s="27" t="s">
        <v>180</v>
      </c>
      <c r="L540" s="27" t="s">
        <v>169</v>
      </c>
      <c r="M540" s="28" t="s">
        <v>311</v>
      </c>
      <c r="N540" s="28" t="s">
        <v>312</v>
      </c>
      <c r="O540" s="28" t="s">
        <v>313</v>
      </c>
      <c r="P540" s="29" t="s">
        <v>314</v>
      </c>
      <c r="Q540" s="29" t="s">
        <v>315</v>
      </c>
      <c r="R540" s="29" t="s">
        <v>316</v>
      </c>
      <c r="S540" s="30">
        <v>4770.69</v>
      </c>
      <c r="T540" s="30">
        <v>469.39</v>
      </c>
      <c r="U540" s="30">
        <v>4301.3</v>
      </c>
    </row>
    <row x14ac:dyDescent="0.25" r="541" customHeight="1" ht="18.75">
      <c r="A541" s="21">
        <v>540</v>
      </c>
      <c r="B541" s="22" t="s">
        <v>2423</v>
      </c>
      <c r="C541" s="22" t="s">
        <v>410</v>
      </c>
      <c r="D541" s="22" t="s">
        <v>2424</v>
      </c>
      <c r="E541" s="22" t="s">
        <v>191</v>
      </c>
      <c r="F541" s="23"/>
      <c r="G541" s="22"/>
      <c r="H541" s="24"/>
      <c r="I541" s="25"/>
      <c r="J541" s="26">
        <v>18</v>
      </c>
      <c r="K541" s="27" t="s">
        <v>180</v>
      </c>
      <c r="L541" s="27" t="s">
        <v>169</v>
      </c>
      <c r="M541" s="28" t="s">
        <v>2218</v>
      </c>
      <c r="N541" s="28" t="s">
        <v>2219</v>
      </c>
      <c r="O541" s="28" t="s">
        <v>2220</v>
      </c>
      <c r="P541" s="29" t="s">
        <v>2425</v>
      </c>
      <c r="Q541" s="29" t="s">
        <v>2426</v>
      </c>
      <c r="R541" s="29" t="s">
        <v>2427</v>
      </c>
      <c r="S541" s="30">
        <v>3149.62</v>
      </c>
      <c r="T541" s="30">
        <v>266.54</v>
      </c>
      <c r="U541" s="30">
        <v>2883.08</v>
      </c>
    </row>
    <row x14ac:dyDescent="0.25" r="542" customHeight="1" ht="18.75">
      <c r="A542" s="21">
        <v>541</v>
      </c>
      <c r="B542" s="22" t="s">
        <v>2428</v>
      </c>
      <c r="C542" s="22" t="s">
        <v>190</v>
      </c>
      <c r="D542" s="22" t="s">
        <v>2429</v>
      </c>
      <c r="E542" s="22" t="s">
        <v>31</v>
      </c>
      <c r="F542" s="23"/>
      <c r="G542" s="22"/>
      <c r="H542" s="24"/>
      <c r="I542" s="25"/>
      <c r="J542" s="26">
        <v>445</v>
      </c>
      <c r="K542" s="27" t="s">
        <v>180</v>
      </c>
      <c r="L542" s="27" t="s">
        <v>169</v>
      </c>
      <c r="M542" s="28" t="s">
        <v>233</v>
      </c>
      <c r="N542" s="28" t="s">
        <v>234</v>
      </c>
      <c r="O542" s="28" t="s">
        <v>235</v>
      </c>
      <c r="P542" s="29" t="s">
        <v>236</v>
      </c>
      <c r="Q542" s="29" t="s">
        <v>2430</v>
      </c>
      <c r="R542" s="29" t="s">
        <v>2431</v>
      </c>
      <c r="S542" s="30">
        <v>3562.01</v>
      </c>
      <c r="T542" s="30">
        <v>736.15</v>
      </c>
      <c r="U542" s="30">
        <v>2825.86</v>
      </c>
    </row>
    <row x14ac:dyDescent="0.25" r="543" customHeight="1" ht="18.75">
      <c r="A543" s="21">
        <v>542</v>
      </c>
      <c r="B543" s="22" t="s">
        <v>2432</v>
      </c>
      <c r="C543" s="22" t="s">
        <v>166</v>
      </c>
      <c r="D543" s="22" t="s">
        <v>2433</v>
      </c>
      <c r="E543" s="22" t="s">
        <v>474</v>
      </c>
      <c r="F543" s="23"/>
      <c r="G543" s="22"/>
      <c r="H543" s="24"/>
      <c r="I543" s="25"/>
      <c r="J543" s="26">
        <v>536</v>
      </c>
      <c r="K543" s="27" t="s">
        <v>180</v>
      </c>
      <c r="L543" s="27" t="s">
        <v>169</v>
      </c>
      <c r="M543" s="28" t="s">
        <v>170</v>
      </c>
      <c r="N543" s="28" t="s">
        <v>171</v>
      </c>
      <c r="O543" s="28" t="s">
        <v>172</v>
      </c>
      <c r="P543" s="29" t="s">
        <v>173</v>
      </c>
      <c r="Q543" s="29" t="s">
        <v>174</v>
      </c>
      <c r="R543" s="29" t="s">
        <v>175</v>
      </c>
      <c r="S543" s="30">
        <v>1681.94</v>
      </c>
      <c r="T543" s="30">
        <v>127.05</v>
      </c>
      <c r="U543" s="30">
        <v>1554.89</v>
      </c>
    </row>
    <row x14ac:dyDescent="0.25" r="544" customHeight="1" ht="18.75">
      <c r="A544" s="21">
        <v>543</v>
      </c>
      <c r="B544" s="22" t="s">
        <v>2434</v>
      </c>
      <c r="C544" s="22" t="s">
        <v>166</v>
      </c>
      <c r="D544" s="22" t="s">
        <v>2435</v>
      </c>
      <c r="E544" s="22" t="s">
        <v>134</v>
      </c>
      <c r="F544" s="23"/>
      <c r="G544" s="22"/>
      <c r="H544" s="24"/>
      <c r="I544" s="25"/>
      <c r="J544" s="26">
        <v>141</v>
      </c>
      <c r="K544" s="27" t="s">
        <v>180</v>
      </c>
      <c r="L544" s="27" t="s">
        <v>169</v>
      </c>
      <c r="M544" s="28" t="s">
        <v>170</v>
      </c>
      <c r="N544" s="28" t="s">
        <v>171</v>
      </c>
      <c r="O544" s="28" t="s">
        <v>172</v>
      </c>
      <c r="P544" s="29" t="s">
        <v>173</v>
      </c>
      <c r="Q544" s="29" t="s">
        <v>174</v>
      </c>
      <c r="R544" s="29" t="s">
        <v>175</v>
      </c>
      <c r="S544" s="30">
        <v>1681.94</v>
      </c>
      <c r="T544" s="30">
        <v>127.05</v>
      </c>
      <c r="U544" s="30">
        <v>1554.89</v>
      </c>
    </row>
    <row x14ac:dyDescent="0.25" r="545" customHeight="1" ht="18.75">
      <c r="A545" s="21">
        <v>544</v>
      </c>
      <c r="B545" s="22" t="s">
        <v>2436</v>
      </c>
      <c r="C545" s="22" t="s">
        <v>166</v>
      </c>
      <c r="D545" s="22" t="s">
        <v>2437</v>
      </c>
      <c r="E545" s="22" t="s">
        <v>140</v>
      </c>
      <c r="F545" s="23"/>
      <c r="G545" s="22"/>
      <c r="H545" s="24"/>
      <c r="I545" s="25"/>
      <c r="J545" s="26">
        <v>617</v>
      </c>
      <c r="K545" s="27" t="s">
        <v>2438</v>
      </c>
      <c r="L545" s="27" t="s">
        <v>169</v>
      </c>
      <c r="M545" s="28" t="s">
        <v>266</v>
      </c>
      <c r="N545" s="28" t="s">
        <v>171</v>
      </c>
      <c r="O545" s="28" t="s">
        <v>267</v>
      </c>
      <c r="P545" s="29" t="s">
        <v>268</v>
      </c>
      <c r="Q545" s="29" t="s">
        <v>174</v>
      </c>
      <c r="R545" s="29" t="s">
        <v>361</v>
      </c>
      <c r="S545" s="30">
        <v>1817.02</v>
      </c>
      <c r="T545" s="30">
        <v>127.05</v>
      </c>
      <c r="U545" s="30">
        <v>1689.97</v>
      </c>
    </row>
    <row x14ac:dyDescent="0.25" r="546" customHeight="1" ht="18.75">
      <c r="A546" s="21">
        <v>545</v>
      </c>
      <c r="B546" s="22" t="s">
        <v>2439</v>
      </c>
      <c r="C546" s="22" t="s">
        <v>190</v>
      </c>
      <c r="D546" s="22" t="s">
        <v>2440</v>
      </c>
      <c r="E546" s="22" t="s">
        <v>2382</v>
      </c>
      <c r="F546" s="23"/>
      <c r="G546" s="22"/>
      <c r="H546" s="24"/>
      <c r="I546" s="25"/>
      <c r="J546" s="26">
        <v>417</v>
      </c>
      <c r="K546" s="27" t="s">
        <v>180</v>
      </c>
      <c r="L546" s="27" t="s">
        <v>169</v>
      </c>
      <c r="M546" s="28" t="s">
        <v>233</v>
      </c>
      <c r="N546" s="28" t="s">
        <v>234</v>
      </c>
      <c r="O546" s="28" t="s">
        <v>235</v>
      </c>
      <c r="P546" s="29" t="s">
        <v>236</v>
      </c>
      <c r="Q546" s="29" t="s">
        <v>275</v>
      </c>
      <c r="R546" s="29" t="s">
        <v>276</v>
      </c>
      <c r="S546" s="30">
        <v>3500.08</v>
      </c>
      <c r="T546" s="30">
        <v>1406.13</v>
      </c>
      <c r="U546" s="30">
        <v>2093.95</v>
      </c>
    </row>
    <row x14ac:dyDescent="0.25" r="547" customHeight="1" ht="18.75">
      <c r="A547" s="21">
        <v>546</v>
      </c>
      <c r="B547" s="22" t="s">
        <v>2441</v>
      </c>
      <c r="C547" s="22" t="s">
        <v>539</v>
      </c>
      <c r="D547" s="22" t="s">
        <v>2442</v>
      </c>
      <c r="E547" s="22" t="s">
        <v>76</v>
      </c>
      <c r="F547" s="23"/>
      <c r="G547" s="22"/>
      <c r="H547" s="24"/>
      <c r="I547" s="25"/>
      <c r="J547" s="26">
        <v>471</v>
      </c>
      <c r="K547" s="27" t="s">
        <v>180</v>
      </c>
      <c r="L547" s="27" t="s">
        <v>169</v>
      </c>
      <c r="M547" s="28" t="s">
        <v>173</v>
      </c>
      <c r="N547" s="28" t="s">
        <v>174</v>
      </c>
      <c r="O547" s="28" t="s">
        <v>175</v>
      </c>
      <c r="P547" s="29" t="s">
        <v>173</v>
      </c>
      <c r="Q547" s="29" t="s">
        <v>174</v>
      </c>
      <c r="R547" s="29" t="s">
        <v>175</v>
      </c>
      <c r="S547" s="30">
        <v>1638.34</v>
      </c>
      <c r="T547" s="30">
        <v>614.04</v>
      </c>
      <c r="U547" s="30">
        <v>1024.3</v>
      </c>
    </row>
    <row x14ac:dyDescent="0.25" r="548" customHeight="1" ht="18.75">
      <c r="A548" s="21">
        <v>547</v>
      </c>
      <c r="B548" s="22" t="s">
        <v>2443</v>
      </c>
      <c r="C548" s="22" t="s">
        <v>2444</v>
      </c>
      <c r="D548" s="22" t="s">
        <v>2445</v>
      </c>
      <c r="E548" s="22" t="s">
        <v>191</v>
      </c>
      <c r="F548" s="23"/>
      <c r="G548" s="22"/>
      <c r="H548" s="24"/>
      <c r="I548" s="25"/>
      <c r="J548" s="26">
        <v>174</v>
      </c>
      <c r="K548" s="27" t="s">
        <v>180</v>
      </c>
      <c r="L548" s="27" t="s">
        <v>169</v>
      </c>
      <c r="M548" s="28" t="s">
        <v>314</v>
      </c>
      <c r="N548" s="28" t="s">
        <v>315</v>
      </c>
      <c r="O548" s="28" t="s">
        <v>316</v>
      </c>
      <c r="P548" s="29" t="s">
        <v>2446</v>
      </c>
      <c r="Q548" s="29" t="s">
        <v>2447</v>
      </c>
      <c r="R548" s="29" t="s">
        <v>2448</v>
      </c>
      <c r="S548" s="30">
        <v>4801.14</v>
      </c>
      <c r="T548" s="30">
        <v>473.66</v>
      </c>
      <c r="U548" s="30">
        <v>4327.48</v>
      </c>
    </row>
    <row x14ac:dyDescent="0.25" r="549" customHeight="1" ht="18.75">
      <c r="A549" s="21">
        <v>548</v>
      </c>
      <c r="B549" s="22" t="s">
        <v>2449</v>
      </c>
      <c r="C549" s="22" t="s">
        <v>166</v>
      </c>
      <c r="D549" s="22" t="s">
        <v>2450</v>
      </c>
      <c r="E549" s="22" t="s">
        <v>98</v>
      </c>
      <c r="F549" s="23"/>
      <c r="G549" s="22"/>
      <c r="H549" s="24"/>
      <c r="I549" s="25"/>
      <c r="J549" s="26">
        <v>285</v>
      </c>
      <c r="K549" s="27" t="s">
        <v>180</v>
      </c>
      <c r="L549" s="27" t="s">
        <v>169</v>
      </c>
      <c r="M549" s="28" t="s">
        <v>225</v>
      </c>
      <c r="N549" s="28" t="s">
        <v>735</v>
      </c>
      <c r="O549" s="28" t="s">
        <v>736</v>
      </c>
      <c r="P549" s="29" t="s">
        <v>227</v>
      </c>
      <c r="Q549" s="29" t="s">
        <v>174</v>
      </c>
      <c r="R549" s="29" t="s">
        <v>297</v>
      </c>
      <c r="S549" s="30">
        <v>1749.48</v>
      </c>
      <c r="T549" s="30">
        <v>176.43</v>
      </c>
      <c r="U549" s="30">
        <v>1573.05</v>
      </c>
    </row>
    <row x14ac:dyDescent="0.25" r="550" customHeight="1" ht="18.75">
      <c r="A550" s="21">
        <v>549</v>
      </c>
      <c r="B550" s="22" t="s">
        <v>2451</v>
      </c>
      <c r="C550" s="22" t="s">
        <v>278</v>
      </c>
      <c r="D550" s="22" t="s">
        <v>2452</v>
      </c>
      <c r="E550" s="22" t="s">
        <v>12</v>
      </c>
      <c r="F550" s="23"/>
      <c r="G550" s="22"/>
      <c r="H550" s="24"/>
      <c r="I550" s="25"/>
      <c r="J550" s="26">
        <v>356</v>
      </c>
      <c r="K550" s="27" t="s">
        <v>180</v>
      </c>
      <c r="L550" s="27" t="s">
        <v>169</v>
      </c>
      <c r="M550" s="28" t="s">
        <v>417</v>
      </c>
      <c r="N550" s="28" t="s">
        <v>418</v>
      </c>
      <c r="O550" s="28" t="s">
        <v>419</v>
      </c>
      <c r="P550" s="29" t="s">
        <v>417</v>
      </c>
      <c r="Q550" s="29" t="s">
        <v>418</v>
      </c>
      <c r="R550" s="29" t="s">
        <v>419</v>
      </c>
      <c r="S550" s="30">
        <v>4280</v>
      </c>
      <c r="T550" s="30">
        <v>402.18</v>
      </c>
      <c r="U550" s="30">
        <v>3877.82</v>
      </c>
    </row>
    <row x14ac:dyDescent="0.25" r="551" customHeight="1" ht="18.75">
      <c r="A551" s="21">
        <v>550</v>
      </c>
      <c r="B551" s="22" t="s">
        <v>2453</v>
      </c>
      <c r="C551" s="22" t="s">
        <v>166</v>
      </c>
      <c r="D551" s="22" t="s">
        <v>2454</v>
      </c>
      <c r="E551" s="22" t="s">
        <v>249</v>
      </c>
      <c r="F551" s="23"/>
      <c r="G551" s="22"/>
      <c r="H551" s="24"/>
      <c r="I551" s="25"/>
      <c r="J551" s="26">
        <v>199</v>
      </c>
      <c r="K551" s="27" t="s">
        <v>180</v>
      </c>
      <c r="L551" s="27" t="s">
        <v>169</v>
      </c>
      <c r="M551" s="28" t="s">
        <v>170</v>
      </c>
      <c r="N551" s="28" t="s">
        <v>171</v>
      </c>
      <c r="O551" s="28" t="s">
        <v>172</v>
      </c>
      <c r="P551" s="29" t="s">
        <v>173</v>
      </c>
      <c r="Q551" s="29" t="s">
        <v>174</v>
      </c>
      <c r="R551" s="29" t="s">
        <v>175</v>
      </c>
      <c r="S551" s="30">
        <v>1698.16</v>
      </c>
      <c r="T551" s="30">
        <v>128.51</v>
      </c>
      <c r="U551" s="30">
        <v>1569.65</v>
      </c>
    </row>
    <row x14ac:dyDescent="0.25" r="552" customHeight="1" ht="18.75">
      <c r="A552" s="21">
        <v>551</v>
      </c>
      <c r="B552" s="22" t="s">
        <v>2455</v>
      </c>
      <c r="C552" s="22" t="s">
        <v>190</v>
      </c>
      <c r="D552" s="22" t="s">
        <v>2456</v>
      </c>
      <c r="E552" s="22" t="s">
        <v>140</v>
      </c>
      <c r="F552" s="23"/>
      <c r="G552" s="22"/>
      <c r="H552" s="24"/>
      <c r="I552" s="25"/>
      <c r="J552" s="26">
        <v>582</v>
      </c>
      <c r="K552" s="27" t="s">
        <v>168</v>
      </c>
      <c r="L552" s="27" t="s">
        <v>169</v>
      </c>
      <c r="M552" s="28" t="s">
        <v>2457</v>
      </c>
      <c r="N552" s="28" t="s">
        <v>2458</v>
      </c>
      <c r="O552" s="28" t="s">
        <v>2459</v>
      </c>
      <c r="P552" s="29" t="s">
        <v>2460</v>
      </c>
      <c r="Q552" s="29" t="s">
        <v>2461</v>
      </c>
      <c r="R552" s="29" t="s">
        <v>2462</v>
      </c>
      <c r="S552" s="30">
        <v>3475.8</v>
      </c>
      <c r="T552" s="30">
        <v>305.68</v>
      </c>
      <c r="U552" s="30">
        <v>3170.12</v>
      </c>
    </row>
    <row x14ac:dyDescent="0.25" r="553" customHeight="1" ht="18.75">
      <c r="A553" s="21">
        <v>552</v>
      </c>
      <c r="B553" s="22" t="s">
        <v>2463</v>
      </c>
      <c r="C553" s="22" t="s">
        <v>487</v>
      </c>
      <c r="D553" s="22" t="s">
        <v>2464</v>
      </c>
      <c r="E553" s="22" t="s">
        <v>1188</v>
      </c>
      <c r="F553" s="23"/>
      <c r="G553" s="22"/>
      <c r="H553" s="24"/>
      <c r="I553" s="25"/>
      <c r="J553" s="26">
        <v>385</v>
      </c>
      <c r="K553" s="27" t="s">
        <v>180</v>
      </c>
      <c r="L553" s="27" t="s">
        <v>169</v>
      </c>
      <c r="M553" s="28" t="s">
        <v>490</v>
      </c>
      <c r="N553" s="28" t="s">
        <v>2465</v>
      </c>
      <c r="O553" s="28" t="s">
        <v>2466</v>
      </c>
      <c r="P553" s="29" t="s">
        <v>490</v>
      </c>
      <c r="Q553" s="29" t="s">
        <v>2465</v>
      </c>
      <c r="R553" s="29" t="s">
        <v>2466</v>
      </c>
      <c r="S553" s="30">
        <v>5700.6</v>
      </c>
      <c r="T553" s="30">
        <v>821.88</v>
      </c>
      <c r="U553" s="30">
        <v>4878.72</v>
      </c>
    </row>
    <row x14ac:dyDescent="0.25" r="554" customHeight="1" ht="18.75">
      <c r="A554" s="21">
        <v>553</v>
      </c>
      <c r="B554" s="22" t="s">
        <v>2467</v>
      </c>
      <c r="C554" s="22" t="s">
        <v>190</v>
      </c>
      <c r="D554" s="22" t="s">
        <v>2468</v>
      </c>
      <c r="E554" s="22" t="s">
        <v>122</v>
      </c>
      <c r="F554" s="23"/>
      <c r="G554" s="22"/>
      <c r="H554" s="24"/>
      <c r="I554" s="25"/>
      <c r="J554" s="26">
        <v>575</v>
      </c>
      <c r="K554" s="27" t="s">
        <v>168</v>
      </c>
      <c r="L554" s="27" t="s">
        <v>169</v>
      </c>
      <c r="M554" s="28" t="s">
        <v>233</v>
      </c>
      <c r="N554" s="28" t="s">
        <v>234</v>
      </c>
      <c r="O554" s="28" t="s">
        <v>235</v>
      </c>
      <c r="P554" s="29" t="s">
        <v>236</v>
      </c>
      <c r="Q554" s="29" t="s">
        <v>275</v>
      </c>
      <c r="R554" s="29" t="s">
        <v>276</v>
      </c>
      <c r="S554" s="30">
        <v>3471.98</v>
      </c>
      <c r="T554" s="30">
        <v>305.22</v>
      </c>
      <c r="U554" s="30">
        <v>3166.76</v>
      </c>
    </row>
    <row x14ac:dyDescent="0.25" r="555" customHeight="1" ht="18.75">
      <c r="A555" s="21">
        <v>554</v>
      </c>
      <c r="B555" s="22" t="s">
        <v>2469</v>
      </c>
      <c r="C555" s="22" t="s">
        <v>289</v>
      </c>
      <c r="D555" s="22" t="s">
        <v>2470</v>
      </c>
      <c r="E555" s="22" t="s">
        <v>310</v>
      </c>
      <c r="F555" s="23"/>
      <c r="G555" s="22"/>
      <c r="H555" s="24"/>
      <c r="I555" s="25"/>
      <c r="J555" s="26">
        <v>561</v>
      </c>
      <c r="K555" s="27" t="s">
        <v>180</v>
      </c>
      <c r="L555" s="27" t="s">
        <v>169</v>
      </c>
      <c r="M555" s="28" t="s">
        <v>292</v>
      </c>
      <c r="N555" s="28" t="s">
        <v>293</v>
      </c>
      <c r="O555" s="28" t="s">
        <v>294</v>
      </c>
      <c r="P555" s="29" t="s">
        <v>292</v>
      </c>
      <c r="Q555" s="29" t="s">
        <v>293</v>
      </c>
      <c r="R555" s="29" t="s">
        <v>294</v>
      </c>
      <c r="S555" s="30">
        <v>3818.4</v>
      </c>
      <c r="T555" s="30">
        <v>1105.55</v>
      </c>
      <c r="U555" s="30">
        <v>2712.85</v>
      </c>
    </row>
    <row x14ac:dyDescent="0.25" r="556" customHeight="1" ht="18.75">
      <c r="A556" s="21">
        <v>555</v>
      </c>
      <c r="B556" s="22" t="s">
        <v>2471</v>
      </c>
      <c r="C556" s="22" t="s">
        <v>278</v>
      </c>
      <c r="D556" s="22" t="s">
        <v>2472</v>
      </c>
      <c r="E556" s="22" t="s">
        <v>6</v>
      </c>
      <c r="F556" s="23"/>
      <c r="G556" s="22"/>
      <c r="H556" s="24"/>
      <c r="I556" s="25"/>
      <c r="J556" s="26">
        <v>411</v>
      </c>
      <c r="K556" s="27" t="s">
        <v>180</v>
      </c>
      <c r="L556" s="27" t="s">
        <v>169</v>
      </c>
      <c r="M556" s="28" t="s">
        <v>417</v>
      </c>
      <c r="N556" s="28" t="s">
        <v>418</v>
      </c>
      <c r="O556" s="28" t="s">
        <v>419</v>
      </c>
      <c r="P556" s="29" t="s">
        <v>417</v>
      </c>
      <c r="Q556" s="29" t="s">
        <v>418</v>
      </c>
      <c r="R556" s="29" t="s">
        <v>419</v>
      </c>
      <c r="S556" s="30">
        <v>5400.89</v>
      </c>
      <c r="T556" s="30">
        <v>707.63</v>
      </c>
      <c r="U556" s="30">
        <v>4693.26</v>
      </c>
    </row>
    <row x14ac:dyDescent="0.25" r="557" customHeight="1" ht="18.75">
      <c r="A557" s="21">
        <v>556</v>
      </c>
      <c r="B557" s="22" t="s">
        <v>2473</v>
      </c>
      <c r="C557" s="22" t="s">
        <v>549</v>
      </c>
      <c r="D557" s="22" t="s">
        <v>2474</v>
      </c>
      <c r="E557" s="22" t="s">
        <v>291</v>
      </c>
      <c r="F557" s="23"/>
      <c r="G557" s="22"/>
      <c r="H557" s="24"/>
      <c r="I557" s="25"/>
      <c r="J557" s="26">
        <v>248</v>
      </c>
      <c r="K557" s="27" t="s">
        <v>180</v>
      </c>
      <c r="L557" s="27" t="s">
        <v>169</v>
      </c>
      <c r="M557" s="28" t="s">
        <v>592</v>
      </c>
      <c r="N557" s="28" t="s">
        <v>593</v>
      </c>
      <c r="O557" s="28" t="s">
        <v>594</v>
      </c>
      <c r="P557" s="29" t="s">
        <v>592</v>
      </c>
      <c r="Q557" s="29" t="s">
        <v>593</v>
      </c>
      <c r="R557" s="29" t="s">
        <v>594</v>
      </c>
      <c r="S557" s="30">
        <v>1800</v>
      </c>
      <c r="T557" s="30">
        <v>137.68</v>
      </c>
      <c r="U557" s="30">
        <v>1662.32</v>
      </c>
    </row>
    <row x14ac:dyDescent="0.25" r="558" customHeight="1" ht="18.75">
      <c r="A558" s="21">
        <v>557</v>
      </c>
      <c r="B558" s="22" t="s">
        <v>2475</v>
      </c>
      <c r="C558" s="22" t="s">
        <v>166</v>
      </c>
      <c r="D558" s="22" t="s">
        <v>2476</v>
      </c>
      <c r="E558" s="22" t="s">
        <v>432</v>
      </c>
      <c r="F558" s="23"/>
      <c r="G558" s="22"/>
      <c r="H558" s="24"/>
      <c r="I558" s="25"/>
      <c r="J558" s="26">
        <v>261</v>
      </c>
      <c r="K558" s="27" t="s">
        <v>180</v>
      </c>
      <c r="L558" s="27" t="s">
        <v>169</v>
      </c>
      <c r="M558" s="28" t="s">
        <v>433</v>
      </c>
      <c r="N558" s="28" t="s">
        <v>2477</v>
      </c>
      <c r="O558" s="28" t="s">
        <v>2478</v>
      </c>
      <c r="P558" s="29" t="s">
        <v>173</v>
      </c>
      <c r="Q558" s="29" t="s">
        <v>2479</v>
      </c>
      <c r="R558" s="29" t="s">
        <v>2480</v>
      </c>
      <c r="S558" s="30">
        <v>1964.36</v>
      </c>
      <c r="T558" s="30">
        <v>232.89</v>
      </c>
      <c r="U558" s="30">
        <v>1731.47</v>
      </c>
    </row>
    <row x14ac:dyDescent="0.25" r="559" customHeight="1" ht="18.75">
      <c r="A559" s="21">
        <v>558</v>
      </c>
      <c r="B559" s="22" t="s">
        <v>2481</v>
      </c>
      <c r="C559" s="22" t="s">
        <v>166</v>
      </c>
      <c r="D559" s="22" t="s">
        <v>2482</v>
      </c>
      <c r="E559" s="22" t="s">
        <v>134</v>
      </c>
      <c r="F559" s="23"/>
      <c r="G559" s="22"/>
      <c r="H559" s="24"/>
      <c r="I559" s="25"/>
      <c r="J559" s="26">
        <v>178</v>
      </c>
      <c r="K559" s="27" t="s">
        <v>180</v>
      </c>
      <c r="L559" s="27" t="s">
        <v>169</v>
      </c>
      <c r="M559" s="28" t="s">
        <v>2483</v>
      </c>
      <c r="N559" s="28" t="s">
        <v>2484</v>
      </c>
      <c r="O559" s="28" t="s">
        <v>2485</v>
      </c>
      <c r="P559" s="29" t="s">
        <v>2486</v>
      </c>
      <c r="Q559" s="29" t="s">
        <v>2487</v>
      </c>
      <c r="R559" s="29" t="s">
        <v>2488</v>
      </c>
      <c r="S559" s="30">
        <v>2003.31</v>
      </c>
      <c r="T559" s="30">
        <v>155.97</v>
      </c>
      <c r="U559" s="30">
        <v>1847.34</v>
      </c>
    </row>
    <row x14ac:dyDescent="0.25" r="560" customHeight="1" ht="18.75">
      <c r="A560" s="21">
        <v>559</v>
      </c>
      <c r="B560" s="22" t="s">
        <v>2489</v>
      </c>
      <c r="C560" s="22" t="s">
        <v>166</v>
      </c>
      <c r="D560" s="22" t="s">
        <v>2490</v>
      </c>
      <c r="E560" s="22" t="s">
        <v>249</v>
      </c>
      <c r="F560" s="23"/>
      <c r="G560" s="22"/>
      <c r="H560" s="24"/>
      <c r="I560" s="25"/>
      <c r="J560" s="26">
        <v>203</v>
      </c>
      <c r="K560" s="27" t="s">
        <v>180</v>
      </c>
      <c r="L560" s="27" t="s">
        <v>169</v>
      </c>
      <c r="M560" s="28" t="s">
        <v>2491</v>
      </c>
      <c r="N560" s="28" t="s">
        <v>2492</v>
      </c>
      <c r="O560" s="28" t="s">
        <v>2493</v>
      </c>
      <c r="P560" s="29" t="s">
        <v>2494</v>
      </c>
      <c r="Q560" s="29" t="s">
        <v>2495</v>
      </c>
      <c r="R560" s="29" t="s">
        <v>2496</v>
      </c>
      <c r="S560" s="30">
        <v>2134.05</v>
      </c>
      <c r="T560" s="30">
        <v>167.74</v>
      </c>
      <c r="U560" s="30">
        <v>1966.31</v>
      </c>
    </row>
    <row x14ac:dyDescent="0.25" r="561" customHeight="1" ht="18.75">
      <c r="A561" s="21">
        <v>560</v>
      </c>
      <c r="B561" s="31" t="s">
        <v>2497</v>
      </c>
      <c r="C561" s="22" t="s">
        <v>190</v>
      </c>
      <c r="D561" s="22"/>
      <c r="E561" s="22" t="s">
        <v>94</v>
      </c>
      <c r="F561" s="23"/>
      <c r="G561" s="22"/>
      <c r="H561" s="24"/>
      <c r="I561" s="25"/>
      <c r="J561" s="32">
        <v>663</v>
      </c>
      <c r="K561" s="27" t="s">
        <v>192</v>
      </c>
      <c r="L561" s="27" t="s">
        <v>169</v>
      </c>
      <c r="M561" s="28"/>
      <c r="N561" s="28"/>
      <c r="O561" s="28"/>
      <c r="P561" s="29" t="s">
        <v>2498</v>
      </c>
      <c r="Q561" s="29" t="s">
        <v>2499</v>
      </c>
      <c r="R561" s="29" t="s">
        <v>2500</v>
      </c>
      <c r="S561" s="30">
        <v>3727.84</v>
      </c>
      <c r="T561" s="30">
        <v>506.59</v>
      </c>
      <c r="U561" s="30">
        <v>3221.25</v>
      </c>
    </row>
    <row x14ac:dyDescent="0.25" r="562" customHeight="1" ht="18.75">
      <c r="A562" s="21">
        <v>561</v>
      </c>
      <c r="B562" s="22" t="s">
        <v>2501</v>
      </c>
      <c r="C562" s="22" t="s">
        <v>166</v>
      </c>
      <c r="D562" s="22" t="s">
        <v>2502</v>
      </c>
      <c r="E562" s="22" t="s">
        <v>249</v>
      </c>
      <c r="F562" s="23"/>
      <c r="G562" s="22"/>
      <c r="H562" s="24"/>
      <c r="I562" s="25"/>
      <c r="J562" s="26">
        <v>195</v>
      </c>
      <c r="K562" s="27" t="s">
        <v>180</v>
      </c>
      <c r="L562" s="27" t="s">
        <v>169</v>
      </c>
      <c r="M562" s="28" t="s">
        <v>422</v>
      </c>
      <c r="N562" s="28" t="s">
        <v>259</v>
      </c>
      <c r="O562" s="28" t="s">
        <v>2503</v>
      </c>
      <c r="P562" s="29" t="s">
        <v>2504</v>
      </c>
      <c r="Q562" s="29" t="s">
        <v>2505</v>
      </c>
      <c r="R562" s="29" t="s">
        <v>2506</v>
      </c>
      <c r="S562" s="30">
        <v>1909.03</v>
      </c>
      <c r="T562" s="30">
        <v>147.49</v>
      </c>
      <c r="U562" s="30">
        <v>1761.54</v>
      </c>
    </row>
    <row x14ac:dyDescent="0.25" r="563" customHeight="1" ht="18.75">
      <c r="A563" s="21">
        <v>562</v>
      </c>
      <c r="B563" s="22" t="s">
        <v>2507</v>
      </c>
      <c r="C563" s="22" t="s">
        <v>190</v>
      </c>
      <c r="D563" s="22" t="s">
        <v>2508</v>
      </c>
      <c r="E563" s="22" t="s">
        <v>140</v>
      </c>
      <c r="F563" s="23"/>
      <c r="G563" s="22"/>
      <c r="H563" s="24"/>
      <c r="I563" s="25"/>
      <c r="J563" s="26">
        <v>57</v>
      </c>
      <c r="K563" s="27" t="s">
        <v>180</v>
      </c>
      <c r="L563" s="27" t="s">
        <v>169</v>
      </c>
      <c r="M563" s="28" t="s">
        <v>2509</v>
      </c>
      <c r="N563" s="28" t="s">
        <v>2510</v>
      </c>
      <c r="O563" s="28" t="s">
        <v>2511</v>
      </c>
      <c r="P563" s="29" t="s">
        <v>2512</v>
      </c>
      <c r="Q563" s="29" t="s">
        <v>2513</v>
      </c>
      <c r="R563" s="29" t="s">
        <v>2514</v>
      </c>
      <c r="S563" s="30">
        <v>3970.96</v>
      </c>
      <c r="T563" s="30">
        <v>365.1</v>
      </c>
      <c r="U563" s="30">
        <v>3605.86</v>
      </c>
    </row>
    <row x14ac:dyDescent="0.25" r="564" customHeight="1" ht="18.75">
      <c r="A564" s="21">
        <v>563</v>
      </c>
      <c r="B564" s="22" t="s">
        <v>2515</v>
      </c>
      <c r="C564" s="22" t="s">
        <v>378</v>
      </c>
      <c r="D564" s="22" t="s">
        <v>2516</v>
      </c>
      <c r="E564" s="22" t="s">
        <v>134</v>
      </c>
      <c r="F564" s="23"/>
      <c r="G564" s="22"/>
      <c r="H564" s="24"/>
      <c r="I564" s="25"/>
      <c r="J564" s="26">
        <v>565</v>
      </c>
      <c r="K564" s="27" t="s">
        <v>168</v>
      </c>
      <c r="L564" s="27" t="s">
        <v>169</v>
      </c>
      <c r="M564" s="28" t="s">
        <v>2517</v>
      </c>
      <c r="N564" s="28" t="s">
        <v>2518</v>
      </c>
      <c r="O564" s="28" t="s">
        <v>2519</v>
      </c>
      <c r="P564" s="29" t="s">
        <v>2520</v>
      </c>
      <c r="Q564" s="29" t="s">
        <v>2521</v>
      </c>
      <c r="R564" s="29" t="s">
        <v>2522</v>
      </c>
      <c r="S564" s="30">
        <v>4414.04</v>
      </c>
      <c r="T564" s="30">
        <v>549.01</v>
      </c>
      <c r="U564" s="30">
        <v>3865.03</v>
      </c>
    </row>
    <row x14ac:dyDescent="0.25" r="565" customHeight="1" ht="18.75">
      <c r="A565" s="21">
        <v>564</v>
      </c>
      <c r="B565" s="22" t="s">
        <v>2523</v>
      </c>
      <c r="C565" s="22" t="s">
        <v>539</v>
      </c>
      <c r="D565" s="22" t="s">
        <v>2524</v>
      </c>
      <c r="E565" s="22" t="s">
        <v>280</v>
      </c>
      <c r="F565" s="23"/>
      <c r="G565" s="22"/>
      <c r="H565" s="24"/>
      <c r="I565" s="25"/>
      <c r="J565" s="26">
        <v>196</v>
      </c>
      <c r="K565" s="27" t="s">
        <v>180</v>
      </c>
      <c r="L565" s="27" t="s">
        <v>169</v>
      </c>
      <c r="M565" s="28" t="s">
        <v>1193</v>
      </c>
      <c r="N565" s="28" t="s">
        <v>1194</v>
      </c>
      <c r="O565" s="28" t="s">
        <v>1195</v>
      </c>
      <c r="P565" s="29" t="s">
        <v>1193</v>
      </c>
      <c r="Q565" s="29" t="s">
        <v>1194</v>
      </c>
      <c r="R565" s="29" t="s">
        <v>1195</v>
      </c>
      <c r="S565" s="30">
        <v>2149.04</v>
      </c>
      <c r="T565" s="30">
        <v>169.09</v>
      </c>
      <c r="U565" s="30">
        <v>1979.95</v>
      </c>
    </row>
    <row x14ac:dyDescent="0.25" r="566" customHeight="1" ht="18.75">
      <c r="A566" s="21">
        <v>565</v>
      </c>
      <c r="B566" s="22" t="s">
        <v>2525</v>
      </c>
      <c r="C566" s="22" t="s">
        <v>539</v>
      </c>
      <c r="D566" s="22" t="s">
        <v>2526</v>
      </c>
      <c r="E566" s="22" t="s">
        <v>746</v>
      </c>
      <c r="F566" s="23"/>
      <c r="G566" s="22"/>
      <c r="H566" s="24"/>
      <c r="I566" s="25"/>
      <c r="J566" s="26">
        <v>510</v>
      </c>
      <c r="K566" s="27" t="s">
        <v>180</v>
      </c>
      <c r="L566" s="27" t="s">
        <v>169</v>
      </c>
      <c r="M566" s="28" t="s">
        <v>173</v>
      </c>
      <c r="N566" s="28" t="s">
        <v>174</v>
      </c>
      <c r="O566" s="28" t="s">
        <v>175</v>
      </c>
      <c r="P566" s="29" t="s">
        <v>173</v>
      </c>
      <c r="Q566" s="29" t="s">
        <v>174</v>
      </c>
      <c r="R566" s="29" t="s">
        <v>175</v>
      </c>
      <c r="S566" s="30">
        <v>1621</v>
      </c>
      <c r="T566" s="30">
        <v>121.57</v>
      </c>
      <c r="U566" s="30">
        <v>1499.43</v>
      </c>
    </row>
    <row x14ac:dyDescent="0.25" r="567" customHeight="1" ht="18.75">
      <c r="A567" s="21">
        <v>566</v>
      </c>
      <c r="B567" s="22" t="s">
        <v>2527</v>
      </c>
      <c r="C567" s="22" t="s">
        <v>190</v>
      </c>
      <c r="D567" s="22" t="s">
        <v>2528</v>
      </c>
      <c r="E567" s="22" t="s">
        <v>134</v>
      </c>
      <c r="F567" s="23"/>
      <c r="G567" s="22"/>
      <c r="H567" s="24"/>
      <c r="I567" s="25"/>
      <c r="J567" s="26">
        <v>17</v>
      </c>
      <c r="K567" s="27" t="s">
        <v>180</v>
      </c>
      <c r="L567" s="27" t="s">
        <v>169</v>
      </c>
      <c r="M567" s="28" t="s">
        <v>2529</v>
      </c>
      <c r="N567" s="28" t="s">
        <v>2530</v>
      </c>
      <c r="O567" s="28" t="s">
        <v>2531</v>
      </c>
      <c r="P567" s="29" t="s">
        <v>303</v>
      </c>
      <c r="Q567" s="29" t="s">
        <v>304</v>
      </c>
      <c r="R567" s="29" t="s">
        <v>305</v>
      </c>
      <c r="S567" s="30">
        <v>3090.01</v>
      </c>
      <c r="T567" s="30">
        <v>259.39</v>
      </c>
      <c r="U567" s="30">
        <v>2830.62</v>
      </c>
    </row>
    <row x14ac:dyDescent="0.25" r="568" customHeight="1" ht="18.75">
      <c r="A568" s="21">
        <v>567</v>
      </c>
      <c r="B568" s="22" t="s">
        <v>2532</v>
      </c>
      <c r="C568" s="22" t="s">
        <v>190</v>
      </c>
      <c r="D568" s="22" t="s">
        <v>2533</v>
      </c>
      <c r="E568" s="22" t="s">
        <v>249</v>
      </c>
      <c r="F568" s="23"/>
      <c r="G568" s="22"/>
      <c r="H568" s="24"/>
      <c r="I568" s="25"/>
      <c r="J568" s="26">
        <v>204</v>
      </c>
      <c r="K568" s="27" t="s">
        <v>180</v>
      </c>
      <c r="L568" s="27" t="s">
        <v>169</v>
      </c>
      <c r="M568" s="28" t="s">
        <v>300</v>
      </c>
      <c r="N568" s="28" t="s">
        <v>301</v>
      </c>
      <c r="O568" s="28" t="s">
        <v>302</v>
      </c>
      <c r="P568" s="29" t="s">
        <v>1247</v>
      </c>
      <c r="Q568" s="29" t="s">
        <v>1248</v>
      </c>
      <c r="R568" s="29" t="s">
        <v>1249</v>
      </c>
      <c r="S568" s="30">
        <v>3090.01</v>
      </c>
      <c r="T568" s="30">
        <v>259.39</v>
      </c>
      <c r="U568" s="30">
        <v>2830.62</v>
      </c>
    </row>
    <row x14ac:dyDescent="0.25" r="569" customHeight="1" ht="18.75">
      <c r="A569" s="21">
        <v>568</v>
      </c>
      <c r="B569" s="22" t="s">
        <v>2534</v>
      </c>
      <c r="C569" s="22" t="s">
        <v>166</v>
      </c>
      <c r="D569" s="22" t="s">
        <v>2535</v>
      </c>
      <c r="E569" s="22" t="s">
        <v>134</v>
      </c>
      <c r="F569" s="23"/>
      <c r="G569" s="22"/>
      <c r="H569" s="24"/>
      <c r="I569" s="25"/>
      <c r="J569" s="26">
        <v>169</v>
      </c>
      <c r="K569" s="27" t="s">
        <v>180</v>
      </c>
      <c r="L569" s="27" t="s">
        <v>169</v>
      </c>
      <c r="M569" s="28" t="s">
        <v>2536</v>
      </c>
      <c r="N569" s="28" t="s">
        <v>2537</v>
      </c>
      <c r="O569" s="28" t="s">
        <v>2538</v>
      </c>
      <c r="P569" s="29" t="s">
        <v>173</v>
      </c>
      <c r="Q569" s="29" t="s">
        <v>174</v>
      </c>
      <c r="R569" s="29" t="s">
        <v>175</v>
      </c>
      <c r="S569" s="30">
        <v>1714.38</v>
      </c>
      <c r="T569" s="30">
        <v>129.97</v>
      </c>
      <c r="U569" s="30">
        <v>1584.41</v>
      </c>
    </row>
    <row x14ac:dyDescent="0.25" r="570" customHeight="1" ht="18.75">
      <c r="A570" s="21">
        <v>569</v>
      </c>
      <c r="B570" s="22" t="s">
        <v>2539</v>
      </c>
      <c r="C570" s="22" t="s">
        <v>190</v>
      </c>
      <c r="D570" s="22" t="s">
        <v>2540</v>
      </c>
      <c r="E570" s="22" t="s">
        <v>191</v>
      </c>
      <c r="F570" s="23"/>
      <c r="G570" s="22"/>
      <c r="H570" s="24"/>
      <c r="I570" s="25"/>
      <c r="J570" s="26">
        <v>52</v>
      </c>
      <c r="K570" s="27" t="s">
        <v>180</v>
      </c>
      <c r="L570" s="27" t="s">
        <v>169</v>
      </c>
      <c r="M570" s="28" t="s">
        <v>2541</v>
      </c>
      <c r="N570" s="28" t="s">
        <v>2542</v>
      </c>
      <c r="O570" s="28" t="s">
        <v>2543</v>
      </c>
      <c r="P570" s="29" t="s">
        <v>303</v>
      </c>
      <c r="Q570" s="29" t="s">
        <v>304</v>
      </c>
      <c r="R570" s="29" t="s">
        <v>305</v>
      </c>
      <c r="S570" s="30">
        <v>3090.01</v>
      </c>
      <c r="T570" s="30">
        <v>259.39</v>
      </c>
      <c r="U570" s="30">
        <v>2830.62</v>
      </c>
    </row>
    <row x14ac:dyDescent="0.25" r="571" customHeight="1" ht="18.75">
      <c r="A571" s="21">
        <v>570</v>
      </c>
      <c r="B571" s="22" t="s">
        <v>2544</v>
      </c>
      <c r="C571" s="22" t="s">
        <v>166</v>
      </c>
      <c r="D571" s="22" t="s">
        <v>2545</v>
      </c>
      <c r="E571" s="22" t="s">
        <v>191</v>
      </c>
      <c r="F571" s="23"/>
      <c r="G571" s="22"/>
      <c r="H571" s="24"/>
      <c r="I571" s="25"/>
      <c r="J571" s="26">
        <v>480</v>
      </c>
      <c r="K571" s="27" t="s">
        <v>180</v>
      </c>
      <c r="L571" s="27" t="s">
        <v>169</v>
      </c>
      <c r="M571" s="28" t="s">
        <v>170</v>
      </c>
      <c r="N571" s="28" t="s">
        <v>171</v>
      </c>
      <c r="O571" s="28" t="s">
        <v>172</v>
      </c>
      <c r="P571" s="29" t="s">
        <v>173</v>
      </c>
      <c r="Q571" s="29" t="s">
        <v>174</v>
      </c>
      <c r="R571" s="29" t="s">
        <v>175</v>
      </c>
      <c r="S571" s="30">
        <v>1681.94</v>
      </c>
      <c r="T571" s="30">
        <v>127.05</v>
      </c>
      <c r="U571" s="30">
        <v>1554.89</v>
      </c>
    </row>
    <row x14ac:dyDescent="0.25" r="572" customHeight="1" ht="18.75">
      <c r="A572" s="21">
        <v>571</v>
      </c>
      <c r="B572" s="22" t="s">
        <v>2546</v>
      </c>
      <c r="C572" s="22" t="s">
        <v>166</v>
      </c>
      <c r="D572" s="22" t="s">
        <v>2547</v>
      </c>
      <c r="E572" s="22" t="s">
        <v>58</v>
      </c>
      <c r="F572" s="23"/>
      <c r="G572" s="22"/>
      <c r="H572" s="24"/>
      <c r="I572" s="25"/>
      <c r="J572" s="26">
        <v>602</v>
      </c>
      <c r="K572" s="27" t="s">
        <v>545</v>
      </c>
      <c r="L572" s="27" t="s">
        <v>169</v>
      </c>
      <c r="M572" s="28" t="s">
        <v>2548</v>
      </c>
      <c r="N572" s="28" t="s">
        <v>2549</v>
      </c>
      <c r="O572" s="28" t="s">
        <v>2550</v>
      </c>
      <c r="P572" s="29" t="s">
        <v>268</v>
      </c>
      <c r="Q572" s="29" t="s">
        <v>2551</v>
      </c>
      <c r="R572" s="29" t="s">
        <v>2552</v>
      </c>
      <c r="S572" s="30">
        <v>1850.74</v>
      </c>
      <c r="T572" s="30">
        <v>563.19</v>
      </c>
      <c r="U572" s="30">
        <v>1287.55</v>
      </c>
    </row>
    <row x14ac:dyDescent="0.25" r="573" customHeight="1" ht="18.75">
      <c r="A573" s="21">
        <v>572</v>
      </c>
      <c r="B573" s="22" t="s">
        <v>2553</v>
      </c>
      <c r="C573" s="22" t="s">
        <v>190</v>
      </c>
      <c r="D573" s="22" t="s">
        <v>2554</v>
      </c>
      <c r="E573" s="22" t="s">
        <v>140</v>
      </c>
      <c r="F573" s="23"/>
      <c r="G573" s="22"/>
      <c r="H573" s="24"/>
      <c r="I573" s="25"/>
      <c r="J573" s="26">
        <v>189</v>
      </c>
      <c r="K573" s="27" t="s">
        <v>180</v>
      </c>
      <c r="L573" s="27" t="s">
        <v>169</v>
      </c>
      <c r="M573" s="28" t="s">
        <v>2555</v>
      </c>
      <c r="N573" s="28" t="s">
        <v>2556</v>
      </c>
      <c r="O573" s="28" t="s">
        <v>2557</v>
      </c>
      <c r="P573" s="29" t="s">
        <v>303</v>
      </c>
      <c r="Q573" s="29" t="s">
        <v>304</v>
      </c>
      <c r="R573" s="29" t="s">
        <v>305</v>
      </c>
      <c r="S573" s="30">
        <v>3543.21</v>
      </c>
      <c r="T573" s="30">
        <v>313.77</v>
      </c>
      <c r="U573" s="30">
        <v>3229.44</v>
      </c>
    </row>
    <row x14ac:dyDescent="0.25" r="574" customHeight="1" ht="18.75">
      <c r="A574" s="21">
        <v>573</v>
      </c>
      <c r="B574" s="22" t="s">
        <v>2558</v>
      </c>
      <c r="C574" s="22" t="s">
        <v>278</v>
      </c>
      <c r="D574" s="22" t="s">
        <v>2559</v>
      </c>
      <c r="E574" s="22" t="s">
        <v>127</v>
      </c>
      <c r="F574" s="23"/>
      <c r="G574" s="22"/>
      <c r="H574" s="24"/>
      <c r="I574" s="25"/>
      <c r="J574" s="26">
        <v>364</v>
      </c>
      <c r="K574" s="27" t="s">
        <v>180</v>
      </c>
      <c r="L574" s="27" t="s">
        <v>169</v>
      </c>
      <c r="M574" s="28" t="s">
        <v>417</v>
      </c>
      <c r="N574" s="28" t="s">
        <v>418</v>
      </c>
      <c r="O574" s="28" t="s">
        <v>419</v>
      </c>
      <c r="P574" s="29" t="s">
        <v>417</v>
      </c>
      <c r="Q574" s="29" t="s">
        <v>418</v>
      </c>
      <c r="R574" s="29" t="s">
        <v>419</v>
      </c>
      <c r="S574" s="30">
        <v>4280</v>
      </c>
      <c r="T574" s="30">
        <v>402.18</v>
      </c>
      <c r="U574" s="30">
        <v>3877.82</v>
      </c>
    </row>
    <row x14ac:dyDescent="0.25" r="575" customHeight="1" ht="18.75">
      <c r="A575" s="21">
        <v>574</v>
      </c>
      <c r="B575" s="22" t="s">
        <v>2560</v>
      </c>
      <c r="C575" s="22" t="s">
        <v>402</v>
      </c>
      <c r="D575" s="22" t="s">
        <v>2561</v>
      </c>
      <c r="E575" s="22" t="s">
        <v>967</v>
      </c>
      <c r="F575" s="23"/>
      <c r="G575" s="22"/>
      <c r="H575" s="24"/>
      <c r="I575" s="25"/>
      <c r="J575" s="26">
        <v>533</v>
      </c>
      <c r="K575" s="27" t="s">
        <v>180</v>
      </c>
      <c r="L575" s="27" t="s">
        <v>169</v>
      </c>
      <c r="M575" s="28" t="s">
        <v>1048</v>
      </c>
      <c r="N575" s="28" t="s">
        <v>1049</v>
      </c>
      <c r="O575" s="28" t="s">
        <v>1050</v>
      </c>
      <c r="P575" s="29" t="s">
        <v>1048</v>
      </c>
      <c r="Q575" s="29" t="s">
        <v>1049</v>
      </c>
      <c r="R575" s="29" t="s">
        <v>1050</v>
      </c>
      <c r="S575" s="30">
        <v>3745.61</v>
      </c>
      <c r="T575" s="30">
        <v>338.06</v>
      </c>
      <c r="U575" s="30">
        <v>3407.55</v>
      </c>
    </row>
    <row x14ac:dyDescent="0.25" r="576" customHeight="1" ht="18.75">
      <c r="A576" s="21">
        <v>575</v>
      </c>
      <c r="B576" s="31" t="s">
        <v>2562</v>
      </c>
      <c r="C576" s="22" t="s">
        <v>166</v>
      </c>
      <c r="D576" s="22"/>
      <c r="E576" s="22" t="s">
        <v>191</v>
      </c>
      <c r="F576" s="23"/>
      <c r="G576" s="22"/>
      <c r="H576" s="24"/>
      <c r="I576" s="25"/>
      <c r="J576" s="32">
        <v>661</v>
      </c>
      <c r="K576" s="27" t="s">
        <v>192</v>
      </c>
      <c r="L576" s="27" t="s">
        <v>169</v>
      </c>
      <c r="M576" s="28"/>
      <c r="N576" s="28"/>
      <c r="O576" s="28"/>
      <c r="P576" s="29" t="s">
        <v>2563</v>
      </c>
      <c r="Q576" s="29" t="s">
        <v>2564</v>
      </c>
      <c r="R576" s="29" t="s">
        <v>2565</v>
      </c>
      <c r="S576" s="30">
        <v>1978.57</v>
      </c>
      <c r="T576" s="30">
        <v>153.75</v>
      </c>
      <c r="U576" s="30">
        <v>1824.82</v>
      </c>
    </row>
    <row x14ac:dyDescent="0.25" r="577" customHeight="1" ht="18.75">
      <c r="A577" s="21">
        <v>576</v>
      </c>
      <c r="B577" s="22" t="s">
        <v>2566</v>
      </c>
      <c r="C577" s="22" t="s">
        <v>368</v>
      </c>
      <c r="D577" s="22" t="s">
        <v>2567</v>
      </c>
      <c r="E577" s="22" t="s">
        <v>370</v>
      </c>
      <c r="F577" s="23"/>
      <c r="G577" s="22"/>
      <c r="H577" s="24"/>
      <c r="I577" s="25"/>
      <c r="J577" s="26">
        <v>266</v>
      </c>
      <c r="K577" s="27" t="s">
        <v>180</v>
      </c>
      <c r="L577" s="27" t="s">
        <v>169</v>
      </c>
      <c r="M577" s="28" t="s">
        <v>1674</v>
      </c>
      <c r="N577" s="28" t="s">
        <v>2568</v>
      </c>
      <c r="O577" s="28" t="s">
        <v>2569</v>
      </c>
      <c r="P577" s="29" t="s">
        <v>2570</v>
      </c>
      <c r="Q577" s="29" t="s">
        <v>2571</v>
      </c>
      <c r="R577" s="29" t="s">
        <v>2572</v>
      </c>
      <c r="S577" s="30">
        <v>3367.6</v>
      </c>
      <c r="T577" s="30">
        <v>932.35</v>
      </c>
      <c r="U577" s="30">
        <v>2435.25</v>
      </c>
    </row>
    <row x14ac:dyDescent="0.25" r="578" customHeight="1" ht="18.75">
      <c r="A578" s="21">
        <v>577</v>
      </c>
      <c r="B578" s="31" t="s">
        <v>2573</v>
      </c>
      <c r="C578" s="22" t="s">
        <v>190</v>
      </c>
      <c r="D578" s="22"/>
      <c r="E578" s="22" t="s">
        <v>134</v>
      </c>
      <c r="F578" s="23"/>
      <c r="G578" s="22"/>
      <c r="H578" s="24"/>
      <c r="I578" s="25"/>
      <c r="J578" s="32">
        <v>655</v>
      </c>
      <c r="K578" s="27" t="s">
        <v>467</v>
      </c>
      <c r="L578" s="27" t="s">
        <v>169</v>
      </c>
      <c r="M578" s="28"/>
      <c r="N578" s="28"/>
      <c r="O578" s="28"/>
      <c r="P578" s="29" t="s">
        <v>2574</v>
      </c>
      <c r="Q578" s="29" t="s">
        <v>2575</v>
      </c>
      <c r="R578" s="29" t="s">
        <v>2576</v>
      </c>
      <c r="S578" s="30">
        <v>3533.32</v>
      </c>
      <c r="T578" s="30">
        <v>312.58</v>
      </c>
      <c r="U578" s="30">
        <v>3220.74</v>
      </c>
    </row>
    <row x14ac:dyDescent="0.25" r="579" customHeight="1" ht="18.75">
      <c r="A579" s="21">
        <v>578</v>
      </c>
      <c r="B579" s="22" t="s">
        <v>2577</v>
      </c>
      <c r="C579" s="22" t="s">
        <v>166</v>
      </c>
      <c r="D579" s="22" t="s">
        <v>2578</v>
      </c>
      <c r="E579" s="22" t="s">
        <v>191</v>
      </c>
      <c r="F579" s="23"/>
      <c r="G579" s="22"/>
      <c r="H579" s="24"/>
      <c r="I579" s="25"/>
      <c r="J579" s="26">
        <v>577</v>
      </c>
      <c r="K579" s="27" t="s">
        <v>168</v>
      </c>
      <c r="L579" s="27" t="s">
        <v>169</v>
      </c>
      <c r="M579" s="28" t="s">
        <v>422</v>
      </c>
      <c r="N579" s="28" t="s">
        <v>2579</v>
      </c>
      <c r="O579" s="28" t="s">
        <v>2580</v>
      </c>
      <c r="P579" s="29" t="s">
        <v>425</v>
      </c>
      <c r="Q579" s="29" t="s">
        <v>2581</v>
      </c>
      <c r="R579" s="29" t="s">
        <v>2582</v>
      </c>
      <c r="S579" s="30">
        <v>1860.38</v>
      </c>
      <c r="T579" s="30">
        <v>529.41</v>
      </c>
      <c r="U579" s="30">
        <v>1330.97</v>
      </c>
    </row>
    <row x14ac:dyDescent="0.25" r="580" customHeight="1" ht="18.75">
      <c r="A580" s="21">
        <v>579</v>
      </c>
      <c r="B580" s="22" t="s">
        <v>2583</v>
      </c>
      <c r="C580" s="22" t="s">
        <v>2444</v>
      </c>
      <c r="D580" s="22" t="s">
        <v>2584</v>
      </c>
      <c r="E580" s="22" t="s">
        <v>140</v>
      </c>
      <c r="F580" s="23"/>
      <c r="G580" s="22"/>
      <c r="H580" s="24"/>
      <c r="I580" s="25"/>
      <c r="J580" s="26">
        <v>518</v>
      </c>
      <c r="K580" s="27" t="s">
        <v>180</v>
      </c>
      <c r="L580" s="27" t="s">
        <v>169</v>
      </c>
      <c r="M580" s="28" t="s">
        <v>2585</v>
      </c>
      <c r="N580" s="28" t="s">
        <v>2586</v>
      </c>
      <c r="O580" s="28" t="s">
        <v>2587</v>
      </c>
      <c r="P580" s="29" t="s">
        <v>314</v>
      </c>
      <c r="Q580" s="29" t="s">
        <v>315</v>
      </c>
      <c r="R580" s="29" t="s">
        <v>316</v>
      </c>
      <c r="S580" s="30">
        <v>4766.66</v>
      </c>
      <c r="T580" s="30">
        <v>468.83</v>
      </c>
      <c r="U580" s="30">
        <v>4297.83</v>
      </c>
    </row>
    <row x14ac:dyDescent="0.25" r="581" customHeight="1" ht="18.75">
      <c r="A581" s="21">
        <v>580</v>
      </c>
      <c r="B581" s="22" t="s">
        <v>2588</v>
      </c>
      <c r="C581" s="22" t="s">
        <v>549</v>
      </c>
      <c r="D581" s="22" t="s">
        <v>2589</v>
      </c>
      <c r="E581" s="22" t="s">
        <v>140</v>
      </c>
      <c r="F581" s="23"/>
      <c r="G581" s="22"/>
      <c r="H581" s="24"/>
      <c r="I581" s="25"/>
      <c r="J581" s="26">
        <v>140</v>
      </c>
      <c r="K581" s="27" t="s">
        <v>180</v>
      </c>
      <c r="L581" s="27" t="s">
        <v>169</v>
      </c>
      <c r="M581" s="28" t="s">
        <v>2590</v>
      </c>
      <c r="N581" s="28" t="s">
        <v>2591</v>
      </c>
      <c r="O581" s="28" t="s">
        <v>2592</v>
      </c>
      <c r="P581" s="29" t="s">
        <v>592</v>
      </c>
      <c r="Q581" s="29" t="s">
        <v>593</v>
      </c>
      <c r="R581" s="29" t="s">
        <v>594</v>
      </c>
      <c r="S581" s="30">
        <v>2161.96</v>
      </c>
      <c r="T581" s="30">
        <v>170.25</v>
      </c>
      <c r="U581" s="30">
        <v>1991.71</v>
      </c>
    </row>
    <row x14ac:dyDescent="0.25" r="582" customHeight="1" ht="18.75">
      <c r="A582" s="21">
        <v>581</v>
      </c>
      <c r="B582" s="22" t="s">
        <v>2593</v>
      </c>
      <c r="C582" s="22" t="s">
        <v>190</v>
      </c>
      <c r="D582" s="22" t="s">
        <v>2594</v>
      </c>
      <c r="E582" s="22" t="s">
        <v>118</v>
      </c>
      <c r="F582" s="23"/>
      <c r="G582" s="22"/>
      <c r="H582" s="24"/>
      <c r="I582" s="25"/>
      <c r="J582" s="26">
        <v>319</v>
      </c>
      <c r="K582" s="27" t="s">
        <v>180</v>
      </c>
      <c r="L582" s="27" t="s">
        <v>169</v>
      </c>
      <c r="M582" s="28" t="s">
        <v>233</v>
      </c>
      <c r="N582" s="28" t="s">
        <v>234</v>
      </c>
      <c r="O582" s="28" t="s">
        <v>235</v>
      </c>
      <c r="P582" s="29" t="s">
        <v>236</v>
      </c>
      <c r="Q582" s="29" t="s">
        <v>275</v>
      </c>
      <c r="R582" s="29" t="s">
        <v>276</v>
      </c>
      <c r="S582" s="30">
        <v>3499.43</v>
      </c>
      <c r="T582" s="30">
        <v>308.52</v>
      </c>
      <c r="U582" s="30">
        <v>3190.91</v>
      </c>
    </row>
    <row x14ac:dyDescent="0.25" r="583" customHeight="1" ht="18.75">
      <c r="A583" s="21">
        <v>582</v>
      </c>
      <c r="B583" s="22" t="s">
        <v>2595</v>
      </c>
      <c r="C583" s="22" t="s">
        <v>278</v>
      </c>
      <c r="D583" s="22" t="s">
        <v>2596</v>
      </c>
      <c r="E583" s="22" t="s">
        <v>746</v>
      </c>
      <c r="F583" s="23"/>
      <c r="G583" s="22"/>
      <c r="H583" s="24"/>
      <c r="I583" s="25"/>
      <c r="J583" s="26">
        <v>521</v>
      </c>
      <c r="K583" s="27" t="s">
        <v>180</v>
      </c>
      <c r="L583" s="27" t="s">
        <v>169</v>
      </c>
      <c r="M583" s="28" t="s">
        <v>750</v>
      </c>
      <c r="N583" s="28" t="s">
        <v>769</v>
      </c>
      <c r="O583" s="28" t="s">
        <v>770</v>
      </c>
      <c r="P583" s="29" t="s">
        <v>750</v>
      </c>
      <c r="Q583" s="29" t="s">
        <v>769</v>
      </c>
      <c r="R583" s="29" t="s">
        <v>770</v>
      </c>
      <c r="S583" s="30">
        <v>5270.61</v>
      </c>
      <c r="T583" s="30">
        <v>636.3</v>
      </c>
      <c r="U583" s="30">
        <v>4634.31</v>
      </c>
    </row>
    <row x14ac:dyDescent="0.25" r="584" customHeight="1" ht="18.75">
      <c r="A584" s="21">
        <v>583</v>
      </c>
      <c r="B584" s="22" t="s">
        <v>2597</v>
      </c>
      <c r="C584" s="22" t="s">
        <v>656</v>
      </c>
      <c r="D584" s="22" t="s">
        <v>2598</v>
      </c>
      <c r="E584" s="22" t="s">
        <v>249</v>
      </c>
      <c r="F584" s="23"/>
      <c r="G584" s="22"/>
      <c r="H584" s="24"/>
      <c r="I584" s="25"/>
      <c r="J584" s="26">
        <v>191</v>
      </c>
      <c r="K584" s="27" t="s">
        <v>180</v>
      </c>
      <c r="L584" s="27" t="s">
        <v>169</v>
      </c>
      <c r="M584" s="28" t="s">
        <v>658</v>
      </c>
      <c r="N584" s="28" t="s">
        <v>661</v>
      </c>
      <c r="O584" s="28" t="s">
        <v>662</v>
      </c>
      <c r="P584" s="29" t="s">
        <v>658</v>
      </c>
      <c r="Q584" s="29" t="s">
        <v>661</v>
      </c>
      <c r="R584" s="29" t="s">
        <v>662</v>
      </c>
      <c r="S584" s="30">
        <v>3000</v>
      </c>
      <c r="T584" s="30">
        <v>248.58</v>
      </c>
      <c r="U584" s="30">
        <v>2751.42</v>
      </c>
    </row>
    <row x14ac:dyDescent="0.25" r="585" customHeight="1" ht="18.75">
      <c r="A585" s="21">
        <v>584</v>
      </c>
      <c r="B585" s="22" t="s">
        <v>2599</v>
      </c>
      <c r="C585" s="22" t="s">
        <v>190</v>
      </c>
      <c r="D585" s="22" t="s">
        <v>2600</v>
      </c>
      <c r="E585" s="22" t="s">
        <v>140</v>
      </c>
      <c r="F585" s="23"/>
      <c r="G585" s="22"/>
      <c r="H585" s="24"/>
      <c r="I585" s="25"/>
      <c r="J585" s="26">
        <v>88</v>
      </c>
      <c r="K585" s="27" t="s">
        <v>180</v>
      </c>
      <c r="L585" s="27" t="s">
        <v>169</v>
      </c>
      <c r="M585" s="28" t="s">
        <v>632</v>
      </c>
      <c r="N585" s="28" t="s">
        <v>1070</v>
      </c>
      <c r="O585" s="28" t="s">
        <v>1071</v>
      </c>
      <c r="P585" s="29" t="s">
        <v>1450</v>
      </c>
      <c r="Q585" s="29" t="s">
        <v>1451</v>
      </c>
      <c r="R585" s="29" t="s">
        <v>1452</v>
      </c>
      <c r="S585" s="30">
        <v>3533.04</v>
      </c>
      <c r="T585" s="30">
        <v>312.55</v>
      </c>
      <c r="U585" s="30">
        <v>3220.49</v>
      </c>
    </row>
    <row x14ac:dyDescent="0.25" r="586" customHeight="1" ht="18.75">
      <c r="A586" s="21">
        <v>585</v>
      </c>
      <c r="B586" s="22" t="s">
        <v>2601</v>
      </c>
      <c r="C586" s="22" t="s">
        <v>402</v>
      </c>
      <c r="D586" s="22" t="s">
        <v>2602</v>
      </c>
      <c r="E586" s="22" t="s">
        <v>310</v>
      </c>
      <c r="F586" s="23"/>
      <c r="G586" s="22"/>
      <c r="H586" s="24"/>
      <c r="I586" s="25"/>
      <c r="J586" s="26">
        <v>629</v>
      </c>
      <c r="K586" s="27" t="s">
        <v>527</v>
      </c>
      <c r="L586" s="27" t="s">
        <v>169</v>
      </c>
      <c r="M586" s="28" t="s">
        <v>1048</v>
      </c>
      <c r="N586" s="28" t="s">
        <v>1049</v>
      </c>
      <c r="O586" s="28" t="s">
        <v>1050</v>
      </c>
      <c r="P586" s="29" t="s">
        <v>1048</v>
      </c>
      <c r="Q586" s="29" t="s">
        <v>1049</v>
      </c>
      <c r="R586" s="29" t="s">
        <v>1050</v>
      </c>
      <c r="S586" s="30">
        <v>3720</v>
      </c>
      <c r="T586" s="30">
        <v>334.98</v>
      </c>
      <c r="U586" s="30">
        <v>3385.02</v>
      </c>
    </row>
    <row x14ac:dyDescent="0.25" r="587" customHeight="1" ht="18.75">
      <c r="A587" s="21">
        <v>586</v>
      </c>
      <c r="B587" s="22" t="s">
        <v>2603</v>
      </c>
      <c r="C587" s="22" t="s">
        <v>378</v>
      </c>
      <c r="D587" s="22" t="s">
        <v>2604</v>
      </c>
      <c r="E587" s="22" t="s">
        <v>1551</v>
      </c>
      <c r="F587" s="23"/>
      <c r="G587" s="22"/>
      <c r="H587" s="24"/>
      <c r="I587" s="25"/>
      <c r="J587" s="26">
        <v>404</v>
      </c>
      <c r="K587" s="27" t="s">
        <v>180</v>
      </c>
      <c r="L587" s="27" t="s">
        <v>169</v>
      </c>
      <c r="M587" s="28" t="s">
        <v>592</v>
      </c>
      <c r="N587" s="28" t="s">
        <v>2605</v>
      </c>
      <c r="O587" s="28" t="s">
        <v>2606</v>
      </c>
      <c r="P587" s="29" t="s">
        <v>592</v>
      </c>
      <c r="Q587" s="29" t="s">
        <v>593</v>
      </c>
      <c r="R587" s="29" t="s">
        <v>594</v>
      </c>
      <c r="S587" s="30">
        <v>1867.54</v>
      </c>
      <c r="T587" s="30">
        <v>137.68</v>
      </c>
      <c r="U587" s="30">
        <v>1729.86</v>
      </c>
    </row>
    <row x14ac:dyDescent="0.25" r="588" customHeight="1" ht="18.75">
      <c r="A588" s="21">
        <v>587</v>
      </c>
      <c r="B588" s="22" t="s">
        <v>2607</v>
      </c>
      <c r="C588" s="22" t="s">
        <v>166</v>
      </c>
      <c r="D588" s="22" t="s">
        <v>2608</v>
      </c>
      <c r="E588" s="22" t="s">
        <v>140</v>
      </c>
      <c r="F588" s="23"/>
      <c r="G588" s="22"/>
      <c r="H588" s="24"/>
      <c r="I588" s="25"/>
      <c r="J588" s="26">
        <v>127</v>
      </c>
      <c r="K588" s="27" t="s">
        <v>180</v>
      </c>
      <c r="L588" s="27" t="s">
        <v>169</v>
      </c>
      <c r="M588" s="28" t="s">
        <v>2609</v>
      </c>
      <c r="N588" s="28" t="s">
        <v>2610</v>
      </c>
      <c r="O588" s="28" t="s">
        <v>2611</v>
      </c>
      <c r="P588" s="29" t="s">
        <v>2612</v>
      </c>
      <c r="Q588" s="29" t="s">
        <v>2613</v>
      </c>
      <c r="R588" s="29" t="s">
        <v>2614</v>
      </c>
      <c r="S588" s="30">
        <v>1909.03</v>
      </c>
      <c r="T588" s="30">
        <v>147.49</v>
      </c>
      <c r="U588" s="30">
        <v>1761.54</v>
      </c>
    </row>
    <row x14ac:dyDescent="0.25" r="589" customHeight="1" ht="18.75">
      <c r="A589" s="21">
        <v>588</v>
      </c>
      <c r="B589" s="22" t="s">
        <v>2615</v>
      </c>
      <c r="C589" s="22" t="s">
        <v>539</v>
      </c>
      <c r="D589" s="22" t="s">
        <v>2616</v>
      </c>
      <c r="E589" s="22" t="s">
        <v>746</v>
      </c>
      <c r="F589" s="23"/>
      <c r="G589" s="22"/>
      <c r="H589" s="24"/>
      <c r="I589" s="25"/>
      <c r="J589" s="26">
        <v>505</v>
      </c>
      <c r="K589" s="27" t="s">
        <v>180</v>
      </c>
      <c r="L589" s="27" t="s">
        <v>169</v>
      </c>
      <c r="M589" s="28" t="s">
        <v>173</v>
      </c>
      <c r="N589" s="28" t="s">
        <v>174</v>
      </c>
      <c r="O589" s="28" t="s">
        <v>175</v>
      </c>
      <c r="P589" s="29" t="s">
        <v>173</v>
      </c>
      <c r="Q589" s="29" t="s">
        <v>174</v>
      </c>
      <c r="R589" s="29" t="s">
        <v>175</v>
      </c>
      <c r="S589" s="30">
        <v>1621</v>
      </c>
      <c r="T589" s="30">
        <v>121.57</v>
      </c>
      <c r="U589" s="30">
        <v>1499.43</v>
      </c>
    </row>
    <row x14ac:dyDescent="0.25" r="590" customHeight="1" ht="18.75">
      <c r="A590" s="21">
        <v>589</v>
      </c>
      <c r="B590" s="34" t="s">
        <v>2617</v>
      </c>
      <c r="C590" s="24" t="s">
        <v>2618</v>
      </c>
      <c r="D590" s="35" t="s">
        <v>2619</v>
      </c>
      <c r="E590" s="22" t="s">
        <v>474</v>
      </c>
      <c r="F590" s="23"/>
      <c r="G590" s="22"/>
      <c r="H590" s="24" t="s">
        <v>2620</v>
      </c>
      <c r="I590" s="25" t="s">
        <v>2621</v>
      </c>
      <c r="J590" s="26"/>
      <c r="K590" s="27"/>
      <c r="L590" s="27" t="s">
        <v>169</v>
      </c>
      <c r="M590" s="28"/>
      <c r="N590" s="28"/>
      <c r="O590" s="28"/>
      <c r="P590" s="29"/>
      <c r="Q590" s="29"/>
      <c r="R590" s="29"/>
      <c r="S590" s="33"/>
      <c r="T590" s="33"/>
      <c r="U590" s="33"/>
    </row>
    <row x14ac:dyDescent="0.25" r="591" customHeight="1" ht="18.75">
      <c r="A591" s="21">
        <v>590</v>
      </c>
      <c r="B591" s="36" t="s">
        <v>2622</v>
      </c>
      <c r="C591" s="24" t="s">
        <v>2618</v>
      </c>
      <c r="D591" s="35" t="s">
        <v>2623</v>
      </c>
      <c r="E591" s="22" t="s">
        <v>474</v>
      </c>
      <c r="F591" s="23"/>
      <c r="G591" s="22"/>
      <c r="H591" s="37" t="s">
        <v>2624</v>
      </c>
      <c r="I591" s="38" t="s">
        <v>2625</v>
      </c>
      <c r="J591" s="26"/>
      <c r="K591" s="27"/>
      <c r="L591" s="27" t="s">
        <v>169</v>
      </c>
      <c r="M591" s="28"/>
      <c r="N591" s="28"/>
      <c r="O591" s="28"/>
      <c r="P591" s="29"/>
      <c r="Q591" s="29"/>
      <c r="R591" s="29"/>
      <c r="S591" s="33"/>
      <c r="T591" s="33"/>
      <c r="U591" s="33"/>
    </row>
    <row x14ac:dyDescent="0.25" r="592" customHeight="1" ht="18.75">
      <c r="A592" s="21">
        <v>591</v>
      </c>
      <c r="B592" s="36" t="s">
        <v>2626</v>
      </c>
      <c r="C592" s="24" t="s">
        <v>2618</v>
      </c>
      <c r="D592" s="35" t="s">
        <v>2627</v>
      </c>
      <c r="E592" s="22" t="s">
        <v>474</v>
      </c>
      <c r="F592" s="23"/>
      <c r="G592" s="22"/>
      <c r="H592" s="37" t="s">
        <v>2624</v>
      </c>
      <c r="I592" s="38" t="s">
        <v>2628</v>
      </c>
      <c r="J592" s="26"/>
      <c r="K592" s="27"/>
      <c r="L592" s="27" t="s">
        <v>169</v>
      </c>
      <c r="M592" s="28"/>
      <c r="N592" s="28"/>
      <c r="O592" s="28"/>
      <c r="P592" s="29"/>
      <c r="Q592" s="29"/>
      <c r="R592" s="29"/>
      <c r="S592" s="33"/>
      <c r="T592" s="33"/>
      <c r="U592" s="33"/>
    </row>
    <row x14ac:dyDescent="0.25" r="593" customHeight="1" ht="18.75">
      <c r="A593" s="21">
        <v>592</v>
      </c>
      <c r="B593" s="36" t="s">
        <v>2629</v>
      </c>
      <c r="C593" s="24" t="s">
        <v>2618</v>
      </c>
      <c r="D593" s="35" t="s">
        <v>2630</v>
      </c>
      <c r="E593" s="22" t="s">
        <v>474</v>
      </c>
      <c r="F593" s="23"/>
      <c r="G593" s="22"/>
      <c r="H593" s="37" t="s">
        <v>2624</v>
      </c>
      <c r="I593" s="38" t="s">
        <v>2631</v>
      </c>
      <c r="J593" s="26"/>
      <c r="K593" s="27"/>
      <c r="L593" s="27" t="s">
        <v>169</v>
      </c>
      <c r="M593" s="28"/>
      <c r="N593" s="28"/>
      <c r="O593" s="28"/>
      <c r="P593" s="29"/>
      <c r="Q593" s="29"/>
      <c r="R593" s="29"/>
      <c r="S593" s="33"/>
      <c r="T593" s="33"/>
      <c r="U593" s="33"/>
    </row>
    <row x14ac:dyDescent="0.25" r="594" customHeight="1" ht="18.75">
      <c r="A594" s="21">
        <v>593</v>
      </c>
      <c r="B594" s="36" t="s">
        <v>2632</v>
      </c>
      <c r="C594" s="24" t="s">
        <v>2618</v>
      </c>
      <c r="D594" s="35" t="s">
        <v>2633</v>
      </c>
      <c r="E594" s="22" t="s">
        <v>474</v>
      </c>
      <c r="F594" s="23"/>
      <c r="G594" s="22"/>
      <c r="H594" s="37" t="s">
        <v>2620</v>
      </c>
      <c r="I594" s="38" t="s">
        <v>2634</v>
      </c>
      <c r="J594" s="26"/>
      <c r="K594" s="27"/>
      <c r="L594" s="27" t="s">
        <v>169</v>
      </c>
      <c r="M594" s="28"/>
      <c r="N594" s="28"/>
      <c r="O594" s="28"/>
      <c r="P594" s="29"/>
      <c r="Q594" s="29"/>
      <c r="R594" s="29"/>
      <c r="S594" s="33"/>
      <c r="T594" s="33"/>
      <c r="U594" s="33"/>
    </row>
    <row x14ac:dyDescent="0.25" r="595" customHeight="1" ht="18.75">
      <c r="A595" s="21">
        <v>594</v>
      </c>
      <c r="B595" s="36" t="s">
        <v>2635</v>
      </c>
      <c r="C595" s="24" t="s">
        <v>2618</v>
      </c>
      <c r="D595" s="35" t="s">
        <v>2636</v>
      </c>
      <c r="E595" s="22" t="s">
        <v>474</v>
      </c>
      <c r="F595" s="23"/>
      <c r="G595" s="22"/>
      <c r="H595" s="37" t="s">
        <v>2637</v>
      </c>
      <c r="I595" s="38" t="s">
        <v>2638</v>
      </c>
      <c r="J595" s="26"/>
      <c r="K595" s="27"/>
      <c r="L595" s="27" t="s">
        <v>169</v>
      </c>
      <c r="M595" s="28"/>
      <c r="N595" s="28"/>
      <c r="O595" s="28"/>
      <c r="P595" s="29"/>
      <c r="Q595" s="29"/>
      <c r="R595" s="29"/>
      <c r="S595" s="33"/>
      <c r="T595" s="33"/>
      <c r="U595" s="33"/>
    </row>
    <row x14ac:dyDescent="0.25" r="596" customHeight="1" ht="18.75">
      <c r="A596" s="21">
        <v>595</v>
      </c>
      <c r="B596" s="36" t="s">
        <v>2639</v>
      </c>
      <c r="C596" s="24" t="s">
        <v>2618</v>
      </c>
      <c r="D596" s="35" t="s">
        <v>2640</v>
      </c>
      <c r="E596" s="22" t="s">
        <v>474</v>
      </c>
      <c r="F596" s="23"/>
      <c r="G596" s="22"/>
      <c r="H596" s="37" t="s">
        <v>2620</v>
      </c>
      <c r="I596" s="38" t="s">
        <v>2641</v>
      </c>
      <c r="J596" s="26"/>
      <c r="K596" s="27"/>
      <c r="L596" s="27" t="s">
        <v>169</v>
      </c>
      <c r="M596" s="28"/>
      <c r="N596" s="28"/>
      <c r="O596" s="28"/>
      <c r="P596" s="29"/>
      <c r="Q596" s="29"/>
      <c r="R596" s="29"/>
      <c r="S596" s="33"/>
      <c r="T596" s="33"/>
      <c r="U596" s="33"/>
    </row>
    <row x14ac:dyDescent="0.25" r="597" customHeight="1" ht="18.75">
      <c r="A597" s="21">
        <v>596</v>
      </c>
      <c r="B597" s="36" t="s">
        <v>2642</v>
      </c>
      <c r="C597" s="24" t="s">
        <v>2618</v>
      </c>
      <c r="D597" s="35" t="s">
        <v>2643</v>
      </c>
      <c r="E597" s="22" t="s">
        <v>474</v>
      </c>
      <c r="F597" s="23"/>
      <c r="G597" s="22"/>
      <c r="H597" s="37" t="s">
        <v>2624</v>
      </c>
      <c r="I597" s="38" t="s">
        <v>2644</v>
      </c>
      <c r="J597" s="26"/>
      <c r="K597" s="27"/>
      <c r="L597" s="27" t="s">
        <v>169</v>
      </c>
      <c r="M597" s="28"/>
      <c r="N597" s="28"/>
      <c r="O597" s="28"/>
      <c r="P597" s="29"/>
      <c r="Q597" s="29"/>
      <c r="R597" s="29"/>
      <c r="S597" s="33"/>
      <c r="T597" s="33"/>
      <c r="U597" s="33"/>
    </row>
    <row x14ac:dyDescent="0.25" r="598" customHeight="1" ht="18.75">
      <c r="A598" s="21">
        <v>597</v>
      </c>
      <c r="B598" s="36" t="s">
        <v>2645</v>
      </c>
      <c r="C598" s="24" t="s">
        <v>2618</v>
      </c>
      <c r="D598" s="35" t="s">
        <v>2646</v>
      </c>
      <c r="E598" s="22" t="s">
        <v>474</v>
      </c>
      <c r="F598" s="23"/>
      <c r="G598" s="22"/>
      <c r="H598" s="37" t="s">
        <v>2624</v>
      </c>
      <c r="I598" s="38" t="s">
        <v>2647</v>
      </c>
      <c r="J598" s="26"/>
      <c r="K598" s="27"/>
      <c r="L598" s="27" t="s">
        <v>169</v>
      </c>
      <c r="M598" s="28"/>
      <c r="N598" s="28"/>
      <c r="O598" s="28"/>
      <c r="P598" s="29"/>
      <c r="Q598" s="29"/>
      <c r="R598" s="29"/>
      <c r="S598" s="33"/>
      <c r="T598" s="33"/>
      <c r="U598" s="33"/>
    </row>
    <row x14ac:dyDescent="0.25" r="599" customHeight="1" ht="18.75">
      <c r="A599" s="21">
        <v>598</v>
      </c>
      <c r="B599" s="36" t="s">
        <v>2648</v>
      </c>
      <c r="C599" s="24" t="s">
        <v>2618</v>
      </c>
      <c r="D599" s="35" t="s">
        <v>2649</v>
      </c>
      <c r="E599" s="22" t="s">
        <v>474</v>
      </c>
      <c r="F599" s="23"/>
      <c r="G599" s="22"/>
      <c r="H599" s="37" t="s">
        <v>2624</v>
      </c>
      <c r="I599" s="38" t="s">
        <v>2650</v>
      </c>
      <c r="J599" s="26"/>
      <c r="K599" s="27"/>
      <c r="L599" s="27" t="s">
        <v>169</v>
      </c>
      <c r="M599" s="28"/>
      <c r="N599" s="28"/>
      <c r="O599" s="28"/>
      <c r="P599" s="29"/>
      <c r="Q599" s="29"/>
      <c r="R599" s="29"/>
      <c r="S599" s="33"/>
      <c r="T599" s="33"/>
      <c r="U599" s="33"/>
    </row>
    <row x14ac:dyDescent="0.25" r="600" customHeight="1" ht="18.75">
      <c r="A600" s="21">
        <v>599</v>
      </c>
      <c r="B600" s="36" t="s">
        <v>2651</v>
      </c>
      <c r="C600" s="24" t="s">
        <v>2618</v>
      </c>
      <c r="D600" s="35" t="s">
        <v>2652</v>
      </c>
      <c r="E600" s="22" t="s">
        <v>474</v>
      </c>
      <c r="F600" s="23"/>
      <c r="G600" s="22"/>
      <c r="H600" s="37" t="s">
        <v>2620</v>
      </c>
      <c r="I600" s="38" t="s">
        <v>2653</v>
      </c>
      <c r="J600" s="26"/>
      <c r="K600" s="27"/>
      <c r="L600" s="27" t="s">
        <v>169</v>
      </c>
      <c r="M600" s="28"/>
      <c r="N600" s="28"/>
      <c r="O600" s="28"/>
      <c r="P600" s="29"/>
      <c r="Q600" s="29"/>
      <c r="R600" s="29"/>
      <c r="S600" s="33"/>
      <c r="T600" s="33"/>
      <c r="U600" s="33"/>
    </row>
    <row x14ac:dyDescent="0.25" r="601" customHeight="1" ht="18.75">
      <c r="A601" s="21">
        <v>600</v>
      </c>
      <c r="B601" s="36" t="s">
        <v>2654</v>
      </c>
      <c r="C601" s="24" t="s">
        <v>2618</v>
      </c>
      <c r="D601" s="35" t="s">
        <v>2655</v>
      </c>
      <c r="E601" s="22" t="s">
        <v>474</v>
      </c>
      <c r="F601" s="23"/>
      <c r="G601" s="22"/>
      <c r="H601" s="37" t="s">
        <v>2624</v>
      </c>
      <c r="I601" s="38" t="s">
        <v>2656</v>
      </c>
      <c r="J601" s="26"/>
      <c r="K601" s="27"/>
      <c r="L601" s="27" t="s">
        <v>169</v>
      </c>
      <c r="M601" s="28"/>
      <c r="N601" s="28"/>
      <c r="O601" s="28"/>
      <c r="P601" s="29"/>
      <c r="Q601" s="29"/>
      <c r="R601" s="29"/>
      <c r="S601" s="33"/>
      <c r="T601" s="33"/>
      <c r="U601" s="33"/>
    </row>
    <row x14ac:dyDescent="0.25" r="602" customHeight="1" ht="18.75">
      <c r="A602" s="21">
        <v>601</v>
      </c>
      <c r="B602" s="36" t="s">
        <v>2657</v>
      </c>
      <c r="C602" s="24" t="s">
        <v>2618</v>
      </c>
      <c r="D602" s="35" t="s">
        <v>2658</v>
      </c>
      <c r="E602" s="22" t="s">
        <v>474</v>
      </c>
      <c r="F602" s="23" t="s">
        <v>191</v>
      </c>
      <c r="G602" s="22"/>
      <c r="H602" s="37" t="s">
        <v>2624</v>
      </c>
      <c r="I602" s="38" t="s">
        <v>2659</v>
      </c>
      <c r="J602" s="26"/>
      <c r="K602" s="27"/>
      <c r="L602" s="27" t="s">
        <v>169</v>
      </c>
      <c r="M602" s="28"/>
      <c r="N602" s="28"/>
      <c r="O602" s="28"/>
      <c r="P602" s="29"/>
      <c r="Q602" s="29"/>
      <c r="R602" s="29"/>
      <c r="S602" s="33"/>
      <c r="T602" s="33"/>
      <c r="U602" s="33"/>
    </row>
    <row x14ac:dyDescent="0.25" r="603" customHeight="1" ht="18.75">
      <c r="A603" s="21">
        <v>602</v>
      </c>
      <c r="B603" s="36" t="s">
        <v>2660</v>
      </c>
      <c r="C603" s="24" t="s">
        <v>2618</v>
      </c>
      <c r="D603" s="35" t="s">
        <v>2661</v>
      </c>
      <c r="E603" s="22" t="s">
        <v>474</v>
      </c>
      <c r="F603" s="23" t="s">
        <v>191</v>
      </c>
      <c r="G603" s="22"/>
      <c r="H603" s="37" t="s">
        <v>2620</v>
      </c>
      <c r="I603" s="38" t="s">
        <v>2662</v>
      </c>
      <c r="J603" s="26"/>
      <c r="K603" s="27"/>
      <c r="L603" s="27" t="s">
        <v>169</v>
      </c>
      <c r="M603" s="28"/>
      <c r="N603" s="28"/>
      <c r="O603" s="28"/>
      <c r="P603" s="29"/>
      <c r="Q603" s="29"/>
      <c r="R603" s="29"/>
      <c r="S603" s="33"/>
      <c r="T603" s="33"/>
      <c r="U603" s="33"/>
    </row>
    <row x14ac:dyDescent="0.25" r="604" customHeight="1" ht="18.75">
      <c r="A604" s="21">
        <v>603</v>
      </c>
      <c r="B604" s="36" t="s">
        <v>2663</v>
      </c>
      <c r="C604" s="24" t="s">
        <v>2618</v>
      </c>
      <c r="D604" s="35" t="s">
        <v>2664</v>
      </c>
      <c r="E604" s="22" t="s">
        <v>249</v>
      </c>
      <c r="F604" s="37"/>
      <c r="G604" s="37"/>
      <c r="H604" s="37" t="s">
        <v>2665</v>
      </c>
      <c r="I604" s="38" t="s">
        <v>2666</v>
      </c>
      <c r="J604" s="26"/>
      <c r="K604" s="27"/>
      <c r="L604" s="27" t="s">
        <v>169</v>
      </c>
      <c r="M604" s="28"/>
      <c r="N604" s="28"/>
      <c r="O604" s="28"/>
      <c r="P604" s="29"/>
      <c r="Q604" s="29"/>
      <c r="R604" s="29"/>
      <c r="S604" s="33"/>
      <c r="T604" s="33"/>
      <c r="U604" s="33"/>
    </row>
    <row x14ac:dyDescent="0.25" r="605" customHeight="1" ht="18.75">
      <c r="A605" s="21">
        <v>604</v>
      </c>
      <c r="B605" s="36" t="s">
        <v>2667</v>
      </c>
      <c r="C605" s="24" t="s">
        <v>2618</v>
      </c>
      <c r="D605" s="35" t="s">
        <v>2668</v>
      </c>
      <c r="E605" s="22" t="s">
        <v>249</v>
      </c>
      <c r="F605" s="37"/>
      <c r="G605" s="37"/>
      <c r="H605" s="37" t="s">
        <v>2669</v>
      </c>
      <c r="I605" s="38" t="s">
        <v>2670</v>
      </c>
      <c r="J605" s="26"/>
      <c r="K605" s="27"/>
      <c r="L605" s="27" t="s">
        <v>169</v>
      </c>
      <c r="M605" s="28"/>
      <c r="N605" s="28"/>
      <c r="O605" s="28"/>
      <c r="P605" s="29"/>
      <c r="Q605" s="29"/>
      <c r="R605" s="29"/>
      <c r="S605" s="33"/>
      <c r="T605" s="33"/>
      <c r="U605" s="33"/>
    </row>
    <row x14ac:dyDescent="0.25" r="606" customHeight="1" ht="18.75">
      <c r="A606" s="21">
        <v>605</v>
      </c>
      <c r="B606" s="36" t="s">
        <v>2671</v>
      </c>
      <c r="C606" s="24" t="s">
        <v>2618</v>
      </c>
      <c r="D606" s="35" t="s">
        <v>2672</v>
      </c>
      <c r="E606" s="22" t="s">
        <v>249</v>
      </c>
      <c r="F606" s="37"/>
      <c r="G606" s="37"/>
      <c r="H606" s="37" t="s">
        <v>2669</v>
      </c>
      <c r="I606" s="38" t="s">
        <v>2673</v>
      </c>
      <c r="J606" s="26"/>
      <c r="K606" s="27"/>
      <c r="L606" s="27" t="s">
        <v>169</v>
      </c>
      <c r="M606" s="28"/>
      <c r="N606" s="28"/>
      <c r="O606" s="28"/>
      <c r="P606" s="29"/>
      <c r="Q606" s="29"/>
      <c r="R606" s="29"/>
      <c r="S606" s="33"/>
      <c r="T606" s="33"/>
      <c r="U606" s="33"/>
    </row>
    <row x14ac:dyDescent="0.25" r="607" customHeight="1" ht="18.75">
      <c r="A607" s="21">
        <v>606</v>
      </c>
      <c r="B607" s="36" t="s">
        <v>2674</v>
      </c>
      <c r="C607" s="24" t="s">
        <v>2618</v>
      </c>
      <c r="D607" s="35" t="s">
        <v>2675</v>
      </c>
      <c r="E607" s="37" t="s">
        <v>2676</v>
      </c>
      <c r="F607" s="37"/>
      <c r="G607" s="37"/>
      <c r="H607" s="39"/>
      <c r="I607" s="38" t="s">
        <v>2677</v>
      </c>
      <c r="J607" s="26"/>
      <c r="K607" s="27"/>
      <c r="L607" s="27" t="s">
        <v>169</v>
      </c>
      <c r="M607" s="28"/>
      <c r="N607" s="28"/>
      <c r="O607" s="28"/>
      <c r="P607" s="29"/>
      <c r="Q607" s="29"/>
      <c r="R607" s="29"/>
      <c r="S607" s="33"/>
      <c r="T607" s="33"/>
      <c r="U607" s="33"/>
    </row>
    <row x14ac:dyDescent="0.25" r="608" customHeight="1" ht="18.75">
      <c r="A608" s="21">
        <v>607</v>
      </c>
      <c r="B608" s="36" t="s">
        <v>2678</v>
      </c>
      <c r="C608" s="24" t="s">
        <v>2618</v>
      </c>
      <c r="D608" s="35" t="s">
        <v>2679</v>
      </c>
      <c r="E608" s="22" t="s">
        <v>232</v>
      </c>
      <c r="F608" s="37"/>
      <c r="G608" s="37"/>
      <c r="H608" s="37" t="s">
        <v>2680</v>
      </c>
      <c r="I608" s="38" t="s">
        <v>2681</v>
      </c>
      <c r="J608" s="26"/>
      <c r="K608" s="27"/>
      <c r="L608" s="27" t="s">
        <v>169</v>
      </c>
      <c r="M608" s="28"/>
      <c r="N608" s="28"/>
      <c r="O608" s="28"/>
      <c r="P608" s="29"/>
      <c r="Q608" s="29"/>
      <c r="R608" s="29"/>
      <c r="S608" s="33"/>
      <c r="T608" s="33"/>
      <c r="U608" s="33"/>
    </row>
    <row x14ac:dyDescent="0.25" r="609" customHeight="1" ht="18.75">
      <c r="A609" s="21">
        <v>608</v>
      </c>
      <c r="B609" s="36" t="s">
        <v>2682</v>
      </c>
      <c r="C609" s="24" t="s">
        <v>2618</v>
      </c>
      <c r="D609" s="35" t="s">
        <v>2683</v>
      </c>
      <c r="E609" s="22" t="s">
        <v>191</v>
      </c>
      <c r="F609" s="37"/>
      <c r="G609" s="37"/>
      <c r="H609" s="37" t="s">
        <v>2684</v>
      </c>
      <c r="I609" s="38" t="s">
        <v>2685</v>
      </c>
      <c r="J609" s="26"/>
      <c r="K609" s="27"/>
      <c r="L609" s="27" t="s">
        <v>169</v>
      </c>
      <c r="M609" s="28"/>
      <c r="N609" s="28"/>
      <c r="O609" s="28"/>
      <c r="P609" s="29"/>
      <c r="Q609" s="29"/>
      <c r="R609" s="29"/>
      <c r="S609" s="33"/>
      <c r="T609" s="33"/>
      <c r="U609" s="33"/>
    </row>
    <row x14ac:dyDescent="0.25" r="610" customHeight="1" ht="18.75">
      <c r="A610" s="21">
        <v>609</v>
      </c>
      <c r="B610" s="36" t="s">
        <v>2686</v>
      </c>
      <c r="C610" s="24" t="s">
        <v>2618</v>
      </c>
      <c r="D610" s="35" t="s">
        <v>2687</v>
      </c>
      <c r="E610" s="22" t="s">
        <v>191</v>
      </c>
      <c r="F610" s="37"/>
      <c r="G610" s="37"/>
      <c r="H610" s="37" t="s">
        <v>2669</v>
      </c>
      <c r="I610" s="38" t="s">
        <v>2688</v>
      </c>
      <c r="J610" s="26"/>
      <c r="K610" s="27"/>
      <c r="L610" s="27" t="s">
        <v>169</v>
      </c>
      <c r="M610" s="28"/>
      <c r="N610" s="28"/>
      <c r="O610" s="28"/>
      <c r="P610" s="29"/>
      <c r="Q610" s="29"/>
      <c r="R610" s="29"/>
      <c r="S610" s="33"/>
      <c r="T610" s="33"/>
      <c r="U610" s="33"/>
    </row>
    <row x14ac:dyDescent="0.25" r="611" customHeight="1" ht="18.75">
      <c r="A611" s="21">
        <v>610</v>
      </c>
      <c r="B611" s="36" t="s">
        <v>2689</v>
      </c>
      <c r="C611" s="24" t="s">
        <v>2618</v>
      </c>
      <c r="D611" s="35" t="s">
        <v>2690</v>
      </c>
      <c r="E611" s="22" t="s">
        <v>191</v>
      </c>
      <c r="F611" s="37"/>
      <c r="G611" s="37"/>
      <c r="H611" s="37" t="s">
        <v>2691</v>
      </c>
      <c r="I611" s="38" t="s">
        <v>2692</v>
      </c>
      <c r="J611" s="26"/>
      <c r="K611" s="27"/>
      <c r="L611" s="27" t="s">
        <v>169</v>
      </c>
      <c r="M611" s="28"/>
      <c r="N611" s="28"/>
      <c r="O611" s="28"/>
      <c r="P611" s="29"/>
      <c r="Q611" s="29"/>
      <c r="R611" s="29"/>
      <c r="S611" s="33"/>
      <c r="T611" s="33"/>
      <c r="U611" s="33"/>
    </row>
    <row x14ac:dyDescent="0.25" r="612" customHeight="1" ht="18.75">
      <c r="A612" s="21">
        <v>611</v>
      </c>
      <c r="B612" s="36" t="s">
        <v>2693</v>
      </c>
      <c r="C612" s="24" t="s">
        <v>2618</v>
      </c>
      <c r="D612" s="35" t="s">
        <v>2694</v>
      </c>
      <c r="E612" s="22" t="s">
        <v>191</v>
      </c>
      <c r="F612" s="37"/>
      <c r="G612" s="37"/>
      <c r="H612" s="37" t="s">
        <v>2620</v>
      </c>
      <c r="I612" s="38" t="s">
        <v>2695</v>
      </c>
      <c r="J612" s="26"/>
      <c r="K612" s="27"/>
      <c r="L612" s="27" t="s">
        <v>169</v>
      </c>
      <c r="M612" s="28"/>
      <c r="N612" s="28"/>
      <c r="O612" s="28"/>
      <c r="P612" s="29"/>
      <c r="Q612" s="29"/>
      <c r="R612" s="29"/>
      <c r="S612" s="33"/>
      <c r="T612" s="33"/>
      <c r="U612" s="33"/>
    </row>
    <row x14ac:dyDescent="0.25" r="613" customHeight="1" ht="18.75">
      <c r="A613" s="21">
        <v>612</v>
      </c>
      <c r="B613" s="36" t="s">
        <v>2696</v>
      </c>
      <c r="C613" s="24" t="s">
        <v>2618</v>
      </c>
      <c r="D613" s="35" t="s">
        <v>2697</v>
      </c>
      <c r="E613" s="22" t="s">
        <v>191</v>
      </c>
      <c r="F613" s="37"/>
      <c r="G613" s="37"/>
      <c r="H613" s="37" t="s">
        <v>2620</v>
      </c>
      <c r="I613" s="38" t="s">
        <v>2698</v>
      </c>
      <c r="J613" s="26"/>
      <c r="K613" s="27"/>
      <c r="L613" s="27" t="s">
        <v>169</v>
      </c>
      <c r="M613" s="28"/>
      <c r="N613" s="28"/>
      <c r="O613" s="28"/>
      <c r="P613" s="29"/>
      <c r="Q613" s="29"/>
      <c r="R613" s="29"/>
      <c r="S613" s="33"/>
      <c r="T613" s="33"/>
      <c r="U613" s="33"/>
    </row>
    <row x14ac:dyDescent="0.25" r="614" customHeight="1" ht="18.75">
      <c r="A614" s="21">
        <v>613</v>
      </c>
      <c r="B614" s="36" t="s">
        <v>2699</v>
      </c>
      <c r="C614" s="24" t="s">
        <v>2618</v>
      </c>
      <c r="D614" s="35" t="s">
        <v>2700</v>
      </c>
      <c r="E614" s="22" t="s">
        <v>191</v>
      </c>
      <c r="F614" s="37"/>
      <c r="G614" s="37"/>
      <c r="H614" s="37" t="s">
        <v>2701</v>
      </c>
      <c r="I614" s="38" t="s">
        <v>2702</v>
      </c>
      <c r="J614" s="26"/>
      <c r="K614" s="27"/>
      <c r="L614" s="27" t="s">
        <v>169</v>
      </c>
      <c r="M614" s="28"/>
      <c r="N614" s="28"/>
      <c r="O614" s="28"/>
      <c r="P614" s="29"/>
      <c r="Q614" s="29"/>
      <c r="R614" s="29"/>
      <c r="S614" s="33"/>
      <c r="T614" s="33"/>
      <c r="U614" s="33"/>
    </row>
    <row x14ac:dyDescent="0.25" r="615" customHeight="1" ht="18.75">
      <c r="A615" s="21">
        <v>614</v>
      </c>
      <c r="B615" s="36" t="s">
        <v>2703</v>
      </c>
      <c r="C615" s="24" t="s">
        <v>2618</v>
      </c>
      <c r="D615" s="35" t="s">
        <v>2704</v>
      </c>
      <c r="E615" s="22" t="s">
        <v>191</v>
      </c>
      <c r="F615" s="37"/>
      <c r="G615" s="37"/>
      <c r="H615" s="37" t="s">
        <v>2705</v>
      </c>
      <c r="I615" s="38" t="s">
        <v>2706</v>
      </c>
      <c r="J615" s="26"/>
      <c r="K615" s="27"/>
      <c r="L615" s="27" t="s">
        <v>468</v>
      </c>
      <c r="M615" s="28"/>
      <c r="N615" s="28"/>
      <c r="O615" s="28"/>
      <c r="P615" s="29"/>
      <c r="Q615" s="29"/>
      <c r="R615" s="29"/>
      <c r="S615" s="33"/>
      <c r="T615" s="33"/>
      <c r="U615" s="33"/>
    </row>
    <row x14ac:dyDescent="0.25" r="616" customHeight="1" ht="18.75">
      <c r="A616" s="21">
        <v>615</v>
      </c>
      <c r="B616" s="36" t="s">
        <v>2707</v>
      </c>
      <c r="C616" s="24" t="s">
        <v>2618</v>
      </c>
      <c r="D616" s="35" t="s">
        <v>2708</v>
      </c>
      <c r="E616" s="22" t="s">
        <v>191</v>
      </c>
      <c r="F616" s="37"/>
      <c r="G616" s="37"/>
      <c r="H616" s="37" t="s">
        <v>2620</v>
      </c>
      <c r="I616" s="38" t="s">
        <v>2709</v>
      </c>
      <c r="J616" s="26"/>
      <c r="K616" s="27"/>
      <c r="L616" s="27" t="s">
        <v>169</v>
      </c>
      <c r="M616" s="28"/>
      <c r="N616" s="28"/>
      <c r="O616" s="28"/>
      <c r="P616" s="29"/>
      <c r="Q616" s="29"/>
      <c r="R616" s="29"/>
      <c r="S616" s="33"/>
      <c r="T616" s="33"/>
      <c r="U616" s="33"/>
    </row>
    <row x14ac:dyDescent="0.25" r="617" customHeight="1" ht="18.75">
      <c r="A617" s="21">
        <v>616</v>
      </c>
      <c r="B617" s="36" t="s">
        <v>2710</v>
      </c>
      <c r="C617" s="24" t="s">
        <v>2618</v>
      </c>
      <c r="D617" s="35" t="s">
        <v>2711</v>
      </c>
      <c r="E617" s="22" t="s">
        <v>191</v>
      </c>
      <c r="F617" s="37"/>
      <c r="G617" s="37"/>
      <c r="H617" s="37" t="s">
        <v>2669</v>
      </c>
      <c r="I617" s="38" t="s">
        <v>2712</v>
      </c>
      <c r="J617" s="26"/>
      <c r="K617" s="27"/>
      <c r="L617" s="27" t="s">
        <v>169</v>
      </c>
      <c r="M617" s="28"/>
      <c r="N617" s="28"/>
      <c r="O617" s="28"/>
      <c r="P617" s="29"/>
      <c r="Q617" s="29"/>
      <c r="R617" s="29"/>
      <c r="S617" s="33"/>
      <c r="T617" s="33"/>
      <c r="U617" s="33"/>
    </row>
    <row x14ac:dyDescent="0.25" r="618" customHeight="1" ht="18.75">
      <c r="A618" s="21">
        <v>617</v>
      </c>
      <c r="B618" s="36" t="s">
        <v>2713</v>
      </c>
      <c r="C618" s="24" t="s">
        <v>2618</v>
      </c>
      <c r="D618" s="35" t="s">
        <v>2714</v>
      </c>
      <c r="E618" s="22" t="s">
        <v>191</v>
      </c>
      <c r="F618" s="37" t="s">
        <v>140</v>
      </c>
      <c r="G618" s="37"/>
      <c r="H618" s="37" t="s">
        <v>2665</v>
      </c>
      <c r="I618" s="38" t="s">
        <v>2715</v>
      </c>
      <c r="J618" s="26"/>
      <c r="K618" s="27"/>
      <c r="L618" s="27" t="s">
        <v>169</v>
      </c>
      <c r="M618" s="28"/>
      <c r="N618" s="28"/>
      <c r="O618" s="28"/>
      <c r="P618" s="29"/>
      <c r="Q618" s="29"/>
      <c r="R618" s="29"/>
      <c r="S618" s="33"/>
      <c r="T618" s="33"/>
      <c r="U618" s="33"/>
    </row>
    <row x14ac:dyDescent="0.25" r="619" customHeight="1" ht="18.75">
      <c r="A619" s="21">
        <v>618</v>
      </c>
      <c r="B619" s="36" t="s">
        <v>2716</v>
      </c>
      <c r="C619" s="24" t="s">
        <v>2618</v>
      </c>
      <c r="D619" s="35" t="s">
        <v>2717</v>
      </c>
      <c r="E619" s="22" t="s">
        <v>191</v>
      </c>
      <c r="F619" s="37" t="s">
        <v>140</v>
      </c>
      <c r="G619" s="37"/>
      <c r="H619" s="37" t="s">
        <v>2665</v>
      </c>
      <c r="I619" s="38" t="s">
        <v>2718</v>
      </c>
      <c r="J619" s="26"/>
      <c r="K619" s="27"/>
      <c r="L619" s="27" t="s">
        <v>169</v>
      </c>
      <c r="M619" s="28"/>
      <c r="N619" s="28"/>
      <c r="O619" s="28"/>
      <c r="P619" s="29"/>
      <c r="Q619" s="29"/>
      <c r="R619" s="29"/>
      <c r="S619" s="33"/>
      <c r="T619" s="33"/>
      <c r="U619" s="33"/>
    </row>
    <row x14ac:dyDescent="0.25" r="620" customHeight="1" ht="18.75">
      <c r="A620" s="21">
        <v>619</v>
      </c>
      <c r="B620" s="36" t="s">
        <v>2719</v>
      </c>
      <c r="C620" s="24" t="s">
        <v>2618</v>
      </c>
      <c r="D620" s="35" t="s">
        <v>2720</v>
      </c>
      <c r="E620" s="22" t="s">
        <v>191</v>
      </c>
      <c r="F620" s="37" t="s">
        <v>140</v>
      </c>
      <c r="G620" s="37" t="s">
        <v>134</v>
      </c>
      <c r="H620" s="37" t="s">
        <v>2721</v>
      </c>
      <c r="I620" s="38" t="s">
        <v>2722</v>
      </c>
      <c r="J620" s="26"/>
      <c r="K620" s="27"/>
      <c r="L620" s="27" t="s">
        <v>169</v>
      </c>
      <c r="M620" s="28"/>
      <c r="N620" s="28"/>
      <c r="O620" s="28"/>
      <c r="P620" s="29"/>
      <c r="Q620" s="29"/>
      <c r="R620" s="29"/>
      <c r="S620" s="33"/>
      <c r="T620" s="33"/>
      <c r="U620" s="33"/>
    </row>
    <row x14ac:dyDescent="0.25" r="621" customHeight="1" ht="18.75">
      <c r="A621" s="21">
        <v>620</v>
      </c>
      <c r="B621" s="36" t="s">
        <v>2723</v>
      </c>
      <c r="C621" s="24" t="s">
        <v>2618</v>
      </c>
      <c r="D621" s="35" t="s">
        <v>2724</v>
      </c>
      <c r="E621" s="22" t="s">
        <v>291</v>
      </c>
      <c r="F621" s="37"/>
      <c r="G621" s="37"/>
      <c r="H621" s="37" t="s">
        <v>2620</v>
      </c>
      <c r="I621" s="38" t="s">
        <v>2725</v>
      </c>
      <c r="J621" s="26"/>
      <c r="K621" s="27"/>
      <c r="L621" s="27" t="s">
        <v>169</v>
      </c>
      <c r="M621" s="28"/>
      <c r="N621" s="28"/>
      <c r="O621" s="28"/>
      <c r="P621" s="29"/>
      <c r="Q621" s="29"/>
      <c r="R621" s="29"/>
      <c r="S621" s="33"/>
      <c r="T621" s="33"/>
      <c r="U621" s="33"/>
    </row>
    <row x14ac:dyDescent="0.25" r="622" customHeight="1" ht="18.75">
      <c r="A622" s="21">
        <v>621</v>
      </c>
      <c r="B622" s="36" t="s">
        <v>2726</v>
      </c>
      <c r="C622" s="24" t="s">
        <v>2618</v>
      </c>
      <c r="D622" s="35" t="s">
        <v>2727</v>
      </c>
      <c r="E622" s="22" t="s">
        <v>291</v>
      </c>
      <c r="F622" s="37"/>
      <c r="G622" s="37"/>
      <c r="H622" s="37" t="s">
        <v>2620</v>
      </c>
      <c r="I622" s="38" t="s">
        <v>2728</v>
      </c>
      <c r="J622" s="26"/>
      <c r="K622" s="27"/>
      <c r="L622" s="27" t="s">
        <v>169</v>
      </c>
      <c r="M622" s="28"/>
      <c r="N622" s="28"/>
      <c r="O622" s="28"/>
      <c r="P622" s="29"/>
      <c r="Q622" s="29"/>
      <c r="R622" s="29"/>
      <c r="S622" s="33"/>
      <c r="T622" s="33"/>
      <c r="U622" s="33"/>
    </row>
    <row x14ac:dyDescent="0.25" r="623" customHeight="1" ht="18.75">
      <c r="A623" s="21">
        <v>622</v>
      </c>
      <c r="B623" s="36" t="s">
        <v>2729</v>
      </c>
      <c r="C623" s="24" t="s">
        <v>2618</v>
      </c>
      <c r="D623" s="35" t="s">
        <v>2730</v>
      </c>
      <c r="E623" s="22" t="s">
        <v>291</v>
      </c>
      <c r="F623" s="37"/>
      <c r="G623" s="37"/>
      <c r="H623" s="37" t="s">
        <v>2620</v>
      </c>
      <c r="I623" s="38" t="s">
        <v>2731</v>
      </c>
      <c r="J623" s="26"/>
      <c r="K623" s="27"/>
      <c r="L623" s="27" t="s">
        <v>169</v>
      </c>
      <c r="M623" s="28"/>
      <c r="N623" s="28"/>
      <c r="O623" s="28"/>
      <c r="P623" s="29"/>
      <c r="Q623" s="29"/>
      <c r="R623" s="29"/>
      <c r="S623" s="33"/>
      <c r="T623" s="33"/>
      <c r="U623" s="33"/>
    </row>
    <row x14ac:dyDescent="0.25" r="624" customHeight="1" ht="18.75">
      <c r="A624" s="21">
        <v>623</v>
      </c>
      <c r="B624" s="36" t="s">
        <v>2732</v>
      </c>
      <c r="C624" s="24" t="s">
        <v>2618</v>
      </c>
      <c r="D624" s="35" t="s">
        <v>2733</v>
      </c>
      <c r="E624" s="22" t="s">
        <v>291</v>
      </c>
      <c r="F624" s="23" t="s">
        <v>191</v>
      </c>
      <c r="G624" s="37"/>
      <c r="H624" s="37" t="s">
        <v>2620</v>
      </c>
      <c r="I624" s="38" t="s">
        <v>2734</v>
      </c>
      <c r="J624" s="26"/>
      <c r="K624" s="27"/>
      <c r="L624" s="27" t="s">
        <v>169</v>
      </c>
      <c r="M624" s="28"/>
      <c r="N624" s="28"/>
      <c r="O624" s="28"/>
      <c r="P624" s="29"/>
      <c r="Q624" s="29"/>
      <c r="R624" s="29"/>
      <c r="S624" s="33"/>
      <c r="T624" s="33"/>
      <c r="U624" s="33"/>
    </row>
    <row x14ac:dyDescent="0.25" r="625" customHeight="1" ht="18.75">
      <c r="A625" s="21">
        <v>624</v>
      </c>
      <c r="B625" s="36" t="s">
        <v>2735</v>
      </c>
      <c r="C625" s="24" t="s">
        <v>2618</v>
      </c>
      <c r="D625" s="35" t="s">
        <v>2736</v>
      </c>
      <c r="E625" s="37" t="s">
        <v>2737</v>
      </c>
      <c r="F625" s="37"/>
      <c r="G625" s="37"/>
      <c r="H625" s="37" t="s">
        <v>2737</v>
      </c>
      <c r="I625" s="38" t="s">
        <v>2738</v>
      </c>
      <c r="J625" s="26"/>
      <c r="K625" s="27"/>
      <c r="L625" s="27" t="s">
        <v>169</v>
      </c>
      <c r="M625" s="28"/>
      <c r="N625" s="28"/>
      <c r="O625" s="28"/>
      <c r="P625" s="29"/>
      <c r="Q625" s="29"/>
      <c r="R625" s="29"/>
      <c r="S625" s="33"/>
      <c r="T625" s="33"/>
      <c r="U625" s="33"/>
    </row>
    <row x14ac:dyDescent="0.25" r="626" customHeight="1" ht="18.75">
      <c r="A626" s="21">
        <v>625</v>
      </c>
      <c r="B626" s="36" t="s">
        <v>2739</v>
      </c>
      <c r="C626" s="24" t="s">
        <v>2618</v>
      </c>
      <c r="D626" s="35" t="s">
        <v>2740</v>
      </c>
      <c r="E626" s="22" t="s">
        <v>249</v>
      </c>
      <c r="F626" s="23" t="s">
        <v>474</v>
      </c>
      <c r="G626" s="22"/>
      <c r="H626" s="37" t="s">
        <v>2705</v>
      </c>
      <c r="I626" s="38" t="s">
        <v>2741</v>
      </c>
      <c r="J626" s="26"/>
      <c r="K626" s="27"/>
      <c r="L626" s="27" t="s">
        <v>169</v>
      </c>
      <c r="M626" s="28"/>
      <c r="N626" s="28"/>
      <c r="O626" s="28"/>
      <c r="P626" s="29"/>
      <c r="Q626" s="29"/>
      <c r="R626" s="29"/>
      <c r="S626" s="33"/>
      <c r="T626" s="33"/>
      <c r="U626" s="33"/>
    </row>
    <row x14ac:dyDescent="0.25" r="627" customHeight="1" ht="18.75">
      <c r="A627" s="21">
        <v>626</v>
      </c>
      <c r="B627" s="36" t="s">
        <v>2742</v>
      </c>
      <c r="C627" s="24" t="s">
        <v>2618</v>
      </c>
      <c r="D627" s="35" t="s">
        <v>2743</v>
      </c>
      <c r="E627" s="37" t="s">
        <v>224</v>
      </c>
      <c r="F627" s="37"/>
      <c r="G627" s="37"/>
      <c r="H627" s="37" t="s">
        <v>2669</v>
      </c>
      <c r="I627" s="38" t="s">
        <v>2744</v>
      </c>
      <c r="J627" s="26"/>
      <c r="K627" s="27"/>
      <c r="L627" s="27" t="s">
        <v>169</v>
      </c>
      <c r="M627" s="28"/>
      <c r="N627" s="28"/>
      <c r="O627" s="28"/>
      <c r="P627" s="29"/>
      <c r="Q627" s="29"/>
      <c r="R627" s="29"/>
      <c r="S627" s="33"/>
      <c r="T627" s="33"/>
      <c r="U627" s="33"/>
    </row>
    <row x14ac:dyDescent="0.25" r="628" customHeight="1" ht="18.75">
      <c r="A628" s="21">
        <v>627</v>
      </c>
      <c r="B628" s="36" t="s">
        <v>2745</v>
      </c>
      <c r="C628" s="24" t="s">
        <v>2618</v>
      </c>
      <c r="D628" s="35" t="s">
        <v>2746</v>
      </c>
      <c r="E628" s="37" t="s">
        <v>224</v>
      </c>
      <c r="F628" s="37"/>
      <c r="G628" s="37"/>
      <c r="H628" s="37" t="s">
        <v>2669</v>
      </c>
      <c r="I628" s="38" t="s">
        <v>2747</v>
      </c>
      <c r="J628" s="26"/>
      <c r="K628" s="27"/>
      <c r="L628" s="27" t="s">
        <v>169</v>
      </c>
      <c r="M628" s="28"/>
      <c r="N628" s="28"/>
      <c r="O628" s="28"/>
      <c r="P628" s="29"/>
      <c r="Q628" s="29"/>
      <c r="R628" s="29"/>
      <c r="S628" s="33"/>
      <c r="T628" s="33"/>
      <c r="U628" s="33"/>
    </row>
    <row x14ac:dyDescent="0.25" r="629" customHeight="1" ht="18.75">
      <c r="A629" s="21">
        <v>628</v>
      </c>
      <c r="B629" s="36" t="s">
        <v>2748</v>
      </c>
      <c r="C629" s="24" t="s">
        <v>2618</v>
      </c>
      <c r="D629" s="35" t="s">
        <v>2749</v>
      </c>
      <c r="E629" s="37" t="s">
        <v>224</v>
      </c>
      <c r="F629" s="37"/>
      <c r="G629" s="37"/>
      <c r="H629" s="37" t="s">
        <v>2669</v>
      </c>
      <c r="I629" s="38" t="s">
        <v>2750</v>
      </c>
      <c r="J629" s="26"/>
      <c r="K629" s="27"/>
      <c r="L629" s="27" t="s">
        <v>169</v>
      </c>
      <c r="M629" s="28"/>
      <c r="N629" s="28"/>
      <c r="O629" s="28"/>
      <c r="P629" s="29"/>
      <c r="Q629" s="29"/>
      <c r="R629" s="29"/>
      <c r="S629" s="33"/>
      <c r="T629" s="33"/>
      <c r="U629" s="33"/>
    </row>
    <row x14ac:dyDescent="0.25" r="630" customHeight="1" ht="18.75">
      <c r="A630" s="21">
        <v>629</v>
      </c>
      <c r="B630" s="36" t="s">
        <v>2751</v>
      </c>
      <c r="C630" s="24" t="s">
        <v>2618</v>
      </c>
      <c r="D630" s="35" t="s">
        <v>2752</v>
      </c>
      <c r="E630" s="37" t="s">
        <v>224</v>
      </c>
      <c r="F630" s="37"/>
      <c r="G630" s="37"/>
      <c r="H630" s="37" t="s">
        <v>2669</v>
      </c>
      <c r="I630" s="38" t="s">
        <v>2753</v>
      </c>
      <c r="J630" s="26"/>
      <c r="K630" s="27"/>
      <c r="L630" s="27" t="s">
        <v>169</v>
      </c>
      <c r="M630" s="28"/>
      <c r="N630" s="28"/>
      <c r="O630" s="28"/>
      <c r="P630" s="29"/>
      <c r="Q630" s="29"/>
      <c r="R630" s="29"/>
      <c r="S630" s="33"/>
      <c r="T630" s="33"/>
      <c r="U630" s="33"/>
    </row>
    <row x14ac:dyDescent="0.25" r="631" customHeight="1" ht="18.75">
      <c r="A631" s="21">
        <v>630</v>
      </c>
      <c r="B631" s="36" t="s">
        <v>2754</v>
      </c>
      <c r="C631" s="24" t="s">
        <v>2618</v>
      </c>
      <c r="D631" s="35" t="s">
        <v>2755</v>
      </c>
      <c r="E631" s="37" t="s">
        <v>224</v>
      </c>
      <c r="F631" s="37"/>
      <c r="G631" s="37"/>
      <c r="H631" s="37" t="s">
        <v>2669</v>
      </c>
      <c r="I631" s="38" t="s">
        <v>2756</v>
      </c>
      <c r="J631" s="26"/>
      <c r="K631" s="27"/>
      <c r="L631" s="27" t="s">
        <v>169</v>
      </c>
      <c r="M631" s="28"/>
      <c r="N631" s="28"/>
      <c r="O631" s="28"/>
      <c r="P631" s="29"/>
      <c r="Q631" s="29"/>
      <c r="R631" s="29"/>
      <c r="S631" s="33"/>
      <c r="T631" s="33"/>
      <c r="U631" s="33"/>
    </row>
    <row x14ac:dyDescent="0.25" r="632" customHeight="1" ht="18.75">
      <c r="A632" s="21">
        <v>631</v>
      </c>
      <c r="B632" s="36" t="s">
        <v>2757</v>
      </c>
      <c r="C632" s="24" t="s">
        <v>2618</v>
      </c>
      <c r="D632" s="35" t="s">
        <v>2758</v>
      </c>
      <c r="E632" s="37" t="s">
        <v>224</v>
      </c>
      <c r="F632" s="37"/>
      <c r="G632" s="37"/>
      <c r="H632" s="37" t="s">
        <v>2669</v>
      </c>
      <c r="I632" s="38" t="s">
        <v>2759</v>
      </c>
      <c r="J632" s="26"/>
      <c r="K632" s="27"/>
      <c r="L632" s="27" t="s">
        <v>169</v>
      </c>
      <c r="M632" s="28"/>
      <c r="N632" s="28"/>
      <c r="O632" s="28"/>
      <c r="P632" s="29"/>
      <c r="Q632" s="29"/>
      <c r="R632" s="29"/>
      <c r="S632" s="33"/>
      <c r="T632" s="33"/>
      <c r="U632" s="33"/>
    </row>
    <row x14ac:dyDescent="0.25" r="633" customHeight="1" ht="18.75">
      <c r="A633" s="21">
        <v>632</v>
      </c>
      <c r="B633" s="36" t="s">
        <v>2760</v>
      </c>
      <c r="C633" s="24" t="s">
        <v>2618</v>
      </c>
      <c r="D633" s="35" t="s">
        <v>2761</v>
      </c>
      <c r="E633" s="37" t="s">
        <v>224</v>
      </c>
      <c r="F633" s="37"/>
      <c r="G633" s="37"/>
      <c r="H633" s="37" t="s">
        <v>2669</v>
      </c>
      <c r="I633" s="38" t="s">
        <v>2762</v>
      </c>
      <c r="J633" s="26"/>
      <c r="K633" s="27"/>
      <c r="L633" s="27" t="s">
        <v>169</v>
      </c>
      <c r="M633" s="28"/>
      <c r="N633" s="28"/>
      <c r="O633" s="28"/>
      <c r="P633" s="29"/>
      <c r="Q633" s="29"/>
      <c r="R633" s="29"/>
      <c r="S633" s="33"/>
      <c r="T633" s="33"/>
      <c r="U633" s="33"/>
    </row>
    <row x14ac:dyDescent="0.25" r="634" customHeight="1" ht="18.75">
      <c r="A634" s="21">
        <v>633</v>
      </c>
      <c r="B634" s="36" t="s">
        <v>2763</v>
      </c>
      <c r="C634" s="24" t="s">
        <v>2618</v>
      </c>
      <c r="D634" s="35" t="s">
        <v>2764</v>
      </c>
      <c r="E634" s="37" t="s">
        <v>224</v>
      </c>
      <c r="F634" s="37"/>
      <c r="G634" s="37"/>
      <c r="H634" s="37" t="s">
        <v>2669</v>
      </c>
      <c r="I634" s="38" t="s">
        <v>2765</v>
      </c>
      <c r="J634" s="26"/>
      <c r="K634" s="27"/>
      <c r="L634" s="27" t="s">
        <v>169</v>
      </c>
      <c r="M634" s="28"/>
      <c r="N634" s="28"/>
      <c r="O634" s="28"/>
      <c r="P634" s="29"/>
      <c r="Q634" s="29"/>
      <c r="R634" s="29"/>
      <c r="S634" s="33"/>
      <c r="T634" s="33"/>
      <c r="U634" s="33"/>
    </row>
    <row x14ac:dyDescent="0.25" r="635" customHeight="1" ht="18.75">
      <c r="A635" s="21">
        <v>634</v>
      </c>
      <c r="B635" s="36" t="s">
        <v>2766</v>
      </c>
      <c r="C635" s="24" t="s">
        <v>2618</v>
      </c>
      <c r="D635" s="35" t="s">
        <v>2767</v>
      </c>
      <c r="E635" s="37" t="s">
        <v>224</v>
      </c>
      <c r="F635" s="37"/>
      <c r="G635" s="37"/>
      <c r="H635" s="37" t="s">
        <v>2669</v>
      </c>
      <c r="I635" s="38" t="s">
        <v>2768</v>
      </c>
      <c r="J635" s="26"/>
      <c r="K635" s="27"/>
      <c r="L635" s="27" t="s">
        <v>169</v>
      </c>
      <c r="M635" s="28"/>
      <c r="N635" s="28"/>
      <c r="O635" s="28"/>
      <c r="P635" s="29"/>
      <c r="Q635" s="29"/>
      <c r="R635" s="29"/>
      <c r="S635" s="33"/>
      <c r="T635" s="33"/>
      <c r="U635" s="33"/>
    </row>
    <row x14ac:dyDescent="0.25" r="636" customHeight="1" ht="18.75">
      <c r="A636" s="21">
        <v>635</v>
      </c>
      <c r="B636" s="36" t="s">
        <v>2769</v>
      </c>
      <c r="C636" s="24" t="s">
        <v>2618</v>
      </c>
      <c r="D636" s="35" t="s">
        <v>2770</v>
      </c>
      <c r="E636" s="37" t="s">
        <v>224</v>
      </c>
      <c r="F636" s="37"/>
      <c r="G636" s="37"/>
      <c r="H636" s="37" t="s">
        <v>2669</v>
      </c>
      <c r="I636" s="38" t="s">
        <v>2771</v>
      </c>
      <c r="J636" s="26"/>
      <c r="K636" s="27"/>
      <c r="L636" s="27" t="s">
        <v>169</v>
      </c>
      <c r="M636" s="28"/>
      <c r="N636" s="28"/>
      <c r="O636" s="28"/>
      <c r="P636" s="29"/>
      <c r="Q636" s="29"/>
      <c r="R636" s="29"/>
      <c r="S636" s="33"/>
      <c r="T636" s="33"/>
      <c r="U636" s="33"/>
    </row>
    <row x14ac:dyDescent="0.25" r="637" customHeight="1" ht="18.75">
      <c r="A637" s="21">
        <v>636</v>
      </c>
      <c r="B637" s="36" t="s">
        <v>2772</v>
      </c>
      <c r="C637" s="24" t="s">
        <v>2618</v>
      </c>
      <c r="D637" s="35" t="s">
        <v>2773</v>
      </c>
      <c r="E637" s="37" t="s">
        <v>224</v>
      </c>
      <c r="F637" s="40"/>
      <c r="G637" s="40"/>
      <c r="H637" s="40" t="s">
        <v>2669</v>
      </c>
      <c r="I637" s="38" t="s">
        <v>2774</v>
      </c>
      <c r="J637" s="26"/>
      <c r="K637" s="27"/>
      <c r="L637" s="27" t="s">
        <v>169</v>
      </c>
      <c r="M637" s="28"/>
      <c r="N637" s="28"/>
      <c r="O637" s="28"/>
      <c r="P637" s="29"/>
      <c r="Q637" s="29"/>
      <c r="R637" s="29"/>
      <c r="S637" s="33"/>
      <c r="T637" s="33"/>
      <c r="U637" s="33"/>
    </row>
    <row x14ac:dyDescent="0.25" r="638" customHeight="1" ht="18.75">
      <c r="A638" s="21">
        <v>637</v>
      </c>
      <c r="B638" s="36" t="s">
        <v>2775</v>
      </c>
      <c r="C638" s="24" t="s">
        <v>2618</v>
      </c>
      <c r="D638" s="35" t="s">
        <v>2776</v>
      </c>
      <c r="E638" s="37" t="s">
        <v>224</v>
      </c>
      <c r="F638" s="37"/>
      <c r="G638" s="37"/>
      <c r="H638" s="37" t="s">
        <v>2669</v>
      </c>
      <c r="I638" s="38" t="s">
        <v>2777</v>
      </c>
      <c r="J638" s="26"/>
      <c r="K638" s="27"/>
      <c r="L638" s="27" t="s">
        <v>169</v>
      </c>
      <c r="M638" s="28"/>
      <c r="N638" s="28"/>
      <c r="O638" s="28"/>
      <c r="P638" s="29"/>
      <c r="Q638" s="29"/>
      <c r="R638" s="29"/>
      <c r="S638" s="33"/>
      <c r="T638" s="33"/>
      <c r="U638" s="33"/>
    </row>
    <row x14ac:dyDescent="0.25" r="639" customHeight="1" ht="18.75">
      <c r="A639" s="21">
        <v>638</v>
      </c>
      <c r="B639" s="36" t="s">
        <v>2778</v>
      </c>
      <c r="C639" s="24" t="s">
        <v>2618</v>
      </c>
      <c r="D639" s="35" t="s">
        <v>2779</v>
      </c>
      <c r="E639" s="37" t="s">
        <v>224</v>
      </c>
      <c r="F639" s="37"/>
      <c r="G639" s="37"/>
      <c r="H639" s="37" t="s">
        <v>2669</v>
      </c>
      <c r="I639" s="38" t="s">
        <v>2780</v>
      </c>
      <c r="J639" s="26"/>
      <c r="K639" s="27"/>
      <c r="L639" s="27" t="s">
        <v>169</v>
      </c>
      <c r="M639" s="28"/>
      <c r="N639" s="28"/>
      <c r="O639" s="28"/>
      <c r="P639" s="29"/>
      <c r="Q639" s="29"/>
      <c r="R639" s="29"/>
      <c r="S639" s="33"/>
      <c r="T639" s="33"/>
      <c r="U639" s="33"/>
    </row>
    <row x14ac:dyDescent="0.25" r="640" customHeight="1" ht="18.75">
      <c r="A640" s="21">
        <v>639</v>
      </c>
      <c r="B640" s="36" t="s">
        <v>2781</v>
      </c>
      <c r="C640" s="24" t="s">
        <v>2618</v>
      </c>
      <c r="D640" s="35" t="s">
        <v>2746</v>
      </c>
      <c r="E640" s="37" t="s">
        <v>224</v>
      </c>
      <c r="F640" s="37" t="s">
        <v>140</v>
      </c>
      <c r="G640" s="37" t="s">
        <v>134</v>
      </c>
      <c r="H640" s="37" t="s">
        <v>2721</v>
      </c>
      <c r="I640" s="38" t="s">
        <v>2782</v>
      </c>
      <c r="J640" s="26"/>
      <c r="K640" s="27"/>
      <c r="L640" s="27" t="s">
        <v>169</v>
      </c>
      <c r="M640" s="28"/>
      <c r="N640" s="28"/>
      <c r="O640" s="28"/>
      <c r="P640" s="29"/>
      <c r="Q640" s="29"/>
      <c r="R640" s="29"/>
      <c r="S640" s="33"/>
      <c r="T640" s="33"/>
      <c r="U640" s="33"/>
    </row>
    <row x14ac:dyDescent="0.25" r="641" customHeight="1" ht="18.75">
      <c r="A641" s="21">
        <v>640</v>
      </c>
      <c r="B641" s="36" t="s">
        <v>2783</v>
      </c>
      <c r="C641" s="24" t="s">
        <v>2618</v>
      </c>
      <c r="D641" s="35" t="s">
        <v>2784</v>
      </c>
      <c r="E641" s="37" t="s">
        <v>224</v>
      </c>
      <c r="F641" s="37" t="s">
        <v>134</v>
      </c>
      <c r="G641" s="37"/>
      <c r="H641" s="37" t="s">
        <v>2665</v>
      </c>
      <c r="I641" s="38" t="s">
        <v>2785</v>
      </c>
      <c r="J641" s="26"/>
      <c r="K641" s="27"/>
      <c r="L641" s="27" t="s">
        <v>169</v>
      </c>
      <c r="M641" s="28"/>
      <c r="N641" s="28"/>
      <c r="O641" s="28"/>
      <c r="P641" s="29"/>
      <c r="Q641" s="29"/>
      <c r="R641" s="29"/>
      <c r="S641" s="33"/>
      <c r="T641" s="33"/>
      <c r="U641" s="33"/>
    </row>
    <row x14ac:dyDescent="0.25" r="642" customHeight="1" ht="18.75">
      <c r="A642" s="21">
        <v>641</v>
      </c>
      <c r="B642" s="36" t="s">
        <v>2786</v>
      </c>
      <c r="C642" s="24" t="s">
        <v>2618</v>
      </c>
      <c r="D642" s="35" t="s">
        <v>2787</v>
      </c>
      <c r="E642" s="41" t="s">
        <v>2788</v>
      </c>
      <c r="F642" s="37"/>
      <c r="G642" s="37"/>
      <c r="H642" s="37" t="s">
        <v>2737</v>
      </c>
      <c r="I642" s="38" t="s">
        <v>2789</v>
      </c>
      <c r="J642" s="26"/>
      <c r="K642" s="27"/>
      <c r="L642" s="27" t="s">
        <v>169</v>
      </c>
      <c r="M642" s="28"/>
      <c r="N642" s="28"/>
      <c r="O642" s="28"/>
      <c r="P642" s="29"/>
      <c r="Q642" s="29"/>
      <c r="R642" s="29"/>
      <c r="S642" s="33"/>
      <c r="T642" s="33"/>
      <c r="U642" s="33"/>
    </row>
    <row x14ac:dyDescent="0.25" r="643" customHeight="1" ht="18.75">
      <c r="A643" s="21">
        <v>642</v>
      </c>
      <c r="B643" s="36" t="s">
        <v>2790</v>
      </c>
      <c r="C643" s="24" t="s">
        <v>2618</v>
      </c>
      <c r="D643" s="35" t="s">
        <v>2791</v>
      </c>
      <c r="E643" s="37" t="s">
        <v>370</v>
      </c>
      <c r="F643" s="37"/>
      <c r="G643" s="37"/>
      <c r="H643" s="37" t="s">
        <v>2637</v>
      </c>
      <c r="I643" s="38" t="s">
        <v>2792</v>
      </c>
      <c r="J643" s="26"/>
      <c r="K643" s="27"/>
      <c r="L643" s="27" t="s">
        <v>169</v>
      </c>
      <c r="M643" s="28"/>
      <c r="N643" s="28"/>
      <c r="O643" s="28"/>
      <c r="P643" s="29"/>
      <c r="Q643" s="29"/>
      <c r="R643" s="29"/>
      <c r="S643" s="33"/>
      <c r="T643" s="33"/>
      <c r="U643" s="33"/>
    </row>
    <row x14ac:dyDescent="0.25" r="644" customHeight="1" ht="18.75">
      <c r="A644" s="21">
        <v>643</v>
      </c>
      <c r="B644" s="36" t="s">
        <v>2793</v>
      </c>
      <c r="C644" s="24" t="s">
        <v>2618</v>
      </c>
      <c r="D644" s="35" t="s">
        <v>2794</v>
      </c>
      <c r="E644" s="37" t="s">
        <v>22</v>
      </c>
      <c r="F644" s="37"/>
      <c r="G644" s="37"/>
      <c r="H644" s="37" t="s">
        <v>2680</v>
      </c>
      <c r="I644" s="38" t="s">
        <v>2795</v>
      </c>
      <c r="J644" s="26"/>
      <c r="K644" s="27"/>
      <c r="L644" s="27" t="s">
        <v>169</v>
      </c>
      <c r="M644" s="28"/>
      <c r="N644" s="28"/>
      <c r="O644" s="28"/>
      <c r="P644" s="29"/>
      <c r="Q644" s="29"/>
      <c r="R644" s="29"/>
      <c r="S644" s="33"/>
      <c r="T644" s="33"/>
      <c r="U644" s="33"/>
    </row>
    <row x14ac:dyDescent="0.25" r="645" customHeight="1" ht="18.75">
      <c r="A645" s="21">
        <v>644</v>
      </c>
      <c r="B645" s="36" t="s">
        <v>2796</v>
      </c>
      <c r="C645" s="24" t="s">
        <v>2618</v>
      </c>
      <c r="D645" s="35" t="s">
        <v>2797</v>
      </c>
      <c r="E645" s="37" t="s">
        <v>22</v>
      </c>
      <c r="F645" s="37"/>
      <c r="G645" s="37"/>
      <c r="H645" s="37" t="s">
        <v>2680</v>
      </c>
      <c r="I645" s="38" t="s">
        <v>2798</v>
      </c>
      <c r="J645" s="26"/>
      <c r="K645" s="27"/>
      <c r="L645" s="27" t="s">
        <v>169</v>
      </c>
      <c r="M645" s="28"/>
      <c r="N645" s="28"/>
      <c r="O645" s="28"/>
      <c r="P645" s="29"/>
      <c r="Q645" s="29"/>
      <c r="R645" s="29"/>
      <c r="S645" s="33"/>
      <c r="T645" s="33"/>
      <c r="U645" s="33"/>
    </row>
    <row x14ac:dyDescent="0.25" r="646" customHeight="1" ht="18.75">
      <c r="A646" s="21">
        <v>645</v>
      </c>
      <c r="B646" s="36" t="s">
        <v>2799</v>
      </c>
      <c r="C646" s="24" t="s">
        <v>2618</v>
      </c>
      <c r="D646" s="35" t="s">
        <v>2800</v>
      </c>
      <c r="E646" s="37" t="s">
        <v>49</v>
      </c>
      <c r="F646" s="37"/>
      <c r="G646" s="37"/>
      <c r="H646" s="37" t="s">
        <v>2680</v>
      </c>
      <c r="I646" s="38" t="s">
        <v>2801</v>
      </c>
      <c r="J646" s="26"/>
      <c r="K646" s="27"/>
      <c r="L646" s="27" t="s">
        <v>169</v>
      </c>
      <c r="M646" s="28"/>
      <c r="N646" s="28"/>
      <c r="O646" s="28"/>
      <c r="P646" s="29"/>
      <c r="Q646" s="29"/>
      <c r="R646" s="29"/>
      <c r="S646" s="33"/>
      <c r="T646" s="33"/>
      <c r="U646" s="33"/>
    </row>
    <row x14ac:dyDescent="0.25" r="647" customHeight="1" ht="18.75">
      <c r="A647" s="21">
        <v>646</v>
      </c>
      <c r="B647" s="36" t="s">
        <v>2802</v>
      </c>
      <c r="C647" s="24" t="s">
        <v>2618</v>
      </c>
      <c r="D647" s="35" t="s">
        <v>2803</v>
      </c>
      <c r="E647" s="37" t="s">
        <v>33</v>
      </c>
      <c r="F647" s="37"/>
      <c r="G647" s="37"/>
      <c r="H647" s="37" t="s">
        <v>2637</v>
      </c>
      <c r="I647" s="38" t="s">
        <v>2804</v>
      </c>
      <c r="J647" s="26"/>
      <c r="K647" s="27"/>
      <c r="L647" s="27" t="s">
        <v>169</v>
      </c>
      <c r="M647" s="28"/>
      <c r="N647" s="28"/>
      <c r="O647" s="28"/>
      <c r="P647" s="29"/>
      <c r="Q647" s="29"/>
      <c r="R647" s="29"/>
      <c r="S647" s="33"/>
      <c r="T647" s="33"/>
      <c r="U647" s="33"/>
    </row>
    <row x14ac:dyDescent="0.25" r="648" customHeight="1" ht="18.75">
      <c r="A648" s="21">
        <v>647</v>
      </c>
      <c r="B648" s="36" t="s">
        <v>2805</v>
      </c>
      <c r="C648" s="24" t="s">
        <v>2618</v>
      </c>
      <c r="D648" s="35" t="s">
        <v>2806</v>
      </c>
      <c r="E648" s="37" t="s">
        <v>38</v>
      </c>
      <c r="F648" s="37"/>
      <c r="G648" s="37"/>
      <c r="H648" s="37" t="s">
        <v>2680</v>
      </c>
      <c r="I648" s="38" t="s">
        <v>2807</v>
      </c>
      <c r="J648" s="26"/>
      <c r="K648" s="27"/>
      <c r="L648" s="27" t="s">
        <v>169</v>
      </c>
      <c r="M648" s="28"/>
      <c r="N648" s="28"/>
      <c r="O648" s="28"/>
      <c r="P648" s="29"/>
      <c r="Q648" s="29"/>
      <c r="R648" s="29"/>
      <c r="S648" s="33"/>
      <c r="T648" s="33"/>
      <c r="U648" s="33"/>
    </row>
    <row x14ac:dyDescent="0.25" r="649" customHeight="1" ht="18.75">
      <c r="A649" s="21">
        <v>648</v>
      </c>
      <c r="B649" s="36" t="s">
        <v>2808</v>
      </c>
      <c r="C649" s="24" t="s">
        <v>2618</v>
      </c>
      <c r="D649" s="35" t="s">
        <v>2809</v>
      </c>
      <c r="E649" s="37" t="s">
        <v>72</v>
      </c>
      <c r="F649" s="37"/>
      <c r="G649" s="37"/>
      <c r="H649" s="37" t="s">
        <v>2680</v>
      </c>
      <c r="I649" s="38" t="s">
        <v>2810</v>
      </c>
      <c r="J649" s="26"/>
      <c r="K649" s="27"/>
      <c r="L649" s="27" t="s">
        <v>169</v>
      </c>
      <c r="M649" s="28"/>
      <c r="N649" s="28"/>
      <c r="O649" s="28"/>
      <c r="P649" s="29"/>
      <c r="Q649" s="29"/>
      <c r="R649" s="29"/>
      <c r="S649" s="33"/>
      <c r="T649" s="33"/>
      <c r="U649" s="33"/>
    </row>
    <row x14ac:dyDescent="0.25" r="650" customHeight="1" ht="18.75">
      <c r="A650" s="21">
        <v>649</v>
      </c>
      <c r="B650" s="36" t="s">
        <v>2811</v>
      </c>
      <c r="C650" s="24" t="s">
        <v>2618</v>
      </c>
      <c r="D650" s="35" t="s">
        <v>2812</v>
      </c>
      <c r="E650" s="37" t="s">
        <v>86</v>
      </c>
      <c r="F650" s="37"/>
      <c r="G650" s="37"/>
      <c r="H650" s="37" t="s">
        <v>2680</v>
      </c>
      <c r="I650" s="38" t="s">
        <v>2813</v>
      </c>
      <c r="J650" s="26"/>
      <c r="K650" s="27"/>
      <c r="L650" s="27" t="s">
        <v>169</v>
      </c>
      <c r="M650" s="28"/>
      <c r="N650" s="28"/>
      <c r="O650" s="28"/>
      <c r="P650" s="29"/>
      <c r="Q650" s="29"/>
      <c r="R650" s="29"/>
      <c r="S650" s="33"/>
      <c r="T650" s="33"/>
      <c r="U650" s="33"/>
    </row>
    <row x14ac:dyDescent="0.25" r="651" customHeight="1" ht="18.75">
      <c r="A651" s="21">
        <v>650</v>
      </c>
      <c r="B651" s="36" t="s">
        <v>2814</v>
      </c>
      <c r="C651" s="24" t="s">
        <v>2618</v>
      </c>
      <c r="D651" s="35" t="s">
        <v>2815</v>
      </c>
      <c r="E651" s="37" t="s">
        <v>94</v>
      </c>
      <c r="F651" s="37"/>
      <c r="G651" s="37"/>
      <c r="H651" s="37" t="s">
        <v>2680</v>
      </c>
      <c r="I651" s="38" t="s">
        <v>2816</v>
      </c>
      <c r="J651" s="26"/>
      <c r="K651" s="27"/>
      <c r="L651" s="27" t="s">
        <v>169</v>
      </c>
      <c r="M651" s="28"/>
      <c r="N651" s="28"/>
      <c r="O651" s="28"/>
      <c r="P651" s="29"/>
      <c r="Q651" s="29"/>
      <c r="R651" s="29"/>
      <c r="S651" s="33"/>
      <c r="T651" s="33"/>
      <c r="U651" s="33"/>
    </row>
    <row x14ac:dyDescent="0.25" r="652" customHeight="1" ht="18.75">
      <c r="A652" s="21">
        <v>651</v>
      </c>
      <c r="B652" s="36" t="s">
        <v>2817</v>
      </c>
      <c r="C652" s="24" t="s">
        <v>2618</v>
      </c>
      <c r="D652" s="35" t="s">
        <v>2818</v>
      </c>
      <c r="E652" s="37" t="s">
        <v>122</v>
      </c>
      <c r="F652" s="37"/>
      <c r="G652" s="37"/>
      <c r="H652" s="37" t="s">
        <v>2680</v>
      </c>
      <c r="I652" s="38" t="s">
        <v>2819</v>
      </c>
      <c r="J652" s="26"/>
      <c r="K652" s="27"/>
      <c r="L652" s="27" t="s">
        <v>169</v>
      </c>
      <c r="M652" s="28"/>
      <c r="N652" s="28"/>
      <c r="O652" s="28"/>
      <c r="P652" s="29"/>
      <c r="Q652" s="29"/>
      <c r="R652" s="29"/>
      <c r="S652" s="33"/>
      <c r="T652" s="33"/>
      <c r="U652" s="33"/>
    </row>
    <row x14ac:dyDescent="0.25" r="653" customHeight="1" ht="18.75">
      <c r="A653" s="21">
        <v>652</v>
      </c>
      <c r="B653" s="36" t="s">
        <v>2820</v>
      </c>
      <c r="C653" s="24" t="s">
        <v>2618</v>
      </c>
      <c r="D653" s="35" t="s">
        <v>2821</v>
      </c>
      <c r="E653" s="37" t="s">
        <v>130</v>
      </c>
      <c r="F653" s="37"/>
      <c r="G653" s="37"/>
      <c r="H653" s="37" t="s">
        <v>2680</v>
      </c>
      <c r="I653" s="38" t="s">
        <v>2822</v>
      </c>
      <c r="J653" s="26"/>
      <c r="K653" s="27"/>
      <c r="L653" s="27" t="s">
        <v>169</v>
      </c>
      <c r="M653" s="28"/>
      <c r="N653" s="28"/>
      <c r="O653" s="28"/>
      <c r="P653" s="29"/>
      <c r="Q653" s="29"/>
      <c r="R653" s="29"/>
      <c r="S653" s="33"/>
      <c r="T653" s="33"/>
      <c r="U653" s="33"/>
    </row>
    <row x14ac:dyDescent="0.25" r="654" customHeight="1" ht="18.75">
      <c r="A654" s="21">
        <v>653</v>
      </c>
      <c r="B654" s="36" t="s">
        <v>2823</v>
      </c>
      <c r="C654" s="24" t="s">
        <v>2618</v>
      </c>
      <c r="D654" s="35" t="s">
        <v>2824</v>
      </c>
      <c r="E654" s="41" t="s">
        <v>2825</v>
      </c>
      <c r="F654" s="37"/>
      <c r="G654" s="37"/>
      <c r="H654" s="37" t="s">
        <v>2637</v>
      </c>
      <c r="I654" s="38" t="s">
        <v>2826</v>
      </c>
      <c r="J654" s="26"/>
      <c r="K654" s="27"/>
      <c r="L654" s="27" t="s">
        <v>169</v>
      </c>
      <c r="M654" s="28"/>
      <c r="N654" s="28"/>
      <c r="O654" s="28"/>
      <c r="P654" s="29"/>
      <c r="Q654" s="29"/>
      <c r="R654" s="29"/>
      <c r="S654" s="33"/>
      <c r="T654" s="33"/>
      <c r="U654" s="33"/>
    </row>
    <row x14ac:dyDescent="0.25" r="655" customHeight="1" ht="18.75">
      <c r="A655" s="21">
        <v>654</v>
      </c>
      <c r="B655" s="36" t="s">
        <v>2827</v>
      </c>
      <c r="C655" s="24" t="s">
        <v>2618</v>
      </c>
      <c r="D655" s="35" t="s">
        <v>2828</v>
      </c>
      <c r="E655" s="37" t="s">
        <v>43</v>
      </c>
      <c r="F655" s="37"/>
      <c r="G655" s="37"/>
      <c r="H655" s="37" t="s">
        <v>2680</v>
      </c>
      <c r="I655" s="38" t="s">
        <v>2829</v>
      </c>
      <c r="J655" s="26"/>
      <c r="K655" s="27"/>
      <c r="L655" s="27" t="s">
        <v>169</v>
      </c>
      <c r="M655" s="28"/>
      <c r="N655" s="28"/>
      <c r="O655" s="28"/>
      <c r="P655" s="29"/>
      <c r="Q655" s="29"/>
      <c r="R655" s="29"/>
      <c r="S655" s="33"/>
      <c r="T655" s="33"/>
      <c r="U655" s="33"/>
    </row>
    <row x14ac:dyDescent="0.25" r="656" customHeight="1" ht="18.75">
      <c r="A656" s="21">
        <v>655</v>
      </c>
      <c r="B656" s="36" t="s">
        <v>2830</v>
      </c>
      <c r="C656" s="24" t="s">
        <v>2618</v>
      </c>
      <c r="D656" s="35" t="s">
        <v>2831</v>
      </c>
      <c r="E656" s="37" t="s">
        <v>98</v>
      </c>
      <c r="F656" s="37"/>
      <c r="G656" s="37"/>
      <c r="H656" s="37" t="s">
        <v>2832</v>
      </c>
      <c r="I656" s="38" t="s">
        <v>2833</v>
      </c>
      <c r="J656" s="26"/>
      <c r="K656" s="27"/>
      <c r="L656" s="27" t="s">
        <v>169</v>
      </c>
      <c r="M656" s="28"/>
      <c r="N656" s="28"/>
      <c r="O656" s="28"/>
      <c r="P656" s="29"/>
      <c r="Q656" s="29"/>
      <c r="R656" s="29"/>
      <c r="S656" s="33"/>
      <c r="T656" s="33"/>
      <c r="U656" s="33"/>
    </row>
    <row x14ac:dyDescent="0.25" r="657" customHeight="1" ht="18.75">
      <c r="A657" s="21">
        <v>656</v>
      </c>
      <c r="B657" s="36" t="s">
        <v>2834</v>
      </c>
      <c r="C657" s="24" t="s">
        <v>2618</v>
      </c>
      <c r="D657" s="35" t="s">
        <v>2835</v>
      </c>
      <c r="E657" s="37" t="s">
        <v>17</v>
      </c>
      <c r="F657" s="37" t="s">
        <v>43</v>
      </c>
      <c r="G657" s="37"/>
      <c r="H657" s="37" t="s">
        <v>2836</v>
      </c>
      <c r="I657" s="38" t="s">
        <v>2837</v>
      </c>
      <c r="J657" s="26"/>
      <c r="K657" s="27"/>
      <c r="L657" s="27" t="s">
        <v>169</v>
      </c>
      <c r="M657" s="28"/>
      <c r="N657" s="28"/>
      <c r="O657" s="28"/>
      <c r="P657" s="29"/>
      <c r="Q657" s="29"/>
      <c r="R657" s="29"/>
      <c r="S657" s="33"/>
      <c r="T657" s="33"/>
      <c r="U657" s="33"/>
    </row>
    <row x14ac:dyDescent="0.25" r="658" customHeight="1" ht="18.75">
      <c r="A658" s="21">
        <v>657</v>
      </c>
      <c r="B658" s="36" t="s">
        <v>2838</v>
      </c>
      <c r="C658" s="24" t="s">
        <v>2618</v>
      </c>
      <c r="D658" s="35" t="s">
        <v>2839</v>
      </c>
      <c r="E658" s="37" t="s">
        <v>280</v>
      </c>
      <c r="F658" s="37"/>
      <c r="G658" s="37"/>
      <c r="H658" s="37" t="s">
        <v>2637</v>
      </c>
      <c r="I658" s="38" t="s">
        <v>2840</v>
      </c>
      <c r="J658" s="26"/>
      <c r="K658" s="27"/>
      <c r="L658" s="27" t="s">
        <v>169</v>
      </c>
      <c r="M658" s="28"/>
      <c r="N658" s="28"/>
      <c r="O658" s="28"/>
      <c r="P658" s="29"/>
      <c r="Q658" s="29"/>
      <c r="R658" s="29"/>
      <c r="S658" s="33"/>
      <c r="T658" s="33"/>
      <c r="U658" s="33"/>
    </row>
    <row x14ac:dyDescent="0.25" r="659" customHeight="1" ht="18.75">
      <c r="A659" s="21">
        <v>658</v>
      </c>
      <c r="B659" s="36" t="s">
        <v>2841</v>
      </c>
      <c r="C659" s="24" t="s">
        <v>2618</v>
      </c>
      <c r="D659" s="35" t="s">
        <v>2842</v>
      </c>
      <c r="E659" s="37" t="s">
        <v>582</v>
      </c>
      <c r="F659" s="37" t="s">
        <v>224</v>
      </c>
      <c r="G659" s="37"/>
      <c r="H659" s="37" t="s">
        <v>2843</v>
      </c>
      <c r="I659" s="38" t="s">
        <v>2844</v>
      </c>
      <c r="J659" s="26"/>
      <c r="K659" s="27"/>
      <c r="L659" s="27" t="s">
        <v>169</v>
      </c>
      <c r="M659" s="28"/>
      <c r="N659" s="28"/>
      <c r="O659" s="28"/>
      <c r="P659" s="29"/>
      <c r="Q659" s="29"/>
      <c r="R659" s="29"/>
      <c r="S659" s="33"/>
      <c r="T659" s="33"/>
      <c r="U659" s="33"/>
    </row>
    <row x14ac:dyDescent="0.25" r="660" customHeight="1" ht="18.75">
      <c r="A660" s="21">
        <v>659</v>
      </c>
      <c r="B660" s="36" t="s">
        <v>2845</v>
      </c>
      <c r="C660" s="24" t="s">
        <v>2618</v>
      </c>
      <c r="D660" s="35" t="s">
        <v>2846</v>
      </c>
      <c r="E660" s="37" t="s">
        <v>47</v>
      </c>
      <c r="F660" s="23" t="s">
        <v>191</v>
      </c>
      <c r="G660" s="37"/>
      <c r="H660" s="37" t="s">
        <v>2847</v>
      </c>
      <c r="I660" s="38" t="s">
        <v>2848</v>
      </c>
      <c r="J660" s="26"/>
      <c r="K660" s="27"/>
      <c r="L660" s="27" t="s">
        <v>169</v>
      </c>
      <c r="M660" s="28"/>
      <c r="N660" s="28"/>
      <c r="O660" s="28"/>
      <c r="P660" s="29"/>
      <c r="Q660" s="29"/>
      <c r="R660" s="29"/>
      <c r="S660" s="33"/>
      <c r="T660" s="33"/>
      <c r="U660" s="33"/>
    </row>
    <row x14ac:dyDescent="0.25" r="661" customHeight="1" ht="18.75">
      <c r="A661" s="21">
        <v>660</v>
      </c>
      <c r="B661" s="36" t="s">
        <v>2849</v>
      </c>
      <c r="C661" s="24" t="s">
        <v>2618</v>
      </c>
      <c r="D661" s="35" t="s">
        <v>2850</v>
      </c>
      <c r="E661" s="37" t="s">
        <v>63</v>
      </c>
      <c r="F661" s="37"/>
      <c r="G661" s="37"/>
      <c r="H661" s="37" t="s">
        <v>2680</v>
      </c>
      <c r="I661" s="38" t="s">
        <v>2851</v>
      </c>
      <c r="J661" s="26"/>
      <c r="K661" s="27"/>
      <c r="L661" s="27" t="s">
        <v>169</v>
      </c>
      <c r="M661" s="28"/>
      <c r="N661" s="28"/>
      <c r="O661" s="28"/>
      <c r="P661" s="29"/>
      <c r="Q661" s="29"/>
      <c r="R661" s="29"/>
      <c r="S661" s="33"/>
      <c r="T661" s="33"/>
      <c r="U661" s="33"/>
    </row>
    <row x14ac:dyDescent="0.25" r="662" customHeight="1" ht="18.75">
      <c r="A662" s="21">
        <v>661</v>
      </c>
      <c r="B662" s="36" t="s">
        <v>2852</v>
      </c>
      <c r="C662" s="24" t="s">
        <v>2618</v>
      </c>
      <c r="D662" s="35" t="s">
        <v>2853</v>
      </c>
      <c r="E662" s="37" t="s">
        <v>6</v>
      </c>
      <c r="F662" s="37"/>
      <c r="G662" s="37"/>
      <c r="H662" s="37" t="s">
        <v>2637</v>
      </c>
      <c r="I662" s="38" t="s">
        <v>2854</v>
      </c>
      <c r="J662" s="26"/>
      <c r="K662" s="27"/>
      <c r="L662" s="27" t="s">
        <v>169</v>
      </c>
      <c r="M662" s="28"/>
      <c r="N662" s="28"/>
      <c r="O662" s="28"/>
      <c r="P662" s="29"/>
      <c r="Q662" s="29"/>
      <c r="R662" s="29"/>
      <c r="S662" s="33"/>
      <c r="T662" s="33"/>
      <c r="U662" s="33"/>
    </row>
    <row x14ac:dyDescent="0.25" r="663" customHeight="1" ht="18.75">
      <c r="A663" s="21">
        <v>662</v>
      </c>
      <c r="B663" s="36" t="s">
        <v>2855</v>
      </c>
      <c r="C663" s="24" t="s">
        <v>2618</v>
      </c>
      <c r="D663" s="35" t="s">
        <v>2856</v>
      </c>
      <c r="E663" s="37" t="s">
        <v>76</v>
      </c>
      <c r="F663" s="37"/>
      <c r="G663" s="37"/>
      <c r="H663" s="37" t="s">
        <v>2680</v>
      </c>
      <c r="I663" s="38" t="s">
        <v>2857</v>
      </c>
      <c r="J663" s="26"/>
      <c r="K663" s="27"/>
      <c r="L663" s="27" t="s">
        <v>169</v>
      </c>
      <c r="M663" s="28"/>
      <c r="N663" s="28"/>
      <c r="O663" s="28"/>
      <c r="P663" s="29"/>
      <c r="Q663" s="29"/>
      <c r="R663" s="29"/>
      <c r="S663" s="33"/>
      <c r="T663" s="33"/>
      <c r="U663" s="33"/>
    </row>
    <row x14ac:dyDescent="0.25" r="664" customHeight="1" ht="18.75">
      <c r="A664" s="21">
        <v>663</v>
      </c>
      <c r="B664" s="36" t="s">
        <v>2858</v>
      </c>
      <c r="C664" s="24" t="s">
        <v>2618</v>
      </c>
      <c r="D664" s="35" t="s">
        <v>2859</v>
      </c>
      <c r="E664" s="37" t="s">
        <v>84</v>
      </c>
      <c r="F664" s="37" t="s">
        <v>31</v>
      </c>
      <c r="G664" s="37"/>
      <c r="H664" s="37" t="s">
        <v>2680</v>
      </c>
      <c r="I664" s="38" t="s">
        <v>2860</v>
      </c>
      <c r="J664" s="26"/>
      <c r="K664" s="27"/>
      <c r="L664" s="27" t="s">
        <v>169</v>
      </c>
      <c r="M664" s="28"/>
      <c r="N664" s="28"/>
      <c r="O664" s="28"/>
      <c r="P664" s="29"/>
      <c r="Q664" s="29"/>
      <c r="R664" s="29"/>
      <c r="S664" s="33"/>
      <c r="T664" s="33"/>
      <c r="U664" s="33"/>
    </row>
    <row x14ac:dyDescent="0.25" r="665" customHeight="1" ht="18.75">
      <c r="A665" s="21">
        <v>664</v>
      </c>
      <c r="B665" s="36" t="s">
        <v>2861</v>
      </c>
      <c r="C665" s="24" t="s">
        <v>2618</v>
      </c>
      <c r="D665" s="35" t="s">
        <v>2862</v>
      </c>
      <c r="E665" s="37" t="s">
        <v>90</v>
      </c>
      <c r="F665" s="37" t="s">
        <v>134</v>
      </c>
      <c r="G665" s="37"/>
      <c r="H665" s="37" t="s">
        <v>2863</v>
      </c>
      <c r="I665" s="38" t="s">
        <v>2864</v>
      </c>
      <c r="J665" s="26"/>
      <c r="K665" s="27"/>
      <c r="L665" s="27" t="s">
        <v>169</v>
      </c>
      <c r="M665" s="28"/>
      <c r="N665" s="28"/>
      <c r="O665" s="28"/>
      <c r="P665" s="29"/>
      <c r="Q665" s="29"/>
      <c r="R665" s="29"/>
      <c r="S665" s="33"/>
      <c r="T665" s="33"/>
      <c r="U665" s="33"/>
    </row>
    <row x14ac:dyDescent="0.25" r="666" customHeight="1" ht="18.75">
      <c r="A666" s="21">
        <v>665</v>
      </c>
      <c r="B666" s="36" t="s">
        <v>2865</v>
      </c>
      <c r="C666" s="24" t="s">
        <v>2618</v>
      </c>
      <c r="D666" s="35" t="s">
        <v>2866</v>
      </c>
      <c r="E666" s="37" t="s">
        <v>98</v>
      </c>
      <c r="F666" s="37"/>
      <c r="G666" s="37"/>
      <c r="H666" s="37" t="s">
        <v>2680</v>
      </c>
      <c r="I666" s="38" t="s">
        <v>2867</v>
      </c>
      <c r="J666" s="26"/>
      <c r="K666" s="27"/>
      <c r="L666" s="27" t="s">
        <v>169</v>
      </c>
      <c r="M666" s="28"/>
      <c r="N666" s="28"/>
      <c r="O666" s="28"/>
      <c r="P666" s="29"/>
      <c r="Q666" s="29"/>
      <c r="R666" s="29"/>
      <c r="S666" s="33"/>
      <c r="T666" s="33"/>
      <c r="U666" s="33"/>
    </row>
    <row x14ac:dyDescent="0.25" r="667" customHeight="1" ht="18.75">
      <c r="A667" s="21">
        <v>666</v>
      </c>
      <c r="B667" s="36" t="s">
        <v>2868</v>
      </c>
      <c r="C667" s="24" t="s">
        <v>2618</v>
      </c>
      <c r="D667" s="35" t="s">
        <v>2869</v>
      </c>
      <c r="E667" s="37" t="s">
        <v>94</v>
      </c>
      <c r="F667" s="37"/>
      <c r="G667" s="37"/>
      <c r="H667" s="37" t="s">
        <v>2680</v>
      </c>
      <c r="I667" s="38" t="s">
        <v>2870</v>
      </c>
      <c r="J667" s="26"/>
      <c r="K667" s="27"/>
      <c r="L667" s="27" t="s">
        <v>169</v>
      </c>
      <c r="M667" s="28"/>
      <c r="N667" s="28"/>
      <c r="O667" s="28"/>
      <c r="P667" s="29"/>
      <c r="Q667" s="29"/>
      <c r="R667" s="29"/>
      <c r="S667" s="33"/>
      <c r="T667" s="33"/>
      <c r="U667" s="33"/>
    </row>
    <row x14ac:dyDescent="0.25" r="668" customHeight="1" ht="18.75">
      <c r="A668" s="21">
        <v>667</v>
      </c>
      <c r="B668" s="36" t="s">
        <v>2871</v>
      </c>
      <c r="C668" s="24" t="s">
        <v>2618</v>
      </c>
      <c r="D668" s="35" t="s">
        <v>2872</v>
      </c>
      <c r="E668" s="37" t="s">
        <v>812</v>
      </c>
      <c r="F668" s="37"/>
      <c r="G668" s="37"/>
      <c r="H668" s="37" t="s">
        <v>2843</v>
      </c>
      <c r="I668" s="38" t="s">
        <v>2873</v>
      </c>
      <c r="J668" s="26"/>
      <c r="K668" s="27"/>
      <c r="L668" s="27" t="s">
        <v>169</v>
      </c>
      <c r="M668" s="28"/>
      <c r="N668" s="28"/>
      <c r="O668" s="28"/>
      <c r="P668" s="29"/>
      <c r="Q668" s="29"/>
      <c r="R668" s="29"/>
      <c r="S668" s="33"/>
      <c r="T668" s="33"/>
      <c r="U668" s="33"/>
    </row>
    <row x14ac:dyDescent="0.25" r="669" customHeight="1" ht="18.75">
      <c r="A669" s="21">
        <v>668</v>
      </c>
      <c r="B669" s="36" t="s">
        <v>2874</v>
      </c>
      <c r="C669" s="24" t="s">
        <v>2618</v>
      </c>
      <c r="D669" s="35" t="s">
        <v>2875</v>
      </c>
      <c r="E669" s="37" t="s">
        <v>26</v>
      </c>
      <c r="F669" s="37" t="s">
        <v>134</v>
      </c>
      <c r="G669" s="37"/>
      <c r="H669" s="37" t="s">
        <v>2863</v>
      </c>
      <c r="I669" s="38" t="s">
        <v>2876</v>
      </c>
      <c r="J669" s="26"/>
      <c r="K669" s="27"/>
      <c r="L669" s="27" t="s">
        <v>169</v>
      </c>
      <c r="M669" s="28"/>
      <c r="N669" s="28"/>
      <c r="O669" s="28"/>
      <c r="P669" s="29"/>
      <c r="Q669" s="29"/>
      <c r="R669" s="29"/>
      <c r="S669" s="33"/>
      <c r="T669" s="33"/>
      <c r="U669" s="33"/>
    </row>
    <row x14ac:dyDescent="0.25" r="670" customHeight="1" ht="18.75">
      <c r="A670" s="21">
        <v>669</v>
      </c>
      <c r="B670" s="36" t="s">
        <v>2877</v>
      </c>
      <c r="C670" s="24" t="s">
        <v>2618</v>
      </c>
      <c r="D670" s="35" t="s">
        <v>2878</v>
      </c>
      <c r="E670" s="37" t="s">
        <v>140</v>
      </c>
      <c r="F670" s="37"/>
      <c r="G670" s="37"/>
      <c r="H670" s="37" t="s">
        <v>2669</v>
      </c>
      <c r="I670" s="38" t="s">
        <v>2879</v>
      </c>
      <c r="J670" s="26"/>
      <c r="K670" s="27"/>
      <c r="L670" s="27" t="s">
        <v>169</v>
      </c>
      <c r="M670" s="28"/>
      <c r="N670" s="28"/>
      <c r="O670" s="28"/>
      <c r="P670" s="29"/>
      <c r="Q670" s="29"/>
      <c r="R670" s="29"/>
      <c r="S670" s="33"/>
      <c r="T670" s="33"/>
      <c r="U670" s="33"/>
    </row>
    <row x14ac:dyDescent="0.25" r="671" customHeight="1" ht="18.75">
      <c r="A671" s="21">
        <v>670</v>
      </c>
      <c r="B671" s="36" t="s">
        <v>2880</v>
      </c>
      <c r="C671" s="24" t="s">
        <v>2618</v>
      </c>
      <c r="D671" s="35" t="s">
        <v>2881</v>
      </c>
      <c r="E671" s="37" t="s">
        <v>140</v>
      </c>
      <c r="F671" s="37"/>
      <c r="G671" s="37"/>
      <c r="H671" s="37" t="s">
        <v>2669</v>
      </c>
      <c r="I671" s="38" t="s">
        <v>2882</v>
      </c>
      <c r="J671" s="26"/>
      <c r="K671" s="27"/>
      <c r="L671" s="27" t="s">
        <v>169</v>
      </c>
      <c r="M671" s="28"/>
      <c r="N671" s="28"/>
      <c r="O671" s="28"/>
      <c r="P671" s="29"/>
      <c r="Q671" s="29"/>
      <c r="R671" s="29"/>
      <c r="S671" s="33"/>
      <c r="T671" s="33"/>
      <c r="U671" s="33"/>
    </row>
    <row x14ac:dyDescent="0.25" r="672" customHeight="1" ht="18.75">
      <c r="A672" s="21">
        <v>671</v>
      </c>
      <c r="B672" s="36" t="s">
        <v>2883</v>
      </c>
      <c r="C672" s="24" t="s">
        <v>2618</v>
      </c>
      <c r="D672" s="35" t="s">
        <v>2884</v>
      </c>
      <c r="E672" s="37" t="s">
        <v>140</v>
      </c>
      <c r="F672" s="37"/>
      <c r="G672" s="37"/>
      <c r="H672" s="37" t="s">
        <v>2669</v>
      </c>
      <c r="I672" s="38" t="s">
        <v>2885</v>
      </c>
      <c r="J672" s="26"/>
      <c r="K672" s="27"/>
      <c r="L672" s="27" t="s">
        <v>169</v>
      </c>
      <c r="M672" s="28"/>
      <c r="N672" s="28"/>
      <c r="O672" s="28"/>
      <c r="P672" s="29"/>
      <c r="Q672" s="29"/>
      <c r="R672" s="29"/>
      <c r="S672" s="33"/>
      <c r="T672" s="33"/>
      <c r="U672" s="33"/>
    </row>
    <row x14ac:dyDescent="0.25" r="673" customHeight="1" ht="18.75">
      <c r="A673" s="21">
        <v>672</v>
      </c>
      <c r="B673" s="36" t="s">
        <v>2886</v>
      </c>
      <c r="C673" s="24" t="s">
        <v>2618</v>
      </c>
      <c r="D673" s="35" t="s">
        <v>2887</v>
      </c>
      <c r="E673" s="37" t="s">
        <v>140</v>
      </c>
      <c r="F673" s="37"/>
      <c r="G673" s="37"/>
      <c r="H673" s="37" t="s">
        <v>2669</v>
      </c>
      <c r="I673" s="38" t="s">
        <v>2888</v>
      </c>
      <c r="J673" s="26"/>
      <c r="K673" s="27"/>
      <c r="L673" s="27" t="s">
        <v>169</v>
      </c>
      <c r="M673" s="28"/>
      <c r="N673" s="28"/>
      <c r="O673" s="28"/>
      <c r="P673" s="29"/>
      <c r="Q673" s="29"/>
      <c r="R673" s="29"/>
      <c r="S673" s="33"/>
      <c r="T673" s="33"/>
      <c r="U673" s="33"/>
    </row>
    <row x14ac:dyDescent="0.25" r="674" customHeight="1" ht="18.75">
      <c r="A674" s="21">
        <v>673</v>
      </c>
      <c r="B674" s="36" t="s">
        <v>2889</v>
      </c>
      <c r="C674" s="24" t="s">
        <v>2618</v>
      </c>
      <c r="D674" s="35" t="s">
        <v>2890</v>
      </c>
      <c r="E674" s="37" t="s">
        <v>140</v>
      </c>
      <c r="F674" s="37"/>
      <c r="G674" s="37"/>
      <c r="H674" s="37" t="s">
        <v>2669</v>
      </c>
      <c r="I674" s="38" t="s">
        <v>2891</v>
      </c>
      <c r="J674" s="26"/>
      <c r="K674" s="27"/>
      <c r="L674" s="27" t="s">
        <v>169</v>
      </c>
      <c r="M674" s="28"/>
      <c r="N674" s="28"/>
      <c r="O674" s="28"/>
      <c r="P674" s="29"/>
      <c r="Q674" s="29"/>
      <c r="R674" s="29"/>
      <c r="S674" s="33"/>
      <c r="T674" s="33"/>
      <c r="U674" s="33"/>
    </row>
    <row x14ac:dyDescent="0.25" r="675" customHeight="1" ht="18.75">
      <c r="A675" s="21">
        <v>674</v>
      </c>
      <c r="B675" s="36" t="s">
        <v>2892</v>
      </c>
      <c r="C675" s="24" t="s">
        <v>2618</v>
      </c>
      <c r="D675" s="35" t="s">
        <v>2893</v>
      </c>
      <c r="E675" s="37" t="s">
        <v>140</v>
      </c>
      <c r="F675" s="37"/>
      <c r="G675" s="37"/>
      <c r="H675" s="37" t="s">
        <v>2669</v>
      </c>
      <c r="I675" s="38" t="s">
        <v>2894</v>
      </c>
      <c r="J675" s="26"/>
      <c r="K675" s="27"/>
      <c r="L675" s="27" t="s">
        <v>169</v>
      </c>
      <c r="M675" s="28"/>
      <c r="N675" s="28"/>
      <c r="O675" s="28"/>
      <c r="P675" s="29"/>
      <c r="Q675" s="29"/>
      <c r="R675" s="29"/>
      <c r="S675" s="33"/>
      <c r="T675" s="33"/>
      <c r="U675" s="33"/>
    </row>
    <row x14ac:dyDescent="0.25" r="676" customHeight="1" ht="18.75">
      <c r="A676" s="21">
        <v>675</v>
      </c>
      <c r="B676" s="36" t="s">
        <v>2895</v>
      </c>
      <c r="C676" s="24" t="s">
        <v>2618</v>
      </c>
      <c r="D676" s="35" t="s">
        <v>2896</v>
      </c>
      <c r="E676" s="37" t="s">
        <v>140</v>
      </c>
      <c r="F676" s="37"/>
      <c r="G676" s="37"/>
      <c r="H676" s="37" t="s">
        <v>2669</v>
      </c>
      <c r="I676" s="38" t="s">
        <v>2897</v>
      </c>
      <c r="J676" s="26"/>
      <c r="K676" s="27"/>
      <c r="L676" s="27" t="s">
        <v>169</v>
      </c>
      <c r="M676" s="28"/>
      <c r="N676" s="28"/>
      <c r="O676" s="28"/>
      <c r="P676" s="29"/>
      <c r="Q676" s="29"/>
      <c r="R676" s="29"/>
      <c r="S676" s="33"/>
      <c r="T676" s="33"/>
      <c r="U676" s="33"/>
    </row>
    <row x14ac:dyDescent="0.25" r="677" customHeight="1" ht="18.75">
      <c r="A677" s="21">
        <v>676</v>
      </c>
      <c r="B677" s="36" t="s">
        <v>2898</v>
      </c>
      <c r="C677" s="24" t="s">
        <v>2618</v>
      </c>
      <c r="D677" s="35" t="s">
        <v>2899</v>
      </c>
      <c r="E677" s="37" t="s">
        <v>140</v>
      </c>
      <c r="F677" s="37"/>
      <c r="G677" s="37"/>
      <c r="H677" s="37" t="s">
        <v>2669</v>
      </c>
      <c r="I677" s="38" t="s">
        <v>2900</v>
      </c>
      <c r="J677" s="26"/>
      <c r="K677" s="27"/>
      <c r="L677" s="27" t="s">
        <v>169</v>
      </c>
      <c r="M677" s="28"/>
      <c r="N677" s="28"/>
      <c r="O677" s="28"/>
      <c r="P677" s="29"/>
      <c r="Q677" s="29"/>
      <c r="R677" s="29"/>
      <c r="S677" s="33"/>
      <c r="T677" s="33"/>
      <c r="U677" s="33"/>
    </row>
    <row x14ac:dyDescent="0.25" r="678" customHeight="1" ht="18.75">
      <c r="A678" s="21">
        <v>677</v>
      </c>
      <c r="B678" s="36" t="s">
        <v>2901</v>
      </c>
      <c r="C678" s="24" t="s">
        <v>2618</v>
      </c>
      <c r="D678" s="35" t="s">
        <v>2902</v>
      </c>
      <c r="E678" s="37" t="s">
        <v>140</v>
      </c>
      <c r="F678" s="37"/>
      <c r="G678" s="37"/>
      <c r="H678" s="37" t="s">
        <v>2669</v>
      </c>
      <c r="I678" s="38" t="s">
        <v>2903</v>
      </c>
      <c r="J678" s="26"/>
      <c r="K678" s="27"/>
      <c r="L678" s="27" t="s">
        <v>169</v>
      </c>
      <c r="M678" s="28"/>
      <c r="N678" s="28"/>
      <c r="O678" s="28"/>
      <c r="P678" s="29"/>
      <c r="Q678" s="29"/>
      <c r="R678" s="29"/>
      <c r="S678" s="33"/>
      <c r="T678" s="33"/>
      <c r="U678" s="33"/>
    </row>
    <row x14ac:dyDescent="0.25" r="679" customHeight="1" ht="18.75">
      <c r="A679" s="21">
        <v>678</v>
      </c>
      <c r="B679" s="36" t="s">
        <v>2904</v>
      </c>
      <c r="C679" s="24" t="s">
        <v>2618</v>
      </c>
      <c r="D679" s="35" t="s">
        <v>2905</v>
      </c>
      <c r="E679" s="37" t="s">
        <v>140</v>
      </c>
      <c r="F679" s="37"/>
      <c r="G679" s="37"/>
      <c r="H679" s="37" t="s">
        <v>2669</v>
      </c>
      <c r="I679" s="38" t="s">
        <v>2906</v>
      </c>
      <c r="J679" s="26"/>
      <c r="K679" s="27"/>
      <c r="L679" s="27" t="s">
        <v>169</v>
      </c>
      <c r="M679" s="28"/>
      <c r="N679" s="28"/>
      <c r="O679" s="28"/>
      <c r="P679" s="29"/>
      <c r="Q679" s="29"/>
      <c r="R679" s="29"/>
      <c r="S679" s="33"/>
      <c r="T679" s="33"/>
      <c r="U679" s="33"/>
    </row>
    <row x14ac:dyDescent="0.25" r="680" customHeight="1" ht="18.75">
      <c r="A680" s="21">
        <v>679</v>
      </c>
      <c r="B680" s="36" t="s">
        <v>2907</v>
      </c>
      <c r="C680" s="24" t="s">
        <v>2618</v>
      </c>
      <c r="D680" s="35" t="s">
        <v>2908</v>
      </c>
      <c r="E680" s="37" t="s">
        <v>140</v>
      </c>
      <c r="F680" s="37"/>
      <c r="G680" s="37"/>
      <c r="H680" s="37" t="s">
        <v>2669</v>
      </c>
      <c r="I680" s="38" t="s">
        <v>2909</v>
      </c>
      <c r="J680" s="26"/>
      <c r="K680" s="27"/>
      <c r="L680" s="27" t="s">
        <v>169</v>
      </c>
      <c r="M680" s="28"/>
      <c r="N680" s="28"/>
      <c r="O680" s="28"/>
      <c r="P680" s="29"/>
      <c r="Q680" s="29"/>
      <c r="R680" s="29"/>
      <c r="S680" s="33"/>
      <c r="T680" s="33"/>
      <c r="U680" s="33"/>
    </row>
    <row x14ac:dyDescent="0.25" r="681" customHeight="1" ht="18.75">
      <c r="A681" s="21">
        <v>680</v>
      </c>
      <c r="B681" s="36" t="s">
        <v>2910</v>
      </c>
      <c r="C681" s="24" t="s">
        <v>2618</v>
      </c>
      <c r="D681" s="35" t="s">
        <v>2911</v>
      </c>
      <c r="E681" s="37" t="s">
        <v>140</v>
      </c>
      <c r="F681" s="37"/>
      <c r="G681" s="37"/>
      <c r="H681" s="37" t="s">
        <v>2669</v>
      </c>
      <c r="I681" s="38" t="s">
        <v>2912</v>
      </c>
      <c r="J681" s="26"/>
      <c r="K681" s="27"/>
      <c r="L681" s="27" t="s">
        <v>169</v>
      </c>
      <c r="M681" s="28"/>
      <c r="N681" s="28"/>
      <c r="O681" s="28"/>
      <c r="P681" s="29"/>
      <c r="Q681" s="29"/>
      <c r="R681" s="29"/>
      <c r="S681" s="33"/>
      <c r="T681" s="33"/>
      <c r="U681" s="33"/>
    </row>
    <row x14ac:dyDescent="0.25" r="682" customHeight="1" ht="18.75">
      <c r="A682" s="21">
        <v>681</v>
      </c>
      <c r="B682" s="36" t="s">
        <v>2913</v>
      </c>
      <c r="C682" s="24" t="s">
        <v>2618</v>
      </c>
      <c r="D682" s="35" t="s">
        <v>2914</v>
      </c>
      <c r="E682" s="37" t="s">
        <v>140</v>
      </c>
      <c r="F682" s="37"/>
      <c r="G682" s="37"/>
      <c r="H682" s="37" t="s">
        <v>2669</v>
      </c>
      <c r="I682" s="38" t="s">
        <v>2915</v>
      </c>
      <c r="J682" s="26"/>
      <c r="K682" s="27"/>
      <c r="L682" s="27" t="s">
        <v>169</v>
      </c>
      <c r="M682" s="28"/>
      <c r="N682" s="28"/>
      <c r="O682" s="28"/>
      <c r="P682" s="29"/>
      <c r="Q682" s="29"/>
      <c r="R682" s="29"/>
      <c r="S682" s="33"/>
      <c r="T682" s="33"/>
      <c r="U682" s="33"/>
    </row>
    <row x14ac:dyDescent="0.25" r="683" customHeight="1" ht="18.75">
      <c r="A683" s="21">
        <v>682</v>
      </c>
      <c r="B683" s="36" t="s">
        <v>2916</v>
      </c>
      <c r="C683" s="24" t="s">
        <v>2618</v>
      </c>
      <c r="D683" s="35" t="s">
        <v>2917</v>
      </c>
      <c r="E683" s="37" t="s">
        <v>140</v>
      </c>
      <c r="F683" s="37"/>
      <c r="G683" s="37"/>
      <c r="H683" s="37" t="s">
        <v>2669</v>
      </c>
      <c r="I683" s="38" t="s">
        <v>2918</v>
      </c>
      <c r="J683" s="26"/>
      <c r="K683" s="27"/>
      <c r="L683" s="27" t="s">
        <v>468</v>
      </c>
      <c r="M683" s="28"/>
      <c r="N683" s="28"/>
      <c r="O683" s="28"/>
      <c r="P683" s="29"/>
      <c r="Q683" s="29"/>
      <c r="R683" s="29"/>
      <c r="S683" s="33"/>
      <c r="T683" s="33"/>
      <c r="U683" s="33"/>
    </row>
    <row x14ac:dyDescent="0.25" r="684" customHeight="1" ht="18.75">
      <c r="A684" s="21">
        <v>683</v>
      </c>
      <c r="B684" s="36" t="s">
        <v>2919</v>
      </c>
      <c r="C684" s="24" t="s">
        <v>2618</v>
      </c>
      <c r="D684" s="35" t="s">
        <v>2920</v>
      </c>
      <c r="E684" s="37" t="s">
        <v>140</v>
      </c>
      <c r="F684" s="37"/>
      <c r="G684" s="37"/>
      <c r="H684" s="37" t="s">
        <v>2669</v>
      </c>
      <c r="I684" s="38" t="s">
        <v>2921</v>
      </c>
      <c r="J684" s="26"/>
      <c r="K684" s="27"/>
      <c r="L684" s="27" t="s">
        <v>169</v>
      </c>
      <c r="M684" s="28"/>
      <c r="N684" s="28"/>
      <c r="O684" s="28"/>
      <c r="P684" s="29"/>
      <c r="Q684" s="29"/>
      <c r="R684" s="29"/>
      <c r="S684" s="33"/>
      <c r="T684" s="33"/>
      <c r="U684" s="33"/>
    </row>
    <row x14ac:dyDescent="0.25" r="685" customHeight="1" ht="18.75">
      <c r="A685" s="21">
        <v>684</v>
      </c>
      <c r="B685" s="36" t="s">
        <v>2922</v>
      </c>
      <c r="C685" s="24" t="s">
        <v>2618</v>
      </c>
      <c r="D685" s="35" t="s">
        <v>2923</v>
      </c>
      <c r="E685" s="37" t="s">
        <v>140</v>
      </c>
      <c r="F685" s="37"/>
      <c r="G685" s="37"/>
      <c r="H685" s="37" t="s">
        <v>2669</v>
      </c>
      <c r="I685" s="38" t="s">
        <v>2924</v>
      </c>
      <c r="J685" s="26"/>
      <c r="K685" s="27"/>
      <c r="L685" s="27" t="s">
        <v>169</v>
      </c>
      <c r="M685" s="28"/>
      <c r="N685" s="28"/>
      <c r="O685" s="28"/>
      <c r="P685" s="29"/>
      <c r="Q685" s="29"/>
      <c r="R685" s="29"/>
      <c r="S685" s="33"/>
      <c r="T685" s="33"/>
      <c r="U685" s="33"/>
    </row>
    <row x14ac:dyDescent="0.25" r="686" customHeight="1" ht="18.75">
      <c r="A686" s="21">
        <v>685</v>
      </c>
      <c r="B686" s="36" t="s">
        <v>2925</v>
      </c>
      <c r="C686" s="24" t="s">
        <v>2618</v>
      </c>
      <c r="D686" s="35" t="s">
        <v>2926</v>
      </c>
      <c r="E686" s="37" t="s">
        <v>140</v>
      </c>
      <c r="F686" s="37"/>
      <c r="G686" s="37"/>
      <c r="H686" s="37" t="s">
        <v>2669</v>
      </c>
      <c r="I686" s="38" t="s">
        <v>2927</v>
      </c>
      <c r="J686" s="26"/>
      <c r="K686" s="27"/>
      <c r="L686" s="27" t="s">
        <v>169</v>
      </c>
      <c r="M686" s="28"/>
      <c r="N686" s="28"/>
      <c r="O686" s="28"/>
      <c r="P686" s="29"/>
      <c r="Q686" s="29"/>
      <c r="R686" s="29"/>
      <c r="S686" s="33"/>
      <c r="T686" s="33"/>
      <c r="U686" s="33"/>
    </row>
    <row x14ac:dyDescent="0.25" r="687" customHeight="1" ht="18.75">
      <c r="A687" s="21">
        <v>686</v>
      </c>
      <c r="B687" s="36" t="s">
        <v>2928</v>
      </c>
      <c r="C687" s="24" t="s">
        <v>2618</v>
      </c>
      <c r="D687" s="35" t="s">
        <v>2929</v>
      </c>
      <c r="E687" s="37" t="s">
        <v>140</v>
      </c>
      <c r="F687" s="37"/>
      <c r="G687" s="37"/>
      <c r="H687" s="37" t="s">
        <v>2669</v>
      </c>
      <c r="I687" s="38" t="s">
        <v>2930</v>
      </c>
      <c r="J687" s="26"/>
      <c r="K687" s="27"/>
      <c r="L687" s="27" t="s">
        <v>169</v>
      </c>
      <c r="M687" s="28"/>
      <c r="N687" s="28"/>
      <c r="O687" s="28"/>
      <c r="P687" s="29"/>
      <c r="Q687" s="29"/>
      <c r="R687" s="29"/>
      <c r="S687" s="33"/>
      <c r="T687" s="33"/>
      <c r="U687" s="33"/>
    </row>
    <row x14ac:dyDescent="0.25" r="688" customHeight="1" ht="18.75">
      <c r="A688" s="21">
        <v>687</v>
      </c>
      <c r="B688" s="36" t="s">
        <v>2931</v>
      </c>
      <c r="C688" s="24" t="s">
        <v>2618</v>
      </c>
      <c r="D688" s="35" t="s">
        <v>2932</v>
      </c>
      <c r="E688" s="37" t="s">
        <v>140</v>
      </c>
      <c r="F688" s="37"/>
      <c r="G688" s="37"/>
      <c r="H688" s="37" t="s">
        <v>2669</v>
      </c>
      <c r="I688" s="38" t="s">
        <v>2933</v>
      </c>
      <c r="J688" s="26"/>
      <c r="K688" s="27"/>
      <c r="L688" s="27" t="s">
        <v>169</v>
      </c>
      <c r="M688" s="28"/>
      <c r="N688" s="28"/>
      <c r="O688" s="28"/>
      <c r="P688" s="29"/>
      <c r="Q688" s="29"/>
      <c r="R688" s="29"/>
      <c r="S688" s="33"/>
      <c r="T688" s="33"/>
      <c r="U688" s="33"/>
    </row>
    <row x14ac:dyDescent="0.25" r="689" customHeight="1" ht="18.75">
      <c r="A689" s="21">
        <v>688</v>
      </c>
      <c r="B689" s="36" t="s">
        <v>2934</v>
      </c>
      <c r="C689" s="24" t="s">
        <v>2618</v>
      </c>
      <c r="D689" s="35" t="s">
        <v>2935</v>
      </c>
      <c r="E689" s="37" t="s">
        <v>134</v>
      </c>
      <c r="F689" s="37" t="s">
        <v>140</v>
      </c>
      <c r="G689" s="37"/>
      <c r="H689" s="37" t="s">
        <v>2669</v>
      </c>
      <c r="I689" s="38" t="s">
        <v>2936</v>
      </c>
      <c r="J689" s="26"/>
      <c r="K689" s="27"/>
      <c r="L689" s="27" t="s">
        <v>169</v>
      </c>
      <c r="M689" s="28"/>
      <c r="N689" s="28"/>
      <c r="O689" s="28"/>
      <c r="P689" s="29"/>
      <c r="Q689" s="29"/>
      <c r="R689" s="29"/>
      <c r="S689" s="33"/>
      <c r="T689" s="33"/>
      <c r="U689" s="33"/>
    </row>
    <row x14ac:dyDescent="0.25" r="690" customHeight="1" ht="18.75">
      <c r="A690" s="21">
        <v>689</v>
      </c>
      <c r="B690" s="36" t="s">
        <v>2937</v>
      </c>
      <c r="C690" s="24" t="s">
        <v>2618</v>
      </c>
      <c r="D690" s="35" t="s">
        <v>2938</v>
      </c>
      <c r="E690" s="37" t="s">
        <v>134</v>
      </c>
      <c r="F690" s="37" t="s">
        <v>140</v>
      </c>
      <c r="G690" s="37"/>
      <c r="H690" s="37" t="s">
        <v>2669</v>
      </c>
      <c r="I690" s="38" t="s">
        <v>2939</v>
      </c>
      <c r="J690" s="26"/>
      <c r="K690" s="27"/>
      <c r="L690" s="27" t="s">
        <v>169</v>
      </c>
      <c r="M690" s="28"/>
      <c r="N690" s="28"/>
      <c r="O690" s="28"/>
      <c r="P690" s="29"/>
      <c r="Q690" s="29"/>
      <c r="R690" s="29"/>
      <c r="S690" s="33"/>
      <c r="T690" s="33"/>
      <c r="U690" s="33"/>
    </row>
    <row x14ac:dyDescent="0.25" r="691" customHeight="1" ht="18.75">
      <c r="A691" s="21">
        <v>690</v>
      </c>
      <c r="B691" s="36" t="s">
        <v>2940</v>
      </c>
      <c r="C691" s="24" t="s">
        <v>2618</v>
      </c>
      <c r="D691" s="35" t="s">
        <v>2941</v>
      </c>
      <c r="E691" s="37" t="s">
        <v>134</v>
      </c>
      <c r="F691" s="37" t="s">
        <v>140</v>
      </c>
      <c r="G691" s="37"/>
      <c r="H691" s="37" t="s">
        <v>2669</v>
      </c>
      <c r="I691" s="38" t="s">
        <v>2942</v>
      </c>
      <c r="J691" s="26"/>
      <c r="K691" s="27"/>
      <c r="L691" s="27" t="s">
        <v>468</v>
      </c>
      <c r="M691" s="28"/>
      <c r="N691" s="28"/>
      <c r="O691" s="28"/>
      <c r="P691" s="29"/>
      <c r="Q691" s="29"/>
      <c r="R691" s="29"/>
      <c r="S691" s="33"/>
      <c r="T691" s="33"/>
      <c r="U691" s="33"/>
    </row>
    <row x14ac:dyDescent="0.25" r="692" customHeight="1" ht="18.75">
      <c r="A692" s="21">
        <v>691</v>
      </c>
      <c r="B692" s="36" t="s">
        <v>2943</v>
      </c>
      <c r="C692" s="24" t="s">
        <v>2618</v>
      </c>
      <c r="D692" s="35" t="s">
        <v>2944</v>
      </c>
      <c r="E692" s="37" t="s">
        <v>134</v>
      </c>
      <c r="F692" s="37" t="s">
        <v>140</v>
      </c>
      <c r="G692" s="37"/>
      <c r="H692" s="37" t="s">
        <v>2669</v>
      </c>
      <c r="I692" s="38" t="s">
        <v>2945</v>
      </c>
      <c r="J692" s="26"/>
      <c r="K692" s="27"/>
      <c r="L692" s="27" t="s">
        <v>169</v>
      </c>
      <c r="M692" s="28"/>
      <c r="N692" s="28"/>
      <c r="O692" s="28"/>
      <c r="P692" s="29"/>
      <c r="Q692" s="29"/>
      <c r="R692" s="29"/>
      <c r="S692" s="33"/>
      <c r="T692" s="33"/>
      <c r="U692" s="33"/>
    </row>
    <row x14ac:dyDescent="0.25" r="693" customHeight="1" ht="18.75">
      <c r="A693" s="21">
        <v>692</v>
      </c>
      <c r="B693" s="36" t="s">
        <v>2946</v>
      </c>
      <c r="C693" s="24" t="s">
        <v>2618</v>
      </c>
      <c r="D693" s="35" t="s">
        <v>2947</v>
      </c>
      <c r="E693" s="37" t="s">
        <v>134</v>
      </c>
      <c r="F693" s="37" t="s">
        <v>140</v>
      </c>
      <c r="G693" s="37"/>
      <c r="H693" s="37" t="s">
        <v>2669</v>
      </c>
      <c r="I693" s="38" t="s">
        <v>2948</v>
      </c>
      <c r="J693" s="26"/>
      <c r="K693" s="27"/>
      <c r="L693" s="27" t="s">
        <v>169</v>
      </c>
      <c r="M693" s="28"/>
      <c r="N693" s="28"/>
      <c r="O693" s="28"/>
      <c r="P693" s="29"/>
      <c r="Q693" s="29"/>
      <c r="R693" s="29"/>
      <c r="S693" s="33"/>
      <c r="T693" s="33"/>
      <c r="U693" s="33"/>
    </row>
    <row x14ac:dyDescent="0.25" r="694" customHeight="1" ht="18.75">
      <c r="A694" s="21">
        <v>693</v>
      </c>
      <c r="B694" s="36" t="s">
        <v>2949</v>
      </c>
      <c r="C694" s="24" t="s">
        <v>2618</v>
      </c>
      <c r="D694" s="35" t="s">
        <v>2950</v>
      </c>
      <c r="E694" s="37" t="s">
        <v>134</v>
      </c>
      <c r="F694" s="37" t="s">
        <v>140</v>
      </c>
      <c r="G694" s="37"/>
      <c r="H694" s="37" t="s">
        <v>2669</v>
      </c>
      <c r="I694" s="38" t="s">
        <v>2951</v>
      </c>
      <c r="J694" s="26"/>
      <c r="K694" s="27"/>
      <c r="L694" s="27" t="s">
        <v>169</v>
      </c>
      <c r="M694" s="28"/>
      <c r="N694" s="28"/>
      <c r="O694" s="28"/>
      <c r="P694" s="29"/>
      <c r="Q694" s="29"/>
      <c r="R694" s="29"/>
      <c r="S694" s="33"/>
      <c r="T694" s="33"/>
      <c r="U694" s="33"/>
    </row>
    <row x14ac:dyDescent="0.25" r="695" customHeight="1" ht="18.75">
      <c r="A695" s="21">
        <v>694</v>
      </c>
      <c r="B695" s="36" t="s">
        <v>2952</v>
      </c>
      <c r="C695" s="24" t="s">
        <v>2618</v>
      </c>
      <c r="D695" s="35" t="s">
        <v>2953</v>
      </c>
      <c r="E695" s="37" t="s">
        <v>134</v>
      </c>
      <c r="F695" s="37" t="s">
        <v>140</v>
      </c>
      <c r="G695" s="37"/>
      <c r="H695" s="37" t="s">
        <v>2669</v>
      </c>
      <c r="I695" s="38" t="s">
        <v>2954</v>
      </c>
      <c r="J695" s="26"/>
      <c r="K695" s="27"/>
      <c r="L695" s="27" t="s">
        <v>169</v>
      </c>
      <c r="M695" s="28"/>
      <c r="N695" s="28"/>
      <c r="O695" s="28"/>
      <c r="P695" s="29"/>
      <c r="Q695" s="29"/>
      <c r="R695" s="29"/>
      <c r="S695" s="33"/>
      <c r="T695" s="33"/>
      <c r="U695" s="33"/>
    </row>
    <row x14ac:dyDescent="0.25" r="696" customHeight="1" ht="18.75">
      <c r="A696" s="21">
        <v>695</v>
      </c>
      <c r="B696" s="36" t="s">
        <v>2955</v>
      </c>
      <c r="C696" s="24" t="s">
        <v>2618</v>
      </c>
      <c r="D696" s="35" t="s">
        <v>2956</v>
      </c>
      <c r="E696" s="37" t="s">
        <v>140</v>
      </c>
      <c r="F696" s="23" t="s">
        <v>191</v>
      </c>
      <c r="G696" s="37"/>
      <c r="H696" s="37" t="s">
        <v>2957</v>
      </c>
      <c r="I696" s="38" t="s">
        <v>2958</v>
      </c>
      <c r="J696" s="26"/>
      <c r="K696" s="27"/>
      <c r="L696" s="27" t="s">
        <v>169</v>
      </c>
      <c r="M696" s="28"/>
      <c r="N696" s="28"/>
      <c r="O696" s="28"/>
      <c r="P696" s="29"/>
      <c r="Q696" s="29"/>
      <c r="R696" s="29"/>
      <c r="S696" s="33"/>
      <c r="T696" s="33"/>
      <c r="U696" s="33"/>
    </row>
    <row x14ac:dyDescent="0.25" r="697" customHeight="1" ht="18.75">
      <c r="A697" s="21">
        <v>696</v>
      </c>
      <c r="B697" s="36" t="s">
        <v>2959</v>
      </c>
      <c r="C697" s="24" t="s">
        <v>2618</v>
      </c>
      <c r="D697" s="35" t="s">
        <v>2960</v>
      </c>
      <c r="E697" s="37" t="s">
        <v>140</v>
      </c>
      <c r="F697" s="37" t="s">
        <v>432</v>
      </c>
      <c r="G697" s="37"/>
      <c r="H697" s="37" t="s">
        <v>2669</v>
      </c>
      <c r="I697" s="38" t="s">
        <v>2961</v>
      </c>
      <c r="J697" s="26"/>
      <c r="K697" s="27"/>
      <c r="L697" s="27" t="s">
        <v>169</v>
      </c>
      <c r="M697" s="28"/>
      <c r="N697" s="28"/>
      <c r="O697" s="28"/>
      <c r="P697" s="29"/>
      <c r="Q697" s="29"/>
      <c r="R697" s="29"/>
      <c r="S697" s="33"/>
      <c r="T697" s="33"/>
      <c r="U697" s="33"/>
    </row>
    <row x14ac:dyDescent="0.25" r="698" customHeight="1" ht="18.75">
      <c r="A698" s="21">
        <v>697</v>
      </c>
      <c r="B698" s="36" t="s">
        <v>2962</v>
      </c>
      <c r="C698" s="24" t="s">
        <v>2618</v>
      </c>
      <c r="D698" s="35" t="s">
        <v>2963</v>
      </c>
      <c r="E698" s="37" t="s">
        <v>134</v>
      </c>
      <c r="F698" s="37" t="s">
        <v>140</v>
      </c>
      <c r="G698" s="37"/>
      <c r="H698" s="37" t="s">
        <v>2665</v>
      </c>
      <c r="I698" s="38" t="s">
        <v>2964</v>
      </c>
      <c r="J698" s="26"/>
      <c r="K698" s="27"/>
      <c r="L698" s="27" t="s">
        <v>169</v>
      </c>
      <c r="M698" s="28"/>
      <c r="N698" s="28"/>
      <c r="O698" s="28"/>
      <c r="P698" s="29"/>
      <c r="Q698" s="29"/>
      <c r="R698" s="29"/>
      <c r="S698" s="33"/>
      <c r="T698" s="33"/>
      <c r="U698" s="33"/>
    </row>
    <row x14ac:dyDescent="0.25" r="699" customHeight="1" ht="18.75">
      <c r="A699" s="21">
        <v>698</v>
      </c>
      <c r="B699" s="36" t="s">
        <v>2965</v>
      </c>
      <c r="C699" s="24" t="s">
        <v>2618</v>
      </c>
      <c r="D699" s="35" t="s">
        <v>2966</v>
      </c>
      <c r="E699" s="37" t="s">
        <v>134</v>
      </c>
      <c r="F699" s="37" t="s">
        <v>140</v>
      </c>
      <c r="G699" s="37"/>
      <c r="H699" s="37" t="s">
        <v>2669</v>
      </c>
      <c r="I699" s="38" t="s">
        <v>2967</v>
      </c>
      <c r="J699" s="26"/>
      <c r="K699" s="27"/>
      <c r="L699" s="27" t="s">
        <v>169</v>
      </c>
      <c r="M699" s="28"/>
      <c r="N699" s="28"/>
      <c r="O699" s="28"/>
      <c r="P699" s="29"/>
      <c r="Q699" s="29"/>
      <c r="R699" s="29"/>
      <c r="S699" s="33"/>
      <c r="T699" s="33"/>
      <c r="U699" s="33"/>
    </row>
    <row x14ac:dyDescent="0.25" r="700" customHeight="1" ht="18.75">
      <c r="A700" s="21">
        <v>699</v>
      </c>
      <c r="B700" s="36" t="s">
        <v>2968</v>
      </c>
      <c r="C700" s="24" t="s">
        <v>2618</v>
      </c>
      <c r="D700" s="35" t="s">
        <v>2969</v>
      </c>
      <c r="E700" s="37" t="s">
        <v>134</v>
      </c>
      <c r="F700" s="37" t="s">
        <v>140</v>
      </c>
      <c r="G700" s="37"/>
      <c r="H700" s="37" t="s">
        <v>2665</v>
      </c>
      <c r="I700" s="38" t="s">
        <v>2970</v>
      </c>
      <c r="J700" s="26"/>
      <c r="K700" s="27"/>
      <c r="L700" s="27" t="s">
        <v>169</v>
      </c>
      <c r="M700" s="28"/>
      <c r="N700" s="28"/>
      <c r="O700" s="28"/>
      <c r="P700" s="29"/>
      <c r="Q700" s="29"/>
      <c r="R700" s="29"/>
      <c r="S700" s="33"/>
      <c r="T700" s="33"/>
      <c r="U700" s="33"/>
    </row>
    <row x14ac:dyDescent="0.25" r="701" customHeight="1" ht="18.75">
      <c r="A701" s="21">
        <v>700</v>
      </c>
      <c r="B701" s="36" t="s">
        <v>2971</v>
      </c>
      <c r="C701" s="24" t="s">
        <v>2618</v>
      </c>
      <c r="D701" s="35" t="s">
        <v>2972</v>
      </c>
      <c r="E701" s="37" t="s">
        <v>134</v>
      </c>
      <c r="F701" s="37" t="s">
        <v>140</v>
      </c>
      <c r="G701" s="37"/>
      <c r="H701" s="37" t="s">
        <v>2665</v>
      </c>
      <c r="I701" s="38" t="s">
        <v>2973</v>
      </c>
      <c r="J701" s="26"/>
      <c r="K701" s="27"/>
      <c r="L701" s="27" t="s">
        <v>169</v>
      </c>
      <c r="M701" s="28"/>
      <c r="N701" s="28"/>
      <c r="O701" s="28"/>
      <c r="P701" s="29"/>
      <c r="Q701" s="29"/>
      <c r="R701" s="29"/>
      <c r="S701" s="33"/>
      <c r="T701" s="33"/>
      <c r="U701" s="33"/>
    </row>
    <row x14ac:dyDescent="0.25" r="702" customHeight="1" ht="18.75">
      <c r="A702" s="21">
        <v>701</v>
      </c>
      <c r="B702" s="36" t="s">
        <v>2974</v>
      </c>
      <c r="C702" s="24" t="s">
        <v>2618</v>
      </c>
      <c r="D702" s="35" t="s">
        <v>2975</v>
      </c>
      <c r="E702" s="37" t="s">
        <v>134</v>
      </c>
      <c r="F702" s="37" t="s">
        <v>140</v>
      </c>
      <c r="G702" s="37"/>
      <c r="H702" s="37" t="s">
        <v>2669</v>
      </c>
      <c r="I702" s="38" t="s">
        <v>2976</v>
      </c>
      <c r="J702" s="26"/>
      <c r="K702" s="27"/>
      <c r="L702" s="27" t="s">
        <v>169</v>
      </c>
      <c r="M702" s="28"/>
      <c r="N702" s="28"/>
      <c r="O702" s="28"/>
      <c r="P702" s="29"/>
      <c r="Q702" s="29"/>
      <c r="R702" s="29"/>
      <c r="S702" s="33"/>
      <c r="T702" s="33"/>
      <c r="U702" s="33"/>
    </row>
    <row x14ac:dyDescent="0.25" r="703" customHeight="1" ht="18.75">
      <c r="A703" s="21">
        <v>702</v>
      </c>
      <c r="B703" s="36" t="s">
        <v>2977</v>
      </c>
      <c r="C703" s="24" t="s">
        <v>2618</v>
      </c>
      <c r="D703" s="35" t="s">
        <v>2978</v>
      </c>
      <c r="E703" s="37" t="s">
        <v>134</v>
      </c>
      <c r="F703" s="37" t="s">
        <v>140</v>
      </c>
      <c r="G703" s="37"/>
      <c r="H703" s="37" t="s">
        <v>2665</v>
      </c>
      <c r="I703" s="38" t="s">
        <v>2979</v>
      </c>
      <c r="J703" s="26"/>
      <c r="K703" s="27"/>
      <c r="L703" s="27" t="s">
        <v>169</v>
      </c>
      <c r="M703" s="28"/>
      <c r="N703" s="28"/>
      <c r="O703" s="28"/>
      <c r="P703" s="29"/>
      <c r="Q703" s="29"/>
      <c r="R703" s="29"/>
      <c r="S703" s="33"/>
      <c r="T703" s="33"/>
      <c r="U703" s="33"/>
    </row>
    <row x14ac:dyDescent="0.25" r="704" customHeight="1" ht="18.75">
      <c r="A704" s="21">
        <v>703</v>
      </c>
      <c r="B704" s="36" t="s">
        <v>2980</v>
      </c>
      <c r="C704" s="24" t="s">
        <v>2618</v>
      </c>
      <c r="D704" s="35" t="s">
        <v>2981</v>
      </c>
      <c r="E704" s="37" t="s">
        <v>134</v>
      </c>
      <c r="F704" s="37" t="s">
        <v>140</v>
      </c>
      <c r="G704" s="37"/>
      <c r="H704" s="37" t="s">
        <v>2665</v>
      </c>
      <c r="I704" s="38" t="s">
        <v>2982</v>
      </c>
      <c r="J704" s="26"/>
      <c r="K704" s="27"/>
      <c r="L704" s="27" t="s">
        <v>169</v>
      </c>
      <c r="M704" s="28"/>
      <c r="N704" s="28"/>
      <c r="O704" s="28"/>
      <c r="P704" s="29"/>
      <c r="Q704" s="29"/>
      <c r="R704" s="29"/>
      <c r="S704" s="33"/>
      <c r="T704" s="33"/>
      <c r="U704" s="33"/>
    </row>
    <row x14ac:dyDescent="0.25" r="705" customHeight="1" ht="18.75">
      <c r="A705" s="21">
        <v>704</v>
      </c>
      <c r="B705" s="36" t="s">
        <v>2983</v>
      </c>
      <c r="C705" s="24" t="s">
        <v>2618</v>
      </c>
      <c r="D705" s="35" t="s">
        <v>2984</v>
      </c>
      <c r="E705" s="37" t="s">
        <v>134</v>
      </c>
      <c r="F705" s="37" t="s">
        <v>140</v>
      </c>
      <c r="G705" s="37"/>
      <c r="H705" s="37" t="s">
        <v>2665</v>
      </c>
      <c r="I705" s="38" t="s">
        <v>2985</v>
      </c>
      <c r="J705" s="26"/>
      <c r="K705" s="27"/>
      <c r="L705" s="27" t="s">
        <v>169</v>
      </c>
      <c r="M705" s="28"/>
      <c r="N705" s="28"/>
      <c r="O705" s="28"/>
      <c r="P705" s="29"/>
      <c r="Q705" s="29"/>
      <c r="R705" s="29"/>
      <c r="S705" s="33"/>
      <c r="T705" s="33"/>
      <c r="U705" s="33"/>
    </row>
    <row x14ac:dyDescent="0.25" r="706" customHeight="1" ht="18.75">
      <c r="A706" s="21">
        <v>705</v>
      </c>
      <c r="B706" s="36" t="s">
        <v>2986</v>
      </c>
      <c r="C706" s="24" t="s">
        <v>2618</v>
      </c>
      <c r="D706" s="35" t="s">
        <v>2987</v>
      </c>
      <c r="E706" s="37" t="s">
        <v>134</v>
      </c>
      <c r="F706" s="37" t="s">
        <v>140</v>
      </c>
      <c r="G706" s="37"/>
      <c r="H706" s="37" t="s">
        <v>2665</v>
      </c>
      <c r="I706" s="38" t="s">
        <v>2988</v>
      </c>
      <c r="J706" s="26"/>
      <c r="K706" s="27"/>
      <c r="L706" s="27" t="s">
        <v>169</v>
      </c>
      <c r="M706" s="28"/>
      <c r="N706" s="28"/>
      <c r="O706" s="28"/>
      <c r="P706" s="29"/>
      <c r="Q706" s="29"/>
      <c r="R706" s="29"/>
      <c r="S706" s="33"/>
      <c r="T706" s="33"/>
      <c r="U706" s="33"/>
    </row>
    <row x14ac:dyDescent="0.25" r="707" customHeight="1" ht="18.75">
      <c r="A707" s="21">
        <v>706</v>
      </c>
      <c r="B707" s="36" t="s">
        <v>2989</v>
      </c>
      <c r="C707" s="24" t="s">
        <v>2618</v>
      </c>
      <c r="D707" s="35" t="s">
        <v>2990</v>
      </c>
      <c r="E707" s="37" t="s">
        <v>134</v>
      </c>
      <c r="F707" s="37" t="s">
        <v>140</v>
      </c>
      <c r="G707" s="37"/>
      <c r="H707" s="37" t="s">
        <v>2665</v>
      </c>
      <c r="I707" s="38" t="s">
        <v>2991</v>
      </c>
      <c r="J707" s="26"/>
      <c r="K707" s="27"/>
      <c r="L707" s="27" t="s">
        <v>169</v>
      </c>
      <c r="M707" s="28"/>
      <c r="N707" s="28"/>
      <c r="O707" s="28"/>
      <c r="P707" s="29"/>
      <c r="Q707" s="29"/>
      <c r="R707" s="29"/>
      <c r="S707" s="33"/>
      <c r="T707" s="33"/>
      <c r="U707" s="33"/>
    </row>
    <row x14ac:dyDescent="0.25" r="708" customHeight="1" ht="18.75">
      <c r="A708" s="21">
        <v>707</v>
      </c>
      <c r="B708" s="36" t="s">
        <v>2992</v>
      </c>
      <c r="C708" s="24" t="s">
        <v>2618</v>
      </c>
      <c r="D708" s="35" t="s">
        <v>2993</v>
      </c>
      <c r="E708" s="37" t="s">
        <v>134</v>
      </c>
      <c r="F708" s="37" t="s">
        <v>140</v>
      </c>
      <c r="G708" s="37"/>
      <c r="H708" s="37" t="s">
        <v>2665</v>
      </c>
      <c r="I708" s="38" t="s">
        <v>2994</v>
      </c>
      <c r="J708" s="26"/>
      <c r="K708" s="27"/>
      <c r="L708" s="27" t="s">
        <v>169</v>
      </c>
      <c r="M708" s="28"/>
      <c r="N708" s="28"/>
      <c r="O708" s="28"/>
      <c r="P708" s="29"/>
      <c r="Q708" s="29"/>
      <c r="R708" s="29"/>
      <c r="S708" s="33"/>
      <c r="T708" s="33"/>
      <c r="U708" s="33"/>
    </row>
    <row x14ac:dyDescent="0.25" r="709" customHeight="1" ht="18.75">
      <c r="A709" s="21">
        <v>708</v>
      </c>
      <c r="B709" s="36" t="s">
        <v>2995</v>
      </c>
      <c r="C709" s="24" t="s">
        <v>2618</v>
      </c>
      <c r="D709" s="35" t="s">
        <v>2996</v>
      </c>
      <c r="E709" s="37" t="s">
        <v>134</v>
      </c>
      <c r="F709" s="37"/>
      <c r="G709" s="37"/>
      <c r="H709" s="37" t="s">
        <v>2669</v>
      </c>
      <c r="I709" s="38" t="s">
        <v>2997</v>
      </c>
      <c r="J709" s="26"/>
      <c r="K709" s="27"/>
      <c r="L709" s="27" t="s">
        <v>169</v>
      </c>
      <c r="M709" s="28"/>
      <c r="N709" s="28"/>
      <c r="O709" s="28"/>
      <c r="P709" s="29"/>
      <c r="Q709" s="29"/>
      <c r="R709" s="29"/>
      <c r="S709" s="33"/>
      <c r="T709" s="33"/>
      <c r="U709" s="33"/>
    </row>
    <row x14ac:dyDescent="0.25" r="710" customHeight="1" ht="18.75">
      <c r="A710" s="21">
        <v>709</v>
      </c>
      <c r="B710" s="36" t="s">
        <v>2998</v>
      </c>
      <c r="C710" s="24" t="s">
        <v>2618</v>
      </c>
      <c r="D710" s="35" t="s">
        <v>2999</v>
      </c>
      <c r="E710" s="37" t="s">
        <v>134</v>
      </c>
      <c r="F710" s="37"/>
      <c r="G710" s="37"/>
      <c r="H710" s="37" t="s">
        <v>2669</v>
      </c>
      <c r="I710" s="38" t="s">
        <v>3000</v>
      </c>
      <c r="J710" s="26"/>
      <c r="K710" s="27"/>
      <c r="L710" s="27" t="s">
        <v>169</v>
      </c>
      <c r="M710" s="28"/>
      <c r="N710" s="28"/>
      <c r="O710" s="28"/>
      <c r="P710" s="29"/>
      <c r="Q710" s="29"/>
      <c r="R710" s="29"/>
      <c r="S710" s="33"/>
      <c r="T710" s="33"/>
      <c r="U710" s="33"/>
    </row>
    <row x14ac:dyDescent="0.25" r="711" customHeight="1" ht="18.75">
      <c r="A711" s="21">
        <v>710</v>
      </c>
      <c r="B711" s="36" t="s">
        <v>3001</v>
      </c>
      <c r="C711" s="24" t="s">
        <v>2618</v>
      </c>
      <c r="D711" s="35" t="s">
        <v>3002</v>
      </c>
      <c r="E711" s="37" t="s">
        <v>134</v>
      </c>
      <c r="F711" s="37"/>
      <c r="G711" s="37"/>
      <c r="H711" s="37" t="s">
        <v>2669</v>
      </c>
      <c r="I711" s="38" t="s">
        <v>3003</v>
      </c>
      <c r="J711" s="26"/>
      <c r="K711" s="27"/>
      <c r="L711" s="27" t="s">
        <v>169</v>
      </c>
      <c r="M711" s="28"/>
      <c r="N711" s="28"/>
      <c r="O711" s="28"/>
      <c r="P711" s="29"/>
      <c r="Q711" s="29"/>
      <c r="R711" s="29"/>
      <c r="S711" s="33"/>
      <c r="T711" s="33"/>
      <c r="U711" s="33"/>
    </row>
    <row x14ac:dyDescent="0.25" r="712" customHeight="1" ht="18.75">
      <c r="A712" s="21">
        <v>711</v>
      </c>
      <c r="B712" s="36" t="s">
        <v>3004</v>
      </c>
      <c r="C712" s="24" t="s">
        <v>2618</v>
      </c>
      <c r="D712" s="35" t="s">
        <v>3005</v>
      </c>
      <c r="E712" s="37" t="s">
        <v>134</v>
      </c>
      <c r="F712" s="37"/>
      <c r="G712" s="37"/>
      <c r="H712" s="37" t="s">
        <v>2669</v>
      </c>
      <c r="I712" s="38" t="s">
        <v>3006</v>
      </c>
      <c r="J712" s="26"/>
      <c r="K712" s="27"/>
      <c r="L712" s="27" t="s">
        <v>169</v>
      </c>
      <c r="M712" s="28"/>
      <c r="N712" s="28"/>
      <c r="O712" s="28"/>
      <c r="P712" s="29"/>
      <c r="Q712" s="29"/>
      <c r="R712" s="29"/>
      <c r="S712" s="33"/>
      <c r="T712" s="33"/>
      <c r="U712" s="33"/>
    </row>
    <row x14ac:dyDescent="0.25" r="713" customHeight="1" ht="18.75">
      <c r="A713" s="21">
        <v>712</v>
      </c>
      <c r="B713" s="36" t="s">
        <v>3007</v>
      </c>
      <c r="C713" s="24" t="s">
        <v>2618</v>
      </c>
      <c r="D713" s="35" t="s">
        <v>3008</v>
      </c>
      <c r="E713" s="37" t="s">
        <v>134</v>
      </c>
      <c r="F713" s="37"/>
      <c r="G713" s="37"/>
      <c r="H713" s="37" t="s">
        <v>2669</v>
      </c>
      <c r="I713" s="38" t="s">
        <v>3009</v>
      </c>
      <c r="J713" s="26"/>
      <c r="K713" s="27"/>
      <c r="L713" s="27" t="s">
        <v>169</v>
      </c>
      <c r="M713" s="28"/>
      <c r="N713" s="28"/>
      <c r="O713" s="28"/>
      <c r="P713" s="29"/>
      <c r="Q713" s="29"/>
      <c r="R713" s="29"/>
      <c r="S713" s="33"/>
      <c r="T713" s="33"/>
      <c r="U713" s="33"/>
    </row>
    <row x14ac:dyDescent="0.25" r="714" customHeight="1" ht="18.75">
      <c r="A714" s="21">
        <v>713</v>
      </c>
      <c r="B714" s="42" t="s">
        <v>3010</v>
      </c>
      <c r="C714" s="24" t="s">
        <v>2618</v>
      </c>
      <c r="D714" s="35" t="s">
        <v>3011</v>
      </c>
      <c r="E714" s="37" t="s">
        <v>134</v>
      </c>
      <c r="F714" s="37"/>
      <c r="G714" s="37"/>
      <c r="H714" s="37" t="s">
        <v>2669</v>
      </c>
      <c r="I714" s="38" t="s">
        <v>3012</v>
      </c>
      <c r="J714" s="26"/>
      <c r="K714" s="27"/>
      <c r="L714" s="27" t="s">
        <v>169</v>
      </c>
      <c r="M714" s="28"/>
      <c r="N714" s="28"/>
      <c r="O714" s="28"/>
      <c r="P714" s="29"/>
      <c r="Q714" s="29"/>
      <c r="R714" s="29"/>
      <c r="S714" s="33"/>
      <c r="T714" s="33"/>
      <c r="U714" s="33"/>
    </row>
    <row x14ac:dyDescent="0.25" r="715" customHeight="1" ht="18.75">
      <c r="A715" s="21">
        <v>714</v>
      </c>
      <c r="B715" s="36" t="s">
        <v>3013</v>
      </c>
      <c r="C715" s="24" t="s">
        <v>2618</v>
      </c>
      <c r="D715" s="35" t="s">
        <v>3014</v>
      </c>
      <c r="E715" s="37" t="s">
        <v>134</v>
      </c>
      <c r="F715" s="37"/>
      <c r="G715" s="37"/>
      <c r="H715" s="37" t="s">
        <v>2669</v>
      </c>
      <c r="I715" s="38" t="s">
        <v>3015</v>
      </c>
      <c r="J715" s="26"/>
      <c r="K715" s="27"/>
      <c r="L715" s="27" t="s">
        <v>169</v>
      </c>
      <c r="M715" s="28"/>
      <c r="N715" s="28"/>
      <c r="O715" s="28"/>
      <c r="P715" s="29"/>
      <c r="Q715" s="29"/>
      <c r="R715" s="29"/>
      <c r="S715" s="33"/>
      <c r="T715" s="33"/>
      <c r="U715" s="33"/>
    </row>
    <row x14ac:dyDescent="0.25" r="716" customHeight="1" ht="18.75">
      <c r="A716" s="21">
        <v>715</v>
      </c>
      <c r="B716" s="36" t="s">
        <v>3016</v>
      </c>
      <c r="C716" s="24" t="s">
        <v>2618</v>
      </c>
      <c r="D716" s="35" t="s">
        <v>3017</v>
      </c>
      <c r="E716" s="37" t="s">
        <v>134</v>
      </c>
      <c r="F716" s="37"/>
      <c r="G716" s="37"/>
      <c r="H716" s="37" t="s">
        <v>2669</v>
      </c>
      <c r="I716" s="38" t="s">
        <v>3018</v>
      </c>
      <c r="J716" s="26"/>
      <c r="K716" s="27"/>
      <c r="L716" s="27" t="s">
        <v>169</v>
      </c>
      <c r="M716" s="28"/>
      <c r="N716" s="28"/>
      <c r="O716" s="28"/>
      <c r="P716" s="29"/>
      <c r="Q716" s="29"/>
      <c r="R716" s="29"/>
      <c r="S716" s="33"/>
      <c r="T716" s="33"/>
      <c r="U716" s="33"/>
    </row>
    <row x14ac:dyDescent="0.25" r="717" customHeight="1" ht="18.75">
      <c r="A717" s="21">
        <v>716</v>
      </c>
      <c r="B717" s="36" t="s">
        <v>3019</v>
      </c>
      <c r="C717" s="24" t="s">
        <v>2618</v>
      </c>
      <c r="D717" s="35" t="s">
        <v>3020</v>
      </c>
      <c r="E717" s="37" t="s">
        <v>134</v>
      </c>
      <c r="F717" s="37"/>
      <c r="G717" s="37"/>
      <c r="H717" s="37" t="s">
        <v>2669</v>
      </c>
      <c r="I717" s="38" t="s">
        <v>3021</v>
      </c>
      <c r="J717" s="26"/>
      <c r="K717" s="27"/>
      <c r="L717" s="27" t="s">
        <v>169</v>
      </c>
      <c r="M717" s="28"/>
      <c r="N717" s="28"/>
      <c r="O717" s="28"/>
      <c r="P717" s="29"/>
      <c r="Q717" s="29"/>
      <c r="R717" s="29"/>
      <c r="S717" s="33"/>
      <c r="T717" s="33"/>
      <c r="U717" s="33"/>
    </row>
    <row x14ac:dyDescent="0.25" r="718" customHeight="1" ht="18.75">
      <c r="A718" s="21">
        <v>717</v>
      </c>
      <c r="B718" s="36" t="s">
        <v>3022</v>
      </c>
      <c r="C718" s="24" t="s">
        <v>2618</v>
      </c>
      <c r="D718" s="35" t="s">
        <v>3023</v>
      </c>
      <c r="E718" s="37" t="s">
        <v>134</v>
      </c>
      <c r="F718" s="37"/>
      <c r="G718" s="37"/>
      <c r="H718" s="37" t="s">
        <v>2669</v>
      </c>
      <c r="I718" s="38" t="s">
        <v>3024</v>
      </c>
      <c r="J718" s="26"/>
      <c r="K718" s="27"/>
      <c r="L718" s="27" t="s">
        <v>169</v>
      </c>
      <c r="M718" s="28"/>
      <c r="N718" s="28"/>
      <c r="O718" s="28"/>
      <c r="P718" s="29"/>
      <c r="Q718" s="29"/>
      <c r="R718" s="29"/>
      <c r="S718" s="33"/>
      <c r="T718" s="33"/>
      <c r="U718" s="33"/>
    </row>
    <row x14ac:dyDescent="0.25" r="719" customHeight="1" ht="18.75">
      <c r="A719" s="21">
        <v>718</v>
      </c>
      <c r="B719" s="36" t="s">
        <v>3025</v>
      </c>
      <c r="C719" s="24" t="s">
        <v>2618</v>
      </c>
      <c r="D719" s="35" t="s">
        <v>3026</v>
      </c>
      <c r="E719" s="37" t="s">
        <v>134</v>
      </c>
      <c r="F719" s="37"/>
      <c r="G719" s="37"/>
      <c r="H719" s="37" t="s">
        <v>2669</v>
      </c>
      <c r="I719" s="38" t="s">
        <v>3027</v>
      </c>
      <c r="J719" s="26"/>
      <c r="K719" s="27"/>
      <c r="L719" s="27" t="s">
        <v>169</v>
      </c>
      <c r="M719" s="28"/>
      <c r="N719" s="28"/>
      <c r="O719" s="28"/>
      <c r="P719" s="29"/>
      <c r="Q719" s="29"/>
      <c r="R719" s="29"/>
      <c r="S719" s="33"/>
      <c r="T719" s="33"/>
      <c r="U719" s="33"/>
    </row>
    <row x14ac:dyDescent="0.25" r="720" customHeight="1" ht="18.75">
      <c r="A720" s="21">
        <v>719</v>
      </c>
      <c r="B720" s="36" t="s">
        <v>3028</v>
      </c>
      <c r="C720" s="24" t="s">
        <v>2618</v>
      </c>
      <c r="D720" s="35" t="s">
        <v>3029</v>
      </c>
      <c r="E720" s="37" t="s">
        <v>134</v>
      </c>
      <c r="F720" s="37"/>
      <c r="G720" s="37"/>
      <c r="H720" s="37" t="s">
        <v>2669</v>
      </c>
      <c r="I720" s="38" t="s">
        <v>3030</v>
      </c>
      <c r="J720" s="26"/>
      <c r="K720" s="27"/>
      <c r="L720" s="27" t="s">
        <v>169</v>
      </c>
      <c r="M720" s="28"/>
      <c r="N720" s="28"/>
      <c r="O720" s="28"/>
      <c r="P720" s="29"/>
      <c r="Q720" s="29"/>
      <c r="R720" s="29"/>
      <c r="S720" s="33"/>
      <c r="T720" s="33"/>
      <c r="U720" s="33"/>
    </row>
    <row x14ac:dyDescent="0.25" r="721" customHeight="1" ht="18.75">
      <c r="A721" s="21">
        <v>720</v>
      </c>
      <c r="B721" s="36" t="s">
        <v>3031</v>
      </c>
      <c r="C721" s="24" t="s">
        <v>2618</v>
      </c>
      <c r="D721" s="35" t="s">
        <v>3032</v>
      </c>
      <c r="E721" s="37" t="s">
        <v>134</v>
      </c>
      <c r="F721" s="37"/>
      <c r="G721" s="37"/>
      <c r="H721" s="37" t="s">
        <v>2669</v>
      </c>
      <c r="I721" s="38" t="s">
        <v>3033</v>
      </c>
      <c r="J721" s="26"/>
      <c r="K721" s="27"/>
      <c r="L721" s="27" t="s">
        <v>169</v>
      </c>
      <c r="M721" s="28"/>
      <c r="N721" s="28"/>
      <c r="O721" s="28"/>
      <c r="P721" s="29"/>
      <c r="Q721" s="29"/>
      <c r="R721" s="29"/>
      <c r="S721" s="33"/>
      <c r="T721" s="33"/>
      <c r="U721" s="33"/>
    </row>
    <row x14ac:dyDescent="0.25" r="722" customHeight="1" ht="18.75">
      <c r="A722" s="21">
        <v>721</v>
      </c>
      <c r="B722" s="36" t="s">
        <v>3034</v>
      </c>
      <c r="C722" s="24" t="s">
        <v>2618</v>
      </c>
      <c r="D722" s="35" t="s">
        <v>3035</v>
      </c>
      <c r="E722" s="37" t="s">
        <v>134</v>
      </c>
      <c r="F722" s="37"/>
      <c r="G722" s="37"/>
      <c r="H722" s="37" t="s">
        <v>2669</v>
      </c>
      <c r="I722" s="38" t="s">
        <v>3036</v>
      </c>
      <c r="J722" s="26"/>
      <c r="K722" s="27"/>
      <c r="L722" s="27" t="s">
        <v>169</v>
      </c>
      <c r="M722" s="28"/>
      <c r="N722" s="28"/>
      <c r="O722" s="28"/>
      <c r="P722" s="29"/>
      <c r="Q722" s="29"/>
      <c r="R722" s="29"/>
      <c r="S722" s="33"/>
      <c r="T722" s="33"/>
      <c r="U722" s="33"/>
    </row>
    <row x14ac:dyDescent="0.25" r="723" customHeight="1" ht="18.75">
      <c r="A723" s="21">
        <v>722</v>
      </c>
      <c r="B723" s="36" t="s">
        <v>3037</v>
      </c>
      <c r="C723" s="24" t="s">
        <v>2618</v>
      </c>
      <c r="D723" s="35" t="s">
        <v>3038</v>
      </c>
      <c r="E723" s="37" t="s">
        <v>134</v>
      </c>
      <c r="F723" s="37"/>
      <c r="G723" s="37"/>
      <c r="H723" s="37" t="s">
        <v>2669</v>
      </c>
      <c r="I723" s="38" t="s">
        <v>3039</v>
      </c>
      <c r="J723" s="26"/>
      <c r="K723" s="27"/>
      <c r="L723" s="27" t="s">
        <v>169</v>
      </c>
      <c r="M723" s="28"/>
      <c r="N723" s="28"/>
      <c r="O723" s="28"/>
      <c r="P723" s="29"/>
      <c r="Q723" s="29"/>
      <c r="R723" s="29"/>
      <c r="S723" s="33"/>
      <c r="T723" s="33"/>
      <c r="U723" s="33"/>
    </row>
    <row x14ac:dyDescent="0.25" r="724" customHeight="1" ht="18.75">
      <c r="A724" s="21">
        <v>723</v>
      </c>
      <c r="B724" s="36" t="s">
        <v>3040</v>
      </c>
      <c r="C724" s="24" t="s">
        <v>2618</v>
      </c>
      <c r="D724" s="35" t="s">
        <v>3041</v>
      </c>
      <c r="E724" s="37" t="s">
        <v>134</v>
      </c>
      <c r="F724" s="37"/>
      <c r="G724" s="37"/>
      <c r="H724" s="37" t="s">
        <v>2669</v>
      </c>
      <c r="I724" s="38" t="s">
        <v>3042</v>
      </c>
      <c r="J724" s="26"/>
      <c r="K724" s="27"/>
      <c r="L724" s="27" t="s">
        <v>169</v>
      </c>
      <c r="M724" s="28"/>
      <c r="N724" s="28"/>
      <c r="O724" s="28"/>
      <c r="P724" s="29"/>
      <c r="Q724" s="29"/>
      <c r="R724" s="29"/>
      <c r="S724" s="33"/>
      <c r="T724" s="33"/>
      <c r="U724" s="33"/>
    </row>
    <row x14ac:dyDescent="0.25" r="725" customHeight="1" ht="18.75">
      <c r="A725" s="21">
        <v>724</v>
      </c>
      <c r="B725" s="36" t="s">
        <v>3043</v>
      </c>
      <c r="C725" s="24" t="s">
        <v>2618</v>
      </c>
      <c r="D725" s="35" t="s">
        <v>3044</v>
      </c>
      <c r="E725" s="37" t="s">
        <v>134</v>
      </c>
      <c r="F725" s="37"/>
      <c r="G725" s="37"/>
      <c r="H725" s="37" t="s">
        <v>2669</v>
      </c>
      <c r="I725" s="38" t="s">
        <v>3045</v>
      </c>
      <c r="J725" s="26"/>
      <c r="K725" s="27"/>
      <c r="L725" s="27" t="s">
        <v>169</v>
      </c>
      <c r="M725" s="28"/>
      <c r="N725" s="28"/>
      <c r="O725" s="28"/>
      <c r="P725" s="29"/>
      <c r="Q725" s="29"/>
      <c r="R725" s="29"/>
      <c r="S725" s="33"/>
      <c r="T725" s="33"/>
      <c r="U725" s="33"/>
    </row>
    <row x14ac:dyDescent="0.25" r="726" customHeight="1" ht="18.75">
      <c r="A726" s="43">
        <v>725</v>
      </c>
      <c r="B726" s="36" t="s">
        <v>3046</v>
      </c>
      <c r="C726" s="24" t="s">
        <v>2618</v>
      </c>
      <c r="D726" s="35" t="s">
        <v>3047</v>
      </c>
      <c r="E726" s="37" t="s">
        <v>134</v>
      </c>
      <c r="F726" s="37" t="s">
        <v>224</v>
      </c>
      <c r="G726" s="37"/>
      <c r="H726" s="37" t="s">
        <v>2669</v>
      </c>
      <c r="I726" s="38" t="s">
        <v>3048</v>
      </c>
      <c r="J726" s="26"/>
      <c r="K726" s="27"/>
      <c r="L726" s="27" t="s">
        <v>169</v>
      </c>
      <c r="M726" s="28"/>
      <c r="N726" s="28"/>
      <c r="O726" s="28"/>
      <c r="P726" s="29"/>
      <c r="Q726" s="29"/>
      <c r="R726" s="29"/>
      <c r="S726" s="33"/>
      <c r="T726" s="33"/>
      <c r="U726" s="33"/>
    </row>
    <row x14ac:dyDescent="0.25" r="727" customHeight="1" ht="18.75">
      <c r="A727" s="44">
        <v>726</v>
      </c>
      <c r="B727" s="45" t="s">
        <v>3049</v>
      </c>
      <c r="C727" s="24" t="s">
        <v>2618</v>
      </c>
      <c r="D727" s="46" t="s">
        <v>3050</v>
      </c>
      <c r="E727" s="47" t="s">
        <v>140</v>
      </c>
      <c r="F727" s="47"/>
      <c r="G727" s="47"/>
      <c r="H727" s="47" t="s">
        <v>2669</v>
      </c>
      <c r="I727" s="48" t="s">
        <v>3051</v>
      </c>
      <c r="J727" s="26"/>
      <c r="K727" s="49"/>
      <c r="L727" s="49" t="s">
        <v>468</v>
      </c>
      <c r="M727" s="50"/>
      <c r="N727" s="50"/>
      <c r="O727" s="50"/>
      <c r="P727" s="51"/>
      <c r="Q727" s="51"/>
      <c r="R727" s="51"/>
      <c r="S727" s="33"/>
      <c r="T727" s="33"/>
      <c r="U727" s="33"/>
    </row>
    <row x14ac:dyDescent="0.25" r="728" customHeight="1" ht="18.75">
      <c r="A728" s="21">
        <v>727</v>
      </c>
      <c r="B728" s="52" t="s">
        <v>3052</v>
      </c>
      <c r="C728" s="27" t="s">
        <v>190</v>
      </c>
      <c r="D728" s="27" t="s">
        <v>3053</v>
      </c>
      <c r="E728" s="27" t="s">
        <v>140</v>
      </c>
      <c r="F728" s="34"/>
      <c r="G728" s="34"/>
      <c r="H728" s="34"/>
      <c r="I728" s="34"/>
      <c r="J728" s="26">
        <v>672</v>
      </c>
      <c r="K728" s="27"/>
      <c r="L728" s="49" t="s">
        <v>169</v>
      </c>
      <c r="M728" s="28"/>
      <c r="N728" s="28"/>
      <c r="O728" s="28"/>
      <c r="P728" s="29"/>
      <c r="Q728" s="29"/>
      <c r="R728" s="29"/>
      <c r="S728" s="33">
        <v>2591.62</v>
      </c>
      <c r="T728" s="33">
        <v>208.92</v>
      </c>
      <c r="U728" s="33">
        <v>2382.7</v>
      </c>
    </row>
    <row x14ac:dyDescent="0.25" r="729" customHeight="1" ht="18.75">
      <c r="A729" s="43">
        <v>728</v>
      </c>
      <c r="B729" s="52" t="s">
        <v>3054</v>
      </c>
      <c r="C729" s="27" t="s">
        <v>472</v>
      </c>
      <c r="D729" s="27" t="s">
        <v>3055</v>
      </c>
      <c r="E729" s="27" t="s">
        <v>474</v>
      </c>
      <c r="F729" s="34"/>
      <c r="G729" s="34"/>
      <c r="H729" s="34"/>
      <c r="I729" s="34"/>
      <c r="J729" s="26">
        <v>665</v>
      </c>
      <c r="K729" s="27"/>
      <c r="L729" s="49" t="s">
        <v>169</v>
      </c>
      <c r="M729" s="28"/>
      <c r="N729" s="28"/>
      <c r="O729" s="28"/>
      <c r="P729" s="29"/>
      <c r="Q729" s="29"/>
      <c r="R729" s="29"/>
      <c r="S729" s="33">
        <v>2529.03</v>
      </c>
      <c r="T729" s="33">
        <v>203.29</v>
      </c>
      <c r="U729" s="33">
        <v>2325.74</v>
      </c>
    </row>
    <row x14ac:dyDescent="0.25" r="730" customHeight="1" ht="18.75">
      <c r="A730" s="44">
        <v>729</v>
      </c>
      <c r="B730" s="52" t="s">
        <v>3056</v>
      </c>
      <c r="C730" s="27" t="s">
        <v>656</v>
      </c>
      <c r="D730" s="27" t="s">
        <v>3057</v>
      </c>
      <c r="E730" s="27" t="s">
        <v>232</v>
      </c>
      <c r="F730" s="34"/>
      <c r="G730" s="34"/>
      <c r="H730" s="34"/>
      <c r="I730" s="34"/>
      <c r="J730" s="26">
        <v>673</v>
      </c>
      <c r="K730" s="27"/>
      <c r="L730" s="49" t="s">
        <v>169</v>
      </c>
      <c r="M730" s="28"/>
      <c r="N730" s="28"/>
      <c r="O730" s="28"/>
      <c r="P730" s="29"/>
      <c r="Q730" s="29"/>
      <c r="R730" s="29"/>
      <c r="S730" s="33">
        <v>1935.48</v>
      </c>
      <c r="T730" s="33">
        <v>592.74</v>
      </c>
      <c r="U730" s="33">
        <v>1342.74</v>
      </c>
    </row>
    <row x14ac:dyDescent="0.25" r="731" customHeight="1" ht="18.75">
      <c r="A731" s="21">
        <v>730</v>
      </c>
      <c r="B731" s="52" t="s">
        <v>3058</v>
      </c>
      <c r="C731" s="27" t="s">
        <v>166</v>
      </c>
      <c r="D731" s="27" t="s">
        <v>3059</v>
      </c>
      <c r="E731" s="27" t="s">
        <v>134</v>
      </c>
      <c r="F731" s="34"/>
      <c r="G731" s="34"/>
      <c r="H731" s="34"/>
      <c r="I731" s="34"/>
      <c r="J731" s="26">
        <v>668</v>
      </c>
      <c r="K731" s="27"/>
      <c r="L731" s="49" t="s">
        <v>169</v>
      </c>
      <c r="M731" s="28"/>
      <c r="N731" s="28"/>
      <c r="O731" s="28"/>
      <c r="P731" s="29"/>
      <c r="Q731" s="29"/>
      <c r="R731" s="29"/>
      <c r="S731" s="33">
        <v>1641.18</v>
      </c>
      <c r="T731" s="33">
        <v>113.93</v>
      </c>
      <c r="U731" s="33">
        <v>1527.25</v>
      </c>
    </row>
    <row x14ac:dyDescent="0.25" r="732" customHeight="1" ht="18.75">
      <c r="A732" s="43">
        <v>731</v>
      </c>
      <c r="B732" s="52" t="s">
        <v>3060</v>
      </c>
      <c r="C732" s="27"/>
      <c r="D732" s="27" t="s">
        <v>3061</v>
      </c>
      <c r="E732" s="27"/>
      <c r="F732" s="34"/>
      <c r="G732" s="34"/>
      <c r="H732" s="34"/>
      <c r="I732" s="34"/>
      <c r="J732" s="26">
        <v>628</v>
      </c>
      <c r="K732" s="27"/>
      <c r="L732" s="49" t="s">
        <v>468</v>
      </c>
      <c r="M732" s="28"/>
      <c r="N732" s="28"/>
      <c r="O732" s="28"/>
      <c r="P732" s="29"/>
      <c r="Q732" s="29"/>
      <c r="R732" s="29"/>
      <c r="S732" s="33">
        <v>3220.9</v>
      </c>
      <c r="T732" s="33">
        <v>3220.9</v>
      </c>
      <c r="U732" s="33">
        <v>0</v>
      </c>
    </row>
    <row x14ac:dyDescent="0.25" r="733" customHeight="1" ht="18.75">
      <c r="A733" s="44">
        <v>732</v>
      </c>
      <c r="B733" s="52" t="s">
        <v>3062</v>
      </c>
      <c r="C733" s="27" t="s">
        <v>166</v>
      </c>
      <c r="D733" s="27" t="s">
        <v>3063</v>
      </c>
      <c r="E733" s="27" t="s">
        <v>134</v>
      </c>
      <c r="F733" s="34"/>
      <c r="G733" s="34"/>
      <c r="H733" s="34"/>
      <c r="I733" s="34"/>
      <c r="J733" s="26">
        <v>679</v>
      </c>
      <c r="K733" s="27"/>
      <c r="L733" s="49" t="s">
        <v>169</v>
      </c>
      <c r="M733" s="28"/>
      <c r="N733" s="28"/>
      <c r="O733" s="28"/>
      <c r="P733" s="29"/>
      <c r="Q733" s="29"/>
      <c r="R733" s="29"/>
      <c r="S733" s="33">
        <v>1379.21</v>
      </c>
      <c r="T733" s="33">
        <v>103.44</v>
      </c>
      <c r="U733" s="33">
        <v>1275.77</v>
      </c>
    </row>
    <row x14ac:dyDescent="0.25" r="734" customHeight="1" ht="18.75">
      <c r="A734" s="21">
        <v>733</v>
      </c>
      <c r="B734" s="52" t="s">
        <v>3064</v>
      </c>
      <c r="C734" s="27" t="s">
        <v>539</v>
      </c>
      <c r="D734" s="27" t="s">
        <v>3065</v>
      </c>
      <c r="E734" s="27" t="s">
        <v>746</v>
      </c>
      <c r="F734" s="34"/>
      <c r="G734" s="34"/>
      <c r="H734" s="34"/>
      <c r="I734" s="34"/>
      <c r="J734" s="26">
        <v>684</v>
      </c>
      <c r="K734" s="27"/>
      <c r="L734" s="49" t="s">
        <v>169</v>
      </c>
      <c r="M734" s="28"/>
      <c r="N734" s="28"/>
      <c r="O734" s="28"/>
      <c r="P734" s="29"/>
      <c r="Q734" s="29"/>
      <c r="R734" s="29"/>
      <c r="S734" s="33">
        <v>1143.85</v>
      </c>
      <c r="T734" s="33">
        <v>82.35</v>
      </c>
      <c r="U734" s="33">
        <v>1061.5</v>
      </c>
    </row>
    <row x14ac:dyDescent="0.25" r="735" customHeight="1" ht="18.75">
      <c r="A735" s="43">
        <v>734</v>
      </c>
      <c r="B735" s="52" t="s">
        <v>3066</v>
      </c>
      <c r="C735" s="27" t="s">
        <v>190</v>
      </c>
      <c r="D735" s="27" t="s">
        <v>3067</v>
      </c>
      <c r="E735" s="27" t="s">
        <v>67</v>
      </c>
      <c r="F735" s="34"/>
      <c r="G735" s="34"/>
      <c r="H735" s="34"/>
      <c r="I735" s="34"/>
      <c r="J735" s="26">
        <v>675</v>
      </c>
      <c r="K735" s="27"/>
      <c r="L735" s="49" t="s">
        <v>169</v>
      </c>
      <c r="M735" s="28"/>
      <c r="N735" s="28"/>
      <c r="O735" s="28"/>
      <c r="P735" s="29"/>
      <c r="Q735" s="29"/>
      <c r="R735" s="29"/>
      <c r="S735" s="33">
        <v>2658.07</v>
      </c>
      <c r="T735" s="33">
        <v>214.9</v>
      </c>
      <c r="U735" s="33">
        <v>2443.17</v>
      </c>
    </row>
    <row x14ac:dyDescent="0.25" r="736" customHeight="1" ht="18.75">
      <c r="A736" s="44">
        <v>735</v>
      </c>
      <c r="B736" s="52" t="s">
        <v>3068</v>
      </c>
      <c r="C736" s="27" t="s">
        <v>166</v>
      </c>
      <c r="D736" s="27" t="s">
        <v>1171</v>
      </c>
      <c r="E736" s="27" t="s">
        <v>134</v>
      </c>
      <c r="F736" s="34"/>
      <c r="G736" s="34"/>
      <c r="H736" s="34"/>
      <c r="I736" s="34"/>
      <c r="J736" s="26">
        <v>154</v>
      </c>
      <c r="K736" s="27"/>
      <c r="L736" s="49" t="s">
        <v>169</v>
      </c>
      <c r="M736" s="28"/>
      <c r="N736" s="28"/>
      <c r="O736" s="28"/>
      <c r="P736" s="29"/>
      <c r="Q736" s="29"/>
      <c r="R736" s="29"/>
      <c r="S736" s="33">
        <v>1681.94</v>
      </c>
      <c r="T736" s="33">
        <v>127.05</v>
      </c>
      <c r="U736" s="33">
        <v>1554.89</v>
      </c>
    </row>
    <row x14ac:dyDescent="0.25" r="737" customHeight="1" ht="18.75">
      <c r="A737" s="21">
        <v>736</v>
      </c>
      <c r="B737" s="52" t="s">
        <v>3069</v>
      </c>
      <c r="C737" s="27" t="s">
        <v>190</v>
      </c>
      <c r="D737" s="27" t="s">
        <v>3070</v>
      </c>
      <c r="E737" s="27" t="s">
        <v>140</v>
      </c>
      <c r="F737" s="34"/>
      <c r="G737" s="34"/>
      <c r="H737" s="34"/>
      <c r="I737" s="34"/>
      <c r="J737" s="26">
        <v>666</v>
      </c>
      <c r="K737" s="27"/>
      <c r="L737" s="49" t="s">
        <v>169</v>
      </c>
      <c r="M737" s="28"/>
      <c r="N737" s="28"/>
      <c r="O737" s="28"/>
      <c r="P737" s="29"/>
      <c r="Q737" s="29"/>
      <c r="R737" s="29"/>
      <c r="S737" s="33">
        <v>2899.13</v>
      </c>
      <c r="T737" s="33">
        <v>236.6</v>
      </c>
      <c r="U737" s="33">
        <v>2662.53</v>
      </c>
    </row>
    <row x14ac:dyDescent="0.25" r="738" customHeight="1" ht="18.75">
      <c r="A738" s="43">
        <v>737</v>
      </c>
      <c r="B738" s="52" t="s">
        <v>3071</v>
      </c>
      <c r="C738" s="27" t="s">
        <v>166</v>
      </c>
      <c r="D738" s="27" t="s">
        <v>3072</v>
      </c>
      <c r="E738" s="27" t="s">
        <v>191</v>
      </c>
      <c r="F738" s="34"/>
      <c r="G738" s="34"/>
      <c r="H738" s="34"/>
      <c r="I738" s="34"/>
      <c r="J738" s="26">
        <v>678</v>
      </c>
      <c r="K738" s="27"/>
      <c r="L738" s="49" t="s">
        <v>169</v>
      </c>
      <c r="M738" s="28"/>
      <c r="N738" s="28"/>
      <c r="O738" s="28"/>
      <c r="P738" s="29"/>
      <c r="Q738" s="29"/>
      <c r="R738" s="29"/>
      <c r="S738" s="33">
        <v>1366.37</v>
      </c>
      <c r="T738" s="33">
        <v>102.47</v>
      </c>
      <c r="U738" s="33">
        <v>1263.9</v>
      </c>
    </row>
    <row x14ac:dyDescent="0.25" r="739" customHeight="1" ht="18.75">
      <c r="A739" s="44">
        <v>738</v>
      </c>
      <c r="B739" s="52" t="s">
        <v>3073</v>
      </c>
      <c r="C739" s="27" t="s">
        <v>166</v>
      </c>
      <c r="D739" s="27" t="s">
        <v>3074</v>
      </c>
      <c r="E739" s="27" t="s">
        <v>191</v>
      </c>
      <c r="F739" s="34"/>
      <c r="G739" s="34"/>
      <c r="H739" s="34"/>
      <c r="I739" s="34"/>
      <c r="J739" s="26">
        <v>677</v>
      </c>
      <c r="K739" s="27"/>
      <c r="L739" s="49" t="s">
        <v>169</v>
      </c>
      <c r="M739" s="28"/>
      <c r="N739" s="28"/>
      <c r="O739" s="28"/>
      <c r="P739" s="29"/>
      <c r="Q739" s="29"/>
      <c r="R739" s="29"/>
      <c r="S739" s="33">
        <v>1366.37</v>
      </c>
      <c r="T739" s="33">
        <v>102.47</v>
      </c>
      <c r="U739" s="33">
        <v>1263.9</v>
      </c>
    </row>
    <row x14ac:dyDescent="0.25" r="740" customHeight="1" ht="18.75">
      <c r="A740" s="21">
        <v>739</v>
      </c>
      <c r="B740" s="52" t="s">
        <v>3075</v>
      </c>
      <c r="C740" s="27"/>
      <c r="D740" s="27" t="s">
        <v>3076</v>
      </c>
      <c r="E740" s="27"/>
      <c r="F740" s="34"/>
      <c r="G740" s="34"/>
      <c r="H740" s="34"/>
      <c r="I740" s="34"/>
      <c r="J740" s="26">
        <v>306</v>
      </c>
      <c r="K740" s="27"/>
      <c r="L740" s="49" t="s">
        <v>468</v>
      </c>
      <c r="M740" s="28"/>
      <c r="N740" s="28"/>
      <c r="O740" s="28"/>
      <c r="P740" s="29"/>
      <c r="Q740" s="29"/>
      <c r="R740" s="29"/>
      <c r="S740" s="33">
        <v>4582.26</v>
      </c>
      <c r="T740" s="33">
        <v>4582.26</v>
      </c>
      <c r="U740" s="33">
        <v>0</v>
      </c>
    </row>
    <row x14ac:dyDescent="0.25" r="741" customHeight="1" ht="18.75">
      <c r="A741" s="43">
        <v>740</v>
      </c>
      <c r="B741" s="52" t="s">
        <v>3077</v>
      </c>
      <c r="C741" s="27" t="s">
        <v>166</v>
      </c>
      <c r="D741" s="27" t="s">
        <v>3078</v>
      </c>
      <c r="E741" s="27" t="s">
        <v>191</v>
      </c>
      <c r="F741" s="34"/>
      <c r="G741" s="34"/>
      <c r="H741" s="34"/>
      <c r="I741" s="34"/>
      <c r="J741" s="26">
        <v>676</v>
      </c>
      <c r="K741" s="27"/>
      <c r="L741" s="49" t="s">
        <v>169</v>
      </c>
      <c r="M741" s="28"/>
      <c r="N741" s="28"/>
      <c r="O741" s="28"/>
      <c r="P741" s="29"/>
      <c r="Q741" s="29"/>
      <c r="R741" s="29"/>
      <c r="S741" s="33">
        <v>1396.34</v>
      </c>
      <c r="T741" s="33">
        <v>104.72</v>
      </c>
      <c r="U741" s="33">
        <v>1291.62</v>
      </c>
    </row>
    <row x14ac:dyDescent="0.25" r="742" customHeight="1" ht="18.75">
      <c r="A742" s="44">
        <v>741</v>
      </c>
      <c r="B742" s="52" t="s">
        <v>3079</v>
      </c>
      <c r="C742" s="27" t="s">
        <v>166</v>
      </c>
      <c r="D742" s="27" t="s">
        <v>3080</v>
      </c>
      <c r="E742" s="27" t="s">
        <v>191</v>
      </c>
      <c r="F742" s="34"/>
      <c r="G742" s="34"/>
      <c r="H742" s="34"/>
      <c r="I742" s="34"/>
      <c r="J742" s="26">
        <v>682</v>
      </c>
      <c r="K742" s="27"/>
      <c r="L742" s="49" t="s">
        <v>169</v>
      </c>
      <c r="M742" s="28"/>
      <c r="N742" s="28"/>
      <c r="O742" s="28"/>
      <c r="P742" s="29"/>
      <c r="Q742" s="29"/>
      <c r="R742" s="29"/>
      <c r="S742" s="33">
        <v>1431.5</v>
      </c>
      <c r="T742" s="33">
        <v>103.44</v>
      </c>
      <c r="U742" s="33">
        <v>1328.06</v>
      </c>
    </row>
    <row x14ac:dyDescent="0.25" r="743" customHeight="1" ht="18.75">
      <c r="A743" s="21">
        <v>742</v>
      </c>
      <c r="B743" s="52" t="s">
        <v>3081</v>
      </c>
      <c r="C743" s="27" t="s">
        <v>166</v>
      </c>
      <c r="D743" s="27" t="s">
        <v>3082</v>
      </c>
      <c r="E743" s="27" t="s">
        <v>191</v>
      </c>
      <c r="F743" s="34"/>
      <c r="G743" s="34"/>
      <c r="H743" s="34"/>
      <c r="I743" s="34"/>
      <c r="J743" s="26">
        <v>674</v>
      </c>
      <c r="K743" s="27"/>
      <c r="L743" s="49" t="s">
        <v>169</v>
      </c>
      <c r="M743" s="28"/>
      <c r="N743" s="28"/>
      <c r="O743" s="28"/>
      <c r="P743" s="29"/>
      <c r="Q743" s="29"/>
      <c r="R743" s="29"/>
      <c r="S743" s="33">
        <v>1354.44</v>
      </c>
      <c r="T743" s="33">
        <v>97.66</v>
      </c>
      <c r="U743" s="33">
        <v>1256.78</v>
      </c>
    </row>
    <row x14ac:dyDescent="0.25" r="744" customHeight="1" ht="18.75">
      <c r="A744" s="43">
        <v>743</v>
      </c>
      <c r="B744" s="52" t="s">
        <v>3083</v>
      </c>
      <c r="C744" s="27" t="s">
        <v>539</v>
      </c>
      <c r="D744" s="27" t="s">
        <v>3084</v>
      </c>
      <c r="E744" s="27" t="s">
        <v>94</v>
      </c>
      <c r="F744" s="34"/>
      <c r="G744" s="34"/>
      <c r="H744" s="34"/>
      <c r="I744" s="34"/>
      <c r="J744" s="26">
        <v>670</v>
      </c>
      <c r="K744" s="27"/>
      <c r="L744" s="49" t="s">
        <v>169</v>
      </c>
      <c r="M744" s="28"/>
      <c r="N744" s="28"/>
      <c r="O744" s="28"/>
      <c r="P744" s="29"/>
      <c r="Q744" s="29"/>
      <c r="R744" s="29"/>
      <c r="S744" s="33">
        <v>1525.13</v>
      </c>
      <c r="T744" s="33">
        <v>400.01</v>
      </c>
      <c r="U744" s="33">
        <v>1125.12</v>
      </c>
    </row>
    <row x14ac:dyDescent="0.25" r="745" customHeight="1" ht="18.75">
      <c r="A745" s="44">
        <v>744</v>
      </c>
      <c r="B745" s="52" t="s">
        <v>3085</v>
      </c>
      <c r="C745" s="27" t="s">
        <v>539</v>
      </c>
      <c r="D745" s="27" t="s">
        <v>3086</v>
      </c>
      <c r="E745" s="27" t="s">
        <v>746</v>
      </c>
      <c r="F745" s="34"/>
      <c r="G745" s="34"/>
      <c r="H745" s="34"/>
      <c r="I745" s="34"/>
      <c r="J745" s="26">
        <v>681</v>
      </c>
      <c r="K745" s="27"/>
      <c r="L745" s="49" t="s">
        <v>169</v>
      </c>
      <c r="M745" s="28"/>
      <c r="N745" s="28"/>
      <c r="O745" s="28"/>
      <c r="P745" s="29"/>
      <c r="Q745" s="29"/>
      <c r="R745" s="29"/>
      <c r="S745" s="33">
        <v>1307.26</v>
      </c>
      <c r="T745" s="33">
        <v>94.12</v>
      </c>
      <c r="U745" s="33">
        <v>1213.14</v>
      </c>
    </row>
    <row x14ac:dyDescent="0.25" r="746" customHeight="1" ht="18.75">
      <c r="A746" s="43">
        <v>745</v>
      </c>
      <c r="B746" s="52" t="s">
        <v>3087</v>
      </c>
      <c r="C746" s="27" t="s">
        <v>166</v>
      </c>
      <c r="D746" s="27" t="s">
        <v>3088</v>
      </c>
      <c r="E746" s="27" t="s">
        <v>140</v>
      </c>
      <c r="F746" s="34"/>
      <c r="G746" s="34"/>
      <c r="H746" s="34"/>
      <c r="I746" s="34"/>
      <c r="J746" s="26">
        <v>680</v>
      </c>
      <c r="K746" s="27"/>
      <c r="L746" s="49" t="s">
        <v>169</v>
      </c>
      <c r="M746" s="28"/>
      <c r="N746" s="28"/>
      <c r="O746" s="28"/>
      <c r="P746" s="29"/>
      <c r="Q746" s="29"/>
      <c r="R746" s="29"/>
      <c r="S746" s="33">
        <v>1431.5</v>
      </c>
      <c r="T746" s="33">
        <v>103.44</v>
      </c>
      <c r="U746" s="33">
        <v>1328.06</v>
      </c>
    </row>
    <row x14ac:dyDescent="0.25" r="747" customHeight="1" ht="18.75">
      <c r="A747" s="44">
        <v>746</v>
      </c>
      <c r="B747" s="52" t="s">
        <v>3089</v>
      </c>
      <c r="C747" s="27" t="s">
        <v>190</v>
      </c>
      <c r="D747" s="27" t="s">
        <v>3090</v>
      </c>
      <c r="E747" s="27" t="s">
        <v>191</v>
      </c>
      <c r="F747" s="34"/>
      <c r="G747" s="34"/>
      <c r="H747" s="34"/>
      <c r="I747" s="34"/>
      <c r="J747" s="26">
        <v>669</v>
      </c>
      <c r="K747" s="27"/>
      <c r="L747" s="49" t="s">
        <v>169</v>
      </c>
      <c r="M747" s="28"/>
      <c r="N747" s="28"/>
      <c r="O747" s="28"/>
      <c r="P747" s="29"/>
      <c r="Q747" s="29"/>
      <c r="R747" s="29"/>
      <c r="S747" s="33">
        <v>2790.98</v>
      </c>
      <c r="T747" s="33">
        <v>226.86</v>
      </c>
      <c r="U747" s="33">
        <v>2564.12</v>
      </c>
    </row>
    <row x14ac:dyDescent="0.25" r="748" customHeight="1" ht="18.75">
      <c r="A748" s="44">
        <v>747</v>
      </c>
      <c r="B748" s="52" t="s">
        <v>3091</v>
      </c>
      <c r="C748" s="27" t="s">
        <v>656</v>
      </c>
      <c r="D748" s="27" t="s">
        <v>3092</v>
      </c>
      <c r="E748" s="27" t="s">
        <v>280</v>
      </c>
      <c r="F748" s="34"/>
      <c r="G748" s="34"/>
      <c r="H748" s="34"/>
      <c r="I748" s="34"/>
      <c r="J748" s="26">
        <v>667</v>
      </c>
      <c r="K748" s="27"/>
      <c r="L748" s="49" t="s">
        <v>169</v>
      </c>
      <c r="M748" s="28"/>
      <c r="N748" s="28"/>
      <c r="O748" s="28"/>
      <c r="P748" s="29"/>
      <c r="Q748" s="29"/>
      <c r="R748" s="29"/>
      <c r="S748" s="33">
        <v>3522.58</v>
      </c>
      <c r="T748" s="33">
        <v>311.29</v>
      </c>
      <c r="U748" s="33">
        <v>3211.29</v>
      </c>
    </row>
    <row x14ac:dyDescent="0.25" r="749" customHeight="1" ht="18.75">
      <c r="A749" s="44">
        <v>748</v>
      </c>
      <c r="B749" s="53" t="s">
        <v>3093</v>
      </c>
      <c r="C749" s="49" t="s">
        <v>378</v>
      </c>
      <c r="D749" s="49" t="s">
        <v>3094</v>
      </c>
      <c r="E749" s="49" t="s">
        <v>474</v>
      </c>
      <c r="F749" s="54"/>
      <c r="G749" s="54"/>
      <c r="H749" s="54"/>
      <c r="I749" s="54"/>
      <c r="J749" s="55">
        <v>683</v>
      </c>
      <c r="K749" s="49"/>
      <c r="L749" s="49" t="s">
        <v>169</v>
      </c>
      <c r="M749" s="50"/>
      <c r="N749" s="50"/>
      <c r="O749" s="50"/>
      <c r="P749" s="51"/>
      <c r="Q749" s="51"/>
      <c r="R749" s="51"/>
      <c r="S749" s="56">
        <v>1219.35</v>
      </c>
      <c r="T749" s="56">
        <v>91.45</v>
      </c>
      <c r="U749" s="56">
        <v>1127.9</v>
      </c>
    </row>
    <row x14ac:dyDescent="0.25" r="750" customHeight="1" ht="18.75">
      <c r="A750" s="44">
        <v>749</v>
      </c>
      <c r="B750" s="52" t="s">
        <v>3095</v>
      </c>
      <c r="C750" s="27" t="s">
        <v>2618</v>
      </c>
      <c r="D750" s="57" t="s">
        <v>3096</v>
      </c>
      <c r="E750" s="27" t="s">
        <v>134</v>
      </c>
      <c r="F750" s="27" t="s">
        <v>134</v>
      </c>
      <c r="G750" s="34"/>
      <c r="H750" s="57" t="s">
        <v>2669</v>
      </c>
      <c r="I750" s="58" t="s">
        <v>3097</v>
      </c>
      <c r="J750" s="26"/>
      <c r="K750" s="27"/>
      <c r="L750" s="27" t="s">
        <v>169</v>
      </c>
      <c r="M750" s="28"/>
      <c r="N750" s="28"/>
      <c r="O750" s="28"/>
      <c r="P750" s="29"/>
      <c r="Q750" s="29"/>
      <c r="R750" s="29"/>
      <c r="S750" s="33"/>
      <c r="T750" s="33"/>
      <c r="U750" s="33"/>
    </row>
    <row x14ac:dyDescent="0.25" r="751" customHeight="1" ht="18.75">
      <c r="A751" s="44">
        <v>750</v>
      </c>
      <c r="B751" s="52" t="s">
        <v>3098</v>
      </c>
      <c r="C751" s="27" t="s">
        <v>2618</v>
      </c>
      <c r="D751" s="57" t="s">
        <v>3099</v>
      </c>
      <c r="E751" s="27" t="s">
        <v>134</v>
      </c>
      <c r="F751" s="27" t="s">
        <v>134</v>
      </c>
      <c r="G751" s="34"/>
      <c r="H751" s="57" t="s">
        <v>2669</v>
      </c>
      <c r="I751" s="58" t="s">
        <v>3100</v>
      </c>
      <c r="J751" s="26"/>
      <c r="K751" s="27"/>
      <c r="L751" s="27" t="s">
        <v>169</v>
      </c>
      <c r="M751" s="28"/>
      <c r="N751" s="28"/>
      <c r="O751" s="28"/>
      <c r="P751" s="29"/>
      <c r="Q751" s="29"/>
      <c r="R751" s="29"/>
      <c r="S751" s="33"/>
      <c r="T751" s="33"/>
      <c r="U751" s="33"/>
    </row>
    <row x14ac:dyDescent="0.25" r="752" customHeight="1" ht="18.75">
      <c r="A752" s="44">
        <v>751</v>
      </c>
      <c r="B752" s="52" t="s">
        <v>3101</v>
      </c>
      <c r="C752" s="27" t="s">
        <v>2618</v>
      </c>
      <c r="D752" s="57" t="s">
        <v>3102</v>
      </c>
      <c r="E752" s="27" t="s">
        <v>224</v>
      </c>
      <c r="F752" s="34"/>
      <c r="G752" s="34"/>
      <c r="H752" s="57" t="s">
        <v>2669</v>
      </c>
      <c r="I752" s="58" t="s">
        <v>3103</v>
      </c>
      <c r="J752" s="26"/>
      <c r="K752" s="27"/>
      <c r="L752" s="27" t="s">
        <v>169</v>
      </c>
      <c r="M752" s="28"/>
      <c r="N752" s="28"/>
      <c r="O752" s="28"/>
      <c r="P752" s="29"/>
      <c r="Q752" s="29"/>
      <c r="R752" s="29"/>
      <c r="S752" s="33"/>
      <c r="T752" s="33"/>
      <c r="U752" s="33"/>
    </row>
    <row x14ac:dyDescent="0.25" r="753" customHeight="1" ht="18.75">
      <c r="A753" s="44">
        <v>752</v>
      </c>
      <c r="B753" s="52" t="s">
        <v>3104</v>
      </c>
      <c r="C753" s="27" t="s">
        <v>2618</v>
      </c>
      <c r="D753" s="57" t="s">
        <v>3105</v>
      </c>
      <c r="E753" s="27" t="s">
        <v>134</v>
      </c>
      <c r="F753" s="27" t="s">
        <v>134</v>
      </c>
      <c r="G753" s="34"/>
      <c r="H753" s="57" t="s">
        <v>2669</v>
      </c>
      <c r="I753" s="58" t="s">
        <v>3106</v>
      </c>
      <c r="J753" s="26"/>
      <c r="K753" s="27"/>
      <c r="L753" s="27" t="s">
        <v>169</v>
      </c>
      <c r="M753" s="28"/>
      <c r="N753" s="28"/>
      <c r="O753" s="28"/>
      <c r="P753" s="29"/>
      <c r="Q753" s="29"/>
      <c r="R753" s="29"/>
      <c r="S753" s="33"/>
      <c r="T753" s="33"/>
      <c r="U753" s="33"/>
    </row>
    <row x14ac:dyDescent="0.25" r="754" customHeight="1" ht="18.75">
      <c r="A754" s="44">
        <v>753</v>
      </c>
      <c r="B754" s="52" t="s">
        <v>3107</v>
      </c>
      <c r="C754" s="27" t="s">
        <v>2618</v>
      </c>
      <c r="D754" s="57" t="s">
        <v>3108</v>
      </c>
      <c r="E754" s="27" t="s">
        <v>134</v>
      </c>
      <c r="F754" s="27" t="s">
        <v>134</v>
      </c>
      <c r="G754" s="34"/>
      <c r="H754" s="57" t="s">
        <v>2669</v>
      </c>
      <c r="I754" s="58" t="s">
        <v>3109</v>
      </c>
      <c r="J754" s="26"/>
      <c r="K754" s="27"/>
      <c r="L754" s="27" t="s">
        <v>169</v>
      </c>
      <c r="M754" s="28"/>
      <c r="N754" s="28"/>
      <c r="O754" s="28"/>
      <c r="P754" s="29"/>
      <c r="Q754" s="29"/>
      <c r="R754" s="29"/>
      <c r="S754" s="33"/>
      <c r="T754" s="33"/>
      <c r="U754" s="33"/>
    </row>
    <row x14ac:dyDescent="0.25" r="755" customHeight="1" ht="18.75">
      <c r="A755" s="44">
        <v>754</v>
      </c>
      <c r="B755" s="52" t="s">
        <v>3110</v>
      </c>
      <c r="C755" s="27" t="s">
        <v>2618</v>
      </c>
      <c r="D755" s="57" t="s">
        <v>3111</v>
      </c>
      <c r="E755" s="59" t="s">
        <v>191</v>
      </c>
      <c r="F755" s="34"/>
      <c r="G755" s="34"/>
      <c r="H755" s="57" t="s">
        <v>2620</v>
      </c>
      <c r="I755" s="58" t="s">
        <v>3112</v>
      </c>
      <c r="J755" s="26"/>
      <c r="K755" s="27"/>
      <c r="L755" s="27" t="s">
        <v>169</v>
      </c>
      <c r="M755" s="28"/>
      <c r="N755" s="28"/>
      <c r="O755" s="28"/>
      <c r="P755" s="29"/>
      <c r="Q755" s="29"/>
      <c r="R755" s="29"/>
      <c r="S755" s="33"/>
      <c r="T755" s="33"/>
      <c r="U755" s="33"/>
    </row>
    <row x14ac:dyDescent="0.25" r="756" customHeight="1" ht="18.75">
      <c r="A756" s="44">
        <v>755</v>
      </c>
      <c r="B756" s="52" t="s">
        <v>3113</v>
      </c>
      <c r="C756" s="27" t="s">
        <v>2618</v>
      </c>
      <c r="D756" s="57" t="s">
        <v>3114</v>
      </c>
      <c r="E756" s="27" t="s">
        <v>134</v>
      </c>
      <c r="F756" s="27" t="s">
        <v>134</v>
      </c>
      <c r="G756" s="34"/>
      <c r="H756" s="57" t="s">
        <v>2669</v>
      </c>
      <c r="I756" s="58" t="s">
        <v>3115</v>
      </c>
      <c r="J756" s="26"/>
      <c r="K756" s="27"/>
      <c r="L756" s="27" t="s">
        <v>169</v>
      </c>
      <c r="M756" s="28"/>
      <c r="N756" s="28"/>
      <c r="O756" s="28"/>
      <c r="P756" s="29"/>
      <c r="Q756" s="29"/>
      <c r="R756" s="29"/>
      <c r="S756" s="33"/>
      <c r="T756" s="33"/>
      <c r="U756" s="33"/>
    </row>
    <row x14ac:dyDescent="0.25" r="757" customHeight="1" ht="18.75">
      <c r="A757" s="44">
        <v>756</v>
      </c>
      <c r="B757" s="52" t="s">
        <v>3116</v>
      </c>
      <c r="C757" s="27" t="s">
        <v>2618</v>
      </c>
      <c r="D757" s="57" t="s">
        <v>3117</v>
      </c>
      <c r="E757" s="27" t="s">
        <v>134</v>
      </c>
      <c r="F757" s="27" t="s">
        <v>134</v>
      </c>
      <c r="G757" s="34"/>
      <c r="H757" s="57" t="s">
        <v>2669</v>
      </c>
      <c r="I757" s="58" t="s">
        <v>3118</v>
      </c>
      <c r="J757" s="26"/>
      <c r="K757" s="27"/>
      <c r="L757" s="27" t="s">
        <v>169</v>
      </c>
      <c r="M757" s="28"/>
      <c r="N757" s="28"/>
      <c r="O757" s="28"/>
      <c r="P757" s="29"/>
      <c r="Q757" s="29"/>
      <c r="R757" s="29"/>
      <c r="S757" s="33"/>
      <c r="T757" s="33"/>
      <c r="U757" s="33"/>
    </row>
    <row x14ac:dyDescent="0.25" r="758" customHeight="1" ht="18.75">
      <c r="A758" s="44">
        <v>757</v>
      </c>
      <c r="B758" s="52" t="s">
        <v>3119</v>
      </c>
      <c r="C758" s="27" t="s">
        <v>2618</v>
      </c>
      <c r="D758" s="57" t="s">
        <v>3120</v>
      </c>
      <c r="E758" s="59" t="s">
        <v>191</v>
      </c>
      <c r="F758" s="34"/>
      <c r="G758" s="34"/>
      <c r="H758" s="57" t="s">
        <v>3121</v>
      </c>
      <c r="I758" s="58" t="s">
        <v>3122</v>
      </c>
      <c r="J758" s="26"/>
      <c r="K758" s="27"/>
      <c r="L758" s="27" t="s">
        <v>169</v>
      </c>
      <c r="M758" s="28"/>
      <c r="N758" s="28"/>
      <c r="O758" s="28"/>
      <c r="P758" s="29"/>
      <c r="Q758" s="29"/>
      <c r="R758" s="29"/>
      <c r="S758" s="33"/>
      <c r="T758" s="33"/>
      <c r="U758" s="33"/>
    </row>
    <row x14ac:dyDescent="0.25" r="759" customHeight="1" ht="18.75">
      <c r="A759" s="44">
        <v>758</v>
      </c>
      <c r="B759" s="52" t="s">
        <v>3123</v>
      </c>
      <c r="C759" s="27" t="s">
        <v>2618</v>
      </c>
      <c r="D759" s="57" t="s">
        <v>3124</v>
      </c>
      <c r="E759" s="27" t="s">
        <v>134</v>
      </c>
      <c r="F759" s="27" t="s">
        <v>134</v>
      </c>
      <c r="G759" s="34"/>
      <c r="H759" s="57" t="s">
        <v>2669</v>
      </c>
      <c r="I759" s="58" t="s">
        <v>3125</v>
      </c>
      <c r="J759" s="26"/>
      <c r="K759" s="27"/>
      <c r="L759" s="27" t="s">
        <v>169</v>
      </c>
      <c r="M759" s="28"/>
      <c r="N759" s="28"/>
      <c r="O759" s="28"/>
      <c r="P759" s="29"/>
      <c r="Q759" s="29"/>
      <c r="R759" s="29"/>
      <c r="S759" s="33"/>
      <c r="T759" s="33"/>
      <c r="U759" s="33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34"/>
  <sheetViews>
    <sheetView workbookViewId="0"/>
  </sheetViews>
  <sheetFormatPr defaultRowHeight="15" x14ac:dyDescent="0.25"/>
  <cols>
    <col min="1" max="1" style="9" width="39.005" customWidth="1" bestFit="1"/>
    <col min="2" max="2" style="9" width="36.57642857142857" customWidth="1" bestFit="1"/>
    <col min="3" max="3" style="10" width="9.719285714285713" customWidth="1" bestFit="1"/>
    <col min="4" max="4" style="10" width="10.862142857142858" customWidth="1" bestFit="1"/>
    <col min="5" max="5" style="9" width="13.576428571428572" customWidth="1" bestFit="1"/>
    <col min="6" max="6" style="9" width="19.433571428571426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  <c r="F1" s="3" t="s">
        <v>5</v>
      </c>
    </row>
    <row x14ac:dyDescent="0.25" r="2" customHeight="1" ht="18.75">
      <c r="A2" s="3" t="s">
        <v>6</v>
      </c>
      <c r="B2" s="3" t="s">
        <v>7</v>
      </c>
      <c r="C2" s="4" t="s">
        <v>8</v>
      </c>
      <c r="D2" s="4" t="s">
        <v>9</v>
      </c>
      <c r="E2" s="3" t="s">
        <v>10</v>
      </c>
      <c r="F2" s="3" t="s">
        <v>11</v>
      </c>
    </row>
    <row x14ac:dyDescent="0.25" r="3" customHeight="1" ht="18.75">
      <c r="A3" s="3" t="s">
        <v>12</v>
      </c>
      <c r="B3" s="3" t="s">
        <v>13</v>
      </c>
      <c r="C3" s="4" t="s">
        <v>14</v>
      </c>
      <c r="D3" s="4" t="s">
        <v>15</v>
      </c>
      <c r="E3" s="3" t="s">
        <v>10</v>
      </c>
      <c r="F3" s="3" t="s">
        <v>16</v>
      </c>
    </row>
    <row x14ac:dyDescent="0.25" r="4" customHeight="1" ht="18.75">
      <c r="A4" s="3" t="s">
        <v>17</v>
      </c>
      <c r="B4" s="3" t="s">
        <v>18</v>
      </c>
      <c r="C4" s="4" t="s">
        <v>19</v>
      </c>
      <c r="D4" s="4" t="s">
        <v>20</v>
      </c>
      <c r="E4" s="3" t="s">
        <v>10</v>
      </c>
      <c r="F4" s="3" t="s">
        <v>21</v>
      </c>
    </row>
    <row x14ac:dyDescent="0.25" r="5" customHeight="1" ht="18.75">
      <c r="A5" s="3" t="s">
        <v>22</v>
      </c>
      <c r="B5" s="3" t="s">
        <v>23</v>
      </c>
      <c r="C5" s="4" t="s">
        <v>24</v>
      </c>
      <c r="D5" s="4" t="s">
        <v>25</v>
      </c>
      <c r="E5" s="3" t="s">
        <v>10</v>
      </c>
      <c r="F5" s="3" t="s">
        <v>21</v>
      </c>
    </row>
    <row x14ac:dyDescent="0.25" r="6" customHeight="1" ht="18.75">
      <c r="A6" s="3" t="s">
        <v>26</v>
      </c>
      <c r="B6" s="3" t="s">
        <v>27</v>
      </c>
      <c r="C6" s="4" t="s">
        <v>28</v>
      </c>
      <c r="D6" s="4" t="s">
        <v>29</v>
      </c>
      <c r="E6" s="3" t="s">
        <v>10</v>
      </c>
      <c r="F6" s="3" t="s">
        <v>30</v>
      </c>
    </row>
    <row x14ac:dyDescent="0.25" r="7" customHeight="1" ht="18.75">
      <c r="A7" s="3" t="s">
        <v>31</v>
      </c>
      <c r="B7" s="3" t="s">
        <v>32</v>
      </c>
      <c r="C7" s="5"/>
      <c r="D7" s="5"/>
      <c r="E7" s="3" t="s">
        <v>10</v>
      </c>
      <c r="F7" s="3"/>
    </row>
    <row x14ac:dyDescent="0.25" r="8" customHeight="1" ht="18.75">
      <c r="A8" s="3" t="s">
        <v>33</v>
      </c>
      <c r="B8" s="3" t="s">
        <v>34</v>
      </c>
      <c r="C8" s="4" t="s">
        <v>35</v>
      </c>
      <c r="D8" s="4" t="s">
        <v>36</v>
      </c>
      <c r="E8" s="3" t="s">
        <v>10</v>
      </c>
      <c r="F8" s="3" t="s">
        <v>37</v>
      </c>
    </row>
    <row x14ac:dyDescent="0.25" r="9" customHeight="1" ht="18.75">
      <c r="A9" s="3" t="s">
        <v>38</v>
      </c>
      <c r="B9" s="3" t="s">
        <v>39</v>
      </c>
      <c r="C9" s="4" t="s">
        <v>40</v>
      </c>
      <c r="D9" s="4" t="s">
        <v>41</v>
      </c>
      <c r="E9" s="3" t="s">
        <v>10</v>
      </c>
      <c r="F9" s="3" t="s">
        <v>42</v>
      </c>
    </row>
    <row x14ac:dyDescent="0.25" r="10" customHeight="1" ht="18.75">
      <c r="A10" s="3" t="s">
        <v>43</v>
      </c>
      <c r="B10" s="3" t="s">
        <v>44</v>
      </c>
      <c r="C10" s="4" t="s">
        <v>45</v>
      </c>
      <c r="D10" s="4" t="s">
        <v>46</v>
      </c>
      <c r="E10" s="3" t="s">
        <v>10</v>
      </c>
      <c r="F10" s="3" t="s">
        <v>11</v>
      </c>
    </row>
    <row x14ac:dyDescent="0.25" r="11" customHeight="1" ht="18.75">
      <c r="A11" s="3" t="s">
        <v>47</v>
      </c>
      <c r="B11" s="3" t="s">
        <v>48</v>
      </c>
      <c r="C11" s="5"/>
      <c r="D11" s="5"/>
      <c r="E11" s="3" t="s">
        <v>10</v>
      </c>
      <c r="F11" s="3"/>
    </row>
    <row x14ac:dyDescent="0.25" r="12" customHeight="1" ht="18.75">
      <c r="A12" s="3" t="s">
        <v>49</v>
      </c>
      <c r="B12" s="3" t="s">
        <v>50</v>
      </c>
      <c r="C12" s="4" t="s">
        <v>51</v>
      </c>
      <c r="D12" s="4" t="s">
        <v>52</v>
      </c>
      <c r="E12" s="3" t="s">
        <v>10</v>
      </c>
      <c r="F12" s="3" t="s">
        <v>53</v>
      </c>
    </row>
    <row x14ac:dyDescent="0.25" r="13" customHeight="1" ht="18.75">
      <c r="A13" s="3" t="s">
        <v>54</v>
      </c>
      <c r="B13" s="3" t="s">
        <v>55</v>
      </c>
      <c r="C13" s="4" t="s">
        <v>56</v>
      </c>
      <c r="D13" s="4" t="s">
        <v>57</v>
      </c>
      <c r="E13" s="3" t="s">
        <v>10</v>
      </c>
      <c r="F13" s="3" t="s">
        <v>16</v>
      </c>
    </row>
    <row x14ac:dyDescent="0.25" r="14" customHeight="1" ht="18.75">
      <c r="A14" s="3" t="s">
        <v>58</v>
      </c>
      <c r="B14" s="3" t="s">
        <v>59</v>
      </c>
      <c r="C14" s="4" t="s">
        <v>60</v>
      </c>
      <c r="D14" s="4" t="s">
        <v>61</v>
      </c>
      <c r="E14" s="3" t="s">
        <v>10</v>
      </c>
      <c r="F14" s="3" t="s">
        <v>62</v>
      </c>
    </row>
    <row x14ac:dyDescent="0.25" r="15" customHeight="1" ht="18.75">
      <c r="A15" s="3" t="s">
        <v>63</v>
      </c>
      <c r="B15" s="3" t="s">
        <v>64</v>
      </c>
      <c r="C15" s="4" t="s">
        <v>65</v>
      </c>
      <c r="D15" s="4" t="s">
        <v>66</v>
      </c>
      <c r="E15" s="3" t="s">
        <v>10</v>
      </c>
      <c r="F15" s="3" t="s">
        <v>16</v>
      </c>
    </row>
    <row x14ac:dyDescent="0.25" r="16" customHeight="1" ht="18.75">
      <c r="A16" s="3" t="s">
        <v>67</v>
      </c>
      <c r="B16" s="3" t="s">
        <v>68</v>
      </c>
      <c r="C16" s="4" t="s">
        <v>69</v>
      </c>
      <c r="D16" s="4" t="s">
        <v>70</v>
      </c>
      <c r="E16" s="3" t="s">
        <v>10</v>
      </c>
      <c r="F16" s="3" t="s">
        <v>71</v>
      </c>
    </row>
    <row x14ac:dyDescent="0.25" r="17" customHeight="1" ht="18.75">
      <c r="A17" s="3" t="s">
        <v>72</v>
      </c>
      <c r="B17" s="3" t="s">
        <v>73</v>
      </c>
      <c r="C17" s="4" t="s">
        <v>74</v>
      </c>
      <c r="D17" s="4" t="s">
        <v>75</v>
      </c>
      <c r="E17" s="3" t="s">
        <v>10</v>
      </c>
      <c r="F17" s="3" t="s">
        <v>71</v>
      </c>
    </row>
    <row x14ac:dyDescent="0.25" r="18" customHeight="1" ht="18.75">
      <c r="A18" s="3" t="s">
        <v>76</v>
      </c>
      <c r="B18" s="3" t="s">
        <v>77</v>
      </c>
      <c r="C18" s="4" t="s">
        <v>78</v>
      </c>
      <c r="D18" s="4" t="s">
        <v>79</v>
      </c>
      <c r="E18" s="3" t="s">
        <v>10</v>
      </c>
      <c r="F18" s="3" t="s">
        <v>30</v>
      </c>
    </row>
    <row x14ac:dyDescent="0.25" r="19" customHeight="1" ht="18.75">
      <c r="A19" s="3" t="s">
        <v>80</v>
      </c>
      <c r="B19" s="3" t="s">
        <v>81</v>
      </c>
      <c r="C19" s="4" t="s">
        <v>82</v>
      </c>
      <c r="D19" s="4" t="s">
        <v>83</v>
      </c>
      <c r="E19" s="3" t="s">
        <v>10</v>
      </c>
      <c r="F19" s="3" t="s">
        <v>71</v>
      </c>
    </row>
    <row x14ac:dyDescent="0.25" r="20" customHeight="1" ht="18.75">
      <c r="A20" s="3" t="s">
        <v>84</v>
      </c>
      <c r="B20" s="3" t="s">
        <v>85</v>
      </c>
      <c r="C20" s="5"/>
      <c r="D20" s="5"/>
      <c r="E20" s="3" t="s">
        <v>10</v>
      </c>
      <c r="F20" s="3"/>
    </row>
    <row x14ac:dyDescent="0.25" r="21" customHeight="1" ht="18.75">
      <c r="A21" s="3" t="s">
        <v>86</v>
      </c>
      <c r="B21" s="3" t="s">
        <v>87</v>
      </c>
      <c r="C21" s="4" t="s">
        <v>88</v>
      </c>
      <c r="D21" s="4" t="s">
        <v>89</v>
      </c>
      <c r="E21" s="3" t="s">
        <v>10</v>
      </c>
      <c r="F21" s="3" t="s">
        <v>37</v>
      </c>
    </row>
    <row x14ac:dyDescent="0.25" r="22" customHeight="1" ht="18.75">
      <c r="A22" s="3" t="s">
        <v>90</v>
      </c>
      <c r="B22" s="3" t="s">
        <v>91</v>
      </c>
      <c r="C22" s="4" t="s">
        <v>92</v>
      </c>
      <c r="D22" s="4" t="s">
        <v>93</v>
      </c>
      <c r="E22" s="3" t="s">
        <v>10</v>
      </c>
      <c r="F22" s="3" t="s">
        <v>37</v>
      </c>
    </row>
    <row x14ac:dyDescent="0.25" r="23" customHeight="1" ht="18.75">
      <c r="A23" s="3" t="s">
        <v>94</v>
      </c>
      <c r="B23" s="3" t="s">
        <v>95</v>
      </c>
      <c r="C23" s="4" t="s">
        <v>96</v>
      </c>
      <c r="D23" s="4" t="s">
        <v>97</v>
      </c>
      <c r="E23" s="3" t="s">
        <v>10</v>
      </c>
      <c r="F23" s="3" t="s">
        <v>53</v>
      </c>
    </row>
    <row x14ac:dyDescent="0.25" r="24" customHeight="1" ht="18.75">
      <c r="A24" s="3" t="s">
        <v>98</v>
      </c>
      <c r="B24" s="3" t="s">
        <v>99</v>
      </c>
      <c r="C24" s="4" t="s">
        <v>100</v>
      </c>
      <c r="D24" s="4" t="s">
        <v>101</v>
      </c>
      <c r="E24" s="3" t="s">
        <v>10</v>
      </c>
      <c r="F24" s="3" t="s">
        <v>62</v>
      </c>
    </row>
    <row x14ac:dyDescent="0.25" r="25" customHeight="1" ht="18.75">
      <c r="A25" s="3" t="s">
        <v>102</v>
      </c>
      <c r="B25" s="3" t="s">
        <v>103</v>
      </c>
      <c r="C25" s="4" t="s">
        <v>104</v>
      </c>
      <c r="D25" s="4" t="s">
        <v>105</v>
      </c>
      <c r="E25" s="3" t="s">
        <v>10</v>
      </c>
      <c r="F25" s="3" t="s">
        <v>62</v>
      </c>
    </row>
    <row x14ac:dyDescent="0.25" r="26" customHeight="1" ht="18.75">
      <c r="A26" s="3" t="s">
        <v>106</v>
      </c>
      <c r="B26" s="3" t="s">
        <v>107</v>
      </c>
      <c r="C26" s="4" t="s">
        <v>108</v>
      </c>
      <c r="D26" s="4" t="s">
        <v>109</v>
      </c>
      <c r="E26" s="3" t="s">
        <v>10</v>
      </c>
      <c r="F26" s="3" t="s">
        <v>62</v>
      </c>
    </row>
    <row x14ac:dyDescent="0.25" r="27" customHeight="1" ht="18.75">
      <c r="A27" s="3" t="s">
        <v>110</v>
      </c>
      <c r="B27" s="3" t="s">
        <v>111</v>
      </c>
      <c r="C27" s="4" t="s">
        <v>112</v>
      </c>
      <c r="D27" s="4" t="s">
        <v>113</v>
      </c>
      <c r="E27" s="3" t="s">
        <v>10</v>
      </c>
      <c r="F27" s="3" t="s">
        <v>53</v>
      </c>
    </row>
    <row x14ac:dyDescent="0.25" r="28" customHeight="1" ht="18.75">
      <c r="A28" s="3" t="s">
        <v>114</v>
      </c>
      <c r="B28" s="3" t="s">
        <v>115</v>
      </c>
      <c r="C28" s="4" t="s">
        <v>116</v>
      </c>
      <c r="D28" s="4" t="s">
        <v>117</v>
      </c>
      <c r="E28" s="3" t="s">
        <v>10</v>
      </c>
      <c r="F28" s="3" t="s">
        <v>62</v>
      </c>
    </row>
    <row x14ac:dyDescent="0.25" r="29" customHeight="1" ht="18.75">
      <c r="A29" s="3" t="s">
        <v>118</v>
      </c>
      <c r="B29" s="3" t="s">
        <v>119</v>
      </c>
      <c r="C29" s="4" t="s">
        <v>120</v>
      </c>
      <c r="D29" s="4" t="s">
        <v>121</v>
      </c>
      <c r="E29" s="3" t="s">
        <v>10</v>
      </c>
      <c r="F29" s="3" t="s">
        <v>71</v>
      </c>
    </row>
    <row x14ac:dyDescent="0.25" r="30" customHeight="1" ht="18.75">
      <c r="A30" s="3" t="s">
        <v>122</v>
      </c>
      <c r="B30" s="3" t="s">
        <v>123</v>
      </c>
      <c r="C30" s="4" t="s">
        <v>124</v>
      </c>
      <c r="D30" s="4" t="s">
        <v>125</v>
      </c>
      <c r="E30" s="3" t="s">
        <v>10</v>
      </c>
      <c r="F30" s="3" t="s">
        <v>126</v>
      </c>
    </row>
    <row x14ac:dyDescent="0.25" r="31" customHeight="1" ht="18.75">
      <c r="A31" s="3" t="s">
        <v>127</v>
      </c>
      <c r="B31" s="3" t="s">
        <v>128</v>
      </c>
      <c r="C31" s="4" t="s">
        <v>129</v>
      </c>
      <c r="D31" s="4" t="s">
        <v>15</v>
      </c>
      <c r="E31" s="3" t="s">
        <v>10</v>
      </c>
      <c r="F31" s="3" t="s">
        <v>71</v>
      </c>
    </row>
    <row x14ac:dyDescent="0.25" r="32" customHeight="1" ht="18.75">
      <c r="A32" s="3" t="s">
        <v>130</v>
      </c>
      <c r="B32" s="3" t="s">
        <v>131</v>
      </c>
      <c r="C32" s="4" t="s">
        <v>132</v>
      </c>
      <c r="D32" s="4" t="s">
        <v>133</v>
      </c>
      <c r="E32" s="3" t="s">
        <v>10</v>
      </c>
      <c r="F32" s="3" t="s">
        <v>71</v>
      </c>
    </row>
    <row x14ac:dyDescent="0.25" r="33" customHeight="1" ht="18.75">
      <c r="A33" s="6" t="s">
        <v>134</v>
      </c>
      <c r="B33" s="7" t="s">
        <v>135</v>
      </c>
      <c r="C33" s="8" t="s">
        <v>136</v>
      </c>
      <c r="D33" s="8" t="s">
        <v>137</v>
      </c>
      <c r="E33" s="7" t="s">
        <v>138</v>
      </c>
      <c r="F33" s="7" t="s">
        <v>139</v>
      </c>
    </row>
    <row x14ac:dyDescent="0.25" r="34" customHeight="1" ht="18.75">
      <c r="A34" s="6" t="s">
        <v>140</v>
      </c>
      <c r="B34" s="7" t="s">
        <v>141</v>
      </c>
      <c r="C34" s="8" t="s">
        <v>142</v>
      </c>
      <c r="D34" s="8" t="s">
        <v>143</v>
      </c>
      <c r="E34" s="7" t="s">
        <v>138</v>
      </c>
      <c r="F34" s="7" t="s">
        <v>42</v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11</vt:i4>
      </vt:variant>
    </vt:vector>
  </HeadingPairs>
  <TitlesOfParts>
    <vt:vector baseType="lpstr" size="11">
      <vt:lpstr>METAS DO PLANO DE TRABALHO</vt:lpstr>
      <vt:lpstr>INDICADORES UPA LUZIÂNIA</vt:lpstr>
      <vt:lpstr>INDICADORES UPA JARDIM INGÁ</vt:lpstr>
      <vt:lpstr>INDICADORES HMJI</vt:lpstr>
      <vt:lpstr>INDICADORES ATENÇÃO SECUNDÁRIA</vt:lpstr>
      <vt:lpstr>INDICADORES SAÚDE MENTAL</vt:lpstr>
      <vt:lpstr>INDICADORES ATENÇÃO PRIMÁRIA</vt:lpstr>
      <vt:lpstr>INDICADORES RH</vt:lpstr>
      <vt:lpstr>Financeiro</vt:lpstr>
      <vt:lpstr>COLABORADORES</vt:lpstr>
      <vt:lpstr>GEO_UNIDADES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2026-06-23T11:46:15.743Z</dcterms:created>
  <dcterms:modified xsi:type="dcterms:W3CDTF">2026-06-23T11:46:15.743Z</dcterms:modified>
</cp:coreProperties>
</file>