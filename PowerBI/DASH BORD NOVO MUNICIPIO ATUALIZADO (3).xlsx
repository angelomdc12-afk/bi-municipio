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9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0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22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23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24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25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drawings/drawing26.xml" ContentType="application/vnd.openxmlformats-officedocument.drawing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27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OORDENAÇÃO PATRIS\"/>
    </mc:Choice>
  </mc:AlternateContent>
  <xr:revisionPtr revIDLastSave="0" documentId="13_ncr:1_{9B7BDF81-8359-45D1-8713-51F33733BB3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DICADORES UPAS" sheetId="1" r:id="rId1"/>
    <sheet name="DASHBORD UPAS" sheetId="20" r:id="rId2"/>
    <sheet name="Planilha1" sheetId="18" state="hidden" r:id="rId3"/>
    <sheet name="1.TRIMESTRE" sheetId="17" state="hidden" r:id="rId4"/>
    <sheet name="ATENDIMENTOS" sheetId="9" r:id="rId5"/>
    <sheet name="CONTROLE DIÁRIO DE ATENDIMENTOS" sheetId="19" r:id="rId6"/>
    <sheet name="INTERNAÇÕES" sheetId="10" r:id="rId7"/>
    <sheet name="SADT" sheetId="11" r:id="rId8"/>
    <sheet name="CME" sheetId="6" r:id="rId9"/>
    <sheet name="NVE" sheetId="7" r:id="rId10"/>
    <sheet name="NEP" sheetId="8" r:id="rId11"/>
    <sheet name="APOIO" sheetId="12" r:id="rId12"/>
    <sheet name="PRODUTIVIDADE" sheetId="14" r:id="rId13"/>
    <sheet name="PESQUISA DE SATISFAÇÃO" sheetId="5" r:id="rId14"/>
    <sheet name="MAPA DE CALOR 2024" sheetId="15" r:id="rId15"/>
    <sheet name="MAPA DE CALOR 2025" sheetId="16" r:id="rId16"/>
  </sheets>
  <externalReferences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5" i="1" l="1"/>
  <c r="N132" i="1"/>
  <c r="M132" i="1"/>
  <c r="L132" i="1"/>
  <c r="K132" i="1"/>
  <c r="J132" i="1"/>
  <c r="I132" i="1"/>
  <c r="H132" i="1"/>
  <c r="G132" i="1"/>
  <c r="F132" i="1"/>
  <c r="E132" i="1"/>
  <c r="D132" i="1"/>
  <c r="C132" i="1"/>
  <c r="O131" i="1"/>
  <c r="O130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O126" i="1"/>
  <c r="O125" i="1"/>
  <c r="O124" i="1"/>
  <c r="O123" i="1"/>
  <c r="O122" i="1"/>
  <c r="O121" i="1"/>
  <c r="O120" i="1"/>
  <c r="O119" i="1"/>
  <c r="O118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O115" i="1" s="1"/>
  <c r="O114" i="1"/>
  <c r="O113" i="1"/>
  <c r="O112" i="1"/>
  <c r="O109" i="1"/>
  <c r="O106" i="1"/>
  <c r="O103" i="1"/>
  <c r="O100" i="1"/>
  <c r="O96" i="1"/>
  <c r="N86" i="1"/>
  <c r="N93" i="1" s="1"/>
  <c r="M86" i="1"/>
  <c r="M90" i="1" s="1"/>
  <c r="L86" i="1"/>
  <c r="L91" i="1" s="1"/>
  <c r="K86" i="1"/>
  <c r="K92" i="1" s="1"/>
  <c r="J86" i="1"/>
  <c r="J93" i="1" s="1"/>
  <c r="I86" i="1"/>
  <c r="I90" i="1" s="1"/>
  <c r="H86" i="1"/>
  <c r="H91" i="1" s="1"/>
  <c r="G86" i="1"/>
  <c r="G92" i="1" s="1"/>
  <c r="F86" i="1"/>
  <c r="F93" i="1" s="1"/>
  <c r="E86" i="1"/>
  <c r="E90" i="1" s="1"/>
  <c r="D86" i="1"/>
  <c r="D91" i="1" s="1"/>
  <c r="C86" i="1"/>
  <c r="C92" i="1" s="1"/>
  <c r="O85" i="1"/>
  <c r="O84" i="1"/>
  <c r="O83" i="1"/>
  <c r="O82" i="1"/>
  <c r="O81" i="1"/>
  <c r="O80" i="1"/>
  <c r="O77" i="1"/>
  <c r="O76" i="1"/>
  <c r="N73" i="1"/>
  <c r="M73" i="1"/>
  <c r="L73" i="1"/>
  <c r="K73" i="1"/>
  <c r="J73" i="1"/>
  <c r="I73" i="1"/>
  <c r="H73" i="1"/>
  <c r="G73" i="1"/>
  <c r="F73" i="1"/>
  <c r="E73" i="1"/>
  <c r="D73" i="1"/>
  <c r="C73" i="1"/>
  <c r="O72" i="1"/>
  <c r="N5" i="1"/>
  <c r="M5" i="1"/>
  <c r="L5" i="1"/>
  <c r="K5" i="1"/>
  <c r="J5" i="1"/>
  <c r="I5" i="1"/>
  <c r="H5" i="1"/>
  <c r="G5" i="1"/>
  <c r="F5" i="1"/>
  <c r="E5" i="1"/>
  <c r="D5" i="1"/>
  <c r="C5" i="1"/>
  <c r="O51" i="1"/>
  <c r="O52" i="1"/>
  <c r="O53" i="1"/>
  <c r="O54" i="1"/>
  <c r="O55" i="1"/>
  <c r="O56" i="1"/>
  <c r="O57" i="1"/>
  <c r="O58" i="1"/>
  <c r="D59" i="1"/>
  <c r="E59" i="1"/>
  <c r="F59" i="1"/>
  <c r="G59" i="1"/>
  <c r="H59" i="1"/>
  <c r="I59" i="1"/>
  <c r="J59" i="1"/>
  <c r="K59" i="1"/>
  <c r="L59" i="1"/>
  <c r="M59" i="1"/>
  <c r="N59" i="1"/>
  <c r="C59" i="1"/>
  <c r="O38" i="1"/>
  <c r="V65" i="19"/>
  <c r="V66" i="19"/>
  <c r="V67" i="19"/>
  <c r="V68" i="19"/>
  <c r="V69" i="19"/>
  <c r="U69" i="19"/>
  <c r="U68" i="19"/>
  <c r="U67" i="19"/>
  <c r="U66" i="19"/>
  <c r="U65" i="19"/>
  <c r="U64" i="19"/>
  <c r="V64" i="19" s="1"/>
  <c r="U63" i="19"/>
  <c r="V63" i="19" s="1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C296" i="16"/>
  <c r="D296" i="16"/>
  <c r="E296" i="16"/>
  <c r="F296" i="16"/>
  <c r="G296" i="16"/>
  <c r="H296" i="16"/>
  <c r="B296" i="16"/>
  <c r="O101" i="7"/>
  <c r="O99" i="7"/>
  <c r="O98" i="7"/>
  <c r="O97" i="7"/>
  <c r="E49" i="19"/>
  <c r="E48" i="19"/>
  <c r="E47" i="19"/>
  <c r="E46" i="19"/>
  <c r="E45" i="19"/>
  <c r="E44" i="19"/>
  <c r="E43" i="19"/>
  <c r="E42" i="19"/>
  <c r="E41" i="19"/>
  <c r="O73" i="1" l="1"/>
  <c r="N90" i="1"/>
  <c r="J90" i="1"/>
  <c r="L92" i="1"/>
  <c r="G89" i="1"/>
  <c r="C93" i="1"/>
  <c r="O127" i="1"/>
  <c r="H88" i="1"/>
  <c r="K89" i="1"/>
  <c r="D92" i="1"/>
  <c r="G93" i="1"/>
  <c r="C88" i="1"/>
  <c r="C89" i="1"/>
  <c r="D88" i="1"/>
  <c r="L88" i="1"/>
  <c r="F90" i="1"/>
  <c r="H92" i="1"/>
  <c r="K93" i="1"/>
  <c r="O132" i="1"/>
  <c r="I91" i="1"/>
  <c r="E88" i="1"/>
  <c r="I88" i="1"/>
  <c r="M88" i="1"/>
  <c r="D89" i="1"/>
  <c r="O89" i="1" s="1"/>
  <c r="H89" i="1"/>
  <c r="L89" i="1"/>
  <c r="C90" i="1"/>
  <c r="G90" i="1"/>
  <c r="K90" i="1"/>
  <c r="F91" i="1"/>
  <c r="J91" i="1"/>
  <c r="N91" i="1"/>
  <c r="E92" i="1"/>
  <c r="I92" i="1"/>
  <c r="M92" i="1"/>
  <c r="D93" i="1"/>
  <c r="O93" i="1" s="1"/>
  <c r="H93" i="1"/>
  <c r="L93" i="1"/>
  <c r="E91" i="1"/>
  <c r="M91" i="1"/>
  <c r="O86" i="1"/>
  <c r="F88" i="1"/>
  <c r="J88" i="1"/>
  <c r="N88" i="1"/>
  <c r="E89" i="1"/>
  <c r="I89" i="1"/>
  <c r="M89" i="1"/>
  <c r="D90" i="1"/>
  <c r="H90" i="1"/>
  <c r="L90" i="1"/>
  <c r="C91" i="1"/>
  <c r="O91" i="1" s="1"/>
  <c r="G91" i="1"/>
  <c r="K91" i="1"/>
  <c r="F92" i="1"/>
  <c r="J92" i="1"/>
  <c r="N92" i="1"/>
  <c r="E93" i="1"/>
  <c r="I93" i="1"/>
  <c r="M93" i="1"/>
  <c r="G88" i="1"/>
  <c r="K88" i="1"/>
  <c r="F89" i="1"/>
  <c r="J89" i="1"/>
  <c r="N89" i="1"/>
  <c r="O59" i="1"/>
  <c r="U70" i="19"/>
  <c r="V70" i="19" s="1"/>
  <c r="B177" i="7"/>
  <c r="O92" i="1" l="1"/>
  <c r="O88" i="1"/>
  <c r="O90" i="1"/>
  <c r="O4" i="1"/>
  <c r="E33" i="19"/>
  <c r="E34" i="19"/>
  <c r="E32" i="19"/>
  <c r="D70" i="19"/>
  <c r="C70" i="19"/>
  <c r="E40" i="19"/>
  <c r="R64" i="5"/>
  <c r="R63" i="5"/>
  <c r="R62" i="5"/>
  <c r="R61" i="5"/>
  <c r="R60" i="5"/>
  <c r="R55" i="5"/>
  <c r="R54" i="5"/>
  <c r="R53" i="5"/>
  <c r="R52" i="5"/>
  <c r="R51" i="5"/>
  <c r="R50" i="5"/>
  <c r="R49" i="5"/>
  <c r="R48" i="5"/>
  <c r="R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O63" i="1"/>
  <c r="O62" i="1"/>
  <c r="O46" i="1"/>
  <c r="O45" i="1"/>
  <c r="O44" i="1"/>
  <c r="O41" i="1"/>
  <c r="O17" i="1"/>
  <c r="O9" i="1"/>
  <c r="O8" i="1"/>
  <c r="O35" i="1"/>
  <c r="O32" i="1"/>
  <c r="E30" i="19"/>
  <c r="E31" i="19"/>
  <c r="E29" i="19"/>
  <c r="E4" i="19"/>
  <c r="E5" i="19"/>
  <c r="E6" i="19"/>
  <c r="E7" i="19"/>
  <c r="E8" i="19"/>
  <c r="E9" i="19"/>
  <c r="E10" i="19"/>
  <c r="E11" i="19"/>
  <c r="E12" i="19"/>
  <c r="E13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14" i="19"/>
  <c r="D35" i="19"/>
  <c r="R56" i="5" l="1"/>
  <c r="E35" i="19"/>
  <c r="E70" i="19"/>
  <c r="V35" i="19"/>
  <c r="V34" i="19"/>
  <c r="V33" i="19"/>
  <c r="V32" i="19"/>
  <c r="V31" i="19"/>
  <c r="V30" i="19"/>
  <c r="V29" i="19"/>
  <c r="V28" i="19"/>
  <c r="U34" i="19"/>
  <c r="U33" i="19"/>
  <c r="U32" i="19"/>
  <c r="U31" i="19"/>
  <c r="U30" i="19"/>
  <c r="U29" i="19"/>
  <c r="U28" i="19"/>
  <c r="C35" i="19"/>
  <c r="U35" i="19" l="1"/>
  <c r="D153" i="7"/>
  <c r="D169" i="7"/>
  <c r="D176" i="7"/>
  <c r="D175" i="7"/>
  <c r="D174" i="7"/>
  <c r="D173" i="7"/>
  <c r="D172" i="7"/>
  <c r="D171" i="7"/>
  <c r="D170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2" i="7"/>
  <c r="D151" i="7"/>
  <c r="D150" i="7"/>
  <c r="D149" i="7"/>
  <c r="D148" i="7"/>
  <c r="D147" i="7"/>
  <c r="D146" i="7"/>
  <c r="Y51" i="12"/>
  <c r="D177" i="7" l="1"/>
  <c r="Q64" i="5" l="1"/>
  <c r="Q63" i="5"/>
  <c r="Q62" i="5"/>
  <c r="Q61" i="5"/>
  <c r="Q60" i="5"/>
  <c r="Q55" i="5"/>
  <c r="Q54" i="5"/>
  <c r="Q53" i="5"/>
  <c r="Q52" i="5"/>
  <c r="Q51" i="5"/>
  <c r="Q50" i="5"/>
  <c r="Q49" i="5"/>
  <c r="Q48" i="5"/>
  <c r="Q43" i="5"/>
  <c r="Q56" i="5" l="1"/>
  <c r="P55" i="5"/>
  <c r="P54" i="5"/>
  <c r="P53" i="5"/>
  <c r="P52" i="5"/>
  <c r="P51" i="5"/>
  <c r="P50" i="5"/>
  <c r="P49" i="5"/>
  <c r="P48" i="5"/>
  <c r="P64" i="5"/>
  <c r="P63" i="5"/>
  <c r="P62" i="5"/>
  <c r="P61" i="5"/>
  <c r="P60" i="5"/>
  <c r="P43" i="5"/>
  <c r="P56" i="5" l="1"/>
  <c r="B44" i="6" l="1"/>
  <c r="C44" i="6"/>
  <c r="D44" i="6"/>
  <c r="E44" i="6"/>
  <c r="C45" i="6" l="1"/>
  <c r="D45" i="6"/>
  <c r="B45" i="6"/>
  <c r="N64" i="1" l="1"/>
  <c r="N47" i="1" l="1"/>
  <c r="N18" i="1"/>
  <c r="N21" i="1" s="1"/>
  <c r="N22" i="1" l="1"/>
  <c r="N23" i="1"/>
  <c r="N25" i="1"/>
  <c r="N24" i="1"/>
  <c r="N20" i="1"/>
  <c r="L101" i="7"/>
  <c r="L99" i="7"/>
  <c r="L98" i="7"/>
  <c r="L97" i="7"/>
  <c r="L96" i="7"/>
  <c r="L95" i="7"/>
  <c r="C177" i="7"/>
  <c r="O64" i="5" l="1"/>
  <c r="O63" i="5"/>
  <c r="O62" i="5"/>
  <c r="O61" i="5"/>
  <c r="O60" i="5"/>
  <c r="O55" i="5"/>
  <c r="O54" i="5"/>
  <c r="O53" i="5"/>
  <c r="O52" i="5"/>
  <c r="O51" i="5"/>
  <c r="O50" i="5"/>
  <c r="O49" i="5"/>
  <c r="O48" i="5"/>
  <c r="O43" i="5"/>
  <c r="O56" i="5" l="1"/>
  <c r="M64" i="1" l="1"/>
  <c r="M47" i="1" l="1"/>
  <c r="M18" i="1"/>
  <c r="M21" i="1" l="1"/>
  <c r="M25" i="1"/>
  <c r="M20" i="1"/>
  <c r="M22" i="1"/>
  <c r="M23" i="1"/>
  <c r="M24" i="1"/>
  <c r="N64" i="5"/>
  <c r="N63" i="5"/>
  <c r="N62" i="5"/>
  <c r="N61" i="5"/>
  <c r="N60" i="5"/>
  <c r="M64" i="5"/>
  <c r="M63" i="5"/>
  <c r="M62" i="5"/>
  <c r="M61" i="5"/>
  <c r="M60" i="5"/>
  <c r="N55" i="5"/>
  <c r="N54" i="5"/>
  <c r="N53" i="5"/>
  <c r="N52" i="5"/>
  <c r="N51" i="5"/>
  <c r="N50" i="5"/>
  <c r="N49" i="5"/>
  <c r="N48" i="5"/>
  <c r="M55" i="5"/>
  <c r="M54" i="5"/>
  <c r="M53" i="5"/>
  <c r="M52" i="5"/>
  <c r="M51" i="5"/>
  <c r="M50" i="5"/>
  <c r="M49" i="5"/>
  <c r="M48" i="5"/>
  <c r="N43" i="5"/>
  <c r="M43" i="5"/>
  <c r="M56" i="5" l="1"/>
  <c r="N56" i="5"/>
  <c r="K101" i="7"/>
  <c r="K99" i="7"/>
  <c r="K98" i="7"/>
  <c r="K97" i="7"/>
  <c r="K96" i="7"/>
  <c r="K95" i="7"/>
  <c r="J101" i="7"/>
  <c r="J99" i="7"/>
  <c r="J98" i="7"/>
  <c r="J97" i="7"/>
  <c r="J96" i="7"/>
  <c r="J95" i="7"/>
  <c r="L64" i="1" l="1"/>
  <c r="K64" i="1" l="1"/>
  <c r="L47" i="1" l="1"/>
  <c r="K47" i="1"/>
  <c r="K18" i="1"/>
  <c r="L18" i="1"/>
  <c r="L105" i="17"/>
  <c r="L106" i="17" s="1"/>
  <c r="O44" i="17"/>
  <c r="J3" i="17"/>
  <c r="G38" i="17"/>
  <c r="G28" i="17"/>
  <c r="O28" i="1"/>
  <c r="H41" i="17"/>
  <c r="H40" i="17"/>
  <c r="H39" i="17"/>
  <c r="H37" i="17"/>
  <c r="G36" i="17"/>
  <c r="F36" i="17"/>
  <c r="E36" i="17"/>
  <c r="H35" i="17"/>
  <c r="H34" i="17"/>
  <c r="H33" i="17"/>
  <c r="H32" i="17"/>
  <c r="H31" i="17"/>
  <c r="G30" i="17"/>
  <c r="F30" i="17"/>
  <c r="E30" i="17"/>
  <c r="H29" i="17"/>
  <c r="H27" i="17"/>
  <c r="F26" i="17"/>
  <c r="E26" i="17"/>
  <c r="H25" i="17"/>
  <c r="H24" i="17"/>
  <c r="D24" i="17"/>
  <c r="H23" i="17"/>
  <c r="G22" i="17"/>
  <c r="F22" i="17"/>
  <c r="E22" i="17"/>
  <c r="H21" i="17"/>
  <c r="G20" i="17"/>
  <c r="H19" i="17"/>
  <c r="G18" i="17"/>
  <c r="F18" i="17"/>
  <c r="E18" i="17"/>
  <c r="H17" i="17"/>
  <c r="G16" i="17"/>
  <c r="H15" i="17"/>
  <c r="G14" i="17"/>
  <c r="F14" i="17"/>
  <c r="E14" i="17"/>
  <c r="H13" i="17"/>
  <c r="G12" i="17"/>
  <c r="H11" i="17"/>
  <c r="G10" i="17"/>
  <c r="F10" i="17"/>
  <c r="E10" i="17"/>
  <c r="H9" i="17"/>
  <c r="G8" i="17"/>
  <c r="H7" i="17"/>
  <c r="G6" i="17"/>
  <c r="F6" i="17"/>
  <c r="E6" i="17"/>
  <c r="H5" i="17"/>
  <c r="G4" i="17"/>
  <c r="F4" i="17"/>
  <c r="E4" i="17"/>
  <c r="H3" i="17"/>
  <c r="G2" i="17"/>
  <c r="G48" i="17"/>
  <c r="F48" i="17"/>
  <c r="E48" i="17"/>
  <c r="D48" i="17"/>
  <c r="L64" i="5"/>
  <c r="L63" i="5"/>
  <c r="L62" i="5"/>
  <c r="L61" i="5"/>
  <c r="L60" i="5"/>
  <c r="L55" i="5"/>
  <c r="L54" i="5"/>
  <c r="L53" i="5"/>
  <c r="L52" i="5"/>
  <c r="L51" i="5"/>
  <c r="L50" i="5"/>
  <c r="L49" i="5"/>
  <c r="L48" i="5"/>
  <c r="L43" i="5"/>
  <c r="F2" i="17" s="1"/>
  <c r="H48" i="17" l="1"/>
  <c r="H4" i="17"/>
  <c r="H14" i="17"/>
  <c r="K21" i="1"/>
  <c r="G26" i="17"/>
  <c r="H26" i="17" s="1"/>
  <c r="L56" i="5"/>
  <c r="L20" i="1"/>
  <c r="H6" i="17"/>
  <c r="H10" i="17"/>
  <c r="L21" i="1"/>
  <c r="K20" i="1"/>
  <c r="L23" i="1"/>
  <c r="K22" i="1"/>
  <c r="L22" i="1"/>
  <c r="L24" i="1"/>
  <c r="K23" i="1"/>
  <c r="H18" i="17"/>
  <c r="L25" i="1"/>
  <c r="K24" i="1"/>
  <c r="J2" i="17"/>
  <c r="H36" i="17"/>
  <c r="K25" i="1"/>
  <c r="H30" i="17"/>
  <c r="H22" i="17"/>
  <c r="I101" i="7"/>
  <c r="I99" i="7"/>
  <c r="I98" i="7"/>
  <c r="I97" i="7"/>
  <c r="I96" i="7"/>
  <c r="I95" i="7"/>
  <c r="J64" i="1" l="1"/>
  <c r="F38" i="17" l="1"/>
  <c r="J47" i="1" l="1"/>
  <c r="F28" i="17"/>
  <c r="F8" i="17"/>
  <c r="F12" i="17"/>
  <c r="F16" i="17"/>
  <c r="J18" i="1"/>
  <c r="K64" i="5"/>
  <c r="K63" i="5"/>
  <c r="K62" i="5"/>
  <c r="K61" i="5"/>
  <c r="K60" i="5"/>
  <c r="K55" i="5"/>
  <c r="K54" i="5"/>
  <c r="K53" i="5"/>
  <c r="K52" i="5"/>
  <c r="K51" i="5"/>
  <c r="K50" i="5"/>
  <c r="K49" i="5"/>
  <c r="K48" i="5"/>
  <c r="K43" i="5"/>
  <c r="E2" i="17" s="1"/>
  <c r="H2" i="17" s="1"/>
  <c r="J23" i="1" l="1"/>
  <c r="J24" i="1"/>
  <c r="J22" i="1"/>
  <c r="J25" i="1"/>
  <c r="F20" i="17"/>
  <c r="J20" i="1"/>
  <c r="J21" i="1"/>
  <c r="K56" i="5"/>
  <c r="H99" i="7" l="1"/>
  <c r="H101" i="7"/>
  <c r="H98" i="7"/>
  <c r="H95" i="7"/>
  <c r="H100" i="7"/>
  <c r="H96" i="7"/>
  <c r="I64" i="1" l="1"/>
  <c r="E38" i="17"/>
  <c r="H38" i="17" s="1"/>
  <c r="I47" i="1"/>
  <c r="E28" i="17"/>
  <c r="H28" i="17" s="1"/>
  <c r="E8" i="17"/>
  <c r="H8" i="17" s="1"/>
  <c r="E12" i="17"/>
  <c r="H12" i="17" s="1"/>
  <c r="E16" i="17"/>
  <c r="H16" i="17" s="1"/>
  <c r="E20" i="17"/>
  <c r="H20" i="17" s="1"/>
  <c r="I18" i="1"/>
  <c r="I21" i="1" l="1"/>
  <c r="I24" i="1"/>
  <c r="I23" i="1"/>
  <c r="I25" i="1"/>
  <c r="I20" i="1"/>
  <c r="I22" i="1"/>
  <c r="E208" i="16" l="1"/>
  <c r="D208" i="16"/>
  <c r="D207" i="16"/>
  <c r="C207" i="16"/>
  <c r="C206" i="16"/>
  <c r="B206" i="16"/>
  <c r="B205" i="16"/>
  <c r="H204" i="16"/>
  <c r="H203" i="16"/>
  <c r="G203" i="16"/>
  <c r="G202" i="16"/>
  <c r="F202" i="16"/>
  <c r="F201" i="16"/>
  <c r="E201" i="16"/>
  <c r="E200" i="16"/>
  <c r="D200" i="16"/>
  <c r="D199" i="16"/>
  <c r="C199" i="16"/>
  <c r="C198" i="16"/>
  <c r="B198" i="16"/>
  <c r="B197" i="16"/>
  <c r="H196" i="16"/>
  <c r="H195" i="16"/>
  <c r="G195" i="16"/>
  <c r="G194" i="16"/>
  <c r="F194" i="16"/>
  <c r="F193" i="16"/>
  <c r="E193" i="16"/>
  <c r="E192" i="16"/>
  <c r="D192" i="16"/>
  <c r="D191" i="16"/>
  <c r="C191" i="16"/>
  <c r="C190" i="16"/>
  <c r="B190" i="16"/>
  <c r="B189" i="16"/>
  <c r="H188" i="16"/>
  <c r="H187" i="16"/>
  <c r="G187" i="16"/>
  <c r="G186" i="16"/>
  <c r="F186" i="16"/>
  <c r="F185" i="16"/>
  <c r="E185" i="16"/>
  <c r="E184" i="16"/>
  <c r="D184" i="16"/>
  <c r="H208" i="16"/>
  <c r="G208" i="16"/>
  <c r="F208" i="16"/>
  <c r="C208" i="16"/>
  <c r="B208" i="16"/>
  <c r="H207" i="16"/>
  <c r="G207" i="16"/>
  <c r="F207" i="16"/>
  <c r="E207" i="16"/>
  <c r="B207" i="16"/>
  <c r="H206" i="16"/>
  <c r="G206" i="16"/>
  <c r="F206" i="16"/>
  <c r="E206" i="16"/>
  <c r="D206" i="16"/>
  <c r="H205" i="16"/>
  <c r="G205" i="16"/>
  <c r="F205" i="16"/>
  <c r="E205" i="16"/>
  <c r="D205" i="16"/>
  <c r="C205" i="16"/>
  <c r="G204" i="16"/>
  <c r="F204" i="16"/>
  <c r="E204" i="16"/>
  <c r="D204" i="16"/>
  <c r="C204" i="16"/>
  <c r="B204" i="16"/>
  <c r="F203" i="16"/>
  <c r="E203" i="16"/>
  <c r="D203" i="16"/>
  <c r="C203" i="16"/>
  <c r="B203" i="16"/>
  <c r="H202" i="16"/>
  <c r="E202" i="16"/>
  <c r="D202" i="16"/>
  <c r="C202" i="16"/>
  <c r="B202" i="16"/>
  <c r="H201" i="16"/>
  <c r="G201" i="16"/>
  <c r="D201" i="16"/>
  <c r="C201" i="16"/>
  <c r="B201" i="16"/>
  <c r="H200" i="16"/>
  <c r="G200" i="16"/>
  <c r="F200" i="16"/>
  <c r="C200" i="16"/>
  <c r="B200" i="16"/>
  <c r="H199" i="16"/>
  <c r="G199" i="16"/>
  <c r="F199" i="16"/>
  <c r="E199" i="16"/>
  <c r="B199" i="16"/>
  <c r="H198" i="16"/>
  <c r="G198" i="16"/>
  <c r="F198" i="16"/>
  <c r="E198" i="16"/>
  <c r="D198" i="16"/>
  <c r="H197" i="16"/>
  <c r="G197" i="16"/>
  <c r="F197" i="16"/>
  <c r="E197" i="16"/>
  <c r="D197" i="16"/>
  <c r="C197" i="16"/>
  <c r="G196" i="16"/>
  <c r="F196" i="16"/>
  <c r="E196" i="16"/>
  <c r="D196" i="16"/>
  <c r="C196" i="16"/>
  <c r="B196" i="16"/>
  <c r="F195" i="16"/>
  <c r="E195" i="16"/>
  <c r="D195" i="16"/>
  <c r="C195" i="16"/>
  <c r="B195" i="16"/>
  <c r="H194" i="16"/>
  <c r="E194" i="16"/>
  <c r="D194" i="16"/>
  <c r="C194" i="16"/>
  <c r="B194" i="16"/>
  <c r="H193" i="16"/>
  <c r="G193" i="16"/>
  <c r="D193" i="16"/>
  <c r="C193" i="16"/>
  <c r="B193" i="16"/>
  <c r="H192" i="16"/>
  <c r="G192" i="16"/>
  <c r="F192" i="16"/>
  <c r="C192" i="16"/>
  <c r="B192" i="16"/>
  <c r="H191" i="16"/>
  <c r="G191" i="16"/>
  <c r="F191" i="16"/>
  <c r="E191" i="16"/>
  <c r="B191" i="16"/>
  <c r="H190" i="16"/>
  <c r="G190" i="16"/>
  <c r="F190" i="16"/>
  <c r="E190" i="16"/>
  <c r="D190" i="16"/>
  <c r="H189" i="16"/>
  <c r="G189" i="16"/>
  <c r="F189" i="16"/>
  <c r="E189" i="16"/>
  <c r="D189" i="16"/>
  <c r="C189" i="16"/>
  <c r="G188" i="16"/>
  <c r="F188" i="16"/>
  <c r="E188" i="16"/>
  <c r="D188" i="16"/>
  <c r="C188" i="16"/>
  <c r="B188" i="16"/>
  <c r="F187" i="16"/>
  <c r="E187" i="16"/>
  <c r="D187" i="16"/>
  <c r="C187" i="16"/>
  <c r="B187" i="16"/>
  <c r="H186" i="16"/>
  <c r="E186" i="16"/>
  <c r="D186" i="16"/>
  <c r="C186" i="16"/>
  <c r="B186" i="16"/>
  <c r="H185" i="16"/>
  <c r="G185" i="16"/>
  <c r="D185" i="16"/>
  <c r="C185" i="16"/>
  <c r="B185" i="16"/>
  <c r="H184" i="16"/>
  <c r="G184" i="16"/>
  <c r="F184" i="16"/>
  <c r="C184" i="16"/>
  <c r="B184" i="16"/>
  <c r="C208" i="15"/>
  <c r="D208" i="15"/>
  <c r="E208" i="15"/>
  <c r="F208" i="15"/>
  <c r="G208" i="15"/>
  <c r="H208" i="15"/>
  <c r="B208" i="15"/>
  <c r="B185" i="15"/>
  <c r="C185" i="15"/>
  <c r="D185" i="15"/>
  <c r="E185" i="15"/>
  <c r="F185" i="15"/>
  <c r="G185" i="15"/>
  <c r="H185" i="15"/>
  <c r="B186" i="15"/>
  <c r="C186" i="15"/>
  <c r="D186" i="15"/>
  <c r="E186" i="15"/>
  <c r="F186" i="15"/>
  <c r="G186" i="15"/>
  <c r="H186" i="15"/>
  <c r="B187" i="15"/>
  <c r="C187" i="15"/>
  <c r="D187" i="15"/>
  <c r="E187" i="15"/>
  <c r="F187" i="15"/>
  <c r="G187" i="15"/>
  <c r="H187" i="15"/>
  <c r="B188" i="15"/>
  <c r="C188" i="15"/>
  <c r="D188" i="15"/>
  <c r="E188" i="15"/>
  <c r="F188" i="15"/>
  <c r="G188" i="15"/>
  <c r="H188" i="15"/>
  <c r="B189" i="15"/>
  <c r="C189" i="15"/>
  <c r="D189" i="15"/>
  <c r="E189" i="15"/>
  <c r="F189" i="15"/>
  <c r="G189" i="15"/>
  <c r="H189" i="15"/>
  <c r="B190" i="15"/>
  <c r="C190" i="15"/>
  <c r="D190" i="15"/>
  <c r="E190" i="15"/>
  <c r="F190" i="15"/>
  <c r="G190" i="15"/>
  <c r="H190" i="15"/>
  <c r="B191" i="15"/>
  <c r="C191" i="15"/>
  <c r="D191" i="15"/>
  <c r="E191" i="15"/>
  <c r="F191" i="15"/>
  <c r="G191" i="15"/>
  <c r="H191" i="15"/>
  <c r="B192" i="15"/>
  <c r="C192" i="15"/>
  <c r="D192" i="15"/>
  <c r="E192" i="15"/>
  <c r="F192" i="15"/>
  <c r="G192" i="15"/>
  <c r="H192" i="15"/>
  <c r="B193" i="15"/>
  <c r="C193" i="15"/>
  <c r="D193" i="15"/>
  <c r="E193" i="15"/>
  <c r="F193" i="15"/>
  <c r="G193" i="15"/>
  <c r="H193" i="15"/>
  <c r="B194" i="15"/>
  <c r="C194" i="15"/>
  <c r="D194" i="15"/>
  <c r="E194" i="15"/>
  <c r="F194" i="15"/>
  <c r="G194" i="15"/>
  <c r="H194" i="15"/>
  <c r="B195" i="15"/>
  <c r="C195" i="15"/>
  <c r="D195" i="15"/>
  <c r="E195" i="15"/>
  <c r="F195" i="15"/>
  <c r="G195" i="15"/>
  <c r="H195" i="15"/>
  <c r="B196" i="15"/>
  <c r="C196" i="15"/>
  <c r="D196" i="15"/>
  <c r="E196" i="15"/>
  <c r="F196" i="15"/>
  <c r="G196" i="15"/>
  <c r="H196" i="15"/>
  <c r="B197" i="15"/>
  <c r="C197" i="15"/>
  <c r="D197" i="15"/>
  <c r="E197" i="15"/>
  <c r="F197" i="15"/>
  <c r="G197" i="15"/>
  <c r="H197" i="15"/>
  <c r="B198" i="15"/>
  <c r="C198" i="15"/>
  <c r="D198" i="15"/>
  <c r="E198" i="15"/>
  <c r="F198" i="15"/>
  <c r="G198" i="15"/>
  <c r="H198" i="15"/>
  <c r="B199" i="15"/>
  <c r="C199" i="15"/>
  <c r="D199" i="15"/>
  <c r="E199" i="15"/>
  <c r="F199" i="15"/>
  <c r="G199" i="15"/>
  <c r="H199" i="15"/>
  <c r="B200" i="15"/>
  <c r="C200" i="15"/>
  <c r="D200" i="15"/>
  <c r="E200" i="15"/>
  <c r="F200" i="15"/>
  <c r="G200" i="15"/>
  <c r="H200" i="15"/>
  <c r="B201" i="15"/>
  <c r="C201" i="15"/>
  <c r="D201" i="15"/>
  <c r="E201" i="15"/>
  <c r="F201" i="15"/>
  <c r="G201" i="15"/>
  <c r="H201" i="15"/>
  <c r="B202" i="15"/>
  <c r="C202" i="15"/>
  <c r="D202" i="15"/>
  <c r="E202" i="15"/>
  <c r="F202" i="15"/>
  <c r="G202" i="15"/>
  <c r="H202" i="15"/>
  <c r="B203" i="15"/>
  <c r="C203" i="15"/>
  <c r="D203" i="15"/>
  <c r="E203" i="15"/>
  <c r="F203" i="15"/>
  <c r="G203" i="15"/>
  <c r="H203" i="15"/>
  <c r="B204" i="15"/>
  <c r="C204" i="15"/>
  <c r="D204" i="15"/>
  <c r="E204" i="15"/>
  <c r="F204" i="15"/>
  <c r="G204" i="15"/>
  <c r="H204" i="15"/>
  <c r="B205" i="15"/>
  <c r="C205" i="15"/>
  <c r="D205" i="15"/>
  <c r="E205" i="15"/>
  <c r="F205" i="15"/>
  <c r="G205" i="15"/>
  <c r="H205" i="15"/>
  <c r="B206" i="15"/>
  <c r="C206" i="15"/>
  <c r="D206" i="15"/>
  <c r="E206" i="15"/>
  <c r="F206" i="15"/>
  <c r="G206" i="15"/>
  <c r="H206" i="15"/>
  <c r="B207" i="15"/>
  <c r="C207" i="15"/>
  <c r="D207" i="15"/>
  <c r="E207" i="15"/>
  <c r="F207" i="15"/>
  <c r="G207" i="15"/>
  <c r="H207" i="15"/>
  <c r="C184" i="15"/>
  <c r="D184" i="15"/>
  <c r="E184" i="15"/>
  <c r="F184" i="15"/>
  <c r="G184" i="15"/>
  <c r="H184" i="15"/>
  <c r="B184" i="15"/>
  <c r="B164" i="9"/>
  <c r="C164" i="9" s="1"/>
  <c r="D164" i="9" s="1"/>
  <c r="C163" i="9"/>
  <c r="D163" i="9" s="1"/>
  <c r="C162" i="9"/>
  <c r="D162" i="9" s="1"/>
  <c r="C161" i="9"/>
  <c r="D161" i="9" s="1"/>
  <c r="C160" i="9"/>
  <c r="D160" i="9" s="1"/>
  <c r="C159" i="9"/>
  <c r="D159" i="9" s="1"/>
  <c r="C158" i="9"/>
  <c r="D158" i="9" s="1"/>
  <c r="C157" i="9"/>
  <c r="D157" i="9" s="1"/>
  <c r="C156" i="9"/>
  <c r="D156" i="9" s="1"/>
  <c r="G101" i="7" l="1"/>
  <c r="G99" i="7"/>
  <c r="G98" i="7"/>
  <c r="G97" i="7"/>
  <c r="G96" i="7"/>
  <c r="G95" i="7"/>
  <c r="G100" i="7"/>
  <c r="S64" i="5"/>
  <c r="S63" i="5"/>
  <c r="S62" i="5"/>
  <c r="S61" i="5"/>
  <c r="S60" i="5"/>
  <c r="J64" i="5"/>
  <c r="J63" i="5"/>
  <c r="J62" i="5"/>
  <c r="J61" i="5"/>
  <c r="J60" i="5"/>
  <c r="E64" i="5"/>
  <c r="E63" i="5"/>
  <c r="E62" i="5"/>
  <c r="E61" i="5"/>
  <c r="E60" i="5"/>
  <c r="F64" i="5"/>
  <c r="F63" i="5"/>
  <c r="F62" i="5"/>
  <c r="F61" i="5"/>
  <c r="F60" i="5"/>
  <c r="G64" i="5"/>
  <c r="G63" i="5"/>
  <c r="G62" i="5"/>
  <c r="G61" i="5"/>
  <c r="G60" i="5"/>
  <c r="H64" i="5"/>
  <c r="H63" i="5"/>
  <c r="H62" i="5"/>
  <c r="H61" i="5"/>
  <c r="H60" i="5"/>
  <c r="S55" i="5"/>
  <c r="C38" i="5" s="1"/>
  <c r="S54" i="5"/>
  <c r="C33" i="5" s="1"/>
  <c r="S53" i="5"/>
  <c r="C28" i="5" s="1"/>
  <c r="S52" i="5"/>
  <c r="C23" i="5" s="1"/>
  <c r="S51" i="5"/>
  <c r="C18" i="5" s="1"/>
  <c r="S50" i="5"/>
  <c r="C13" i="5" s="1"/>
  <c r="S49" i="5"/>
  <c r="C8" i="5" s="1"/>
  <c r="S48" i="5"/>
  <c r="C3" i="5" s="1"/>
  <c r="J55" i="5"/>
  <c r="J54" i="5"/>
  <c r="J53" i="5"/>
  <c r="J52" i="5"/>
  <c r="J51" i="5"/>
  <c r="J50" i="5"/>
  <c r="J49" i="5"/>
  <c r="J48" i="5"/>
  <c r="J43" i="5"/>
  <c r="S43" i="5"/>
  <c r="J56" i="5" l="1"/>
  <c r="S56" i="5"/>
  <c r="H64" i="1"/>
  <c r="H18" i="1" l="1"/>
  <c r="H24" i="1" s="1"/>
  <c r="H47" i="1"/>
  <c r="C128" i="7"/>
  <c r="H25" i="1" l="1"/>
  <c r="H20" i="1"/>
  <c r="H21" i="1"/>
  <c r="H23" i="1"/>
  <c r="H22" i="1"/>
  <c r="I43" i="5"/>
  <c r="I64" i="5"/>
  <c r="I63" i="5"/>
  <c r="I62" i="5"/>
  <c r="I61" i="5"/>
  <c r="I60" i="5"/>
  <c r="I55" i="5"/>
  <c r="I54" i="5"/>
  <c r="I53" i="5"/>
  <c r="I52" i="5"/>
  <c r="I51" i="5"/>
  <c r="I50" i="5"/>
  <c r="I49" i="5"/>
  <c r="I48" i="5"/>
  <c r="G47" i="1"/>
  <c r="G18" i="1"/>
  <c r="G24" i="1" s="1"/>
  <c r="I56" i="5" l="1"/>
  <c r="G25" i="1"/>
  <c r="G20" i="1"/>
  <c r="G21" i="1"/>
  <c r="G22" i="1"/>
  <c r="G23" i="1"/>
  <c r="F101" i="7"/>
  <c r="F100" i="7"/>
  <c r="F99" i="7"/>
  <c r="F98" i="7"/>
  <c r="F97" i="7"/>
  <c r="F96" i="7"/>
  <c r="F95" i="7"/>
  <c r="G64" i="1"/>
  <c r="H43" i="5" l="1"/>
  <c r="G43" i="5"/>
  <c r="F43" i="5"/>
  <c r="E43" i="5"/>
  <c r="D100" i="7" l="1"/>
  <c r="C100" i="7"/>
  <c r="B99" i="7"/>
  <c r="E101" i="7"/>
  <c r="E100" i="7"/>
  <c r="E99" i="7"/>
  <c r="E98" i="7"/>
  <c r="E97" i="7"/>
  <c r="E96" i="7"/>
  <c r="E95" i="7"/>
  <c r="D99" i="7"/>
  <c r="D101" i="7"/>
  <c r="D98" i="7"/>
  <c r="D97" i="7"/>
  <c r="D96" i="7"/>
  <c r="D95" i="7"/>
  <c r="C101" i="7"/>
  <c r="C99" i="7"/>
  <c r="C98" i="7"/>
  <c r="C97" i="7"/>
  <c r="C96" i="7"/>
  <c r="C95" i="7"/>
  <c r="B101" i="7"/>
  <c r="B98" i="7"/>
  <c r="B97" i="7"/>
  <c r="B96" i="7"/>
  <c r="B95" i="7"/>
  <c r="B72" i="7"/>
  <c r="O5" i="1" l="1"/>
  <c r="B5" i="6"/>
  <c r="F64" i="1" l="1"/>
  <c r="F47" i="1"/>
  <c r="D64" i="1"/>
  <c r="E64" i="1"/>
  <c r="C64" i="1"/>
  <c r="O50" i="1"/>
  <c r="H55" i="5"/>
  <c r="G55" i="5"/>
  <c r="F55" i="5"/>
  <c r="E55" i="5"/>
  <c r="H54" i="5"/>
  <c r="G54" i="5"/>
  <c r="F54" i="5"/>
  <c r="E54" i="5"/>
  <c r="H53" i="5"/>
  <c r="G53" i="5"/>
  <c r="F53" i="5"/>
  <c r="E53" i="5"/>
  <c r="H52" i="5"/>
  <c r="G52" i="5"/>
  <c r="F52" i="5"/>
  <c r="E52" i="5"/>
  <c r="H51" i="5"/>
  <c r="G51" i="5"/>
  <c r="F51" i="5"/>
  <c r="E51" i="5"/>
  <c r="H50" i="5"/>
  <c r="G50" i="5"/>
  <c r="F50" i="5"/>
  <c r="E50" i="5"/>
  <c r="H49" i="5"/>
  <c r="G49" i="5"/>
  <c r="F49" i="5"/>
  <c r="E49" i="5"/>
  <c r="G48" i="5"/>
  <c r="H48" i="5"/>
  <c r="F48" i="5"/>
  <c r="E48" i="5"/>
  <c r="O64" i="1" l="1"/>
  <c r="O67" i="1"/>
  <c r="H56" i="5"/>
  <c r="E56" i="5"/>
  <c r="G56" i="5"/>
  <c r="F56" i="5"/>
  <c r="E18" i="1"/>
  <c r="F18" i="1"/>
  <c r="E47" i="1"/>
  <c r="D47" i="1"/>
  <c r="C47" i="1"/>
  <c r="O14" i="1" l="1"/>
  <c r="O12" i="1"/>
  <c r="O47" i="1"/>
  <c r="O13" i="1"/>
  <c r="O16" i="1"/>
  <c r="O15" i="1"/>
  <c r="F25" i="1"/>
  <c r="F22" i="1"/>
  <c r="F21" i="1"/>
  <c r="F24" i="1"/>
  <c r="F23" i="1"/>
  <c r="F20" i="1"/>
  <c r="E24" i="1"/>
  <c r="E23" i="1"/>
  <c r="E21" i="1"/>
  <c r="E20" i="1"/>
  <c r="E22" i="1"/>
  <c r="E25" i="1"/>
  <c r="C18" i="1"/>
  <c r="D18" i="1"/>
  <c r="D22" i="1" s="1"/>
  <c r="O18" i="1" l="1"/>
  <c r="C22" i="1"/>
  <c r="O22" i="1" s="1"/>
  <c r="C21" i="1"/>
  <c r="D21" i="1"/>
  <c r="D24" i="1"/>
  <c r="D25" i="1"/>
  <c r="D20" i="1"/>
  <c r="C24" i="1"/>
  <c r="C25" i="1"/>
  <c r="D23" i="1"/>
  <c r="C20" i="1"/>
  <c r="C23" i="1"/>
  <c r="O24" i="1" l="1"/>
  <c r="O25" i="1"/>
  <c r="O21" i="1"/>
  <c r="O23" i="1"/>
  <c r="O20" i="1"/>
</calcChain>
</file>

<file path=xl/sharedStrings.xml><?xml version="1.0" encoding="utf-8"?>
<sst xmlns="http://schemas.openxmlformats.org/spreadsheetml/2006/main" count="1576" uniqueCount="371">
  <si>
    <t>NÃO URGENTE (AZUL)</t>
  </si>
  <si>
    <t>POUCO URGENTE (VERDE)</t>
  </si>
  <si>
    <t>URGENTE (AMARELO)</t>
  </si>
  <si>
    <t>MUITO URGENTE (LARANJA)</t>
  </si>
  <si>
    <t>EMERGÊNCIA (VERMELHO)</t>
  </si>
  <si>
    <t>TOTAL</t>
  </si>
  <si>
    <t>RAIO-X</t>
  </si>
  <si>
    <t>ELETROCARDIOGRAMA</t>
  </si>
  <si>
    <t>JULHO</t>
  </si>
  <si>
    <t>AGOSTO</t>
  </si>
  <si>
    <t>SETEMBRO</t>
  </si>
  <si>
    <t>META</t>
  </si>
  <si>
    <t>ATENDIMENTOS POR CLASSIFICAÇÃO DE RISCO</t>
  </si>
  <si>
    <t>Não informado</t>
  </si>
  <si>
    <t>PACIENTES RECEPCIONADOS</t>
  </si>
  <si>
    <t>Atenção e interesse dos profissionais</t>
  </si>
  <si>
    <t>Orientações recebidas sobre o tratamento,exames e procedimentos</t>
  </si>
  <si>
    <t>Tempo de espera para atendimento na recepção</t>
  </si>
  <si>
    <t>Tempo de espera para atendimento médico</t>
  </si>
  <si>
    <t>Instalações físicas</t>
  </si>
  <si>
    <t>Você indicaria este serviço a um familiar ou amigo</t>
  </si>
  <si>
    <t>Você voltaria a utilizar este serviço</t>
  </si>
  <si>
    <t>Tempo de espera para acolhimento (triagem)</t>
  </si>
  <si>
    <t>INDICADOR</t>
  </si>
  <si>
    <t>PESQUISA DE SATISFAÇÃO</t>
  </si>
  <si>
    <t>ÓTIMO</t>
  </si>
  <si>
    <t>BOM</t>
  </si>
  <si>
    <t>REGULAR</t>
  </si>
  <si>
    <t>RUIM</t>
  </si>
  <si>
    <t>PÉSSIMO</t>
  </si>
  <si>
    <t>RESULTADO</t>
  </si>
  <si>
    <t>MÉDIA GERAL</t>
  </si>
  <si>
    <t>TOTAL DE ATENDIMENTOS POR CLASSIFICAÇÃO DE RISCO</t>
  </si>
  <si>
    <t>INDICADOR DE SATISFAÇÃO</t>
  </si>
  <si>
    <t>TAXA DE SATISFAÇÃO</t>
  </si>
  <si>
    <t>AUTOCLAVE</t>
  </si>
  <si>
    <t>QUÍMICO</t>
  </si>
  <si>
    <t>HEPATITE B</t>
  </si>
  <si>
    <t>HEPATITE C</t>
  </si>
  <si>
    <t>HIV</t>
  </si>
  <si>
    <t>SÍFILIS</t>
  </si>
  <si>
    <t>COVID-19</t>
  </si>
  <si>
    <t>DENGUE</t>
  </si>
  <si>
    <t>ATENDIMENTOS MÉDICOS</t>
  </si>
  <si>
    <t>EXAMES INTERNOS</t>
  </si>
  <si>
    <t>Material</t>
  </si>
  <si>
    <t>Emergência</t>
  </si>
  <si>
    <t>Medicação Rápida</t>
  </si>
  <si>
    <t>Observação</t>
  </si>
  <si>
    <t>Total Geral</t>
  </si>
  <si>
    <t>CAIXA PARTO</t>
  </si>
  <si>
    <t>CX PEQ CIRURGIA</t>
  </si>
  <si>
    <t>CAMPO FENESTRADO</t>
  </si>
  <si>
    <t>CIRCUITO</t>
  </si>
  <si>
    <t>AVENTAL ESTERIL</t>
  </si>
  <si>
    <t>RETIRADA DE PONTOS</t>
  </si>
  <si>
    <t>FIO GUIA</t>
  </si>
  <si>
    <t>AMBU</t>
  </si>
  <si>
    <t>CUBA 8 CM</t>
  </si>
  <si>
    <t>CAMPO CIRURGICO</t>
  </si>
  <si>
    <t>CURATIVO</t>
  </si>
  <si>
    <t>COMADRE</t>
  </si>
  <si>
    <t>CUBA RIM</t>
  </si>
  <si>
    <t>CATETERISMO</t>
  </si>
  <si>
    <t>MASCARA ALTO FLUXO</t>
  </si>
  <si>
    <t xml:space="preserve">LATEX </t>
  </si>
  <si>
    <t>PAPAGAIO</t>
  </si>
  <si>
    <t>SUTURA</t>
  </si>
  <si>
    <t>UMIDIFICADOR</t>
  </si>
  <si>
    <t>NBZ</t>
  </si>
  <si>
    <t>Setor</t>
  </si>
  <si>
    <t>Percentual</t>
  </si>
  <si>
    <t>ESTERILIZAÇÃO</t>
  </si>
  <si>
    <t>QTD</t>
  </si>
  <si>
    <t>NÃO REAGENTES</t>
  </si>
  <si>
    <t>REAGENTES</t>
  </si>
  <si>
    <t>COQUELUCHE</t>
  </si>
  <si>
    <t>MÉDIA DIÁRIA</t>
  </si>
  <si>
    <t>PERCENTUAL DE ATENDIMENTOS POR CLASSIFICAÇÃO DE RISCOS</t>
  </si>
  <si>
    <t>Não Informado</t>
  </si>
  <si>
    <t>Não Reagente</t>
  </si>
  <si>
    <t>Reagente</t>
  </si>
  <si>
    <t xml:space="preserve">                                                                                                                             ATENDIMENTOS</t>
  </si>
  <si>
    <t>TEMPO MÉDIO DE PERMANÊNCIA GERAL</t>
  </si>
  <si>
    <t xml:space="preserve">                                                                                                           INTERNAÇÕES</t>
  </si>
  <si>
    <t xml:space="preserve">                                                                                                                                          SERVIÇOS DE APOIO</t>
  </si>
  <si>
    <t xml:space="preserve">                                                                                                                  NÚCLEO DE VIGILÂNCIA EPIDEMIOLÓGICA</t>
  </si>
  <si>
    <t xml:space="preserve">                                                                                                                   NÚCLEO DE EDUCAÇÃO PERMANENTE</t>
  </si>
  <si>
    <t xml:space="preserve">                                                                                         CENTRAL DE MATERIAL ESTERILIZADO</t>
  </si>
  <si>
    <t xml:space="preserve">                                                                                                  SERVIÇO DE APOIO DIAGNÓSTICO TERAPÊUTICO</t>
  </si>
  <si>
    <t>Acidente de trabalho</t>
  </si>
  <si>
    <t>Conjuntivite</t>
  </si>
  <si>
    <t>Coqueluche</t>
  </si>
  <si>
    <t>Antirrábico</t>
  </si>
  <si>
    <t>Dengue</t>
  </si>
  <si>
    <t>Animais peçonhentos</t>
  </si>
  <si>
    <t>Escabiose</t>
  </si>
  <si>
    <t>Intoxicação Exógena</t>
  </si>
  <si>
    <t>Caxumba</t>
  </si>
  <si>
    <t>Sifilis</t>
  </si>
  <si>
    <t>Notificação</t>
  </si>
  <si>
    <t>Qtd</t>
  </si>
  <si>
    <t>Total</t>
  </si>
  <si>
    <t xml:space="preserve">SÍFILIS </t>
  </si>
  <si>
    <t>TEMPO DE ESPERA PARA CLASSIFICAÇÃO DE RISCO</t>
  </si>
  <si>
    <t>TEMPO MÉDIO DE ESPERA DE ATENDIMENTO MÉDICO POR CLASSIFICAÇÃO DE RISCO</t>
  </si>
  <si>
    <t>EXAME</t>
  </si>
  <si>
    <t>TOMOGRAFIA DE ABDOMEN INFERIOR</t>
  </si>
  <si>
    <t>TOMOGRAFIA DE ABDOMEN SUPERIOR</t>
  </si>
  <si>
    <t>Data</t>
  </si>
  <si>
    <t>Total (Kg)</t>
  </si>
  <si>
    <t>ÍNDICE DE SATISFAÇÃO DO USUÁRIO</t>
  </si>
  <si>
    <t xml:space="preserve">  HOSPITAL NOSSA SENHORA DO ROCIO</t>
  </si>
  <si>
    <t xml:space="preserve">  HOSPITAL DE CLINICAS</t>
  </si>
  <si>
    <t xml:space="preserve">  HOSPITAL ANGELINA CARON</t>
  </si>
  <si>
    <t xml:space="preserve">  HEC HOSPITAL EVANGELICO DE CURITIBA</t>
  </si>
  <si>
    <t xml:space="preserve">  HMSJP - HOSPITAL MUNICIPAL SAO JOSE</t>
  </si>
  <si>
    <t xml:space="preserve">  HOSPITAL INFANTIL PEQUENO PRINCIPE</t>
  </si>
  <si>
    <t xml:space="preserve">  HOSPITAL UNIVERSITARIO EVANGELICO D</t>
  </si>
  <si>
    <t xml:space="preserve">  HOSPITAL DO TRABALHADOR</t>
  </si>
  <si>
    <t xml:space="preserve">  HOSPITAL UNIVERSITARIO CAJURU</t>
  </si>
  <si>
    <t xml:space="preserve">                                                                                                                                       PRODUTIVIDADE DAS EQUIPES</t>
  </si>
  <si>
    <t xml:space="preserve">  HOSPITAL SANTA CASA</t>
  </si>
  <si>
    <t xml:space="preserve">  UBS TREINAMENTO</t>
  </si>
  <si>
    <t xml:space="preserve">  HOSPITAL E MATERNIDADE DE PINHAIS</t>
  </si>
  <si>
    <t>Pesquisa de Satisfação Geral</t>
  </si>
  <si>
    <t>BDJ ANESTESIA</t>
  </si>
  <si>
    <t>Dezembro</t>
  </si>
  <si>
    <t>HORÁRIO</t>
  </si>
  <si>
    <t>QTD GERAL</t>
  </si>
  <si>
    <t>QTD DIA</t>
  </si>
  <si>
    <t>QTD HORA</t>
  </si>
  <si>
    <t>00:00 às 02:59</t>
  </si>
  <si>
    <t>03:00 às 05:59</t>
  </si>
  <si>
    <t>06:00 às 08:59</t>
  </si>
  <si>
    <t>09:00 às 11:59</t>
  </si>
  <si>
    <t>12:00 às 14:59</t>
  </si>
  <si>
    <t>15:00 às 17:59</t>
  </si>
  <si>
    <t>18:00 às 20:59</t>
  </si>
  <si>
    <t>21:00 às 23:59</t>
  </si>
  <si>
    <t>TOTAIS</t>
  </si>
  <si>
    <t xml:space="preserve">                                                                                               MAPA DE CALOR - DEMANDA DE PRONTO ATENDIMENTO</t>
  </si>
  <si>
    <t>HORA</t>
  </si>
  <si>
    <t>Segunda</t>
  </si>
  <si>
    <t>Terça</t>
  </si>
  <si>
    <t>Quarta</t>
  </si>
  <si>
    <t>Quinta</t>
  </si>
  <si>
    <t>Sexta</t>
  </si>
  <si>
    <t>Sábado</t>
  </si>
  <si>
    <t>Domingo</t>
  </si>
  <si>
    <t>00:00 às 00:59</t>
  </si>
  <si>
    <t>01:00 às 01:59</t>
  </si>
  <si>
    <t>02:00 às 02:59</t>
  </si>
  <si>
    <t>03:00 às 03:59</t>
  </si>
  <si>
    <t>04:00 às 04:59</t>
  </si>
  <si>
    <t>05:00 às 05:59</t>
  </si>
  <si>
    <t>06:00 às 06:59</t>
  </si>
  <si>
    <t>07:00 às 07:59</t>
  </si>
  <si>
    <t>08:00 às 08:59</t>
  </si>
  <si>
    <t>09:00 às 09:59</t>
  </si>
  <si>
    <t>10:00 às 10:59</t>
  </si>
  <si>
    <t>11:00 às 11:59</t>
  </si>
  <si>
    <t>12:00 às 12:59</t>
  </si>
  <si>
    <t>13:00 às 13:59</t>
  </si>
  <si>
    <t>14:00 às 14:59</t>
  </si>
  <si>
    <t>15:00 às 15:59</t>
  </si>
  <si>
    <t>16:00 às 16:59</t>
  </si>
  <si>
    <t>17:00 às 17:59</t>
  </si>
  <si>
    <t>18:00 às 18:59</t>
  </si>
  <si>
    <t>19:00 às 19:59</t>
  </si>
  <si>
    <t>20:00 às 20:59</t>
  </si>
  <si>
    <t>21:00 às 21:59</t>
  </si>
  <si>
    <t>22:00 às 22:59</t>
  </si>
  <si>
    <t>23:00 às 23:59</t>
  </si>
  <si>
    <t>Julho de 2024</t>
  </si>
  <si>
    <t>Agosto de 2024</t>
  </si>
  <si>
    <t>Setembro de 2024</t>
  </si>
  <si>
    <t>Outubro de 2024</t>
  </si>
  <si>
    <t>Novembro de 2024</t>
  </si>
  <si>
    <t>Dezembro de 2024</t>
  </si>
  <si>
    <t>Média Geral - Julho a Dezembro de 2024</t>
  </si>
  <si>
    <t>Fevereiro de 2025</t>
  </si>
  <si>
    <t>Março de 2025</t>
  </si>
  <si>
    <t>Abril de 2025</t>
  </si>
  <si>
    <t>Maio de 2025</t>
  </si>
  <si>
    <t>Junho de 2025</t>
  </si>
  <si>
    <t>Média Geral - Janeiro a Junho de 2025</t>
  </si>
  <si>
    <t>OUTUBRO.24</t>
  </si>
  <si>
    <t>NOVEMBRO.24</t>
  </si>
  <si>
    <t>DEZEMBRO.24</t>
  </si>
  <si>
    <t>JANEIRO.25</t>
  </si>
  <si>
    <t xml:space="preserve">  HOSPITAL SAO VICENTE BATEL</t>
  </si>
  <si>
    <t xml:space="preserve">  PCE PENITENCIARIA CENTRAL DO ESTADO</t>
  </si>
  <si>
    <t xml:space="preserve">  HOSPITAL MUNICIPAL DE ARAUCARIA IND</t>
  </si>
  <si>
    <t>BACIA</t>
  </si>
  <si>
    <t>COVID</t>
  </si>
  <si>
    <t>JULHO.24</t>
  </si>
  <si>
    <t>AGOSTO.24</t>
  </si>
  <si>
    <t>SETEMBRO.24</t>
  </si>
  <si>
    <t>FEVEREIRO.25</t>
  </si>
  <si>
    <t>Mapa de Calor - Demanda de Pronto Atendimento</t>
  </si>
  <si>
    <t xml:space="preserve">  PFP PENITENCIARIA FEMININA DO PARANA</t>
  </si>
  <si>
    <t xml:space="preserve">  HOSPITAL DO ROCIO CENTRAL ( VELHO)</t>
  </si>
  <si>
    <t xml:space="preserve">  HOSPITAL REGIONAL DA LAPA DE SAO SE</t>
  </si>
  <si>
    <t>Dia</t>
  </si>
  <si>
    <t>Janeiro de 2025</t>
  </si>
  <si>
    <t>MARÇO.25</t>
  </si>
  <si>
    <t>Meta</t>
  </si>
  <si>
    <t>Forma de avaliação / memória de cálculo</t>
  </si>
  <si>
    <t>JANEIRO</t>
  </si>
  <si>
    <t>FEVEREIRO</t>
  </si>
  <si>
    <t>MARÇO</t>
  </si>
  <si>
    <t>MÉDIA TRIMESTRAL</t>
  </si>
  <si>
    <t>≥ 80%</t>
  </si>
  <si>
    <t>Pontuação</t>
  </si>
  <si>
    <t>Taxa de usuários classificados como risco VERMELHO com tempo máximo de espera de 5 minutos para atendimento médico.</t>
  </si>
  <si>
    <t>≥ 95%</t>
  </si>
  <si>
    <t>Média no tempo de espera para atendimento médico no eixo VERMELHO</t>
  </si>
  <si>
    <t>≤ 5min</t>
  </si>
  <si>
    <t>Taxa de usuários classificados como risco LARANJA com tempo máximo de espera de 10 minutos para atendimento médico.</t>
  </si>
  <si>
    <t>≥ 85%</t>
  </si>
  <si>
    <t>Média no tempo de espera para atendimento médico no eixo LARANJA</t>
  </si>
  <si>
    <t>≤ 10min</t>
  </si>
  <si>
    <t>Taxa de usuários classificados como risco AMARELO com tempo máximo de espera de 60 minutos para atendimento médico.</t>
  </si>
  <si>
    <t>≥ 90%</t>
  </si>
  <si>
    <t>Média no tempo de espera para atendimento médico no eixo AMARELO</t>
  </si>
  <si>
    <t>≤ 60min</t>
  </si>
  <si>
    <t>Taxa de usuários classificados como risco VERDE com tempo máximo de espera de 120 minutos para atendimento médico.</t>
  </si>
  <si>
    <t>Média no tempo de espera para atendimento médico no eixo VERDE</t>
  </si>
  <si>
    <t>≤ 120min</t>
  </si>
  <si>
    <t>Taxa de usuários classificados como risco AZUL com tempo máximo de espera de 240 minutos para atendimento médico.</t>
  </si>
  <si>
    <t>Média no tempo de espera para atendimento médico no eixo AZUL</t>
  </si>
  <si>
    <t>≤ 240min</t>
  </si>
  <si>
    <t>Realizar 100% a Classificação de Risco dos pacientes que procuram atendimentos de urgência e emergência.</t>
  </si>
  <si>
    <t>Média no tempo de espera para Classificação de riscos</t>
  </si>
  <si>
    <t>Percentual de desistência de atendimento médico</t>
  </si>
  <si>
    <t>≤ 5%</t>
  </si>
  <si>
    <t>Número de Consultas Médicas mensais</t>
  </si>
  <si>
    <t>≥ 8.000</t>
  </si>
  <si>
    <t>Registro em CLM ou CLP</t>
  </si>
  <si>
    <t>Atendimento assistência social</t>
  </si>
  <si>
    <t>Capacitação quadro geral</t>
  </si>
  <si>
    <t>≥ 2 horas</t>
  </si>
  <si>
    <t>Capacitação equipe médica</t>
  </si>
  <si>
    <t>≥80%</t>
  </si>
  <si>
    <t>Reuniões das comissões implantadas</t>
  </si>
  <si>
    <t>Notificações compulsórias</t>
  </si>
  <si>
    <t>Preenchimento Correto SINAN</t>
  </si>
  <si>
    <t>Ok</t>
  </si>
  <si>
    <t>Relatório de transferências de pacientes</t>
  </si>
  <si>
    <t>Apresentação de relatório</t>
  </si>
  <si>
    <t>Garantir a rastreabilidade de todos os insumos e medicamentos prescritos para os pacientes da unidade.</t>
  </si>
  <si>
    <t>Sistema de Gestão</t>
  </si>
  <si>
    <t>Item</t>
  </si>
  <si>
    <t>Pontuação Atingida</t>
  </si>
  <si>
    <t>Taxa de satisfação do usuário</t>
  </si>
  <si>
    <t>Consultas Realizadas</t>
  </si>
  <si>
    <t>Meta Trimestral</t>
  </si>
  <si>
    <t>COMISSÃO</t>
  </si>
  <si>
    <t>Análise e Revisão de Prontuários</t>
  </si>
  <si>
    <t>Controle de Infecção Pré-hospitalar</t>
  </si>
  <si>
    <t>Educação Permanente</t>
  </si>
  <si>
    <t>Farmácia e Terapêutica</t>
  </si>
  <si>
    <t>Gerenciamento de Resíduos e Perfurocortantes</t>
  </si>
  <si>
    <t>Padronização de Documentos</t>
  </si>
  <si>
    <t>Qualidade e Segurança do Paciente</t>
  </si>
  <si>
    <t>Revisão de Óbitos</t>
  </si>
  <si>
    <t>Ética Médica*</t>
  </si>
  <si>
    <t>Em fase de instituição</t>
  </si>
  <si>
    <t>Ética de Enfermagem*</t>
  </si>
  <si>
    <t>Data da Reunião Ref. Dez/24</t>
  </si>
  <si>
    <t>Data da Reunião Ref. Jan/25</t>
  </si>
  <si>
    <t>Data da Reunião Ref. Fev/25</t>
  </si>
  <si>
    <t>* Etapas para instauração das Comissões de Ética estão sendo executadas</t>
  </si>
  <si>
    <t>UNIDADE DE DESTINO</t>
  </si>
  <si>
    <t xml:space="preserve">  PEP I PENITENCIARIA ESTADUAL DE PIRAQUARA</t>
  </si>
  <si>
    <t xml:space="preserve">  SAMU BRAVO - PIRAQUARA</t>
  </si>
  <si>
    <t xml:space="preserve">  HPM - HOSPITAL DA POLICIA MILITAR</t>
  </si>
  <si>
    <t xml:space="preserve">  HOSPITAL OSVALDO CRUZ</t>
  </si>
  <si>
    <t>ABRIL.25</t>
  </si>
  <si>
    <t>Mão pé boca</t>
  </si>
  <si>
    <t>MAIO.25</t>
  </si>
  <si>
    <t>TOMOGRAFIA COMPUTADORIZADA DO TORAX</t>
  </si>
  <si>
    <t>TOMOGRAFIA COMPUTADORIZADA DO CRANIO</t>
  </si>
  <si>
    <t>ESPAÇADOR</t>
  </si>
  <si>
    <t>FRASCO ASPIRAÇÃO</t>
  </si>
  <si>
    <t>PINÇA KELLY RETA</t>
  </si>
  <si>
    <t>PINÇA PEAN</t>
  </si>
  <si>
    <t>JUNHO.25</t>
  </si>
  <si>
    <t>Análise Quantitativa do Trimestre</t>
  </si>
  <si>
    <t>ABRIL</t>
  </si>
  <si>
    <t>MAIO</t>
  </si>
  <si>
    <t>JUNHO</t>
  </si>
  <si>
    <t>MÊS</t>
  </si>
  <si>
    <t>Percentual de Desistência de Atendimento Médico</t>
  </si>
  <si>
    <t>Consultas Realizadas no Trimestre</t>
  </si>
  <si>
    <t>Descrição</t>
  </si>
  <si>
    <t>Valor</t>
  </si>
  <si>
    <t>Atendimento Assistência Social</t>
  </si>
  <si>
    <t>Quadro Geral</t>
  </si>
  <si>
    <t>Equipe Médica</t>
  </si>
  <si>
    <t>Total de Notificações</t>
  </si>
  <si>
    <t>Percentual de Preenchimento Correto</t>
  </si>
  <si>
    <t>JULHO.25</t>
  </si>
  <si>
    <t>Julho de 2025</t>
  </si>
  <si>
    <t>Controle Diário de Atendimentos</t>
  </si>
  <si>
    <t>AGOSTO.2025</t>
  </si>
  <si>
    <t>DATA</t>
  </si>
  <si>
    <t>SM</t>
  </si>
  <si>
    <t>S</t>
  </si>
  <si>
    <t>D</t>
  </si>
  <si>
    <t>T</t>
  </si>
  <si>
    <t>Q</t>
  </si>
  <si>
    <t>Média</t>
  </si>
  <si>
    <t xml:space="preserve"> Influenza</t>
  </si>
  <si>
    <t xml:space="preserve">Violência interpessoal e auto… </t>
  </si>
  <si>
    <t>Tuberculose</t>
  </si>
  <si>
    <t>AGOSTO.25</t>
  </si>
  <si>
    <t>SETEMBRO.25</t>
  </si>
  <si>
    <t>OUTUBRO.25</t>
  </si>
  <si>
    <t>NOVEMBRO.25</t>
  </si>
  <si>
    <t>DEZEMBRO.25</t>
  </si>
  <si>
    <t>% EFETIVIDADE</t>
  </si>
  <si>
    <t>T.EXCEDIDO</t>
  </si>
  <si>
    <t>Agosto de 2025</t>
  </si>
  <si>
    <t>SETEMBRO.2025</t>
  </si>
  <si>
    <t xml:space="preserve"> </t>
  </si>
  <si>
    <t>TOMOGRAFIA COMPUTADORIZADA DE PESCOÇO</t>
  </si>
  <si>
    <t>ULTRASSONOGRAFIA DE PARTES MOLES</t>
  </si>
  <si>
    <t>AIDS</t>
  </si>
  <si>
    <t>Meningete</t>
  </si>
  <si>
    <t>Esporotricose</t>
  </si>
  <si>
    <t>Doenças exantematicas</t>
  </si>
  <si>
    <t xml:space="preserve">  AMBULATORIO DO HOSPITAL EVANGELICO</t>
  </si>
  <si>
    <t xml:space="preserve">  CRUZ VERMELHA</t>
  </si>
  <si>
    <t xml:space="preserve">  HOSPITAL DE OLHOS DO PARANA</t>
  </si>
  <si>
    <t xml:space="preserve">  HOSPITAL NOSSA SENHORA DA LUZ</t>
  </si>
  <si>
    <t>MARÇO.26</t>
  </si>
  <si>
    <t>ABRIL.26</t>
  </si>
  <si>
    <t>MAIO.26</t>
  </si>
  <si>
    <t>JUNHO.26</t>
  </si>
  <si>
    <t>JULHO.26</t>
  </si>
  <si>
    <t>AGOSTO.26</t>
  </si>
  <si>
    <t>SETEMBRO.26</t>
  </si>
  <si>
    <t>OUTUBRO.26</t>
  </si>
  <si>
    <t>NOVEMBRO.26</t>
  </si>
  <si>
    <t>DEZEMBRO.26</t>
  </si>
  <si>
    <t>JANEIRO.27</t>
  </si>
  <si>
    <t>FEVEREIRO.27</t>
  </si>
  <si>
    <t>TEMPO DE PERMANÊNCIA DE PACIENTES INTERNADOS</t>
  </si>
  <si>
    <t>TEMPO DE PERMANÊNCIA DE PACIENTES SEM INTERNAÇÃO</t>
  </si>
  <si>
    <t>TRANSFERÊNCIAS (REMOÇÕES)</t>
  </si>
  <si>
    <t>PERCENTUAL DE TRANSFERÊNCIAS PACIENTES INTERNADOS POR USA</t>
  </si>
  <si>
    <t>PATOLOGIA CLINICA</t>
  </si>
  <si>
    <t>TEMPO MÉDIO DE PERMANÊNCIA ATENDIMENTOS DE PORTA</t>
  </si>
  <si>
    <t xml:space="preserve">ATENDIMENTOS DIVIDIDOS POR FAIXA ETARIA </t>
  </si>
  <si>
    <t>&lt; 1 ANO</t>
  </si>
  <si>
    <t>1 - 4 ANOS</t>
  </si>
  <si>
    <t>5 - 9 ANOS</t>
  </si>
  <si>
    <t>10 - 14 ANOS</t>
  </si>
  <si>
    <t>15 - 19 ANOS</t>
  </si>
  <si>
    <t>20 - 39 ANOS</t>
  </si>
  <si>
    <t>40 - 49 ANOS</t>
  </si>
  <si>
    <t>50 - 59 ANOS</t>
  </si>
  <si>
    <t>60 OU MAIS</t>
  </si>
  <si>
    <t>DA CIDADE</t>
  </si>
  <si>
    <t>DE OUTRAS CIDADES</t>
  </si>
  <si>
    <t>ATENDIMENTOS DE  PACIENTES</t>
  </si>
  <si>
    <t>ÓBITOS</t>
  </si>
  <si>
    <t>UPA DE LUZIÂNIA - UPA II</t>
  </si>
  <si>
    <t>UPA JARDIM INGÁ - UPA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</si>
</sst>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h]:mm:ss;@"/>
    <numFmt numFmtId="165" formatCode="d/m;@"/>
    <numFmt numFmtId="166" formatCode="#,##0.0"/>
    <numFmt numFmtId="167" formatCode="0.0"/>
    <numFmt numFmtId="168" formatCode="0.0%"/>
    <numFmt numFmtId="169" formatCode="[$-416]d;@"/>
    <numFmt numFmtId="170" formatCode="h:mm:ss;@"/>
  </numFmts>
  <fonts count="2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theme="0"/>
      <name val="Aptos Narrow"/>
      <family val="2"/>
      <scheme val="minor"/>
    </font>
    <font>
      <sz val="1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0"/>
      <color rgb="FF000000"/>
      <name val="Arial"/>
      <family val="2"/>
    </font>
    <font>
      <b/>
      <sz val="16"/>
      <color theme="0"/>
      <name val="Aptos Narrow"/>
      <family val="2"/>
      <scheme val="minor"/>
    </font>
    <font>
      <sz val="7"/>
      <color rgb="FF000000"/>
      <name val="Arial"/>
      <family val="2"/>
    </font>
    <font>
      <b/>
      <sz val="9"/>
      <color theme="1"/>
      <name val="Times New Roman"/>
      <family val="1"/>
    </font>
    <font>
      <b/>
      <sz val="10"/>
      <color theme="0"/>
      <name val="Times New Roman"/>
      <family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EF5F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FD13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D5A0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AEABAB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</borders>
  <cellStyleXfs count="3">
    <xf numFmtId="0" fontId="0" fillId="0" borderId="0"/>
    <xf numFmtId="0" fontId="9" fillId="0" borderId="0"/>
    <xf numFmtId="0" fontId="23" fillId="0" borderId="0"/>
  </cellStyleXfs>
  <cellXfs count="2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2" fillId="3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 wrapText="1"/>
    </xf>
    <xf numFmtId="10" fontId="3" fillId="5" borderId="0" xfId="0" applyNumberFormat="1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9" fontId="1" fillId="6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3" fontId="1" fillId="6" borderId="0" xfId="0" applyNumberFormat="1" applyFont="1" applyFill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49" fontId="1" fillId="7" borderId="0" xfId="0" applyNumberFormat="1" applyFont="1" applyFill="1" applyAlignment="1">
      <alignment vertical="center"/>
    </xf>
    <xf numFmtId="0" fontId="0" fillId="7" borderId="0" xfId="0" applyFill="1" applyAlignment="1">
      <alignment vertical="center"/>
    </xf>
    <xf numFmtId="3" fontId="0" fillId="7" borderId="0" xfId="0" applyNumberFormat="1" applyFill="1" applyAlignment="1">
      <alignment vertical="center"/>
    </xf>
    <xf numFmtId="0" fontId="1" fillId="7" borderId="0" xfId="0" applyFont="1" applyFill="1" applyAlignment="1">
      <alignment vertical="center"/>
    </xf>
    <xf numFmtId="3" fontId="1" fillId="7" borderId="0" xfId="0" applyNumberFormat="1" applyFont="1" applyFill="1" applyAlignment="1">
      <alignment vertical="center"/>
    </xf>
    <xf numFmtId="49" fontId="8" fillId="0" borderId="0" xfId="0" applyNumberFormat="1" applyFont="1" applyAlignment="1">
      <alignment horizontal="left" vertical="center"/>
    </xf>
    <xf numFmtId="0" fontId="7" fillId="0" borderId="0" xfId="0" applyFont="1"/>
    <xf numFmtId="49" fontId="8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1" applyFont="1" applyAlignment="1">
      <alignment horizontal="center"/>
    </xf>
    <xf numFmtId="0" fontId="0" fillId="0" borderId="0" xfId="1" applyFont="1"/>
    <xf numFmtId="0" fontId="10" fillId="0" borderId="0" xfId="0" applyFont="1"/>
    <xf numFmtId="3" fontId="0" fillId="0" borderId="0" xfId="0" applyNumberFormat="1"/>
    <xf numFmtId="9" fontId="0" fillId="0" borderId="0" xfId="0" applyNumberFormat="1"/>
    <xf numFmtId="166" fontId="11" fillId="7" borderId="0" xfId="0" applyNumberFormat="1" applyFont="1" applyFill="1" applyAlignment="1">
      <alignment horizontal="center" vertical="center"/>
    </xf>
    <xf numFmtId="165" fontId="12" fillId="7" borderId="0" xfId="0" applyNumberFormat="1" applyFont="1" applyFill="1" applyAlignment="1">
      <alignment horizontal="center" vertical="center" wrapText="1"/>
    </xf>
    <xf numFmtId="166" fontId="12" fillId="7" borderId="0" xfId="0" applyNumberFormat="1" applyFont="1" applyFill="1" applyAlignment="1">
      <alignment horizontal="center" vertical="center" wrapText="1"/>
    </xf>
    <xf numFmtId="165" fontId="13" fillId="7" borderId="0" xfId="0" applyNumberFormat="1" applyFont="1" applyFill="1" applyAlignment="1">
      <alignment horizontal="center" vertical="center" wrapText="1"/>
    </xf>
    <xf numFmtId="166" fontId="13" fillId="7" borderId="0" xfId="0" applyNumberFormat="1" applyFont="1" applyFill="1" applyAlignment="1">
      <alignment horizontal="center" vertical="center" wrapText="1"/>
    </xf>
    <xf numFmtId="0" fontId="7" fillId="7" borderId="0" xfId="0" applyFont="1" applyFill="1"/>
    <xf numFmtId="0" fontId="0" fillId="0" borderId="1" xfId="0" applyBorder="1" applyAlignment="1">
      <alignment horizontal="left"/>
    </xf>
    <xf numFmtId="0" fontId="0" fillId="0" borderId="1" xfId="0" applyBorder="1"/>
    <xf numFmtId="49" fontId="5" fillId="0" borderId="0" xfId="0" applyNumberFormat="1" applyFont="1" applyAlignment="1">
      <alignment vertical="center"/>
    </xf>
    <xf numFmtId="0" fontId="0" fillId="7" borderId="0" xfId="0" applyFill="1"/>
    <xf numFmtId="10" fontId="1" fillId="8" borderId="0" xfId="0" applyNumberFormat="1" applyFont="1" applyFill="1" applyAlignment="1">
      <alignment horizontal="center" vertical="center"/>
    </xf>
    <xf numFmtId="10" fontId="2" fillId="5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10" fontId="1" fillId="7" borderId="0" xfId="0" applyNumberFormat="1" applyFont="1" applyFill="1" applyAlignment="1">
      <alignment horizontal="center" vertical="center"/>
    </xf>
    <xf numFmtId="10" fontId="0" fillId="7" borderId="0" xfId="0" applyNumberFormat="1" applyFill="1" applyAlignment="1">
      <alignment horizontal="center" vertical="center"/>
    </xf>
    <xf numFmtId="10" fontId="0" fillId="9" borderId="0" xfId="0" applyNumberFormat="1" applyFill="1" applyAlignment="1">
      <alignment horizontal="center" vertical="center"/>
    </xf>
    <xf numFmtId="10" fontId="0" fillId="10" borderId="0" xfId="0" applyNumberFormat="1" applyFill="1" applyAlignment="1">
      <alignment horizontal="center" vertical="center"/>
    </xf>
    <xf numFmtId="10" fontId="0" fillId="11" borderId="0" xfId="0" applyNumberFormat="1" applyFill="1" applyAlignment="1">
      <alignment horizontal="center" vertical="center"/>
    </xf>
    <xf numFmtId="10" fontId="0" fillId="12" borderId="0" xfId="0" applyNumberFormat="1" applyFill="1" applyAlignment="1">
      <alignment horizontal="center" vertical="center"/>
    </xf>
    <xf numFmtId="10" fontId="0" fillId="13" borderId="0" xfId="0" applyNumberForma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right" vertical="center"/>
    </xf>
    <xf numFmtId="10" fontId="1" fillId="4" borderId="0" xfId="0" applyNumberFormat="1" applyFont="1" applyFill="1" applyAlignment="1">
      <alignment horizontal="center" vertical="center"/>
    </xf>
    <xf numFmtId="9" fontId="1" fillId="4" borderId="0" xfId="0" applyNumberFormat="1" applyFont="1" applyFill="1" applyAlignment="1">
      <alignment horizontal="center" vertical="center"/>
    </xf>
    <xf numFmtId="10" fontId="0" fillId="0" borderId="0" xfId="0" applyNumberFormat="1"/>
    <xf numFmtId="166" fontId="0" fillId="7" borderId="0" xfId="0" applyNumberFormat="1" applyFill="1"/>
    <xf numFmtId="167" fontId="0" fillId="0" borderId="0" xfId="0" applyNumberFormat="1" applyAlignment="1">
      <alignment horizontal="center"/>
    </xf>
    <xf numFmtId="0" fontId="14" fillId="0" borderId="0" xfId="0" applyFont="1"/>
    <xf numFmtId="3" fontId="14" fillId="0" borderId="0" xfId="0" applyNumberFormat="1" applyFont="1"/>
    <xf numFmtId="167" fontId="14" fillId="0" borderId="0" xfId="0" applyNumberFormat="1" applyFont="1" applyAlignment="1">
      <alignment horizontal="center"/>
    </xf>
    <xf numFmtId="3" fontId="2" fillId="0" borderId="0" xfId="0" applyNumberFormat="1" applyFont="1"/>
    <xf numFmtId="167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3" fontId="1" fillId="14" borderId="0" xfId="0" applyNumberFormat="1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15" borderId="0" xfId="0" applyFont="1" applyFill="1"/>
    <xf numFmtId="0" fontId="0" fillId="15" borderId="0" xfId="0" applyFill="1"/>
    <xf numFmtId="0" fontId="2" fillId="15" borderId="0" xfId="0" applyFont="1" applyFill="1"/>
    <xf numFmtId="0" fontId="18" fillId="16" borderId="1" xfId="0" applyFont="1" applyFill="1" applyBorder="1" applyAlignment="1">
      <alignment horizontal="center" vertical="center" wrapText="1"/>
    </xf>
    <xf numFmtId="49" fontId="18" fillId="16" borderId="1" xfId="0" applyNumberFormat="1" applyFont="1" applyFill="1" applyBorder="1" applyAlignment="1">
      <alignment horizontal="center" vertical="center" wrapText="1"/>
    </xf>
    <xf numFmtId="22" fontId="18" fillId="16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9" fontId="11" fillId="3" borderId="1" xfId="0" applyNumberFormat="1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9" fontId="11" fillId="3" borderId="1" xfId="0" applyNumberFormat="1" applyFont="1" applyFill="1" applyBorder="1" applyAlignment="1">
      <alignment horizontal="center" vertical="center" wrapText="1"/>
    </xf>
    <xf numFmtId="3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10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21" fontId="11" fillId="3" borderId="1" xfId="0" applyNumberFormat="1" applyFont="1" applyFill="1" applyBorder="1" applyAlignment="1">
      <alignment horizontal="center" vertical="center" wrapText="1"/>
    </xf>
    <xf numFmtId="9" fontId="17" fillId="3" borderId="1" xfId="0" applyNumberFormat="1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9" fontId="11" fillId="5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9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9" fontId="17" fillId="5" borderId="1" xfId="0" applyNumberFormat="1" applyFont="1" applyFill="1" applyBorder="1" applyAlignment="1">
      <alignment horizontal="center" vertical="center" wrapText="1"/>
    </xf>
    <xf numFmtId="9" fontId="12" fillId="16" borderId="1" xfId="0" applyNumberFormat="1" applyFont="1" applyFill="1" applyBorder="1" applyAlignment="1">
      <alignment horizontal="center" vertical="center"/>
    </xf>
    <xf numFmtId="3" fontId="12" fillId="16" borderId="1" xfId="0" applyNumberFormat="1" applyFont="1" applyFill="1" applyBorder="1" applyAlignment="1">
      <alignment horizontal="center" vertical="center"/>
    </xf>
    <xf numFmtId="164" fontId="12" fillId="16" borderId="1" xfId="0" applyNumberFormat="1" applyFont="1" applyFill="1" applyBorder="1" applyAlignment="1">
      <alignment horizontal="center" vertical="center"/>
    </xf>
    <xf numFmtId="10" fontId="12" fillId="16" borderId="1" xfId="0" applyNumberFormat="1" applyFont="1" applyFill="1" applyBorder="1" applyAlignment="1">
      <alignment horizontal="center" vertical="center"/>
    </xf>
    <xf numFmtId="21" fontId="12" fillId="16" borderId="1" xfId="0" applyNumberFormat="1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/>
    </xf>
    <xf numFmtId="21" fontId="0" fillId="0" borderId="0" xfId="0" applyNumberFormat="1"/>
    <xf numFmtId="0" fontId="19" fillId="17" borderId="8" xfId="0" applyFont="1" applyFill="1" applyBorder="1" applyAlignment="1">
      <alignment horizontal="center" vertical="center"/>
    </xf>
    <xf numFmtId="0" fontId="19" fillId="17" borderId="8" xfId="0" applyFont="1" applyFill="1" applyBorder="1" applyAlignment="1">
      <alignment horizontal="center" vertical="center" wrapText="1"/>
    </xf>
    <xf numFmtId="0" fontId="20" fillId="18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0" fillId="0" borderId="9" xfId="0" applyFont="1" applyBorder="1" applyAlignment="1">
      <alignment vertical="center"/>
    </xf>
    <xf numFmtId="0" fontId="22" fillId="0" borderId="0" xfId="0" applyFont="1"/>
    <xf numFmtId="0" fontId="16" fillId="0" borderId="11" xfId="0" applyFont="1" applyBorder="1" applyAlignment="1">
      <alignment vertical="center"/>
    </xf>
    <xf numFmtId="0" fontId="16" fillId="0" borderId="11" xfId="0" applyFont="1" applyBorder="1" applyAlignment="1">
      <alignment horizontal="center" vertical="center"/>
    </xf>
    <xf numFmtId="0" fontId="16" fillId="19" borderId="0" xfId="0" applyFont="1" applyFill="1" applyAlignment="1">
      <alignment vertical="center"/>
    </xf>
    <xf numFmtId="0" fontId="16" fillId="19" borderId="0" xfId="0" applyFont="1" applyFill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16" fillId="0" borderId="1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9" fontId="13" fillId="7" borderId="0" xfId="0" applyNumberFormat="1" applyFont="1" applyFill="1" applyAlignment="1">
      <alignment horizontal="center" vertical="center" wrapText="1"/>
    </xf>
    <xf numFmtId="166" fontId="13" fillId="7" borderId="0" xfId="0" applyNumberFormat="1" applyFont="1" applyFill="1" applyAlignment="1">
      <alignment horizontal="center" vertical="center"/>
    </xf>
    <xf numFmtId="10" fontId="7" fillId="0" borderId="0" xfId="0" applyNumberFormat="1" applyFont="1"/>
    <xf numFmtId="10" fontId="2" fillId="12" borderId="0" xfId="0" applyNumberFormat="1" applyFont="1" applyFill="1" applyAlignment="1">
      <alignment horizontal="center" vertical="center"/>
    </xf>
    <xf numFmtId="10" fontId="2" fillId="13" borderId="0" xfId="0" applyNumberFormat="1" applyFont="1" applyFill="1" applyAlignment="1">
      <alignment horizontal="center" vertical="center"/>
    </xf>
    <xf numFmtId="10" fontId="2" fillId="11" borderId="0" xfId="0" applyNumberFormat="1" applyFont="1" applyFill="1" applyAlignment="1">
      <alignment horizontal="center" vertical="center"/>
    </xf>
    <xf numFmtId="10" fontId="2" fillId="10" borderId="0" xfId="0" applyNumberFormat="1" applyFont="1" applyFill="1" applyAlignment="1">
      <alignment horizontal="center" vertical="center"/>
    </xf>
    <xf numFmtId="10" fontId="2" fillId="9" borderId="0" xfId="0" applyNumberFormat="1" applyFont="1" applyFill="1" applyAlignment="1">
      <alignment horizontal="center" vertical="center"/>
    </xf>
    <xf numFmtId="1" fontId="0" fillId="0" borderId="0" xfId="0" applyNumberFormat="1"/>
    <xf numFmtId="0" fontId="2" fillId="0" borderId="0" xfId="0" applyFont="1"/>
    <xf numFmtId="1" fontId="2" fillId="0" borderId="0" xfId="0" applyNumberFormat="1" applyFont="1"/>
    <xf numFmtId="170" fontId="0" fillId="3" borderId="0" xfId="0" applyNumberFormat="1" applyFill="1" applyAlignment="1">
      <alignment horizontal="center" vertical="center"/>
    </xf>
    <xf numFmtId="170" fontId="2" fillId="3" borderId="0" xfId="0" applyNumberFormat="1" applyFont="1" applyFill="1" applyAlignment="1">
      <alignment horizontal="center" vertical="center"/>
    </xf>
    <xf numFmtId="170" fontId="0" fillId="0" borderId="0" xfId="0" applyNumberFormat="1"/>
    <xf numFmtId="4" fontId="0" fillId="0" borderId="0" xfId="0" applyNumberFormat="1"/>
    <xf numFmtId="0" fontId="25" fillId="0" borderId="0" xfId="0" applyFont="1"/>
    <xf numFmtId="0" fontId="25" fillId="0" borderId="0" xfId="0" applyFont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9" fontId="25" fillId="0" borderId="0" xfId="0" applyNumberFormat="1" applyFont="1"/>
    <xf numFmtId="0" fontId="24" fillId="0" borderId="13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3" fontId="25" fillId="0" borderId="13" xfId="0" applyNumberFormat="1" applyFont="1" applyBorder="1" applyAlignment="1">
      <alignment horizontal="center" vertical="center"/>
    </xf>
    <xf numFmtId="3" fontId="24" fillId="0" borderId="13" xfId="0" applyNumberFormat="1" applyFont="1" applyBorder="1" applyAlignment="1">
      <alignment horizontal="center" vertical="center"/>
    </xf>
    <xf numFmtId="9" fontId="25" fillId="0" borderId="13" xfId="0" applyNumberFormat="1" applyFont="1" applyBorder="1" applyAlignment="1">
      <alignment horizontal="center" vertical="center"/>
    </xf>
    <xf numFmtId="168" fontId="24" fillId="0" borderId="13" xfId="0" applyNumberFormat="1" applyFont="1" applyBorder="1" applyAlignment="1">
      <alignment horizontal="center" vertical="center"/>
    </xf>
    <xf numFmtId="0" fontId="16" fillId="19" borderId="11" xfId="0" applyFont="1" applyFill="1" applyBorder="1" applyAlignment="1">
      <alignment vertical="center"/>
    </xf>
    <xf numFmtId="0" fontId="16" fillId="19" borderId="11" xfId="0" applyFont="1" applyFill="1" applyBorder="1" applyAlignment="1">
      <alignment horizontal="center" vertical="center"/>
    </xf>
    <xf numFmtId="3" fontId="25" fillId="0" borderId="17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11" borderId="0" xfId="0" applyFont="1" applyFill="1" applyAlignment="1">
      <alignment horizontal="left" vertical="center" wrapText="1"/>
    </xf>
    <xf numFmtId="3" fontId="0" fillId="11" borderId="0" xfId="0" applyNumberFormat="1" applyFill="1" applyAlignment="1">
      <alignment horizontal="center" vertical="center"/>
    </xf>
    <xf numFmtId="3" fontId="2" fillId="11" borderId="0" xfId="0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21" fontId="0" fillId="11" borderId="0" xfId="0" applyNumberForma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left" vertical="center" wrapText="1"/>
    </xf>
    <xf numFmtId="0" fontId="2" fillId="20" borderId="0" xfId="0" applyFont="1" applyFill="1" applyAlignment="1">
      <alignment horizontal="left" vertical="center" wrapText="1"/>
    </xf>
    <xf numFmtId="0" fontId="2" fillId="21" borderId="0" xfId="0" applyFont="1" applyFill="1" applyAlignment="1">
      <alignment horizontal="left" vertical="center" wrapText="1"/>
    </xf>
    <xf numFmtId="0" fontId="2" fillId="22" borderId="0" xfId="0" applyFont="1" applyFill="1" applyAlignment="1">
      <alignment horizontal="left" vertical="center" wrapText="1"/>
    </xf>
    <xf numFmtId="0" fontId="2" fillId="23" borderId="0" xfId="0" applyFont="1" applyFill="1" applyAlignment="1">
      <alignment horizontal="left" vertical="center" wrapText="1"/>
    </xf>
    <xf numFmtId="0" fontId="2" fillId="2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25" borderId="0" xfId="0" applyFill="1" applyAlignment="1">
      <alignment vertical="center" wrapText="1"/>
    </xf>
    <xf numFmtId="0" fontId="0" fillId="25" borderId="0" xfId="0" applyFill="1" applyAlignment="1">
      <alignment horizontal="center" vertical="center"/>
    </xf>
    <xf numFmtId="0" fontId="0" fillId="25" borderId="0" xfId="0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 indent="61"/>
    </xf>
    <xf numFmtId="0" fontId="17" fillId="5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/>
    </xf>
    <xf numFmtId="17" fontId="20" fillId="0" borderId="10" xfId="0" applyNumberFormat="1" applyFont="1" applyBorder="1" applyAlignment="1">
      <alignment horizontal="center" vertical="center" wrapText="1"/>
    </xf>
    <xf numFmtId="17" fontId="20" fillId="0" borderId="0" xfId="0" applyNumberFormat="1" applyFont="1" applyAlignment="1">
      <alignment horizontal="center" vertical="center" wrapText="1"/>
    </xf>
    <xf numFmtId="14" fontId="20" fillId="0" borderId="10" xfId="0" applyNumberFormat="1" applyFont="1" applyBorder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18" borderId="0" xfId="0" applyFont="1" applyFill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4" fillId="5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10" fontId="4" fillId="5" borderId="0" xfId="0" applyNumberFormat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0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49" fontId="15" fillId="14" borderId="0" xfId="0" applyNumberFormat="1" applyFont="1" applyFill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DD5A09"/>
      <color rgb="FF00FF00"/>
      <color rgb="FFFFA7A7"/>
      <color rgb="FFFFD13F"/>
      <color rgb="FFFF8585"/>
      <color rgb="FFEEF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ATENDIMENTOS MÉDICOS - UPA II</a:t>
            </a:r>
            <a:br>
              <a:rPr lang="pt-BR"/>
            </a:br>
            <a:r>
              <a:rPr lang="pt-BR" sz="1200" b="0" i="1"/>
              <a:t>MARÇO 2026 À FEVEREIRO 2027</a:t>
            </a:r>
            <a:endParaRPr lang="pt-BR" b="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UPAS'!$A$8</c:f>
              <c:strCache>
                <c:ptCount val="1"/>
                <c:pt idx="0">
                  <c:v>ATENDIMENTOS MÉDICOS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'INDICADORES UPAS'!$B$7:$O$7</c:f>
              <c:strCache>
                <c:ptCount val="14"/>
                <c:pt idx="1">
                  <c:v>MARÇO.26</c:v>
                </c:pt>
                <c:pt idx="2">
                  <c:v>ABRIL.26</c:v>
                </c:pt>
                <c:pt idx="3">
                  <c:v>MAIO.26</c:v>
                </c:pt>
                <c:pt idx="4">
                  <c:v>JUNHO.26</c:v>
                </c:pt>
                <c:pt idx="5">
                  <c:v>JULHO.26</c:v>
                </c:pt>
                <c:pt idx="6">
                  <c:v>AGOSTO.26</c:v>
                </c:pt>
                <c:pt idx="7">
                  <c:v>SETEMBRO.26</c:v>
                </c:pt>
                <c:pt idx="8">
                  <c:v>OUTUBRO.26</c:v>
                </c:pt>
                <c:pt idx="9">
                  <c:v>NOVEMBRO.26</c:v>
                </c:pt>
                <c:pt idx="10">
                  <c:v>DEZEMBRO.26</c:v>
                </c:pt>
                <c:pt idx="11">
                  <c:v>JANEIRO.27</c:v>
                </c:pt>
                <c:pt idx="12">
                  <c:v>FEVEREIRO.27</c:v>
                </c:pt>
                <c:pt idx="13">
                  <c:v>TOTAL</c:v>
                </c:pt>
              </c:strCache>
            </c:strRef>
          </c:cat>
          <c:val>
            <c:numRef>
              <c:f>'INDICADORES UPAS'!$B$8:$O$8</c:f>
              <c:numCache>
                <c:formatCode>#,##0</c:formatCode>
                <c:ptCount val="14"/>
                <c:pt idx="1">
                  <c:v>12000</c:v>
                </c:pt>
                <c:pt idx="2">
                  <c:v>9400</c:v>
                </c:pt>
                <c:pt idx="3">
                  <c:v>10500</c:v>
                </c:pt>
                <c:pt idx="4">
                  <c:v>12800</c:v>
                </c:pt>
                <c:pt idx="13">
                  <c:v>44700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3-4E4C-9CE1-489258FFED7D}"/>
            </c:ext>
          </c:extLst>
        </c:ser>
        <c:ser>
          <c:idx val="1"/>
          <c:order val="1"/>
          <c:tx>
            <c:strRef>
              <c:f>'INDICADORES UPAS'!$A$9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'INDICADORES UPAS'!$B$7:$O$7</c:f>
              <c:strCache>
                <c:ptCount val="14"/>
                <c:pt idx="1">
                  <c:v>MARÇO.26</c:v>
                </c:pt>
                <c:pt idx="2">
                  <c:v>ABRIL.26</c:v>
                </c:pt>
                <c:pt idx="3">
                  <c:v>MAIO.26</c:v>
                </c:pt>
                <c:pt idx="4">
                  <c:v>JUNHO.26</c:v>
                </c:pt>
                <c:pt idx="5">
                  <c:v>JULHO.26</c:v>
                </c:pt>
                <c:pt idx="6">
                  <c:v>AGOSTO.26</c:v>
                </c:pt>
                <c:pt idx="7">
                  <c:v>SETEMBRO.26</c:v>
                </c:pt>
                <c:pt idx="8">
                  <c:v>OUTUBRO.26</c:v>
                </c:pt>
                <c:pt idx="9">
                  <c:v>NOVEMBRO.26</c:v>
                </c:pt>
                <c:pt idx="10">
                  <c:v>DEZEMBRO.26</c:v>
                </c:pt>
                <c:pt idx="11">
                  <c:v>JANEIRO.27</c:v>
                </c:pt>
                <c:pt idx="12">
                  <c:v>FEVEREIRO.27</c:v>
                </c:pt>
                <c:pt idx="13">
                  <c:v>TOTAL</c:v>
                </c:pt>
              </c:strCache>
            </c:strRef>
          </c:cat>
          <c:val>
            <c:numRef>
              <c:f>'INDICADORES UPAS'!$B$9:$O$9</c:f>
              <c:numCache>
                <c:formatCode>#,##0</c:formatCode>
                <c:ptCount val="14"/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8000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8000</c:v>
                </c:pt>
                <c:pt idx="12">
                  <c:v>8000</c:v>
                </c:pt>
                <c:pt idx="13">
                  <c:v>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3-4E4C-9CE1-489258FFED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953733743"/>
        <c:axId val="953747631"/>
      </c:barChart>
      <c:catAx>
        <c:axId val="95373374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53747631"/>
        <c:crosses val="autoZero"/>
        <c:auto val="1"/>
        <c:lblAlgn val="ctr"/>
        <c:lblOffset val="100"/>
        <c:noMultiLvlLbl val="0"/>
      </c:catAx>
      <c:valAx>
        <c:axId val="9537476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373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Atendimentos por Classificação de Risco</a:t>
            </a:r>
          </a:p>
          <a:p>
            <a:pPr>
              <a:defRPr/>
            </a:pPr>
            <a:r>
              <a:rPr lang="en-US" sz="1200" b="0" i="1"/>
              <a:t>MARÇO</a:t>
            </a:r>
            <a:r>
              <a:rPr lang="en-US" sz="1200" b="0" i="1" baseline="0"/>
              <a:t> À JUNHO 2026</a:t>
            </a:r>
            <a:endParaRPr lang="en-US" sz="1200" b="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381670770758103"/>
          <c:y val="0.17709642355311647"/>
          <c:w val="0.73618329229241897"/>
          <c:h val="0.434752777114981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'INDICADORES UPAS'!$B$12</c:f>
              <c:strCache>
                <c:ptCount val="1"/>
                <c:pt idx="0">
                  <c:v>NÃO URGENTE (AZUL)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'INDICADORES UPAS'!$C$11:$H$11</c:f>
              <c:strCache>
                <c:ptCount val="6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</c:strCache>
            </c:strRef>
          </c:cat>
          <c:val>
            <c:numRef>
              <c:f>'INDICADORES UPAS'!$C$12:$F$12</c:f>
              <c:numCache>
                <c:formatCode>#,##0</c:formatCode>
                <c:ptCount val="4"/>
                <c:pt idx="0">
                  <c:v>300</c:v>
                </c:pt>
                <c:pt idx="1">
                  <c:v>34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3-430F-8017-D89E12B9310C}"/>
            </c:ext>
          </c:extLst>
        </c:ser>
        <c:ser>
          <c:idx val="1"/>
          <c:order val="1"/>
          <c:tx>
            <c:strRef>
              <c:f>'INDICADORES UPAS'!$B$13</c:f>
              <c:strCache>
                <c:ptCount val="1"/>
                <c:pt idx="0">
                  <c:v>POUCO URGENTE (VERDE)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'INDICADORES UPAS'!$C$11:$H$11</c:f>
              <c:strCache>
                <c:ptCount val="6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</c:strCache>
            </c:strRef>
          </c:cat>
          <c:val>
            <c:numRef>
              <c:f>'INDICADORES UPAS'!$C$13:$F$13</c:f>
              <c:numCache>
                <c:formatCode>#,##0</c:formatCode>
                <c:ptCount val="4"/>
                <c:pt idx="0">
                  <c:v>96</c:v>
                </c:pt>
                <c:pt idx="1">
                  <c:v>1240</c:v>
                </c:pt>
                <c:pt idx="2">
                  <c:v>7580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3-430F-8017-D89E12B9310C}"/>
            </c:ext>
          </c:extLst>
        </c:ser>
        <c:ser>
          <c:idx val="2"/>
          <c:order val="2"/>
          <c:tx>
            <c:strRef>
              <c:f>'INDICADORES UPAS'!$B$14</c:f>
              <c:strCache>
                <c:ptCount val="1"/>
                <c:pt idx="0">
                  <c:v>URGENTE (AMARELO)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'INDICADORES UPAS'!$C$11:$H$11</c:f>
              <c:strCache>
                <c:ptCount val="6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</c:strCache>
            </c:strRef>
          </c:cat>
          <c:val>
            <c:numRef>
              <c:f>'INDICADORES UPAS'!$C$14:$F$14</c:f>
              <c:numCache>
                <c:formatCode>#,##0</c:formatCode>
                <c:ptCount val="4"/>
                <c:pt idx="0">
                  <c:v>84</c:v>
                </c:pt>
                <c:pt idx="1">
                  <c:v>1000</c:v>
                </c:pt>
                <c:pt idx="2">
                  <c:v>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03-430F-8017-D89E12B9310C}"/>
            </c:ext>
          </c:extLst>
        </c:ser>
        <c:ser>
          <c:idx val="3"/>
          <c:order val="3"/>
          <c:tx>
            <c:strRef>
              <c:f>'INDICADORES UPAS'!$B$15</c:f>
              <c:strCache>
                <c:ptCount val="1"/>
                <c:pt idx="0">
                  <c:v>MUITO URGENTE (LARANJA)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'INDICADORES UPAS'!$C$11:$H$11</c:f>
              <c:strCache>
                <c:ptCount val="6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</c:strCache>
            </c:strRef>
          </c:cat>
          <c:val>
            <c:numRef>
              <c:f>'INDICADORES UPAS'!$C$15:$F$15</c:f>
              <c:numCache>
                <c:formatCode>#,##0</c:formatCode>
                <c:ptCount val="4"/>
                <c:pt idx="0">
                  <c:v>16</c:v>
                </c:pt>
                <c:pt idx="1">
                  <c:v>800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03-430F-8017-D89E12B9310C}"/>
            </c:ext>
          </c:extLst>
        </c:ser>
        <c:ser>
          <c:idx val="4"/>
          <c:order val="4"/>
          <c:tx>
            <c:strRef>
              <c:f>'INDICADORES UPAS'!$B$16</c:f>
              <c:strCache>
                <c:ptCount val="1"/>
                <c:pt idx="0">
                  <c:v>EMERGÊNCIA (VERMELHO)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'INDICADORES UPAS'!$C$11:$H$11</c:f>
              <c:strCache>
                <c:ptCount val="6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</c:strCache>
            </c:strRef>
          </c:cat>
          <c:val>
            <c:numRef>
              <c:f>'INDICADORES UPAS'!$C$16:$F$16</c:f>
              <c:numCache>
                <c:formatCode>#,##0</c:formatCode>
                <c:ptCount val="4"/>
                <c:pt idx="0">
                  <c:v>25</c:v>
                </c:pt>
                <c:pt idx="1">
                  <c:v>59</c:v>
                </c:pt>
                <c:pt idx="2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03-430F-8017-D89E12B9310C}"/>
            </c:ext>
          </c:extLst>
        </c:ser>
        <c:ser>
          <c:idx val="5"/>
          <c:order val="5"/>
          <c:tx>
            <c:strRef>
              <c:f>'INDICADORES UPAS'!$B$17</c:f>
              <c:strCache>
                <c:ptCount val="1"/>
                <c:pt idx="0">
                  <c:v>Não informado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'INDICADORES UPAS'!$C$11:$H$11</c:f>
              <c:strCache>
                <c:ptCount val="6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</c:strCache>
            </c:strRef>
          </c:cat>
          <c:val>
            <c:numRef>
              <c:f>'INDICADORES UPAS'!$C$17:$F$17</c:f>
              <c:numCache>
                <c:formatCode>#,##0</c:formatCode>
                <c:ptCount val="4"/>
                <c:pt idx="0">
                  <c:v>31</c:v>
                </c:pt>
                <c:pt idx="1">
                  <c:v>21</c:v>
                </c:pt>
                <c:pt idx="2">
                  <c:v>23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7C03-430F-8017-D89E12B93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18987359"/>
        <c:axId val="1318985439"/>
        <c:extLst/>
      </c:barChart>
      <c:lineChart>
        <c:grouping val="standard"/>
        <c:varyColors val="0"/>
        <c:ser>
          <c:idx val="6"/>
          <c:order val="6"/>
          <c:tx>
            <c:strRef>
              <c:f>'INDICADORES UPAS'!$B$18</c:f>
              <c:strCache>
                <c:ptCount val="1"/>
                <c:pt idx="0">
                  <c:v>TOTAL DE ATENDIMENTOS POR CLASSIFICAÇÃO DE RISCO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'INDICADORES UPAS'!$C$11:$F$11</c:f>
              <c:strCache>
                <c:ptCount val="4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</c:strCache>
            </c:strRef>
          </c:cat>
          <c:val>
            <c:numRef>
              <c:f>'INDICADORES UPAS'!$C$18:$F$18</c:f>
              <c:numCache>
                <c:formatCode>#,##0</c:formatCode>
                <c:ptCount val="4"/>
                <c:pt idx="0">
                  <c:v>552</c:v>
                </c:pt>
                <c:pt idx="1">
                  <c:v>3154</c:v>
                </c:pt>
                <c:pt idx="2">
                  <c:v>11447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03-430F-8017-D89E12B93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987359"/>
        <c:axId val="1318985439"/>
      </c:lineChart>
      <c:catAx>
        <c:axId val="131898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8985439"/>
        <c:crosses val="autoZero"/>
        <c:auto val="1"/>
        <c:lblAlgn val="ctr"/>
        <c:lblOffset val="100"/>
        <c:noMultiLvlLbl val="0"/>
      </c:catAx>
      <c:valAx>
        <c:axId val="1318985439"/>
        <c:scaling>
          <c:orientation val="minMax"/>
          <c:max val="13400"/>
        </c:scaling>
        <c:delete val="1"/>
        <c:axPos val="l"/>
        <c:numFmt formatCode="#,##0" sourceLinked="1"/>
        <c:majorTickMark val="out"/>
        <c:minorTickMark val="none"/>
        <c:tickLblPos val="nextTo"/>
        <c:crossAx val="1318987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PERCENTUAL POR CLASSIFICAÇÃO DE RISCO - UPA II</a:t>
            </a:r>
            <a:br>
              <a:rPr lang="pt-BR"/>
            </a:br>
            <a:r>
              <a:rPr lang="pt-BR"/>
              <a:t>MARÇO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E7-4C89-BBCD-F48A1A29AF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E7-4C89-BBCD-F48A1A29AF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E7-4C89-BBCD-F48A1A29AF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E7-4C89-BBCD-F48A1A29AF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E7-4C89-BBCD-F48A1A29AF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E7-4C89-BBCD-F48A1A29AF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'INDICADORES UPAS'!$A$20:$B$25</c15:sqref>
                  </c15:fullRef>
                  <c15:levelRef>
                    <c15:sqref>'INDICADORES UPAS'!$B$20:$B$25</c15:sqref>
                  </c15:levelRef>
                </c:ext>
              </c:extLst>
              <c:f>'INDICADORES UPAS'!$B$20:$B$25</c:f>
              <c:strCache>
                <c:ptCount val="6"/>
                <c:pt idx="0">
                  <c:v>NÃO URGENTE (AZUL)</c:v>
                </c:pt>
                <c:pt idx="1">
                  <c:v>POUCO URGENTE (VERDE)</c:v>
                </c:pt>
                <c:pt idx="2">
                  <c:v>URGENTE (AMARELO)</c:v>
                </c:pt>
                <c:pt idx="3">
                  <c:v>MUITO URGENTE (LARANJA)</c:v>
                </c:pt>
                <c:pt idx="4">
                  <c:v>EMERGÊNCIA (VERMELHO)</c:v>
                </c:pt>
                <c:pt idx="5">
                  <c:v>Não Informado</c:v>
                </c:pt>
              </c:strCache>
            </c:strRef>
          </c:cat>
          <c:val>
            <c:numRef>
              <c:f>'INDICADORES UPAS'!$C$20:$C$25</c:f>
              <c:numCache>
                <c:formatCode>0.00%</c:formatCode>
                <c:ptCount val="6"/>
                <c:pt idx="0">
                  <c:v>0.54347826086956519</c:v>
                </c:pt>
                <c:pt idx="1">
                  <c:v>0.17391304347826086</c:v>
                </c:pt>
                <c:pt idx="2">
                  <c:v>0.15217391304347827</c:v>
                </c:pt>
                <c:pt idx="3">
                  <c:v>2.8985507246376812E-2</c:v>
                </c:pt>
                <c:pt idx="4">
                  <c:v>4.5289855072463768E-2</c:v>
                </c:pt>
                <c:pt idx="5">
                  <c:v>5.6159420289855072E-2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E7-4C89-BBCD-F48A1A29AF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</a:t>
            </a:r>
            <a:r>
              <a:rPr lang="pt-BR" baseline="0"/>
              <a:t> DE ESPERA PARA </a:t>
            </a:r>
            <a:br>
              <a:rPr lang="pt-BR" baseline="0"/>
            </a:br>
            <a:r>
              <a:rPr lang="pt-BR" baseline="0"/>
              <a:t>CLASSIFICAÇÃO DE RISCO - UPA II</a:t>
            </a:r>
            <a:br>
              <a:rPr lang="pt-BR" baseline="0"/>
            </a:br>
            <a:r>
              <a:rPr lang="pt-BR" sz="1100" b="0" i="1" baseline="0"/>
              <a:t>MARÇO 2026 À FEVEREIRO 2027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7337774278975397E-2"/>
          <c:y val="0.24326384108565244"/>
          <c:w val="0.95961874522744695"/>
          <c:h val="0.51391545899508395"/>
        </c:manualLayout>
      </c:layout>
      <c:lineChart>
        <c:grouping val="standard"/>
        <c:varyColors val="0"/>
        <c:ser>
          <c:idx val="0"/>
          <c:order val="0"/>
          <c:tx>
            <c:strRef>
              <c:f>'INDICADORES UPAS'!$A$28:$B$28</c:f>
              <c:strCache>
                <c:ptCount val="2"/>
                <c:pt idx="0">
                  <c:v>TEMPO DE ESPERA PARA CLASSIFICAÇÃO DE RISCO</c:v>
                </c:pt>
                <c:pt idx="1">
                  <c:v>MÉDIA GERAL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UPAS'!$C$27:$N$27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UPAS'!$C$28:$N$28</c:f>
              <c:numCache>
                <c:formatCode>[h]:mm:ss;@</c:formatCode>
                <c:ptCount val="12"/>
                <c:pt idx="0">
                  <c:v>6.2500000000000003E-3</c:v>
                </c:pt>
                <c:pt idx="1">
                  <c:v>8.3333333333333332E-3</c:v>
                </c:pt>
                <c:pt idx="2">
                  <c:v>7.6388888888888886E-3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A7-46BA-8346-159703D0FB8F}"/>
            </c:ext>
          </c:extLst>
        </c:ser>
        <c:ser>
          <c:idx val="1"/>
          <c:order val="1"/>
          <c:tx>
            <c:strRef>
              <c:f>'INDICADORES UPAS'!$A$29:$B$29</c:f>
              <c:strCache>
                <c:ptCount val="2"/>
                <c:pt idx="0">
                  <c:v>META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UPAS'!$C$27:$N$27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UPAS'!$C$29:$N$29</c:f>
              <c:numCache>
                <c:formatCode>h:mm:ss</c:formatCode>
                <c:ptCount val="12"/>
                <c:pt idx="0">
                  <c:v>6.9444444444444441E-3</c:v>
                </c:pt>
                <c:pt idx="1">
                  <c:v>6.9444444444444441E-3</c:v>
                </c:pt>
                <c:pt idx="2">
                  <c:v>6.9444444444444441E-3</c:v>
                </c:pt>
                <c:pt idx="3">
                  <c:v>6.9444444444444441E-3</c:v>
                </c:pt>
                <c:pt idx="4">
                  <c:v>6.9444444444444441E-3</c:v>
                </c:pt>
                <c:pt idx="5">
                  <c:v>6.9444444444444441E-3</c:v>
                </c:pt>
                <c:pt idx="6">
                  <c:v>6.9444444444444441E-3</c:v>
                </c:pt>
                <c:pt idx="7">
                  <c:v>6.9444444444444441E-3</c:v>
                </c:pt>
                <c:pt idx="8">
                  <c:v>6.9444444444444397E-3</c:v>
                </c:pt>
                <c:pt idx="9">
                  <c:v>6.9444444444444397E-3</c:v>
                </c:pt>
                <c:pt idx="10">
                  <c:v>6.9444444444444441E-3</c:v>
                </c:pt>
                <c:pt idx="11">
                  <c:v>6.9444444444444441E-3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A7-46BA-8346-159703D0FB8F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4989743"/>
        <c:axId val="1424987823"/>
      </c:lineChart>
      <c:catAx>
        <c:axId val="142498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4987823"/>
        <c:crosses val="autoZero"/>
        <c:auto val="1"/>
        <c:lblAlgn val="ctr"/>
        <c:lblOffset val="100"/>
        <c:noMultiLvlLbl val="0"/>
      </c:catAx>
      <c:valAx>
        <c:axId val="1424987823"/>
        <c:scaling>
          <c:orientation val="minMax"/>
        </c:scaling>
        <c:delete val="1"/>
        <c:axPos val="l"/>
        <c:numFmt formatCode="[h]:mm:ss;@" sourceLinked="1"/>
        <c:majorTickMark val="out"/>
        <c:minorTickMark val="none"/>
        <c:tickLblPos val="nextTo"/>
        <c:crossAx val="142498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TEMPO MÉDIO DE ESPERA DE ATENDIMENTO MÉDICO </a:t>
            </a:r>
          </a:p>
          <a:p>
            <a:pPr>
              <a:defRPr/>
            </a:pPr>
            <a:r>
              <a:rPr lang="en-US" b="1"/>
              <a:t>POR CLASSIFICAÇÃO DE RISCO MÉDIA GERAL - UPA II</a:t>
            </a:r>
            <a:br>
              <a:rPr lang="en-US"/>
            </a:br>
            <a:r>
              <a:rPr lang="en-US" sz="1200" i="1"/>
              <a:t>MARÇO 2026 À FEVEREIRO 2027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2359471563539915E-2"/>
          <c:y val="0.28139396524788596"/>
          <c:w val="0.95973007914444208"/>
          <c:h val="0.47176682022959771"/>
        </c:manualLayout>
      </c:layout>
      <c:lineChart>
        <c:grouping val="percentStacked"/>
        <c:varyColors val="0"/>
        <c:ser>
          <c:idx val="0"/>
          <c:order val="0"/>
          <c:tx>
            <c:strRef>
              <c:f>'INDICADORES UPAS'!$A$32:$B$32</c:f>
              <c:strCache>
                <c:ptCount val="2"/>
                <c:pt idx="0">
                  <c:v>TEMPO MÉDIO DE ESPERA DE ATENDIMENTO MÉDICO POR CLASSIFICAÇÃO DE RISCO</c:v>
                </c:pt>
                <c:pt idx="1">
                  <c:v>MÉDIA GERAL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UPAS'!$C$31:$N$31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UPAS'!$C$32:$N$32</c:f>
              <c:numCache>
                <c:formatCode>[h]:mm:ss;@</c:formatCode>
                <c:ptCount val="12"/>
                <c:pt idx="0">
                  <c:v>4.0972222222222222E-2</c:v>
                </c:pt>
                <c:pt idx="1">
                  <c:v>1.3888888888888888E-2</c:v>
                </c:pt>
                <c:pt idx="2">
                  <c:v>9.0277777777777769E-3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7-48FC-A74D-00843DEC61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3440895"/>
        <c:axId val="503443295"/>
      </c:lineChart>
      <c:catAx>
        <c:axId val="50344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3443295"/>
        <c:crosses val="autoZero"/>
        <c:auto val="1"/>
        <c:lblAlgn val="ctr"/>
        <c:lblOffset val="100"/>
        <c:noMultiLvlLbl val="0"/>
      </c:catAx>
      <c:valAx>
        <c:axId val="503443295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50344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DE PERMANÊNCIA DE PACIENTES INTERNADOS </a:t>
            </a:r>
          </a:p>
          <a:p>
            <a:pPr>
              <a:defRPr/>
            </a:pPr>
            <a:r>
              <a:rPr lang="en-US"/>
              <a:t>TEMPO MÉDIO DE PERMANÊNCIA GERAL - UPA II</a:t>
            </a:r>
          </a:p>
          <a:p>
            <a:pPr>
              <a:defRPr/>
            </a:pPr>
            <a:r>
              <a:rPr lang="en-US" sz="1400" b="0" i="1"/>
              <a:t>MARÇO 2026 À FEVEREIRO 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'INDICADORES UPAS'!$A$35:$B$35</c:f>
              <c:strCache>
                <c:ptCount val="2"/>
                <c:pt idx="0">
                  <c:v>TEMPO DE PERMANÊNCIA DE PACIENTES INTERNADOS</c:v>
                </c:pt>
                <c:pt idx="1">
                  <c:v>TEMPO MÉDIO DE PERMANÊNCIA GERAL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UPAS'!$C$34:$N$34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UPAS'!$C$35:$N$35</c:f>
              <c:numCache>
                <c:formatCode>[h]:mm:ss;@</c:formatCode>
                <c:ptCount val="12"/>
                <c:pt idx="0">
                  <c:v>1.2084722222222222</c:v>
                </c:pt>
                <c:pt idx="1">
                  <c:v>1.1854166666666666</c:v>
                </c:pt>
                <c:pt idx="2">
                  <c:v>0.95833333333333337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D-4110-AE90-B3B64CA2FEB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12806191"/>
        <c:axId val="612790351"/>
      </c:lineChart>
      <c:catAx>
        <c:axId val="61280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790351"/>
        <c:crosses val="autoZero"/>
        <c:auto val="1"/>
        <c:lblAlgn val="ctr"/>
        <c:lblOffset val="100"/>
        <c:noMultiLvlLbl val="0"/>
      </c:catAx>
      <c:valAx>
        <c:axId val="612790351"/>
        <c:scaling>
          <c:orientation val="minMax"/>
        </c:scaling>
        <c:delete val="1"/>
        <c:axPos val="l"/>
        <c:numFmt formatCode="[h]:mm:ss;@" sourceLinked="1"/>
        <c:majorTickMark val="out"/>
        <c:minorTickMark val="none"/>
        <c:tickLblPos val="nextTo"/>
        <c:crossAx val="61280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 sz="1200" b="1"/>
              <a:t>TEMPO DE PERMANÊNCIA DE PACIENTES SEM INTERNAÇÃO </a:t>
            </a:r>
          </a:p>
          <a:p>
            <a:pPr>
              <a:defRPr/>
            </a:pPr>
            <a:r>
              <a:rPr lang="en-US" sz="1200" b="1"/>
              <a:t>TEMPO MÉDIO DE PERMANÊNCIA ATENDIMENTOS DE PORTA - UPA II</a:t>
            </a:r>
          </a:p>
          <a:p>
            <a:pPr>
              <a:defRPr/>
            </a:pPr>
            <a:r>
              <a:rPr lang="en-US" sz="1200" i="1"/>
              <a:t>MARÇO</a:t>
            </a:r>
            <a:r>
              <a:rPr lang="en-US" sz="1200" i="1" baseline="0"/>
              <a:t> 2026 À FEVEREIRO 2027</a:t>
            </a:r>
            <a:endParaRPr lang="en-US" sz="12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'INDICADORES UPAS'!$A$38:$B$38</c:f>
              <c:strCache>
                <c:ptCount val="2"/>
                <c:pt idx="0">
                  <c:v>TEMPO DE PERMANÊNCIA DE PACIENTES SEM INTERNAÇÃO</c:v>
                </c:pt>
                <c:pt idx="1">
                  <c:v>TEMPO MÉDIO DE PERMANÊNCIA ATENDIMENTOS DE PORTA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'INDICADORES UPAS'!$C$37:$N$37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UPAS'!$C$38:$N$38</c:f>
              <c:numCache>
                <c:formatCode>[h]:mm:ss;@</c:formatCode>
                <c:ptCount val="12"/>
                <c:pt idx="0">
                  <c:v>6.5972222222222224E-2</c:v>
                </c:pt>
                <c:pt idx="1">
                  <c:v>8.611111111111111E-2</c:v>
                </c:pt>
                <c:pt idx="2">
                  <c:v>0.12777777777777777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D-48B6-9163-53A932BDDB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2797551"/>
        <c:axId val="612788911"/>
      </c:lineChart>
      <c:catAx>
        <c:axId val="612797551"/>
        <c:scaling>
          <c:orientation val="minMax"/>
        </c:scaling>
        <c:delete val="0"/>
        <c:axPos val="b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788911"/>
        <c:crosses val="autoZero"/>
        <c:auto val="1"/>
        <c:lblAlgn val="ctr"/>
        <c:lblOffset val="100"/>
        <c:noMultiLvlLbl val="0"/>
      </c:catAx>
      <c:valAx>
        <c:axId val="612788911"/>
        <c:scaling>
          <c:orientation val="minMax"/>
        </c:scaling>
        <c:delete val="1"/>
        <c:axPos val="l"/>
        <c:numFmt formatCode="[h]:mm:ss;@" sourceLinked="1"/>
        <c:majorTickMark val="none"/>
        <c:minorTickMark val="none"/>
        <c:tickLblPos val="nextTo"/>
        <c:crossAx val="61279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PERCENTUAL DE REMOÇÕES</a:t>
            </a:r>
          </a:p>
          <a:p>
            <a:pPr>
              <a:defRPr/>
            </a:pPr>
            <a:r>
              <a:rPr lang="en-US"/>
              <a:t> REALIZADAS POR USA - UPA II</a:t>
            </a:r>
            <a:br>
              <a:rPr lang="en-US"/>
            </a:br>
            <a:r>
              <a:rPr lang="en-US" sz="1200" b="0" i="1"/>
              <a:t>MARÇO 2026 À</a:t>
            </a:r>
            <a:r>
              <a:rPr lang="en-US" sz="1200" b="0" i="1" baseline="0"/>
              <a:t> FEVEREIRO 2027</a:t>
            </a:r>
            <a:endParaRPr lang="en-US" b="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UPAS'!$A$41:$B$41</c:f>
              <c:strCache>
                <c:ptCount val="2"/>
                <c:pt idx="0">
                  <c:v>TRANSFERÊNCIAS (REMOÇÕES)</c:v>
                </c:pt>
                <c:pt idx="1">
                  <c:v>PERCENTUAL DE TRANSFERÊNCIAS PACIENTES INTERNADOS POR USA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UPAS'!$C$40:$N$40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UPAS'!$C$41:$N$41</c:f>
              <c:numCache>
                <c:formatCode>General</c:formatCode>
                <c:ptCount val="12"/>
                <c:pt idx="0">
                  <c:v>64</c:v>
                </c:pt>
                <c:pt idx="1">
                  <c:v>12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F-49DD-B0A5-B515845500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15290239"/>
        <c:axId val="1415287839"/>
      </c:barChart>
      <c:catAx>
        <c:axId val="1415290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5287839"/>
        <c:crosses val="autoZero"/>
        <c:auto val="1"/>
        <c:lblAlgn val="ctr"/>
        <c:lblOffset val="100"/>
        <c:noMultiLvlLbl val="0"/>
      </c:catAx>
      <c:valAx>
        <c:axId val="14152878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41529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EXAMES REALIZADOS -</a:t>
            </a:r>
            <a:r>
              <a:rPr lang="en-US" baseline="0"/>
              <a:t> UPA II</a:t>
            </a:r>
            <a:br>
              <a:rPr lang="en-US" baseline="0"/>
            </a:br>
            <a:r>
              <a:rPr lang="en-US" sz="1200" b="0" i="1" baseline="0"/>
              <a:t>MARÇO 2026 À FEVEIRO 2027</a:t>
            </a:r>
            <a:endParaRPr lang="en-US" b="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UPAS'!$A$44:$B$44</c:f>
              <c:strCache>
                <c:ptCount val="2"/>
                <c:pt idx="0">
                  <c:v>EXAMES INTERNOS</c:v>
                </c:pt>
                <c:pt idx="1">
                  <c:v>RAIO-X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UPAS'!$C$43:$N$43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UPAS'!$C$44:$N$44</c:f>
              <c:numCache>
                <c:formatCode>#,##0</c:formatCode>
                <c:ptCount val="12"/>
                <c:pt idx="0">
                  <c:v>1200</c:v>
                </c:pt>
                <c:pt idx="1">
                  <c:v>1350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6-46C6-B3B4-DA320034B2E5}"/>
            </c:ext>
          </c:extLst>
        </c:ser>
        <c:ser>
          <c:idx val="1"/>
          <c:order val="1"/>
          <c:tx>
            <c:strRef>
              <c:f>'INDICADORES UPAS'!$A$45:$B$45</c:f>
              <c:strCache>
                <c:ptCount val="2"/>
                <c:pt idx="0">
                  <c:v>EXAMES INTERNOS</c:v>
                </c:pt>
                <c:pt idx="1">
                  <c:v>PATOLOGIA CLINICA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UPAS'!$C$43:$N$43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UPAS'!$C$45:$N$45</c:f>
              <c:numCache>
                <c:formatCode>#,##0</c:formatCode>
                <c:ptCount val="12"/>
                <c:pt idx="0">
                  <c:v>340</c:v>
                </c:pt>
                <c:pt idx="1">
                  <c:v>845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6-46C6-B3B4-DA320034B2E5}"/>
            </c:ext>
          </c:extLst>
        </c:ser>
        <c:ser>
          <c:idx val="2"/>
          <c:order val="2"/>
          <c:tx>
            <c:strRef>
              <c:f>'INDICADORES UPAS'!$A$46:$B$46</c:f>
              <c:strCache>
                <c:ptCount val="2"/>
                <c:pt idx="0">
                  <c:v>EXAMES INTERNOS</c:v>
                </c:pt>
                <c:pt idx="1">
                  <c:v>ELETROCARDIOGRAMA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UPAS'!$C$43:$N$43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UPAS'!$C$46:$N$46</c:f>
              <c:numCache>
                <c:formatCode>#,##0</c:formatCode>
                <c:ptCount val="12"/>
                <c:pt idx="0">
                  <c:v>152</c:v>
                </c:pt>
                <c:pt idx="1">
                  <c:v>94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6-46C6-B3B4-DA320034B2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12788911"/>
        <c:axId val="612789391"/>
      </c:barChart>
      <c:catAx>
        <c:axId val="61278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789391"/>
        <c:crosses val="autoZero"/>
        <c:auto val="1"/>
        <c:lblAlgn val="ctr"/>
        <c:lblOffset val="100"/>
        <c:noMultiLvlLbl val="0"/>
      </c:catAx>
      <c:valAx>
        <c:axId val="61278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788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ATENDIMENTOS POR FAIXA ÉTARIA - UPA II</a:t>
            </a:r>
            <a:br>
              <a:rPr lang="en-US" sz="14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100" b="0" i="1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MARÇO 2026 À MAIO 2026</a:t>
            </a:r>
            <a:endParaRPr lang="en-US" sz="1400" b="0" i="1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UPAS'!$C$49</c:f>
              <c:strCache>
                <c:ptCount val="1"/>
                <c:pt idx="0">
                  <c:v>MARÇO.26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'INDICADORES UPAS'!$A$50:$B$58</c15:sqref>
                  </c15:fullRef>
                  <c15:levelRef>
                    <c15:sqref>'INDICADORES UPAS'!$B$50:$B$58</c15:sqref>
                  </c15:levelRef>
                </c:ext>
              </c:extLst>
              <c:f>'INDICADORES UPAS'!$B$50:$B$58</c:f>
              <c:strCache>
                <c:ptCount val="9"/>
                <c:pt idx="0">
                  <c:v>&lt; 1 ANO</c:v>
                </c:pt>
                <c:pt idx="1">
                  <c:v>1 - 4 ANOS</c:v>
                </c:pt>
                <c:pt idx="2">
                  <c:v>5 - 9 ANOS</c:v>
                </c:pt>
                <c:pt idx="3">
                  <c:v>10 - 14 ANOS</c:v>
                </c:pt>
                <c:pt idx="4">
                  <c:v>15 - 19 ANOS</c:v>
                </c:pt>
                <c:pt idx="5">
                  <c:v>20 - 39 ANOS</c:v>
                </c:pt>
                <c:pt idx="6">
                  <c:v>40 - 49 ANOS</c:v>
                </c:pt>
                <c:pt idx="7">
                  <c:v>50 - 59 ANOS</c:v>
                </c:pt>
                <c:pt idx="8">
                  <c:v>60 OU MAIS</c:v>
                </c:pt>
              </c:strCache>
            </c:strRef>
          </c:cat>
          <c:val>
            <c:numRef>
              <c:f>'INDICADORES UPAS'!$C$50:$C$58</c:f>
              <c:numCache>
                <c:formatCode>General</c:formatCode>
                <c:ptCount val="9"/>
                <c:pt idx="0">
                  <c:v>245</c:v>
                </c:pt>
                <c:pt idx="1">
                  <c:v>84</c:v>
                </c:pt>
                <c:pt idx="2">
                  <c:v>96</c:v>
                </c:pt>
                <c:pt idx="3">
                  <c:v>1220</c:v>
                </c:pt>
                <c:pt idx="4">
                  <c:v>100</c:v>
                </c:pt>
                <c:pt idx="5">
                  <c:v>3000</c:v>
                </c:pt>
                <c:pt idx="6">
                  <c:v>450</c:v>
                </c:pt>
                <c:pt idx="7">
                  <c:v>99</c:v>
                </c:pt>
                <c:pt idx="8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B-469A-B71B-3FBAA7B8C8BD}"/>
            </c:ext>
          </c:extLst>
        </c:ser>
        <c:ser>
          <c:idx val="1"/>
          <c:order val="1"/>
          <c:tx>
            <c:strRef>
              <c:f>'INDICADORES UPAS'!$D$49</c:f>
              <c:strCache>
                <c:ptCount val="1"/>
                <c:pt idx="0">
                  <c:v>ABRIL.26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'INDICADORES UPAS'!$A$50:$B$58</c15:sqref>
                  </c15:fullRef>
                  <c15:levelRef>
                    <c15:sqref>'INDICADORES UPAS'!$B$50:$B$58</c15:sqref>
                  </c15:levelRef>
                </c:ext>
              </c:extLst>
              <c:f>'INDICADORES UPAS'!$B$50:$B$58</c:f>
              <c:strCache>
                <c:ptCount val="9"/>
                <c:pt idx="0">
                  <c:v>&lt; 1 ANO</c:v>
                </c:pt>
                <c:pt idx="1">
                  <c:v>1 - 4 ANOS</c:v>
                </c:pt>
                <c:pt idx="2">
                  <c:v>5 - 9 ANOS</c:v>
                </c:pt>
                <c:pt idx="3">
                  <c:v>10 - 14 ANOS</c:v>
                </c:pt>
                <c:pt idx="4">
                  <c:v>15 - 19 ANOS</c:v>
                </c:pt>
                <c:pt idx="5">
                  <c:v>20 - 39 ANOS</c:v>
                </c:pt>
                <c:pt idx="6">
                  <c:v>40 - 49 ANOS</c:v>
                </c:pt>
                <c:pt idx="7">
                  <c:v>50 - 59 ANOS</c:v>
                </c:pt>
                <c:pt idx="8">
                  <c:v>60 OU MAIS</c:v>
                </c:pt>
              </c:strCache>
            </c:strRef>
          </c:cat>
          <c:val>
            <c:numRef>
              <c:f>'INDICADORES UPAS'!$D$50:$D$58</c:f>
              <c:numCache>
                <c:formatCode>General</c:formatCode>
                <c:ptCount val="9"/>
                <c:pt idx="0">
                  <c:v>2626</c:v>
                </c:pt>
                <c:pt idx="1">
                  <c:v>3434</c:v>
                </c:pt>
                <c:pt idx="2">
                  <c:v>4252</c:v>
                </c:pt>
                <c:pt idx="3">
                  <c:v>102</c:v>
                </c:pt>
                <c:pt idx="4">
                  <c:v>999</c:v>
                </c:pt>
                <c:pt idx="5">
                  <c:v>122</c:v>
                </c:pt>
                <c:pt idx="6">
                  <c:v>354</c:v>
                </c:pt>
                <c:pt idx="7">
                  <c:v>140</c:v>
                </c:pt>
                <c:pt idx="8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B-469A-B71B-3FBAA7B8C8BD}"/>
            </c:ext>
          </c:extLst>
        </c:ser>
        <c:ser>
          <c:idx val="2"/>
          <c:order val="2"/>
          <c:tx>
            <c:strRef>
              <c:f>'INDICADORES UPAS'!$E$49</c:f>
              <c:strCache>
                <c:ptCount val="1"/>
                <c:pt idx="0">
                  <c:v>MAIO.26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'INDICADORES UPAS'!$A$50:$B$58</c15:sqref>
                  </c15:fullRef>
                  <c15:levelRef>
                    <c15:sqref>'INDICADORES UPAS'!$B$50:$B$58</c15:sqref>
                  </c15:levelRef>
                </c:ext>
              </c:extLst>
              <c:f>'INDICADORES UPAS'!$B$50:$B$58</c:f>
              <c:strCache>
                <c:ptCount val="9"/>
                <c:pt idx="0">
                  <c:v>&lt; 1 ANO</c:v>
                </c:pt>
                <c:pt idx="1">
                  <c:v>1 - 4 ANOS</c:v>
                </c:pt>
                <c:pt idx="2">
                  <c:v>5 - 9 ANOS</c:v>
                </c:pt>
                <c:pt idx="3">
                  <c:v>10 - 14 ANOS</c:v>
                </c:pt>
                <c:pt idx="4">
                  <c:v>15 - 19 ANOS</c:v>
                </c:pt>
                <c:pt idx="5">
                  <c:v>20 - 39 ANOS</c:v>
                </c:pt>
                <c:pt idx="6">
                  <c:v>40 - 49 ANOS</c:v>
                </c:pt>
                <c:pt idx="7">
                  <c:v>50 - 59 ANOS</c:v>
                </c:pt>
                <c:pt idx="8">
                  <c:v>60 OU MAIS</c:v>
                </c:pt>
              </c:strCache>
            </c:strRef>
          </c:cat>
          <c:val>
            <c:numRef>
              <c:f>'INDICADORES UPAS'!$E$50:$E$58</c:f>
              <c:numCache>
                <c:formatCode>General</c:formatCode>
                <c:ptCount val="9"/>
                <c:pt idx="0">
                  <c:v>312</c:v>
                </c:pt>
                <c:pt idx="1">
                  <c:v>29</c:v>
                </c:pt>
                <c:pt idx="2">
                  <c:v>31</c:v>
                </c:pt>
                <c:pt idx="3">
                  <c:v>42</c:v>
                </c:pt>
                <c:pt idx="4">
                  <c:v>99</c:v>
                </c:pt>
                <c:pt idx="5">
                  <c:v>4555</c:v>
                </c:pt>
                <c:pt idx="6">
                  <c:v>8444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7B-469A-B71B-3FBAA7B8C8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62315391"/>
        <c:axId val="186233219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'INDICADORES UPAS'!$F$49</c15:sqref>
                        </c15:formulaRef>
                      </c:ext>
                    </c:extLst>
                    <c:strCache>
                      <c:ptCount val="1"/>
                      <c:pt idx="0">
                        <c:v>JUNHO.26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'INDICADORES UPAS'!$A$50:$B$58</c15:sqref>
                        </c15:fullRef>
                        <c15:levelRef>
                          <c15:sqref>'INDICADORES UPAS'!$B$50:$B$58</c15:sqref>
                        </c15:levelRef>
                        <c15:formulaRef>
                          <c15:sqref>'INDICADORES UPAS'!$B$50:$B$58</c15:sqref>
                        </c15:formulaRef>
                      </c:ext>
                    </c:extLst>
                    <c:strCache>
                      <c:ptCount val="9"/>
                      <c:pt idx="0">
                        <c:v>&lt; 1 ANO</c:v>
                      </c:pt>
                      <c:pt idx="1">
                        <c:v>1 - 4 ANOS</c:v>
                      </c:pt>
                      <c:pt idx="2">
                        <c:v>5 - 9 ANOS</c:v>
                      </c:pt>
                      <c:pt idx="3">
                        <c:v>10 - 14 ANOS</c:v>
                      </c:pt>
                      <c:pt idx="4">
                        <c:v>15 - 19 ANOS</c:v>
                      </c:pt>
                      <c:pt idx="5">
                        <c:v>20 - 39 ANOS</c:v>
                      </c:pt>
                      <c:pt idx="6">
                        <c:v>40 - 49 ANOS</c:v>
                      </c:pt>
                      <c:pt idx="7">
                        <c:v>50 - 59 ANOS</c:v>
                      </c:pt>
                      <c:pt idx="8">
                        <c:v>60 OU MAIS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'INDICADORES UPAS'!$F$50:$F$58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7B-469A-B71B-3FBAA7B8C8B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UPAS'!$G$49</c15:sqref>
                        </c15:formulaRef>
                      </c:ext>
                    </c:extLst>
                    <c:strCache>
                      <c:ptCount val="1"/>
                      <c:pt idx="0">
                        <c:v>JULHO.26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'INDICADORES UPAS'!$A$50:$B$58</c15:sqref>
                        </c15:fullRef>
                        <c15:levelRef>
                          <c15:sqref>'INDICADORES UPAS'!$B$50:$B$58</c15:sqref>
                        </c15:levelRef>
                        <c15:formulaRef>
                          <c15:sqref>'INDICADORES UPAS'!$B$50:$B$58</c15:sqref>
                        </c15:formulaRef>
                      </c:ext>
                    </c:extLst>
                    <c:strCache>
                      <c:ptCount val="9"/>
                      <c:pt idx="0">
                        <c:v>&lt; 1 ANO</c:v>
                      </c:pt>
                      <c:pt idx="1">
                        <c:v>1 - 4 ANOS</c:v>
                      </c:pt>
                      <c:pt idx="2">
                        <c:v>5 - 9 ANOS</c:v>
                      </c:pt>
                      <c:pt idx="3">
                        <c:v>10 - 14 ANOS</c:v>
                      </c:pt>
                      <c:pt idx="4">
                        <c:v>15 - 19 ANOS</c:v>
                      </c:pt>
                      <c:pt idx="5">
                        <c:v>20 - 39 ANOS</c:v>
                      </c:pt>
                      <c:pt idx="6">
                        <c:v>40 - 49 ANOS</c:v>
                      </c:pt>
                      <c:pt idx="7">
                        <c:v>50 - 59 ANOS</c:v>
                      </c:pt>
                      <c:pt idx="8">
                        <c:v>60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UPAS'!$G$50:$G$58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7B-469A-B71B-3FBAA7B8C8B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UPAS'!$H$49</c15:sqref>
                        </c15:formulaRef>
                      </c:ext>
                    </c:extLst>
                    <c:strCache>
                      <c:ptCount val="1"/>
                      <c:pt idx="0">
                        <c:v>AGOSTO.26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'INDICADORES UPAS'!$A$50:$B$58</c15:sqref>
                        </c15:fullRef>
                        <c15:levelRef>
                          <c15:sqref>'INDICADORES UPAS'!$B$50:$B$58</c15:sqref>
                        </c15:levelRef>
                        <c15:formulaRef>
                          <c15:sqref>'INDICADORES UPAS'!$B$50:$B$58</c15:sqref>
                        </c15:formulaRef>
                      </c:ext>
                    </c:extLst>
                    <c:strCache>
                      <c:ptCount val="9"/>
                      <c:pt idx="0">
                        <c:v>&lt; 1 ANO</c:v>
                      </c:pt>
                      <c:pt idx="1">
                        <c:v>1 - 4 ANOS</c:v>
                      </c:pt>
                      <c:pt idx="2">
                        <c:v>5 - 9 ANOS</c:v>
                      </c:pt>
                      <c:pt idx="3">
                        <c:v>10 - 14 ANOS</c:v>
                      </c:pt>
                      <c:pt idx="4">
                        <c:v>15 - 19 ANOS</c:v>
                      </c:pt>
                      <c:pt idx="5">
                        <c:v>20 - 39 ANOS</c:v>
                      </c:pt>
                      <c:pt idx="6">
                        <c:v>40 - 49 ANOS</c:v>
                      </c:pt>
                      <c:pt idx="7">
                        <c:v>50 - 59 ANOS</c:v>
                      </c:pt>
                      <c:pt idx="8">
                        <c:v>60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UPAS'!$H$50:$H$58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7B-469A-B71B-3FBAA7B8C8B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UPAS'!$I$49</c15:sqref>
                        </c15:formulaRef>
                      </c:ext>
                    </c:extLst>
                    <c:strCache>
                      <c:ptCount val="1"/>
                      <c:pt idx="0">
                        <c:v>SETEMBRO.26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'INDICADORES UPAS'!$A$50:$B$58</c15:sqref>
                        </c15:fullRef>
                        <c15:levelRef>
                          <c15:sqref>'INDICADORES UPAS'!$B$50:$B$58</c15:sqref>
                        </c15:levelRef>
                        <c15:formulaRef>
                          <c15:sqref>'INDICADORES UPAS'!$B$50:$B$58</c15:sqref>
                        </c15:formulaRef>
                      </c:ext>
                    </c:extLst>
                    <c:strCache>
                      <c:ptCount val="9"/>
                      <c:pt idx="0">
                        <c:v>&lt; 1 ANO</c:v>
                      </c:pt>
                      <c:pt idx="1">
                        <c:v>1 - 4 ANOS</c:v>
                      </c:pt>
                      <c:pt idx="2">
                        <c:v>5 - 9 ANOS</c:v>
                      </c:pt>
                      <c:pt idx="3">
                        <c:v>10 - 14 ANOS</c:v>
                      </c:pt>
                      <c:pt idx="4">
                        <c:v>15 - 19 ANOS</c:v>
                      </c:pt>
                      <c:pt idx="5">
                        <c:v>20 - 39 ANOS</c:v>
                      </c:pt>
                      <c:pt idx="6">
                        <c:v>40 - 49 ANOS</c:v>
                      </c:pt>
                      <c:pt idx="7">
                        <c:v>50 - 59 ANOS</c:v>
                      </c:pt>
                      <c:pt idx="8">
                        <c:v>60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UPAS'!$I$50:$I$58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B7B-469A-B71B-3FBAA7B8C8BD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UPAS'!$J$49</c15:sqref>
                        </c15:formulaRef>
                      </c:ext>
                    </c:extLst>
                    <c:strCache>
                      <c:ptCount val="1"/>
                      <c:pt idx="0">
                        <c:v>OUTUBRO.26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'INDICADORES UPAS'!$A$50:$B$58</c15:sqref>
                        </c15:fullRef>
                        <c15:levelRef>
                          <c15:sqref>'INDICADORES UPAS'!$B$50:$B$58</c15:sqref>
                        </c15:levelRef>
                        <c15:formulaRef>
                          <c15:sqref>'INDICADORES UPAS'!$B$50:$B$58</c15:sqref>
                        </c15:formulaRef>
                      </c:ext>
                    </c:extLst>
                    <c:strCache>
                      <c:ptCount val="9"/>
                      <c:pt idx="0">
                        <c:v>&lt; 1 ANO</c:v>
                      </c:pt>
                      <c:pt idx="1">
                        <c:v>1 - 4 ANOS</c:v>
                      </c:pt>
                      <c:pt idx="2">
                        <c:v>5 - 9 ANOS</c:v>
                      </c:pt>
                      <c:pt idx="3">
                        <c:v>10 - 14 ANOS</c:v>
                      </c:pt>
                      <c:pt idx="4">
                        <c:v>15 - 19 ANOS</c:v>
                      </c:pt>
                      <c:pt idx="5">
                        <c:v>20 - 39 ANOS</c:v>
                      </c:pt>
                      <c:pt idx="6">
                        <c:v>40 - 49 ANOS</c:v>
                      </c:pt>
                      <c:pt idx="7">
                        <c:v>50 - 59 ANOS</c:v>
                      </c:pt>
                      <c:pt idx="8">
                        <c:v>60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UPAS'!$J$50:$J$58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B7B-469A-B71B-3FBAA7B8C8BD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UPAS'!$K$49</c15:sqref>
                        </c15:formulaRef>
                      </c:ext>
                    </c:extLst>
                    <c:strCache>
                      <c:ptCount val="1"/>
                      <c:pt idx="0">
                        <c:v>NOVEMBRO.26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'INDICADORES UPAS'!$A$50:$B$58</c15:sqref>
                        </c15:fullRef>
                        <c15:levelRef>
                          <c15:sqref>'INDICADORES UPAS'!$B$50:$B$58</c15:sqref>
                        </c15:levelRef>
                        <c15:formulaRef>
                          <c15:sqref>'INDICADORES UPAS'!$B$50:$B$58</c15:sqref>
                        </c15:formulaRef>
                      </c:ext>
                    </c:extLst>
                    <c:strCache>
                      <c:ptCount val="9"/>
                      <c:pt idx="0">
                        <c:v>&lt; 1 ANO</c:v>
                      </c:pt>
                      <c:pt idx="1">
                        <c:v>1 - 4 ANOS</c:v>
                      </c:pt>
                      <c:pt idx="2">
                        <c:v>5 - 9 ANOS</c:v>
                      </c:pt>
                      <c:pt idx="3">
                        <c:v>10 - 14 ANOS</c:v>
                      </c:pt>
                      <c:pt idx="4">
                        <c:v>15 - 19 ANOS</c:v>
                      </c:pt>
                      <c:pt idx="5">
                        <c:v>20 - 39 ANOS</c:v>
                      </c:pt>
                      <c:pt idx="6">
                        <c:v>40 - 49 ANOS</c:v>
                      </c:pt>
                      <c:pt idx="7">
                        <c:v>50 - 59 ANOS</c:v>
                      </c:pt>
                      <c:pt idx="8">
                        <c:v>60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UPAS'!$K$50:$K$58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B7B-469A-B71B-3FBAA7B8C8BD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UPAS'!$L$49</c15:sqref>
                        </c15:formulaRef>
                      </c:ext>
                    </c:extLst>
                    <c:strCache>
                      <c:ptCount val="1"/>
                      <c:pt idx="0">
                        <c:v>DEZEMBRO.26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'INDICADORES UPAS'!$A$50:$B$58</c15:sqref>
                        </c15:fullRef>
                        <c15:levelRef>
                          <c15:sqref>'INDICADORES UPAS'!$B$50:$B$58</c15:sqref>
                        </c15:levelRef>
                        <c15:formulaRef>
                          <c15:sqref>'INDICADORES UPAS'!$B$50:$B$58</c15:sqref>
                        </c15:formulaRef>
                      </c:ext>
                    </c:extLst>
                    <c:strCache>
                      <c:ptCount val="9"/>
                      <c:pt idx="0">
                        <c:v>&lt; 1 ANO</c:v>
                      </c:pt>
                      <c:pt idx="1">
                        <c:v>1 - 4 ANOS</c:v>
                      </c:pt>
                      <c:pt idx="2">
                        <c:v>5 - 9 ANOS</c:v>
                      </c:pt>
                      <c:pt idx="3">
                        <c:v>10 - 14 ANOS</c:v>
                      </c:pt>
                      <c:pt idx="4">
                        <c:v>15 - 19 ANOS</c:v>
                      </c:pt>
                      <c:pt idx="5">
                        <c:v>20 - 39 ANOS</c:v>
                      </c:pt>
                      <c:pt idx="6">
                        <c:v>40 - 49 ANOS</c:v>
                      </c:pt>
                      <c:pt idx="7">
                        <c:v>50 - 59 ANOS</c:v>
                      </c:pt>
                      <c:pt idx="8">
                        <c:v>60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UPAS'!$L$50:$L$58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B7B-469A-B71B-3FBAA7B8C8BD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UPAS'!$M$49</c15:sqref>
                        </c15:formulaRef>
                      </c:ext>
                    </c:extLst>
                    <c:strCache>
                      <c:ptCount val="1"/>
                      <c:pt idx="0">
                        <c:v>JANEIRO.27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'INDICADORES UPAS'!$A$50:$B$58</c15:sqref>
                        </c15:fullRef>
                        <c15:levelRef>
                          <c15:sqref>'INDICADORES UPAS'!$B$50:$B$58</c15:sqref>
                        </c15:levelRef>
                        <c15:formulaRef>
                          <c15:sqref>'INDICADORES UPAS'!$B$50:$B$58</c15:sqref>
                        </c15:formulaRef>
                      </c:ext>
                    </c:extLst>
                    <c:strCache>
                      <c:ptCount val="9"/>
                      <c:pt idx="0">
                        <c:v>&lt; 1 ANO</c:v>
                      </c:pt>
                      <c:pt idx="1">
                        <c:v>1 - 4 ANOS</c:v>
                      </c:pt>
                      <c:pt idx="2">
                        <c:v>5 - 9 ANOS</c:v>
                      </c:pt>
                      <c:pt idx="3">
                        <c:v>10 - 14 ANOS</c:v>
                      </c:pt>
                      <c:pt idx="4">
                        <c:v>15 - 19 ANOS</c:v>
                      </c:pt>
                      <c:pt idx="5">
                        <c:v>20 - 39 ANOS</c:v>
                      </c:pt>
                      <c:pt idx="6">
                        <c:v>40 - 49 ANOS</c:v>
                      </c:pt>
                      <c:pt idx="7">
                        <c:v>50 - 59 ANOS</c:v>
                      </c:pt>
                      <c:pt idx="8">
                        <c:v>60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UPAS'!$M$50:$M$58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B7B-469A-B71B-3FBAA7B8C8BD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UPAS'!$N$49</c15:sqref>
                        </c15:formulaRef>
                      </c:ext>
                    </c:extLst>
                    <c:strCache>
                      <c:ptCount val="1"/>
                      <c:pt idx="0">
                        <c:v>FEVEREIRO.27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'INDICADORES UPAS'!$A$50:$B$58</c15:sqref>
                        </c15:fullRef>
                        <c15:levelRef>
                          <c15:sqref>'INDICADORES UPAS'!$B$50:$B$58</c15:sqref>
                        </c15:levelRef>
                        <c15:formulaRef>
                          <c15:sqref>'INDICADORES UPAS'!$B$50:$B$58</c15:sqref>
                        </c15:formulaRef>
                      </c:ext>
                    </c:extLst>
                    <c:strCache>
                      <c:ptCount val="9"/>
                      <c:pt idx="0">
                        <c:v>&lt; 1 ANO</c:v>
                      </c:pt>
                      <c:pt idx="1">
                        <c:v>1 - 4 ANOS</c:v>
                      </c:pt>
                      <c:pt idx="2">
                        <c:v>5 - 9 ANOS</c:v>
                      </c:pt>
                      <c:pt idx="3">
                        <c:v>10 - 14 ANOS</c:v>
                      </c:pt>
                      <c:pt idx="4">
                        <c:v>15 - 19 ANOS</c:v>
                      </c:pt>
                      <c:pt idx="5">
                        <c:v>20 - 39 ANOS</c:v>
                      </c:pt>
                      <c:pt idx="6">
                        <c:v>40 - 49 ANOS</c:v>
                      </c:pt>
                      <c:pt idx="7">
                        <c:v>50 - 59 ANOS</c:v>
                      </c:pt>
                      <c:pt idx="8">
                        <c:v>60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UPAS'!$N$50:$N$58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B7B-469A-B71B-3FBAA7B8C8BD}"/>
                  </c:ext>
                </c:extLst>
              </c15:ser>
            </c15:filteredBarSeries>
          </c:ext>
        </c:extLst>
      </c:barChart>
      <c:catAx>
        <c:axId val="1862315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2332191"/>
        <c:crosses val="autoZero"/>
        <c:auto val="1"/>
        <c:lblAlgn val="ctr"/>
        <c:lblOffset val="100"/>
        <c:noMultiLvlLbl val="0"/>
      </c:catAx>
      <c:valAx>
        <c:axId val="186233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231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ATENDIMENTOS POR CIDADE - UPA II</a:t>
            </a:r>
            <a:b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1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MARÇO 2026 À MARÇO 2026</a:t>
            </a:r>
            <a:endParaRPr lang="en-US" sz="1400" b="0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UPAS'!$A$62:$B$62</c:f>
              <c:strCache>
                <c:ptCount val="2"/>
                <c:pt idx="0">
                  <c:v>ATENDIMENTOS DE  PACIENTES</c:v>
                </c:pt>
                <c:pt idx="1">
                  <c:v>DA CIDADE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UPAS'!$C$61:$N$61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UPAS'!$C$62:$N$62</c:f>
              <c:numCache>
                <c:formatCode>#,##0</c:formatCode>
                <c:ptCount val="12"/>
                <c:pt idx="0">
                  <c:v>4550</c:v>
                </c:pt>
                <c:pt idx="1">
                  <c:v>4500</c:v>
                </c:pt>
                <c:pt idx="2">
                  <c:v>7240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C-452E-B062-E2E74C0FFB4E}"/>
            </c:ext>
          </c:extLst>
        </c:ser>
        <c:ser>
          <c:idx val="1"/>
          <c:order val="1"/>
          <c:tx>
            <c:strRef>
              <c:f>'INDICADORES UPAS'!$A$63:$B$63</c:f>
              <c:strCache>
                <c:ptCount val="2"/>
                <c:pt idx="0">
                  <c:v>ATENDIMENTOS DE  PACIENTES</c:v>
                </c:pt>
                <c:pt idx="1">
                  <c:v>DE OUTRAS CIDADES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UPAS'!$C$61:$N$61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UPAS'!$C$63:$N$63</c:f>
              <c:numCache>
                <c:formatCode>#,##0</c:formatCode>
                <c:ptCount val="12"/>
                <c:pt idx="0">
                  <c:v>1250</c:v>
                </c:pt>
                <c:pt idx="1">
                  <c:v>1235</c:v>
                </c:pt>
                <c:pt idx="2">
                  <c:v>3330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C-452E-B062-E2E74C0FFB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8510767"/>
        <c:axId val="1868512687"/>
      </c:barChart>
      <c:lineChart>
        <c:grouping val="standard"/>
        <c:varyColors val="0"/>
        <c:ser>
          <c:idx val="2"/>
          <c:order val="2"/>
          <c:tx>
            <c:strRef>
              <c:f>'INDICADORES UPAS'!$A$64:$B$64</c:f>
              <c:strCache>
                <c:ptCount val="2"/>
                <c:pt idx="0">
                  <c:v>ATENDIMENTOS DE  PACIENTES</c:v>
                </c:pt>
                <c:pt idx="1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UPAS'!$C$61:$N$61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UPAS'!$C$64:$N$64</c:f>
              <c:numCache>
                <c:formatCode>#,##0</c:formatCode>
                <c:ptCount val="12"/>
                <c:pt idx="0">
                  <c:v>5800</c:v>
                </c:pt>
                <c:pt idx="1">
                  <c:v>5735</c:v>
                </c:pt>
                <c:pt idx="2">
                  <c:v>10570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4C-452E-B062-E2E74C0FFB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68510767"/>
        <c:axId val="1868512687"/>
      </c:lineChart>
      <c:catAx>
        <c:axId val="186851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512687"/>
        <c:crosses val="autoZero"/>
        <c:auto val="1"/>
        <c:lblAlgn val="ctr"/>
        <c:lblOffset val="100"/>
        <c:noMultiLvlLbl val="0"/>
      </c:catAx>
      <c:valAx>
        <c:axId val="186851268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86851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ÓBITOS - UPA II</a:t>
            </a:r>
            <a:br>
              <a:rPr lang="en-US"/>
            </a:br>
            <a:r>
              <a:rPr lang="en-US"/>
              <a:t>MARÇO 2026 À FEVEREIRO 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'INDICADORES UPAS'!$A$67:$B$67</c:f>
              <c:strCache>
                <c:ptCount val="2"/>
                <c:pt idx="0">
                  <c:v>ÓBITOS</c:v>
                </c:pt>
                <c:pt idx="1">
                  <c:v>TOTAL</c:v>
                </c:pt>
              </c:strCache>
            </c:strRef>
          </c:tx>
          <c:spPr>
            <a:solidFill>
              <a:schemeClr val="accent1">
                <a:alpha val="74000"/>
              </a:schemeClr>
            </a:solidFill>
            <a:ln>
              <a:noFill/>
            </a:ln>
            <a:effectLst>
              <a:innerShdw blurRad="114300">
                <a:schemeClr val="accent1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'INDICADORES UPAS'!$C$66:$N$66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UPAS'!$C$67:$N$67</c:f>
              <c:numCache>
                <c:formatCode>General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3-4637-A408-886654E084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71627855"/>
        <c:axId val="71634095"/>
      </c:areaChart>
      <c:catAx>
        <c:axId val="71627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634095"/>
        <c:crosses val="autoZero"/>
        <c:auto val="1"/>
        <c:lblAlgn val="ctr"/>
        <c:lblOffset val="100"/>
        <c:noMultiLvlLbl val="0"/>
      </c:catAx>
      <c:valAx>
        <c:axId val="716340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7162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PACIENTES RECEPCIONADOS - UPA II</a:t>
            </a:r>
            <a:br>
              <a:rPr lang="pt-BR" sz="14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pt-BR" sz="1100" b="0" i="1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MARÇO 2026 À FEVEREIRO 2027</a:t>
            </a:r>
            <a:endParaRPr lang="pt-BR" sz="14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3243877182176079E-2"/>
          <c:y val="0.16351020408163267"/>
          <c:w val="0.95859826539820758"/>
          <c:h val="0.614074454978841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'INDICADORES UPAS'!$A$4:$B$4</c:f>
              <c:strCache>
                <c:ptCount val="2"/>
                <c:pt idx="0">
                  <c:v>PACIENTES RECEPCIONADOS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UPAS'!$C$3:$N$3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UPAS'!$C$4:$N$4</c:f>
              <c:numCache>
                <c:formatCode>#,##0</c:formatCode>
                <c:ptCount val="12"/>
                <c:pt idx="0">
                  <c:v>8880</c:v>
                </c:pt>
                <c:pt idx="1">
                  <c:v>12340</c:v>
                </c:pt>
                <c:pt idx="2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A-4C5B-8115-8F9209DEEA53}"/>
            </c:ext>
          </c:extLst>
        </c:ser>
        <c:ser>
          <c:idx val="1"/>
          <c:order val="1"/>
          <c:tx>
            <c:strRef>
              <c:f>'INDICADORES UPAS'!$A$5:$B$5</c:f>
              <c:strCache>
                <c:ptCount val="2"/>
                <c:pt idx="0">
                  <c:v>MÉDIA DIÁRIA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'INDICADORES UPAS'!$C$3:$N$3</c:f>
              <c:strCache>
                <c:ptCount val="12"/>
                <c:pt idx="0">
                  <c:v>MARÇO.26</c:v>
                </c:pt>
                <c:pt idx="1">
                  <c:v>ABRIL.26</c:v>
                </c:pt>
                <c:pt idx="2">
                  <c:v>MAIO.26</c:v>
                </c:pt>
                <c:pt idx="3">
                  <c:v>JUNHO.26</c:v>
                </c:pt>
                <c:pt idx="4">
                  <c:v>JULHO.26</c:v>
                </c:pt>
                <c:pt idx="5">
                  <c:v>AGOSTO.26</c:v>
                </c:pt>
                <c:pt idx="6">
                  <c:v>SETEMBRO.26</c:v>
                </c:pt>
                <c:pt idx="7">
                  <c:v>OUTUBRO.26</c:v>
                </c:pt>
                <c:pt idx="8">
                  <c:v>NOVEMBRO.26</c:v>
                </c:pt>
                <c:pt idx="9">
                  <c:v>DEZEMBRO.26</c:v>
                </c:pt>
                <c:pt idx="10">
                  <c:v>JANEIRO.27</c:v>
                </c:pt>
                <c:pt idx="11">
                  <c:v>FEVEREIRO.27</c:v>
                </c:pt>
              </c:strCache>
            </c:strRef>
          </c:cat>
          <c:val>
            <c:numRef>
              <c:f>'INDICADORES UPAS'!$C$5:$N$5</c:f>
              <c:numCache>
                <c:formatCode>#,##0</c:formatCode>
                <c:ptCount val="12"/>
                <c:pt idx="0">
                  <c:v>286.45161290322579</c:v>
                </c:pt>
                <c:pt idx="1">
                  <c:v>411.33333333333331</c:v>
                </c:pt>
                <c:pt idx="2">
                  <c:v>174.19354838709677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A-4C5B-8115-8F9209DEEA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9919423"/>
        <c:axId val="1991287087"/>
      </c:barChart>
      <c:catAx>
        <c:axId val="198991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1287087"/>
        <c:crosses val="autoZero"/>
        <c:auto val="1"/>
        <c:lblAlgn val="ctr"/>
        <c:lblOffset val="100"/>
        <c:noMultiLvlLbl val="0"/>
      </c:catAx>
      <c:valAx>
        <c:axId val="199128708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8991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/>
              <a:t>Análise Quantitativa do Trimestre - Abril a Junho/2025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Planilha1!$B$2</c:f>
              <c:strCache>
                <c:ptCount val="1"/>
                <c:pt idx="0">
                  <c:v>Pontuação Atingida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Planilha1!$A$3:$A$5</c:f>
              <c:strCache>
                <c:ptCount val="3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</c:strCache>
            </c:strRef>
          </c:cat>
          <c:val>
            <c:numRef>
              <c:f>Planilha1!$B$3:$B$5</c:f>
              <c:numCache>
                <c:formatCode>General</c:formatCode>
                <c:ptCount val="3"/>
                <c:pt idx="0">
                  <c:v>300</c:v>
                </c:pt>
                <c:pt idx="1">
                  <c:v>285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2-4EA6-91A3-A95D7EF5E30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18395376"/>
        <c:axId val="918408816"/>
      </c:barChart>
      <c:lineChart>
        <c:grouping val="standard"/>
        <c:varyColors val="0"/>
        <c:ser>
          <c:idx val="1"/>
          <c:order val="1"/>
          <c:tx>
            <c:strRef>
              <c:f>Planilha1!$C$2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72-4EA6-91A3-A95D7EF5E30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72-4EA6-91A3-A95D7EF5E306}"/>
                </c:ext>
              </c:extLst>
            </c:dLbl>
            <c:dLbl>
              <c:idx val="2"/>
              <c:layout>
                <c:manualLayout>
                  <c:x val="5.2777777777777778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F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C72-4EA6-91A3-A95D7EF5E3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Planilha1!$A$3:$A$5</c:f>
              <c:strCache>
                <c:ptCount val="3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</c:strCache>
            </c:strRef>
          </c:cat>
          <c:val>
            <c:numRef>
              <c:f>Planilha1!$C$3:$C$5</c:f>
              <c:numCache>
                <c:formatCode>General</c:formatCode>
                <c:ptCount val="3"/>
                <c:pt idx="0">
                  <c:v>241</c:v>
                </c:pt>
                <c:pt idx="1">
                  <c:v>241</c:v>
                </c:pt>
                <c:pt idx="2">
                  <c:v>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72-4EA6-91A3-A95D7EF5E30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8395376"/>
        <c:axId val="918408816"/>
      </c:lineChart>
      <c:catAx>
        <c:axId val="91839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918408816"/>
        <c:crosses val="autoZero"/>
        <c:auto val="1"/>
        <c:lblAlgn val="ctr"/>
        <c:lblOffset val="100"/>
        <c:noMultiLvlLbl val="0"/>
      </c:catAx>
      <c:valAx>
        <c:axId val="918408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839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Planilha1!$A$10</c:f>
              <c:strCache>
                <c:ptCount val="1"/>
                <c:pt idx="0">
                  <c:v>Percentual de Desistência de Atendimento Médico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Planilha1!$B$10</c:f>
              <c:numCache>
                <c:formatCode>0.00%</c:formatCode>
                <c:ptCount val="1"/>
                <c:pt idx="0">
                  <c:v>5.4999999999999997E-3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9C-40EC-8E34-8A8F1F114630}"/>
            </c:ext>
          </c:extLst>
        </c:ser>
        <c:ser>
          <c:idx val="1"/>
          <c:order val="1"/>
          <c:tx>
            <c:strRef>
              <c:f>Planilha1!$A$11</c:f>
              <c:strCache>
                <c:ptCount val="1"/>
                <c:pt idx="0">
                  <c:v>Meta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Planilha1!$B$11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9C-40EC-8E34-8A8F1F1146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918450576"/>
        <c:axId val="918451056"/>
      </c:barChart>
      <c:catAx>
        <c:axId val="9184505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8451056"/>
        <c:crosses val="autoZero"/>
        <c:auto val="1"/>
        <c:lblAlgn val="ctr"/>
        <c:lblOffset val="100"/>
        <c:noMultiLvlLbl val="0"/>
      </c:catAx>
      <c:valAx>
        <c:axId val="918451056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91845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Consultas Realizadas no Trimestre x Meta Trimestral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Planilha1!$B$24</c:f>
              <c:strCache>
                <c:ptCount val="1"/>
                <c:pt idx="0">
                  <c:v>Valor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Planilha1!$A$25:$A$26</c:f>
              <c:strCache>
                <c:ptCount val="2"/>
                <c:pt idx="0">
                  <c:v>Consultas Realizadas no Trimestre</c:v>
                </c:pt>
                <c:pt idx="1">
                  <c:v>Meta Trimestral</c:v>
                </c:pt>
              </c:strCache>
            </c:strRef>
          </c:cat>
          <c:val>
            <c:numRef>
              <c:f>Planilha1!$B$25:$B$26</c:f>
              <c:numCache>
                <c:formatCode>#,##0</c:formatCode>
                <c:ptCount val="2"/>
                <c:pt idx="0">
                  <c:v>36699</c:v>
                </c:pt>
                <c:pt idx="1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1-4539-86BC-28493C3593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4955024"/>
        <c:axId val="541507616"/>
      </c:barChart>
      <c:catAx>
        <c:axId val="53495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41507616"/>
        <c:crosses val="autoZero"/>
        <c:auto val="1"/>
        <c:lblAlgn val="ctr"/>
        <c:lblOffset val="100"/>
        <c:noMultiLvlLbl val="0"/>
      </c:catAx>
      <c:valAx>
        <c:axId val="54150761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3495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Planilha1!$A$31</c:f>
              <c:strCache>
                <c:ptCount val="1"/>
                <c:pt idx="0">
                  <c:v>Atendimento Assistência Social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Planilha1!$B$30:$D$30</c:f>
              <c:strCache>
                <c:ptCount val="3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</c:strCache>
            </c:strRef>
          </c:cat>
          <c:val>
            <c:numRef>
              <c:f>Planilha1!$B$31:$D$31</c:f>
              <c:numCache>
                <c:formatCode>General</c:formatCode>
                <c:ptCount val="3"/>
                <c:pt idx="0">
                  <c:v>378</c:v>
                </c:pt>
                <c:pt idx="1">
                  <c:v>501</c:v>
                </c:pt>
                <c:pt idx="2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A-417E-95E9-09F7AF0354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57143808"/>
        <c:axId val="1057151488"/>
      </c:barChart>
      <c:catAx>
        <c:axId val="105714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057151488"/>
        <c:crosses val="autoZero"/>
        <c:auto val="1"/>
        <c:lblAlgn val="ctr"/>
        <c:lblOffset val="100"/>
        <c:noMultiLvlLbl val="0"/>
      </c:catAx>
      <c:valAx>
        <c:axId val="10571514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714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Planilha1!$A$34</c:f>
              <c:strCache>
                <c:ptCount val="1"/>
                <c:pt idx="0">
                  <c:v>Quadro Geral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Planilha1!$B$33:$D$33</c:f>
              <c:strCache>
                <c:ptCount val="3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</c:strCache>
            </c:strRef>
          </c:cat>
          <c:val>
            <c:numRef>
              <c:f>Planilha1!$B$34:$D$34</c:f>
              <c:numCache>
                <c:formatCode>h:mm:ss;@</c:formatCode>
                <c:ptCount val="3"/>
                <c:pt idx="0">
                  <c:v>0.13125000000000001</c:v>
                </c:pt>
                <c:pt idx="1">
                  <c:v>0.21074074074074073</c:v>
                </c:pt>
                <c:pt idx="2">
                  <c:v>0.13873842592592592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5-45F3-AA12-12B1603B6B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57157248"/>
        <c:axId val="1057140928"/>
      </c:barChart>
      <c:lineChart>
        <c:grouping val="standard"/>
        <c:varyColors val="0"/>
        <c:ser>
          <c:idx val="1"/>
          <c:order val="1"/>
          <c:tx>
            <c:strRef>
              <c:f>Planilha1!$A$35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95-45F3-AA12-12B1603B6BE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95-45F3-AA12-12B1603B6BE5}"/>
                </c:ext>
              </c:extLst>
            </c:dLbl>
            <c:dLbl>
              <c:idx val="2"/>
              <c:layout>
                <c:manualLayout>
                  <c:x val="4.7222222222222221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FF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95-45F3-AA12-12B1603B6B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Planilha1!$B$33:$D$33</c:f>
              <c:strCache>
                <c:ptCount val="3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</c:strCache>
            </c:strRef>
          </c:cat>
          <c:val>
            <c:numRef>
              <c:f>Planilha1!$B$35:$D$35</c:f>
              <c:numCache>
                <c:formatCode>h:mm:ss;@</c:formatCode>
                <c:ptCount val="3"/>
                <c:pt idx="0">
                  <c:v>8.3333333333333329E-2</c:v>
                </c:pt>
                <c:pt idx="1">
                  <c:v>8.3333333333333329E-2</c:v>
                </c:pt>
                <c:pt idx="2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95-45F3-AA12-12B1603B6B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7157248"/>
        <c:axId val="1057140928"/>
      </c:lineChart>
      <c:catAx>
        <c:axId val="105715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057140928"/>
        <c:crosses val="autoZero"/>
        <c:auto val="1"/>
        <c:lblAlgn val="ctr"/>
        <c:lblOffset val="100"/>
        <c:noMultiLvlLbl val="0"/>
      </c:catAx>
      <c:valAx>
        <c:axId val="1057140928"/>
        <c:scaling>
          <c:orientation val="minMax"/>
        </c:scaling>
        <c:delete val="1"/>
        <c:axPos val="l"/>
        <c:numFmt formatCode="h:mm:ss;@" sourceLinked="1"/>
        <c:majorTickMark val="none"/>
        <c:minorTickMark val="none"/>
        <c:tickLblPos val="nextTo"/>
        <c:crossAx val="105715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/>
              <a:t>Equipe Médica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Planilha1!$A$39</c:f>
              <c:strCache>
                <c:ptCount val="1"/>
                <c:pt idx="0">
                  <c:v>Equipe Médica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Planilha1!$B$38:$D$38</c:f>
              <c:strCache>
                <c:ptCount val="3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</c:strCache>
            </c:strRef>
          </c:cat>
          <c:val>
            <c:numRef>
              <c:f>Planilha1!$B$39:$D$39</c:f>
              <c:numCache>
                <c:formatCode>0%</c:formatCode>
                <c:ptCount val="3"/>
                <c:pt idx="0">
                  <c:v>0.88</c:v>
                </c:pt>
                <c:pt idx="1">
                  <c:v>0.81</c:v>
                </c:pt>
                <c:pt idx="2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8-4036-82B1-C2DBB02870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57258048"/>
        <c:axId val="1057258528"/>
      </c:barChart>
      <c:lineChart>
        <c:grouping val="standard"/>
        <c:varyColors val="0"/>
        <c:ser>
          <c:idx val="1"/>
          <c:order val="1"/>
          <c:tx>
            <c:strRef>
              <c:f>Planilha1!$A$40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B8-4036-82B1-C2DBB028706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B8-4036-82B1-C2DBB0287061}"/>
                </c:ext>
              </c:extLst>
            </c:dLbl>
            <c:dLbl>
              <c:idx val="2"/>
              <c:layout>
                <c:manualLayout>
                  <c:x val="5.8333333333333334E-2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B8-4036-82B1-C2DBB02870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Planilha1!$B$38:$D$38</c:f>
              <c:strCache>
                <c:ptCount val="3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</c:strCache>
            </c:strRef>
          </c:cat>
          <c:val>
            <c:numRef>
              <c:f>Planilha1!$B$40:$D$40</c:f>
              <c:numCache>
                <c:formatCode>0%</c:formatCode>
                <c:ptCount val="3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8-4036-82B1-C2DBB02870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7258048"/>
        <c:axId val="1057258528"/>
      </c:lineChart>
      <c:catAx>
        <c:axId val="105725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057258528"/>
        <c:crosses val="autoZero"/>
        <c:auto val="1"/>
        <c:lblAlgn val="ctr"/>
        <c:lblOffset val="100"/>
        <c:noMultiLvlLbl val="0"/>
      </c:catAx>
      <c:valAx>
        <c:axId val="105725852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572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Planilha1!$A$43</c:f>
              <c:strCache>
                <c:ptCount val="1"/>
                <c:pt idx="0">
                  <c:v>Total de Notificações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Planilha1!$B$42:$D$42</c:f>
              <c:strCache>
                <c:ptCount val="3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</c:strCache>
            </c:strRef>
          </c:cat>
          <c:val>
            <c:numRef>
              <c:f>Planilha1!$B$43:$D$43</c:f>
              <c:numCache>
                <c:formatCode>General</c:formatCode>
                <c:ptCount val="3"/>
                <c:pt idx="0">
                  <c:v>455</c:v>
                </c:pt>
                <c:pt idx="1">
                  <c:v>396</c:v>
                </c:pt>
                <c:pt idx="2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8-42CF-A0DE-1C6DFAFB4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57191808"/>
        <c:axId val="1057195168"/>
      </c:barChart>
      <c:lineChart>
        <c:grouping val="standard"/>
        <c:varyColors val="0"/>
        <c:ser>
          <c:idx val="1"/>
          <c:order val="1"/>
          <c:tx>
            <c:strRef>
              <c:f>Planilha1!$A$44</c:f>
              <c:strCache>
                <c:ptCount val="1"/>
                <c:pt idx="0">
                  <c:v>Percentual de Preenchimento Correto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Planilha1!$B$42:$D$42</c:f>
              <c:strCache>
                <c:ptCount val="3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</c:strCache>
            </c:strRef>
          </c:cat>
          <c:val>
            <c:numRef>
              <c:f>Planilha1!$B$44:$D$44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A8-42CF-A0DE-1C6DFAFB4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173088"/>
        <c:axId val="1057174048"/>
      </c:lineChart>
      <c:catAx>
        <c:axId val="105719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057195168"/>
        <c:crosses val="autoZero"/>
        <c:auto val="1"/>
        <c:lblAlgn val="ctr"/>
        <c:lblOffset val="100"/>
        <c:noMultiLvlLbl val="0"/>
      </c:catAx>
      <c:valAx>
        <c:axId val="1057195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057191808"/>
        <c:crosses val="autoZero"/>
        <c:crossBetween val="between"/>
      </c:valAx>
      <c:valAx>
        <c:axId val="105717404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057173088"/>
        <c:crosses val="max"/>
        <c:crossBetween val="between"/>
      </c:valAx>
      <c:catAx>
        <c:axId val="1057173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7174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/>
              <a:t>Análise Quantitativa do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'1.TRIMESTRE'!$D$51</c:f>
              <c:strCache>
                <c:ptCount val="1"/>
                <c:pt idx="0">
                  <c:v>Pontuação Atingida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'1.TRIMESTRE'!$E$49:$G$49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'1.TRIMESTRE'!$E$51:$G$51</c:f>
              <c:numCache>
                <c:formatCode>General</c:formatCode>
                <c:ptCount val="3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27-43B7-8499-3BEDFC43C6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50521728"/>
        <c:axId val="1150522208"/>
      </c:barChart>
      <c:lineChart>
        <c:grouping val="standard"/>
        <c:varyColors val="0"/>
        <c:ser>
          <c:idx val="0"/>
          <c:order val="0"/>
          <c:tx>
            <c:strRef>
              <c:f>'1.TRIMESTRE'!$D$50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27-43B7-8499-3BEDFC43C69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27-43B7-8499-3BEDFC43C690}"/>
                </c:ext>
              </c:extLst>
            </c:dLbl>
            <c:dLbl>
              <c:idx val="2"/>
              <c:layout>
                <c:manualLayout>
                  <c:x val="5.55555555555555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27-43B7-8499-3BEDFC43C6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'1.TRIMESTRE'!$E$49:$G$49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'1.TRIMESTRE'!$E$50:$G$50</c:f>
              <c:numCache>
                <c:formatCode>General</c:formatCode>
                <c:ptCount val="3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7-43B7-8499-3BEDFC43C6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0521728"/>
        <c:axId val="1150522208"/>
      </c:lineChart>
      <c:catAx>
        <c:axId val="115052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50522208"/>
        <c:crosses val="autoZero"/>
        <c:auto val="1"/>
        <c:lblAlgn val="ctr"/>
        <c:lblOffset val="100"/>
        <c:noMultiLvlLbl val="0"/>
      </c:catAx>
      <c:valAx>
        <c:axId val="1150522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5052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55555555555555E-2"/>
          <c:y val="4.0337367070040341E-2"/>
          <c:w val="0.93888888888888888"/>
          <c:h val="0.85744364462692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'1.TRIMESTRE'!$B$28:$B$29</c:f>
              <c:strCache>
                <c:ptCount val="2"/>
                <c:pt idx="0">
                  <c:v>Percentual de desistência de atendimento médico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'1.TRIMESTRE'!$B$28:$B$29</c:f>
              <c:strCache>
                <c:ptCount val="1"/>
                <c:pt idx="0">
                  <c:v>Percentual de desistência de atendimento médico</c:v>
                </c:pt>
              </c:strCache>
            </c:strRef>
          </c:cat>
          <c:val>
            <c:numRef>
              <c:f>'1.TRIMESTRE'!$H$28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B-49FD-8707-2CF73467EFCE}"/>
            </c:ext>
          </c:extLst>
        </c:ser>
        <c:ser>
          <c:idx val="1"/>
          <c:order val="1"/>
          <c:tx>
            <c:strRef>
              <c:f>'1.TRIMESTRE'!$C$28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'1.TRIMESTRE'!$H$1</c:f>
              <c:strCache>
                <c:ptCount val="1"/>
                <c:pt idx="0">
                  <c:v>MÉDIA TRIMESTRAL</c:v>
                </c:pt>
              </c:strCache>
            </c:strRef>
          </c:cat>
          <c:val>
            <c:numRef>
              <c:f>'1.TRIMESTRE'!$I$28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6B-49FD-8707-2CF73467EF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50566368"/>
        <c:axId val="1150561088"/>
      </c:barChart>
      <c:catAx>
        <c:axId val="1150566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50561088"/>
        <c:crosses val="autoZero"/>
        <c:auto val="1"/>
        <c:lblAlgn val="ctr"/>
        <c:lblOffset val="100"/>
        <c:noMultiLvlLbl val="0"/>
      </c:catAx>
      <c:valAx>
        <c:axId val="1150561088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5056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/>
              <a:t>Consultas</a:t>
            </a:r>
            <a:r>
              <a:rPr lang="pt-BR" baseline="0"/>
              <a:t> Realizas x Meta Trimestral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'1.TRIMESTRE'!$I$2:$I$3</c:f>
              <c:strCache>
                <c:ptCount val="2"/>
                <c:pt idx="0">
                  <c:v>Consultas Realizadas</c:v>
                </c:pt>
                <c:pt idx="1">
                  <c:v>Meta Trimestral</c:v>
                </c:pt>
              </c:strCache>
            </c:strRef>
          </c:cat>
          <c:val>
            <c:numRef>
              <c:f>'1.TRIMESTRE'!$J$2:$J$3</c:f>
              <c:numCache>
                <c:formatCode>#,##0</c:formatCode>
                <c:ptCount val="2"/>
                <c:pt idx="0">
                  <c:v>0</c:v>
                </c:pt>
                <c:pt idx="1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8-4ABD-BD42-C7AF60EB9E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50583168"/>
        <c:axId val="1150570208"/>
      </c:barChart>
      <c:catAx>
        <c:axId val="115058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50570208"/>
        <c:crosses val="autoZero"/>
        <c:auto val="1"/>
        <c:lblAlgn val="ctr"/>
        <c:lblOffset val="100"/>
        <c:noMultiLvlLbl val="0"/>
      </c:catAx>
      <c:valAx>
        <c:axId val="115057020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15058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'1.TRIMESTRE'!$K$44</c:f>
              <c:strCache>
                <c:ptCount val="1"/>
                <c:pt idx="0">
                  <c:v>Atendimento assistência social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'1.TRIMESTRE'!$L$43:$N$43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'1.TRIMESTRE'!$L$44:$N$44</c:f>
              <c:numCache>
                <c:formatCode>General</c:formatCode>
                <c:ptCount val="3"/>
                <c:pt idx="0">
                  <c:v>256</c:v>
                </c:pt>
                <c:pt idx="1">
                  <c:v>338</c:v>
                </c:pt>
                <c:pt idx="2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0-44AE-B59F-40980D069B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86506592"/>
        <c:axId val="1186509952"/>
      </c:barChart>
      <c:catAx>
        <c:axId val="118650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86509952"/>
        <c:crosses val="autoZero"/>
        <c:auto val="1"/>
        <c:lblAlgn val="ctr"/>
        <c:lblOffset val="100"/>
        <c:noMultiLvlLbl val="0"/>
      </c:catAx>
      <c:valAx>
        <c:axId val="1186509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650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/>
              <a:t>Quadro Geral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'1.TRIMESTRE'!$B$36:$B$37</c:f>
              <c:strCache>
                <c:ptCount val="1"/>
                <c:pt idx="0">
                  <c:v>Capacitação quadro geral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'1.TRIMESTRE'!$E$1:$G$1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'1.TRIMESTRE'!$E$36:$G$36</c:f>
              <c:numCache>
                <c:formatCode>h:mm:ss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7-4E1E-9732-0F951D7CFB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86420672"/>
        <c:axId val="1186420192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17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77-4E1E-9732-0F951D7CFB7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77-4E1E-9732-0F951D7CFB72}"/>
                </c:ext>
              </c:extLst>
            </c:dLbl>
            <c:dLbl>
              <c:idx val="2"/>
              <c:layout>
                <c:manualLayout>
                  <c:x val="3.003003003003003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77-4E1E-9732-0F951D7CFB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'1.TRIMESTRE'!$E$1:$G$1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'1.TRIMESTRE'!$T$2:$V$2</c:f>
              <c:numCache>
                <c:formatCode>h:mm:ss</c:formatCode>
                <c:ptCount val="3"/>
                <c:pt idx="0">
                  <c:v>8.3333333333333329E-2</c:v>
                </c:pt>
                <c:pt idx="1">
                  <c:v>8.3333333333333329E-2</c:v>
                </c:pt>
                <c:pt idx="2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7-4E1E-9732-0F951D7CF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420672"/>
        <c:axId val="1186420192"/>
      </c:lineChart>
      <c:catAx>
        <c:axId val="118642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86420192"/>
        <c:crosses val="autoZero"/>
        <c:auto val="1"/>
        <c:lblAlgn val="ctr"/>
        <c:lblOffset val="100"/>
        <c:noMultiLvlLbl val="0"/>
      </c:catAx>
      <c:valAx>
        <c:axId val="1186420192"/>
        <c:scaling>
          <c:orientation val="minMax"/>
        </c:scaling>
        <c:delete val="1"/>
        <c:axPos val="l"/>
        <c:numFmt formatCode="h:mm:ss" sourceLinked="1"/>
        <c:majorTickMark val="none"/>
        <c:minorTickMark val="none"/>
        <c:tickLblPos val="nextTo"/>
        <c:crossAx val="118642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/>
              <a:t>Equipe Médica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'1.TRIMESTRE'!$B$38:$B$39</c:f>
              <c:strCache>
                <c:ptCount val="1"/>
                <c:pt idx="0">
                  <c:v>Capacitação equipe médica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'1.TRIMESTRE'!$E$1:$G$1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'1.TRIMESTRE'!$E$38:$G$38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8-4A54-BB50-D310FA1055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86420672"/>
        <c:axId val="1186420192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317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58-4A54-BB50-D310FA10556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58-4A54-BB50-D310FA105560}"/>
                </c:ext>
              </c:extLst>
            </c:dLbl>
            <c:dLbl>
              <c:idx val="2"/>
              <c:layout>
                <c:manualLayout>
                  <c:x val="7.4906367041198504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58-4A54-BB50-D310FA1055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'1.TRIMESTRE'!$E$1:$G$1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'1.TRIMESTRE'!$W$2:$Y$2</c:f>
              <c:numCache>
                <c:formatCode>0%</c:formatCode>
                <c:ptCount val="3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58-4A54-BB50-D310FA105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420672"/>
        <c:axId val="1186420192"/>
      </c:lineChart>
      <c:catAx>
        <c:axId val="118642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86420192"/>
        <c:crosses val="autoZero"/>
        <c:auto val="1"/>
        <c:lblAlgn val="ctr"/>
        <c:lblOffset val="100"/>
        <c:noMultiLvlLbl val="0"/>
      </c:catAx>
      <c:valAx>
        <c:axId val="118642019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18642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b="1"/>
              <a:t>Notificações</a:t>
            </a:r>
            <a:r>
              <a:rPr lang="pt-BR" b="1" baseline="0"/>
              <a:t> Compulsórias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de Notificações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'1.TRIMESTRE'!$E$1:$G$1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F-40EA-9EA8-FCF80BCE89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6508032"/>
        <c:axId val="1186497472"/>
      </c:barChart>
      <c:lineChart>
        <c:grouping val="standard"/>
        <c:varyColors val="0"/>
        <c:ser>
          <c:idx val="1"/>
          <c:order val="1"/>
          <c:tx>
            <c:v>Percentual de Preenchimento Correto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'1.TRIMESTRE'!$E$1:$G$1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0F-40EA-9EA8-FCF80BCE89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86501312"/>
        <c:axId val="1186506112"/>
      </c:lineChart>
      <c:catAx>
        <c:axId val="118650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86497472"/>
        <c:crosses val="autoZero"/>
        <c:auto val="1"/>
        <c:lblAlgn val="ctr"/>
        <c:lblOffset val="100"/>
        <c:noMultiLvlLbl val="0"/>
      </c:catAx>
      <c:valAx>
        <c:axId val="118649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86508032"/>
        <c:crosses val="autoZero"/>
        <c:crossBetween val="between"/>
      </c:valAx>
      <c:valAx>
        <c:axId val="118650611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86501312"/>
        <c:crosses val="max"/>
        <c:crossBetween val="between"/>
      </c:valAx>
      <c:catAx>
        <c:axId val="1186501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86506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Transferências de Pacientes - Jan a Mar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'[1]Page 1'!$B$1</c:f>
              <c:strCache>
                <c:ptCount val="1"/>
                <c:pt idx="0">
                  <c:v>QTD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'[1]Page 1'!$A$2:$A$25</c:f>
              <c:strCache>
                <c:ptCount val="24"/>
                <c:pt idx="0">
                  <c:v>  PFP PENITENCIARIA FEMININA DO PARANA</c:v>
                </c:pt>
                <c:pt idx="1">
                  <c:v>  PEP I PENITENCIARIA ESTADUAL DE PIRAQUARA</c:v>
                </c:pt>
                <c:pt idx="2">
                  <c:v>  HOSPITAL DE CLINICAS</c:v>
                </c:pt>
                <c:pt idx="3">
                  <c:v>  SAMU BRAVO - PIRAQUARA</c:v>
                </c:pt>
                <c:pt idx="4">
                  <c:v>  HPM - HOSPITAL DA POLICIA MILITAR</c:v>
                </c:pt>
                <c:pt idx="5">
                  <c:v>  HOSPITAL DO ROCIO CENTRAL ( VELHO)</c:v>
                </c:pt>
                <c:pt idx="6">
                  <c:v>  HOSPITAL SAO VICENTE BATEL</c:v>
                </c:pt>
                <c:pt idx="7">
                  <c:v>  HOSPITAL OSVALDO CRUZ</c:v>
                </c:pt>
                <c:pt idx="8">
                  <c:v>  PCE PENITENCIARIA CENTRAL DO ESTADO</c:v>
                </c:pt>
                <c:pt idx="9">
                  <c:v>  HOSPITAL REGIONAL DA LAPA DE SAO SE</c:v>
                </c:pt>
                <c:pt idx="10">
                  <c:v>  HOSPITAL MUNICIPAL DE ARAUCARIA IND</c:v>
                </c:pt>
                <c:pt idx="11">
                  <c:v>  HOSPITAL NOSSA SENHORA DO ROCIO</c:v>
                </c:pt>
                <c:pt idx="12">
                  <c:v>  HOSPITAL ANGELINA CARON</c:v>
                </c:pt>
                <c:pt idx="13">
                  <c:v>  HOSPITAL E MATERNIDADE DE PINHAIS</c:v>
                </c:pt>
                <c:pt idx="14">
                  <c:v>  HOSPITAL SANTA CASA</c:v>
                </c:pt>
                <c:pt idx="15">
                  <c:v>  HOSPITAL INFANTIL PEQUENO PRINCIPE</c:v>
                </c:pt>
                <c:pt idx="16">
                  <c:v>  HOSPITAL DE CLINICAS</c:v>
                </c:pt>
                <c:pt idx="17">
                  <c:v>  HEC HOSPITAL EVANGELICO DE CURITIBA</c:v>
                </c:pt>
                <c:pt idx="18">
                  <c:v>  HMSJP - HOSPITAL MUNICIPAL SAO JOSE</c:v>
                </c:pt>
                <c:pt idx="19">
                  <c:v>  UBS TREINAMENTO</c:v>
                </c:pt>
                <c:pt idx="20">
                  <c:v>  HOSPITAL UNIVERSITARIO CAJURU</c:v>
                </c:pt>
                <c:pt idx="21">
                  <c:v>  HOSPITAL UNIVERSITARIO EVANGELICO D</c:v>
                </c:pt>
                <c:pt idx="22">
                  <c:v>  HOSPITAL DO TRABALHADOR</c:v>
                </c:pt>
                <c:pt idx="23">
                  <c:v>  HOSPITAL ANGELINA CARON</c:v>
                </c:pt>
              </c:strCache>
            </c:strRef>
          </c:cat>
          <c:val>
            <c:numRef>
              <c:f>'[1]Page 1'!$B$2:$B$25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10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20</c:v>
                </c:pt>
                <c:pt idx="20">
                  <c:v>28</c:v>
                </c:pt>
                <c:pt idx="21">
                  <c:v>40</c:v>
                </c:pt>
                <c:pt idx="22">
                  <c:v>47</c:v>
                </c:pt>
                <c:pt idx="23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D-4906-91BB-43913A8A7D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04460944"/>
        <c:axId val="1204458544"/>
      </c:barChart>
      <c:catAx>
        <c:axId val="120446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204458544"/>
        <c:crosses val="autoZero"/>
        <c:auto val="1"/>
        <c:lblAlgn val="ctr"/>
        <c:lblOffset val="100"/>
        <c:noMultiLvlLbl val="0"/>
      </c:catAx>
      <c:valAx>
        <c:axId val="120445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20446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Pacientes Recepcionados</a:t>
            </a:r>
          </a:p>
          <a:p>
            <a:pPr>
              <a:defRPr sz="1400"/>
            </a:pPr>
            <a:r>
              <a:rPr lang="en-US" sz="1100" baseline="0"/>
              <a:t>Março a Agosto/2025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UPAS'!$A$4</c:f>
              <c:strCache>
                <c:ptCount val="1"/>
                <c:pt idx="0">
                  <c:v>PACIENTES RECEPCIONADOS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UPAS'!$K$4:$N$4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3CC4-4A56-BC5D-36EBDA178C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54788575"/>
        <c:axId val="954789055"/>
      </c:barChart>
      <c:catAx>
        <c:axId val="95478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954789055"/>
        <c:crosses val="autoZero"/>
        <c:auto val="1"/>
        <c:lblAlgn val="ctr"/>
        <c:lblOffset val="100"/>
        <c:noMultiLvlLbl val="0"/>
      </c:catAx>
      <c:valAx>
        <c:axId val="95478905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5478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Média Diária</a:t>
            </a:r>
            <a:r>
              <a:rPr lang="en-US" baseline="0"/>
              <a:t> de Pacientes Recepcionados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'INDICADORES UPAS'!$A$5</c:f>
              <c:strCache>
                <c:ptCount val="1"/>
                <c:pt idx="0">
                  <c:v>MÉDIA DIÁRIA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UPAS'!$K$5:$N$5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5-4639-A8CF-6373491B737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4788575"/>
        <c:axId val="954789055"/>
      </c:lineChart>
      <c:catAx>
        <c:axId val="95478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954789055"/>
        <c:crosses val="autoZero"/>
        <c:auto val="1"/>
        <c:lblAlgn val="ctr"/>
        <c:lblOffset val="100"/>
        <c:noMultiLvlLbl val="0"/>
      </c:catAx>
      <c:valAx>
        <c:axId val="954789055"/>
        <c:scaling>
          <c:orientation val="minMax"/>
          <c:min val="240"/>
        </c:scaling>
        <c:delete val="1"/>
        <c:axPos val="l"/>
        <c:numFmt formatCode="#,##0" sourceLinked="1"/>
        <c:majorTickMark val="out"/>
        <c:minorTickMark val="none"/>
        <c:tickLblPos val="nextTo"/>
        <c:crossAx val="95478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Atendimentos Médicos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UPAS'!$A$8</c:f>
              <c:strCache>
                <c:ptCount val="1"/>
                <c:pt idx="0">
                  <c:v>ATENDIMENTOS MÉDICOS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UPAS'!$K$8:$N$8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63D7-49A1-8EE1-99864D2A4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23760847"/>
        <c:axId val="1423766127"/>
      </c:barChart>
      <c:lineChart>
        <c:grouping val="standard"/>
        <c:varyColors val="0"/>
        <c:ser>
          <c:idx val="1"/>
          <c:order val="1"/>
          <c:tx>
            <c:strRef>
              <c:f>'INDICADORES UPAS'!$A$9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D7-49A1-8EE1-99864D2A4A7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D7-49A1-8EE1-99864D2A4A7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D4-42B7-AAA1-52ECB97AE2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52-4E75-922F-9F2FE6BF3A3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E5E-4D5C-8642-29D9D225F6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UPAS'!$J$2:$N$2</c:f>
              <c:numCache>
                <c:formatCode>General</c:formatCode>
                <c:ptCount val="5"/>
              </c:numCache>
            </c:numRef>
          </c:cat>
          <c:val>
            <c:numRef>
              <c:f>'INDICADORES UPAS'!$K$9:$N$9</c:f>
              <c:numCache>
                <c:formatCode>#,##0</c:formatCode>
                <c:ptCount val="4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D7-49A1-8EE1-99864D2A4A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760847"/>
        <c:axId val="1423766127"/>
      </c:lineChart>
      <c:catAx>
        <c:axId val="142376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423766127"/>
        <c:crosses val="autoZero"/>
        <c:auto val="1"/>
        <c:lblAlgn val="ctr"/>
        <c:lblOffset val="100"/>
        <c:noMultiLvlLbl val="0"/>
      </c:catAx>
      <c:valAx>
        <c:axId val="142376612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2376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Atendimentos por Classificação de Risco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1345608525100499"/>
          <c:y val="0.17709642355311647"/>
          <c:w val="0.66565580370259336"/>
          <c:h val="0.434752777114981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'INDICADORES UPAS'!$B$12</c:f>
              <c:strCache>
                <c:ptCount val="1"/>
                <c:pt idx="0">
                  <c:v>NÃO URGENTE (AZUL)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UPAS'!$K$12:$N$12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24E7-4D43-9D4E-AA0D901D404E}"/>
            </c:ext>
          </c:extLst>
        </c:ser>
        <c:ser>
          <c:idx val="1"/>
          <c:order val="1"/>
          <c:tx>
            <c:strRef>
              <c:f>'INDICADORES UPAS'!$B$13</c:f>
              <c:strCache>
                <c:ptCount val="1"/>
                <c:pt idx="0">
                  <c:v>POUCO URGENTE (VERDE)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UPAS'!$K$13:$N$13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24E7-4D43-9D4E-AA0D901D404E}"/>
            </c:ext>
          </c:extLst>
        </c:ser>
        <c:ser>
          <c:idx val="2"/>
          <c:order val="2"/>
          <c:tx>
            <c:strRef>
              <c:f>'INDICADORES UPAS'!$B$14</c:f>
              <c:strCache>
                <c:ptCount val="1"/>
                <c:pt idx="0">
                  <c:v>URGENTE (AMARELO)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UPAS'!$K$14:$N$14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24E7-4D43-9D4E-AA0D901D404E}"/>
            </c:ext>
          </c:extLst>
        </c:ser>
        <c:ser>
          <c:idx val="3"/>
          <c:order val="3"/>
          <c:tx>
            <c:strRef>
              <c:f>'INDICADORES UPAS'!$B$15</c:f>
              <c:strCache>
                <c:ptCount val="1"/>
                <c:pt idx="0">
                  <c:v>MUITO URGENTE (LARANJA)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UPAS'!$K$15:$N$15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24E7-4D43-9D4E-AA0D901D404E}"/>
            </c:ext>
          </c:extLst>
        </c:ser>
        <c:ser>
          <c:idx val="4"/>
          <c:order val="4"/>
          <c:tx>
            <c:strRef>
              <c:f>'INDICADORES UPAS'!$B$16</c:f>
              <c:strCache>
                <c:ptCount val="1"/>
                <c:pt idx="0">
                  <c:v>EMERGÊNCIA (VERMELHO)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UPAS'!$K$16:$N$16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24E7-4D43-9D4E-AA0D901D404E}"/>
            </c:ext>
          </c:extLst>
        </c:ser>
        <c:ser>
          <c:idx val="5"/>
          <c:order val="5"/>
          <c:tx>
            <c:strRef>
              <c:f>'INDICADORES UPAS'!$B$17</c:f>
              <c:strCache>
                <c:ptCount val="1"/>
                <c:pt idx="0">
                  <c:v>Não informado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UPAS'!$K$17:$N$17</c:f>
              <c:numCache>
                <c:formatCode>#,##0</c:formatCode>
                <c:ptCount val="4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24E7-4D43-9D4E-AA0D901D4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18987359"/>
        <c:axId val="1318985439"/>
        <c:extLst/>
      </c:barChart>
      <c:lineChart>
        <c:grouping val="standard"/>
        <c:varyColors val="0"/>
        <c:ser>
          <c:idx val="6"/>
          <c:order val="6"/>
          <c:tx>
            <c:strRef>
              <c:f>'INDICADORES UPAS'!$B$18</c:f>
              <c:strCache>
                <c:ptCount val="1"/>
                <c:pt idx="0">
                  <c:v>TOTAL DE ATENDIMENTOS POR CLASSIFICAÇÃO DE RISCO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UPAS'!$J$2:$N$2</c:f>
              <c:numCache>
                <c:formatCode>General</c:formatCode>
                <c:ptCount val="5"/>
              </c:numCache>
            </c:numRef>
          </c:cat>
          <c:val>
            <c:numRef>
              <c:f>'INDICADORES UPAS'!$K$18:$N$18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E7-4D43-9D4E-AA0D901D4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987359"/>
        <c:axId val="1318985439"/>
      </c:lineChart>
      <c:catAx>
        <c:axId val="131898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318985439"/>
        <c:crosses val="autoZero"/>
        <c:auto val="1"/>
        <c:lblAlgn val="ctr"/>
        <c:lblOffset val="100"/>
        <c:noMultiLvlLbl val="0"/>
      </c:catAx>
      <c:valAx>
        <c:axId val="1318985439"/>
        <c:scaling>
          <c:orientation val="minMax"/>
          <c:max val="13400"/>
        </c:scaling>
        <c:delete val="1"/>
        <c:axPos val="l"/>
        <c:numFmt formatCode="#,##0" sourceLinked="1"/>
        <c:majorTickMark val="out"/>
        <c:minorTickMark val="none"/>
        <c:tickLblPos val="nextTo"/>
        <c:crossAx val="1318987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Percentual de Atendimentos por Classificação de Riscos</a:t>
            </a:r>
          </a:p>
          <a:p>
            <a:pPr>
              <a:defRPr sz="1400"/>
            </a:pPr>
            <a:r>
              <a:rPr lang="pt-BR" sz="1100"/>
              <a:t>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247880704331754"/>
          <c:y val="0.21683485135317107"/>
          <c:w val="0.43981379460673209"/>
          <c:h val="0.7717678176301283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EA-4AC6-8B1D-0D561B235412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EA-4AC6-8B1D-0D561B23541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EA-4AC6-8B1D-0D561B23541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EA-4AC6-8B1D-0D561B235412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EA-4AC6-8B1D-0D561B235412}"/>
              </c:ext>
            </c:extLst>
          </c:dPt>
          <c:dLbls>
            <c:dLbl>
              <c:idx val="0"/>
              <c:layout>
                <c:manualLayout>
                  <c:x val="6.1287027579162413E-2"/>
                  <c:y val="1.681215579758588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EA-4AC6-8B1D-0D561B235412}"/>
                </c:ext>
              </c:extLst>
            </c:dLbl>
            <c:dLbl>
              <c:idx val="1"/>
              <c:layout>
                <c:manualLayout>
                  <c:x val="7.490636704119838E-2"/>
                  <c:y val="-3.698674275468893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EA-4AC6-8B1D-0D561B235412}"/>
                </c:ext>
              </c:extLst>
            </c:dLbl>
            <c:dLbl>
              <c:idx val="3"/>
              <c:layout>
                <c:manualLayout>
                  <c:x val="-6.9799114742934931E-2"/>
                  <c:y val="-1.008729347855152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EA-4AC6-8B1D-0D561B235412}"/>
                </c:ext>
              </c:extLst>
            </c:dLbl>
            <c:dLbl>
              <c:idx val="4"/>
              <c:layout>
                <c:manualLayout>
                  <c:x val="2.2131426625808585E-2"/>
                  <c:y val="-1.681215579758588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5EA-4AC6-8B1D-0D561B2354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'INDICADORES UPAS'!$B$20:$B$24</c:f>
              <c:strCache>
                <c:ptCount val="5"/>
                <c:pt idx="0">
                  <c:v>NÃO URGENTE (AZUL)</c:v>
                </c:pt>
                <c:pt idx="1">
                  <c:v>POUCO URGENTE (VERDE)</c:v>
                </c:pt>
                <c:pt idx="2">
                  <c:v>URGENTE (AMARELO)</c:v>
                </c:pt>
                <c:pt idx="3">
                  <c:v>MUITO URGENTE (LARANJA)</c:v>
                </c:pt>
                <c:pt idx="4">
                  <c:v>EMERGÊNCIA (VERMELHO)</c:v>
                </c:pt>
              </c:strCache>
            </c:strRef>
          </c:cat>
          <c:val>
            <c:numRef>
              <c:f>'INDICADORES UPA II - LUZIANIA'!#REF!</c:f>
              <c:numCache>
                <c:formatCode>0.00%</c:formatCode>
                <c:ptCount val="5"/>
                <c:pt idx="0">
                  <c:v>7.6234928043562813E-2</c:v>
                </c:pt>
                <c:pt idx="1">
                  <c:v>0.72944379618825361</c:v>
                </c:pt>
                <c:pt idx="2">
                  <c:v>0.18778685336444964</c:v>
                </c:pt>
                <c:pt idx="3">
                  <c:v>2.1781408012446521E-3</c:v>
                </c:pt>
                <c:pt idx="4">
                  <c:v>1.4780241151302995E-3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EA-4AC6-8B1D-0D561B2354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Tempo Médio de Espera por Classificação de Risco</a:t>
            </a:r>
          </a:p>
          <a:p>
            <a:pPr>
              <a:defRPr sz="1400"/>
            </a:pPr>
            <a:r>
              <a:rPr lang="pt-BR" sz="1100"/>
              <a:t>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B9B-45CF-8307-B5E86FA7ECFF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9B-45CF-8307-B5E86FA7ECFF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0C-4ABC-9542-AE5B40969D61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70C-4ABC-9542-AE5B40969D61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70C-4ABC-9542-AE5B40969D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'INDICADORES UPA II - LUZIANIA'!#REF!</c:f>
              <c:numCache>
                <c:formatCode>h:mm:ss;@</c:formatCode>
                <c:ptCount val="5"/>
                <c:pt idx="0">
                  <c:v>3.709490740740741E-2</c:v>
                </c:pt>
                <c:pt idx="1">
                  <c:v>3.0960648148148147E-2</c:v>
                </c:pt>
                <c:pt idx="2">
                  <c:v>1.1296296296296296E-2</c:v>
                </c:pt>
                <c:pt idx="3">
                  <c:v>5.4976851851851853E-3</c:v>
                </c:pt>
                <c:pt idx="4">
                  <c:v>6.9444444444444444E-5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A6D-4CD1-AE2D-B6C7AF58E4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954788575"/>
        <c:axId val="954789055"/>
      </c:barChart>
      <c:catAx>
        <c:axId val="95478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954789055"/>
        <c:crosses val="autoZero"/>
        <c:auto val="1"/>
        <c:lblAlgn val="ctr"/>
        <c:lblOffset val="100"/>
        <c:noMultiLvlLbl val="0"/>
      </c:catAx>
      <c:valAx>
        <c:axId val="954789055"/>
        <c:scaling>
          <c:orientation val="minMax"/>
        </c:scaling>
        <c:delete val="1"/>
        <c:axPos val="b"/>
        <c:numFmt formatCode="h:mm:ss;@" sourceLinked="1"/>
        <c:majorTickMark val="none"/>
        <c:minorTickMark val="none"/>
        <c:tickLblPos val="nextTo"/>
        <c:crossAx val="95478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Taxa de Atendimento Dentro do Período de Classificação</a:t>
            </a:r>
          </a:p>
          <a:p>
            <a:pPr>
              <a:defRPr sz="1400"/>
            </a:pPr>
            <a:r>
              <a:rPr lang="pt-BR" sz="1100"/>
              <a:t>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34C-4939-8F8A-7D3456EF41A2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4C-4939-8F8A-7D3456EF41A2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34C-4939-8F8A-7D3456EF41A2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4C-4939-8F8A-7D3456EF41A2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34C-4939-8F8A-7D3456EF41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'INDICADORES UPA II - LUZIANIA'!#REF!</c:f>
              <c:numCache>
                <c:formatCode>0%</c:formatCode>
                <c:ptCount val="5"/>
                <c:pt idx="0">
                  <c:v>0.99489795918367352</c:v>
                </c:pt>
                <c:pt idx="1">
                  <c:v>0.91553801855604133</c:v>
                </c:pt>
                <c:pt idx="2">
                  <c:v>0.96768848384424189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4B3-45F1-BD4C-5195E4C824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7752496"/>
        <c:axId val="417763056"/>
      </c:barChart>
      <c:catAx>
        <c:axId val="41775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17763056"/>
        <c:crosses val="autoZero"/>
        <c:auto val="1"/>
        <c:lblAlgn val="ctr"/>
        <c:lblOffset val="100"/>
        <c:noMultiLvlLbl val="0"/>
      </c:catAx>
      <c:valAx>
        <c:axId val="417763056"/>
        <c:scaling>
          <c:orientation val="minMax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41775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Número</a:t>
            </a:r>
            <a:r>
              <a:rPr lang="en-US" sz="1400" baseline="0"/>
              <a:t> de Desistências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>
                <a:solidFill>
                  <a:sysClr val="windowText" lastClr="000000"/>
                </a:solidFill>
              </a:defRPr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39D-4FD0-924F-4932F68E72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15681296"/>
        <c:axId val="1915680816"/>
      </c:barChart>
      <c:catAx>
        <c:axId val="191568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915680816"/>
        <c:crosses val="autoZero"/>
        <c:auto val="1"/>
        <c:lblAlgn val="ctr"/>
        <c:lblOffset val="100"/>
        <c:noMultiLvlLbl val="0"/>
      </c:catAx>
      <c:valAx>
        <c:axId val="1915680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1568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Percentual</a:t>
            </a:r>
            <a:r>
              <a:rPr lang="pt-BR" sz="1400" baseline="0"/>
              <a:t> de Desistências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13E-42E6-AE62-ED0016B92289}"/>
            </c:ext>
          </c:extLst>
        </c:ser>
        <c:ser>
          <c:idx val="1"/>
          <c:order val="1"/>
          <c:spPr>
            <a:ln w="31750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13E-42E6-AE62-ED0016B9228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13344032"/>
        <c:axId val="1800818064"/>
      </c:lineChart>
      <c:catAx>
        <c:axId val="191334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800818064"/>
        <c:crosses val="autoZero"/>
        <c:auto val="1"/>
        <c:lblAlgn val="ctr"/>
        <c:lblOffset val="100"/>
        <c:noMultiLvlLbl val="0"/>
      </c:catAx>
      <c:valAx>
        <c:axId val="18008180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1334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Tempo Médio de Espera Geral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Tempo Médio de Espera Geral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UPAS'!$K$32:$N$32</c:f>
              <c:numCache>
                <c:formatCode>h:mm:ss;@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B-4332-8123-7806831F79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6644432"/>
        <c:axId val="206635312"/>
      </c:lineChart>
      <c:catAx>
        <c:axId val="2066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06635312"/>
        <c:crosses val="autoZero"/>
        <c:auto val="1"/>
        <c:lblAlgn val="ctr"/>
        <c:lblOffset val="100"/>
        <c:noMultiLvlLbl val="0"/>
      </c:catAx>
      <c:valAx>
        <c:axId val="206635312"/>
        <c:scaling>
          <c:orientation val="minMax"/>
          <c:max val="6.0000000000000012E-2"/>
          <c:min val="0"/>
        </c:scaling>
        <c:delete val="1"/>
        <c:axPos val="l"/>
        <c:numFmt formatCode="h:mm:ss;@" sourceLinked="1"/>
        <c:majorTickMark val="out"/>
        <c:minorTickMark val="none"/>
        <c:tickLblPos val="nextTo"/>
        <c:crossAx val="20664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20000"/>
          <a:lumOff val="8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 b="1"/>
              <a:t>Tempo</a:t>
            </a:r>
            <a:r>
              <a:rPr lang="pt-BR" sz="1400" b="1" baseline="0"/>
              <a:t> Médio de Espera Para Classificação de Risco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'INDICADORES UPA II - LUZIANIA'!#REF!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UPAS'!$K$28:$N$28</c:f>
              <c:numCache>
                <c:formatCode>[h]:mm:ss;@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CD-48D6-AC0E-9E1C840B5344}"/>
            </c:ext>
          </c:extLst>
        </c:ser>
        <c:ser>
          <c:idx val="1"/>
          <c:order val="1"/>
          <c:tx>
            <c:strRef>
              <c:f>'INDICADORES UPAS'!$B$29</c:f>
              <c:strCache>
                <c:ptCount val="1"/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CD-48D6-AC0E-9E1C840B534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04-4870-966C-C9D3A4F847B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04-4870-966C-C9D3A4F847B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4F-411D-A67D-8A904BA7044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86-4BE9-9180-D3A91A5D00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UPAS'!$K$29:$N$29</c:f>
              <c:numCache>
                <c:formatCode>h:mm:ss</c:formatCode>
                <c:ptCount val="4"/>
                <c:pt idx="0">
                  <c:v>6.9444444444444397E-3</c:v>
                </c:pt>
                <c:pt idx="1">
                  <c:v>6.9444444444444397E-3</c:v>
                </c:pt>
                <c:pt idx="2">
                  <c:v>6.9444444444444441E-3</c:v>
                </c:pt>
                <c:pt idx="3">
                  <c:v>6.9444444444444441E-3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CD-48D6-AC0E-9E1C840B53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4847600"/>
        <c:axId val="104848080"/>
      </c:lineChart>
      <c:catAx>
        <c:axId val="10484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04848080"/>
        <c:crosses val="autoZero"/>
        <c:auto val="1"/>
        <c:lblAlgn val="ctr"/>
        <c:lblOffset val="100"/>
        <c:noMultiLvlLbl val="0"/>
      </c:catAx>
      <c:valAx>
        <c:axId val="104848080"/>
        <c:scaling>
          <c:orientation val="minMax"/>
        </c:scaling>
        <c:delete val="1"/>
        <c:axPos val="l"/>
        <c:numFmt formatCode="[h]:mm:ss;@" sourceLinked="1"/>
        <c:majorTickMark val="none"/>
        <c:minorTickMark val="none"/>
        <c:tickLblPos val="nextTo"/>
        <c:crossAx val="10484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Número de Atendimentos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DIÁRIO DE ATENDIMENTOS'!$B$4:$B$34</c:f>
              <c:numCache>
                <c:formatCode>#,##0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'CONTROLE DIÁRIO DE ATENDIMENTOS'!$C$4:$C$34</c:f>
              <c:numCache>
                <c:formatCode>#,##0</c:formatCode>
                <c:ptCount val="31"/>
                <c:pt idx="0">
                  <c:v>349</c:v>
                </c:pt>
                <c:pt idx="1">
                  <c:v>279</c:v>
                </c:pt>
                <c:pt idx="2">
                  <c:v>291</c:v>
                </c:pt>
                <c:pt idx="3">
                  <c:v>499</c:v>
                </c:pt>
                <c:pt idx="4">
                  <c:v>374</c:v>
                </c:pt>
                <c:pt idx="5">
                  <c:v>381</c:v>
                </c:pt>
                <c:pt idx="6">
                  <c:v>443</c:v>
                </c:pt>
                <c:pt idx="7">
                  <c:v>367</c:v>
                </c:pt>
                <c:pt idx="8">
                  <c:v>273</c:v>
                </c:pt>
                <c:pt idx="9">
                  <c:v>233</c:v>
                </c:pt>
                <c:pt idx="10">
                  <c:v>508</c:v>
                </c:pt>
                <c:pt idx="11">
                  <c:v>472</c:v>
                </c:pt>
                <c:pt idx="12">
                  <c:v>442</c:v>
                </c:pt>
                <c:pt idx="13">
                  <c:v>435</c:v>
                </c:pt>
                <c:pt idx="14">
                  <c:v>402</c:v>
                </c:pt>
                <c:pt idx="15">
                  <c:v>332</c:v>
                </c:pt>
                <c:pt idx="16">
                  <c:v>328</c:v>
                </c:pt>
                <c:pt idx="17">
                  <c:v>601</c:v>
                </c:pt>
                <c:pt idx="18">
                  <c:v>510</c:v>
                </c:pt>
                <c:pt idx="19">
                  <c:v>495</c:v>
                </c:pt>
                <c:pt idx="20">
                  <c:v>472</c:v>
                </c:pt>
                <c:pt idx="21">
                  <c:v>483</c:v>
                </c:pt>
                <c:pt idx="22">
                  <c:v>370</c:v>
                </c:pt>
                <c:pt idx="23">
                  <c:v>345</c:v>
                </c:pt>
                <c:pt idx="24">
                  <c:v>588</c:v>
                </c:pt>
                <c:pt idx="25">
                  <c:v>476</c:v>
                </c:pt>
                <c:pt idx="26">
                  <c:v>469</c:v>
                </c:pt>
                <c:pt idx="27">
                  <c:v>522</c:v>
                </c:pt>
                <c:pt idx="28">
                  <c:v>466</c:v>
                </c:pt>
                <c:pt idx="29">
                  <c:v>315</c:v>
                </c:pt>
                <c:pt idx="30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B-46BA-A2A3-8B10D799B5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19605088"/>
        <c:axId val="1219607008"/>
      </c:barChart>
      <c:lineChart>
        <c:grouping val="standard"/>
        <c:varyColors val="0"/>
        <c:ser>
          <c:idx val="1"/>
          <c:order val="1"/>
          <c:tx>
            <c:v>Percentual de Efetividade</c:v>
          </c:tx>
          <c:spPr>
            <a:ln w="317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86-4600-8263-C5ED33E5AEB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86-4600-8263-C5ED33E5AEB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86-4600-8263-C5ED33E5AEB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86-4600-8263-C5ED33E5AEB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86-4600-8263-C5ED33E5AEB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86-4600-8263-C5ED33E5AEB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86-4600-8263-C5ED33E5AEB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86-4600-8263-C5ED33E5AEB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86-4600-8263-C5ED33E5AEB9}"/>
                </c:ext>
              </c:extLst>
            </c:dLbl>
            <c:dLbl>
              <c:idx val="11"/>
              <c:layout>
                <c:manualLayout>
                  <c:x val="-2.8639368526008038E-2"/>
                  <c:y val="-3.6365583361197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486-4600-8263-C5ED33E5AEB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486-4600-8263-C5ED33E5AEB9}"/>
                </c:ext>
              </c:extLst>
            </c:dLbl>
            <c:dLbl>
              <c:idx val="14"/>
              <c:layout>
                <c:manualLayout>
                  <c:x val="-4.0661286449694529E-2"/>
                  <c:y val="-3.6365583361197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86-4600-8263-C5ED33E5AEB9}"/>
                </c:ext>
              </c:extLst>
            </c:dLbl>
            <c:dLbl>
              <c:idx val="16"/>
              <c:layout>
                <c:manualLayout>
                  <c:x val="-1.9533037981492543E-2"/>
                  <c:y val="-3.6365583361197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486-4600-8263-C5ED33E5AEB9}"/>
                </c:ext>
              </c:extLst>
            </c:dLbl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DIÁRIO DE ATENDIMENTOS'!$B$4:$B$34</c:f>
              <c:numCache>
                <c:formatCode>#,##0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'CONTROLE DIÁRIO DE ATENDIMENTOS'!$E$4:$E$34</c:f>
              <c:numCache>
                <c:formatCode>0%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0.70078740157480313</c:v>
                </c:pt>
                <c:pt idx="11">
                  <c:v>0.97669491525423724</c:v>
                </c:pt>
                <c:pt idx="12">
                  <c:v>0.96832579185520362</c:v>
                </c:pt>
                <c:pt idx="13">
                  <c:v>1</c:v>
                </c:pt>
                <c:pt idx="14">
                  <c:v>1</c:v>
                </c:pt>
                <c:pt idx="15">
                  <c:v>0.98795180722891562</c:v>
                </c:pt>
                <c:pt idx="16">
                  <c:v>1</c:v>
                </c:pt>
                <c:pt idx="17">
                  <c:v>0.84858569051580701</c:v>
                </c:pt>
                <c:pt idx="18">
                  <c:v>0.76470588235294112</c:v>
                </c:pt>
                <c:pt idx="19">
                  <c:v>0.87272727272727268</c:v>
                </c:pt>
                <c:pt idx="20">
                  <c:v>0.93008474576271183</c:v>
                </c:pt>
                <c:pt idx="21">
                  <c:v>0.86749482401656319</c:v>
                </c:pt>
                <c:pt idx="22">
                  <c:v>0.95405405405405408</c:v>
                </c:pt>
                <c:pt idx="23">
                  <c:v>1</c:v>
                </c:pt>
                <c:pt idx="24">
                  <c:v>0.69897959183673475</c:v>
                </c:pt>
                <c:pt idx="25">
                  <c:v>0.99789915966386555</c:v>
                </c:pt>
                <c:pt idx="26">
                  <c:v>0.99147121535181237</c:v>
                </c:pt>
                <c:pt idx="27">
                  <c:v>0.91762452107279691</c:v>
                </c:pt>
                <c:pt idx="28">
                  <c:v>0.83047210300429186</c:v>
                </c:pt>
                <c:pt idx="29">
                  <c:v>1</c:v>
                </c:pt>
                <c:pt idx="30">
                  <c:v>0.99402985074626871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6-4600-8263-C5ED33E5A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500064"/>
        <c:axId val="161049958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Meta</c:v>
                </c:tx>
                <c:spPr>
                  <a:ln w="31750" cap="rnd">
                    <a:solidFill>
                      <a:srgbClr val="FF000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A486-4600-8263-C5ED33E5AEB9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A486-4600-8263-C5ED33E5AEB9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3-A486-4600-8263-C5ED33E5AEB9}"/>
                      </c:ext>
                    </c:extLst>
                  </c:dLbl>
                  <c:dLbl>
                    <c:idx val="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4-A486-4600-8263-C5ED33E5AEB9}"/>
                      </c:ext>
                    </c:extLst>
                  </c:dLbl>
                  <c:dLbl>
                    <c:idx val="4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5-A486-4600-8263-C5ED33E5AEB9}"/>
                      </c:ext>
                    </c:extLst>
                  </c:dLbl>
                  <c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6-A486-4600-8263-C5ED33E5AEB9}"/>
                      </c:ext>
                    </c:extLst>
                  </c:dLbl>
                  <c:dLbl>
                    <c:idx val="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7-A486-4600-8263-C5ED33E5AEB9}"/>
                      </c:ext>
                    </c:extLst>
                  </c:dLbl>
                  <c:dLbl>
                    <c:idx val="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8-A486-4600-8263-C5ED33E5AEB9}"/>
                      </c:ext>
                    </c:extLst>
                  </c:dLbl>
                  <c:dLbl>
                    <c:idx val="8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9-A486-4600-8263-C5ED33E5AEB9}"/>
                      </c:ext>
                    </c:extLst>
                  </c:dLbl>
                  <c:dLbl>
                    <c:idx val="9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A-A486-4600-8263-C5ED33E5AEB9}"/>
                      </c:ext>
                    </c:extLst>
                  </c:dLbl>
                  <c:dLbl>
                    <c:idx val="1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B-A486-4600-8263-C5ED33E5AEB9}"/>
                      </c:ext>
                    </c:extLst>
                  </c:dLbl>
                  <c:dLbl>
                    <c:idx val="1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C-A486-4600-8263-C5ED33E5AEB9}"/>
                      </c:ext>
                    </c:extLst>
                  </c:dLbl>
                  <c:dLbl>
                    <c:idx val="1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D-A486-4600-8263-C5ED33E5AEB9}"/>
                      </c:ext>
                    </c:extLst>
                  </c:dLbl>
                  <c:dLbl>
                    <c:idx val="1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E-A486-4600-8263-C5ED33E5AEB9}"/>
                      </c:ext>
                    </c:extLst>
                  </c:dLbl>
                  <c:dLbl>
                    <c:idx val="14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F-A486-4600-8263-C5ED33E5AEB9}"/>
                      </c:ext>
                    </c:extLst>
                  </c:dLbl>
                  <c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0-A486-4600-8263-C5ED33E5AEB9}"/>
                      </c:ext>
                    </c:extLst>
                  </c:dLbl>
                  <c:dLbl>
                    <c:idx val="1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1-A486-4600-8263-C5ED33E5AEB9}"/>
                      </c:ext>
                    </c:extLst>
                  </c:dLbl>
                  <c:dLbl>
                    <c:idx val="1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2-A486-4600-8263-C5ED33E5AEB9}"/>
                      </c:ext>
                    </c:extLst>
                  </c:dLbl>
                  <c:dLbl>
                    <c:idx val="18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3-A486-4600-8263-C5ED33E5AEB9}"/>
                      </c:ext>
                    </c:extLst>
                  </c:dLbl>
                  <c:dLbl>
                    <c:idx val="19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4-A486-4600-8263-C5ED33E5AEB9}"/>
                      </c:ext>
                    </c:extLst>
                  </c:dLbl>
                  <c:dLbl>
                    <c:idx val="2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5-A486-4600-8263-C5ED33E5AEB9}"/>
                      </c:ext>
                    </c:extLst>
                  </c:dLbl>
                  <c:dLbl>
                    <c:idx val="2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6-A486-4600-8263-C5ED33E5AEB9}"/>
                      </c:ext>
                    </c:extLst>
                  </c:dLbl>
                  <c:dLbl>
                    <c:idx val="2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7-A486-4600-8263-C5ED33E5AEB9}"/>
                      </c:ext>
                    </c:extLst>
                  </c:dLbl>
                  <c:dLbl>
                    <c:idx val="2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8-A486-4600-8263-C5ED33E5AEB9}"/>
                      </c:ext>
                    </c:extLst>
                  </c:dLbl>
                  <c:dLbl>
                    <c:idx val="24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9-A486-4600-8263-C5ED33E5AEB9}"/>
                      </c:ext>
                    </c:extLst>
                  </c:dLbl>
                  <c:dLbl>
                    <c:idx val="2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A-A486-4600-8263-C5ED33E5AEB9}"/>
                      </c:ext>
                    </c:extLst>
                  </c:dLbl>
                  <c:dLbl>
                    <c:idx val="2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B-A486-4600-8263-C5ED33E5AEB9}"/>
                      </c:ext>
                    </c:extLst>
                  </c:dLbl>
                  <c:dLbl>
                    <c:idx val="2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C-A486-4600-8263-C5ED33E5AEB9}"/>
                      </c:ext>
                    </c:extLst>
                  </c:dLbl>
                  <c:dLbl>
                    <c:idx val="28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D-A486-4600-8263-C5ED33E5AEB9}"/>
                      </c:ext>
                    </c:extLst>
                  </c:dLbl>
                  <c:dLbl>
                    <c:idx val="29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E-A486-4600-8263-C5ED33E5AEB9}"/>
                      </c:ext>
                    </c:extLst>
                  </c:dLbl>
                  <c:dLbl>
                    <c:idx val="3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5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pt-BR"/>
                      </a:p>
                    </c:txPr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0-A486-4600-8263-C5ED33E5AEB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FF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'CONTROLE DIÁRIO DE ATENDIMENTOS'!$B$4:$B$34</c15:sqref>
                        </c15:formulaRef>
                      </c:ext>
                    </c:extLst>
                    <c:numCache>
                      <c:formatCode>#,##0</c:formatCode>
                      <c:ptCount val="3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'CONTROLE DIÁRIO DE ATENDIMENTOS'!$F$4:$F$34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0.85</c:v>
                      </c:pt>
                      <c:pt idx="1">
                        <c:v>0.85</c:v>
                      </c:pt>
                      <c:pt idx="2">
                        <c:v>0.85</c:v>
                      </c:pt>
                      <c:pt idx="3">
                        <c:v>0.85</c:v>
                      </c:pt>
                      <c:pt idx="4">
                        <c:v>0.85</c:v>
                      </c:pt>
                      <c:pt idx="5">
                        <c:v>0.85</c:v>
                      </c:pt>
                      <c:pt idx="6">
                        <c:v>0.85</c:v>
                      </c:pt>
                      <c:pt idx="7">
                        <c:v>0.85</c:v>
                      </c:pt>
                      <c:pt idx="8">
                        <c:v>0.85</c:v>
                      </c:pt>
                      <c:pt idx="9">
                        <c:v>0.85</c:v>
                      </c:pt>
                      <c:pt idx="10">
                        <c:v>0.85</c:v>
                      </c:pt>
                      <c:pt idx="11">
                        <c:v>0.85</c:v>
                      </c:pt>
                      <c:pt idx="12">
                        <c:v>0.85</c:v>
                      </c:pt>
                      <c:pt idx="13">
                        <c:v>0.85</c:v>
                      </c:pt>
                      <c:pt idx="14">
                        <c:v>0.85</c:v>
                      </c:pt>
                      <c:pt idx="15">
                        <c:v>0.85</c:v>
                      </c:pt>
                      <c:pt idx="16">
                        <c:v>0.85</c:v>
                      </c:pt>
                      <c:pt idx="17">
                        <c:v>0.85</c:v>
                      </c:pt>
                      <c:pt idx="18">
                        <c:v>0.85</c:v>
                      </c:pt>
                      <c:pt idx="19">
                        <c:v>0.85</c:v>
                      </c:pt>
                      <c:pt idx="20">
                        <c:v>0.85</c:v>
                      </c:pt>
                      <c:pt idx="21">
                        <c:v>0.85</c:v>
                      </c:pt>
                      <c:pt idx="22">
                        <c:v>0.85</c:v>
                      </c:pt>
                      <c:pt idx="23">
                        <c:v>0.85</c:v>
                      </c:pt>
                      <c:pt idx="24">
                        <c:v>0.85</c:v>
                      </c:pt>
                      <c:pt idx="25">
                        <c:v>0.85</c:v>
                      </c:pt>
                      <c:pt idx="26">
                        <c:v>0.85</c:v>
                      </c:pt>
                      <c:pt idx="27">
                        <c:v>0.85</c:v>
                      </c:pt>
                      <c:pt idx="28">
                        <c:v>0.85</c:v>
                      </c:pt>
                      <c:pt idx="29">
                        <c:v>0.85</c:v>
                      </c:pt>
                      <c:pt idx="30">
                        <c:v>0.85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A486-4600-8263-C5ED33E5AEB9}"/>
                  </c:ext>
                </c:extLst>
              </c15:ser>
            </c15:filteredLineSeries>
          </c:ext>
        </c:extLst>
      </c:lineChart>
      <c:catAx>
        <c:axId val="1219605088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9607008"/>
        <c:crosses val="autoZero"/>
        <c:auto val="1"/>
        <c:lblAlgn val="ctr"/>
        <c:lblOffset val="100"/>
        <c:noMultiLvlLbl val="0"/>
      </c:catAx>
      <c:valAx>
        <c:axId val="12196070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9605088"/>
        <c:crosses val="autoZero"/>
        <c:crossBetween val="between"/>
      </c:valAx>
      <c:valAx>
        <c:axId val="161049958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500064"/>
        <c:crosses val="max"/>
        <c:crossBetween val="between"/>
      </c:valAx>
      <c:catAx>
        <c:axId val="1610500064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610499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Média de Atendimentos Diários</a:t>
            </a:r>
          </a:p>
          <a:p>
            <a:pPr>
              <a:defRPr b="0"/>
            </a:pPr>
            <a:r>
              <a:rPr lang="en-US" sz="1400" b="0"/>
              <a:t>(Dias da Semana - Agosto/2025)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'CONTROLE DIÁRIO DE ATENDIMENTOS'!$T$26:$V$26</c:f>
              <c:strCache>
                <c:ptCount val="1"/>
                <c:pt idx="0">
                  <c:v>AGOSTO.2025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'CONTROLE DIÁRIO DE ATENDIMENTOS'!$T$28:$T$34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'CONTROLE DIÁRIO DE ATENDIMENTOS'!$V$28:$V$34</c:f>
              <c:numCache>
                <c:formatCode>#,##0</c:formatCode>
                <c:ptCount val="7"/>
                <c:pt idx="0">
                  <c:v>549</c:v>
                </c:pt>
                <c:pt idx="1">
                  <c:v>458</c:v>
                </c:pt>
                <c:pt idx="2">
                  <c:v>446.75</c:v>
                </c:pt>
                <c:pt idx="3">
                  <c:v>468</c:v>
                </c:pt>
                <c:pt idx="4">
                  <c:v>413.4</c:v>
                </c:pt>
                <c:pt idx="5">
                  <c:v>313.8</c:v>
                </c:pt>
                <c:pt idx="6">
                  <c:v>306.39999999999998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0-4374-ABC0-FF23B9CF38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3345872"/>
        <c:axId val="1343337712"/>
      </c:barChart>
      <c:catAx>
        <c:axId val="134334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3337712"/>
        <c:crosses val="autoZero"/>
        <c:auto val="1"/>
        <c:lblAlgn val="ctr"/>
        <c:lblOffset val="100"/>
        <c:noMultiLvlLbl val="0"/>
      </c:catAx>
      <c:valAx>
        <c:axId val="134333771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34334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Setembro/2025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Número de Atendimentos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DIÁRIO DE ATENDIMENTOS'!$B$40:$B$69</c:f>
              <c:numCache>
                <c:formatCode>#,##0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'CONTROLE DIÁRIO DE ATENDIMENTOS'!$C$40:$C$69</c:f>
              <c:numCache>
                <c:formatCode>#,##0</c:formatCode>
                <c:ptCount val="30"/>
                <c:pt idx="0">
                  <c:v>553</c:v>
                </c:pt>
                <c:pt idx="1">
                  <c:v>511</c:v>
                </c:pt>
                <c:pt idx="2">
                  <c:v>510</c:v>
                </c:pt>
                <c:pt idx="3">
                  <c:v>459</c:v>
                </c:pt>
                <c:pt idx="4">
                  <c:v>431</c:v>
                </c:pt>
                <c:pt idx="5">
                  <c:v>332</c:v>
                </c:pt>
                <c:pt idx="6">
                  <c:v>288</c:v>
                </c:pt>
                <c:pt idx="7">
                  <c:v>527</c:v>
                </c:pt>
                <c:pt idx="8">
                  <c:v>514</c:v>
                </c:pt>
                <c:pt idx="9">
                  <c:v>490</c:v>
                </c:pt>
                <c:pt idx="10">
                  <c:v>486</c:v>
                </c:pt>
                <c:pt idx="11">
                  <c:v>453</c:v>
                </c:pt>
                <c:pt idx="12">
                  <c:v>364</c:v>
                </c:pt>
                <c:pt idx="13">
                  <c:v>352</c:v>
                </c:pt>
                <c:pt idx="14">
                  <c:v>570</c:v>
                </c:pt>
                <c:pt idx="15">
                  <c:v>520</c:v>
                </c:pt>
                <c:pt idx="16">
                  <c:v>495</c:v>
                </c:pt>
                <c:pt idx="17">
                  <c:v>470</c:v>
                </c:pt>
                <c:pt idx="18">
                  <c:v>473</c:v>
                </c:pt>
                <c:pt idx="19">
                  <c:v>374</c:v>
                </c:pt>
                <c:pt idx="20">
                  <c:v>357</c:v>
                </c:pt>
                <c:pt idx="21">
                  <c:v>566</c:v>
                </c:pt>
                <c:pt idx="22">
                  <c:v>513</c:v>
                </c:pt>
                <c:pt idx="23">
                  <c:v>519</c:v>
                </c:pt>
                <c:pt idx="24">
                  <c:v>465</c:v>
                </c:pt>
                <c:pt idx="25">
                  <c:v>453</c:v>
                </c:pt>
                <c:pt idx="26">
                  <c:v>337</c:v>
                </c:pt>
                <c:pt idx="27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7-4C15-ACAC-53651E415C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19605088"/>
        <c:axId val="1219607008"/>
      </c:barChart>
      <c:lineChart>
        <c:grouping val="standard"/>
        <c:varyColors val="0"/>
        <c:ser>
          <c:idx val="1"/>
          <c:order val="1"/>
          <c:tx>
            <c:v>Percentual de Efetividade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1.681858623604252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C6-4100-B4EE-65C76FDB923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C6-4100-B4EE-65C76FDB923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C6-4100-B4EE-65C76FDB923A}"/>
                </c:ext>
              </c:extLst>
            </c:dLbl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DIÁRIO DE ATENDIMENTOS'!$B$40:$B$69</c:f>
              <c:numCache>
                <c:formatCode>#,##0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'CONTROLE DIÁRIO DE ATENDIMENTOS'!$E$40:$E$69</c:f>
              <c:numCache>
                <c:formatCode>0%</c:formatCode>
                <c:ptCount val="30"/>
                <c:pt idx="0">
                  <c:v>0.84267631103074137</c:v>
                </c:pt>
                <c:pt idx="1">
                  <c:v>0.86692759295499022</c:v>
                </c:pt>
                <c:pt idx="2">
                  <c:v>0.97058823529411764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0.99652777777777779</c:v>
                </c:pt>
                <c:pt idx="7">
                  <c:v>0.74762808349146115</c:v>
                </c:pt>
                <c:pt idx="8">
                  <c:v>0.8891050583657587</c:v>
                </c:pt>
                <c:pt idx="9">
                  <c:v>0.90612244897959182</c:v>
                </c:pt>
                <c:pt idx="10">
                  <c:v>0.94855967078189296</c:v>
                </c:pt>
                <c:pt idx="11">
                  <c:v>0.94481236203090513</c:v>
                </c:pt>
                <c:pt idx="12">
                  <c:v>0.99725274725274726</c:v>
                </c:pt>
                <c:pt idx="13">
                  <c:v>1</c:v>
                </c:pt>
                <c:pt idx="14">
                  <c:v>0.68771929824561406</c:v>
                </c:pt>
                <c:pt idx="15">
                  <c:v>0.78846153846153844</c:v>
                </c:pt>
                <c:pt idx="16">
                  <c:v>0.97171717171717176</c:v>
                </c:pt>
                <c:pt idx="17">
                  <c:v>0.99574468085106382</c:v>
                </c:pt>
                <c:pt idx="18">
                  <c:v>0.96194503171247359</c:v>
                </c:pt>
                <c:pt idx="19">
                  <c:v>0.99732620320855614</c:v>
                </c:pt>
                <c:pt idx="20">
                  <c:v>0.8123249299719888</c:v>
                </c:pt>
                <c:pt idx="21">
                  <c:v>0.57773851590106007</c:v>
                </c:pt>
                <c:pt idx="22">
                  <c:v>0.96296296296296291</c:v>
                </c:pt>
                <c:pt idx="23">
                  <c:v>0.83429672447013492</c:v>
                </c:pt>
                <c:pt idx="24">
                  <c:v>0.99784946236559136</c:v>
                </c:pt>
                <c:pt idx="25">
                  <c:v>0.86092715231788075</c:v>
                </c:pt>
                <c:pt idx="26">
                  <c:v>0.9970326409495549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C7-4C15-ACAC-53651E415C22}"/>
            </c:ext>
          </c:extLst>
        </c:ser>
        <c:ser>
          <c:idx val="2"/>
          <c:order val="2"/>
          <c:tx>
            <c:v>Meta</c:v>
          </c:tx>
          <c:spPr>
            <a:ln w="317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0C7-4C15-ACAC-53651E415C2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0C7-4C15-ACAC-53651E415C2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0C7-4C15-ACAC-53651E415C2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0C7-4C15-ACAC-53651E415C2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0C7-4C15-ACAC-53651E415C2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0C7-4C15-ACAC-53651E415C2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0C7-4C15-ACAC-53651E415C2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0C7-4C15-ACAC-53651E415C2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0C7-4C15-ACAC-53651E415C2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0C7-4C15-ACAC-53651E415C2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0C7-4C15-ACAC-53651E415C2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0C7-4C15-ACAC-53651E415C2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0C7-4C15-ACAC-53651E415C2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0C7-4C15-ACAC-53651E415C2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0C7-4C15-ACAC-53651E415C2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0C7-4C15-ACAC-53651E415C2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0C7-4C15-ACAC-53651E415C2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0C7-4C15-ACAC-53651E415C2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0C7-4C15-ACAC-53651E415C2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0C7-4C15-ACAC-53651E415C22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0C7-4C15-ACAC-53651E415C22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0C7-4C15-ACAC-53651E415C22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0C7-4C15-ACAC-53651E415C22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0C7-4C15-ACAC-53651E415C22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0C7-4C15-ACAC-53651E415C22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0C7-4C15-ACAC-53651E415C22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0C7-4C15-ACAC-53651E415C22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0C7-4C15-ACAC-53651E415C22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0C7-4C15-ACAC-53651E415C22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0C7-4C15-ACAC-53651E415C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'CONTROLE DIÁRIO DE ATENDIMENTOS'!$B$40:$B$69</c:f>
              <c:numCache>
                <c:formatCode>#,##0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'CONTROLE DIÁRIO DE ATENDIMENTOS'!$F$4:$F$34</c:f>
              <c:numCache>
                <c:formatCode>0%</c:formatCode>
                <c:ptCount val="31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0.85</c:v>
                </c:pt>
                <c:pt idx="23">
                  <c:v>0.85</c:v>
                </c:pt>
                <c:pt idx="24">
                  <c:v>0.85</c:v>
                </c:pt>
                <c:pt idx="25">
                  <c:v>0.85</c:v>
                </c:pt>
                <c:pt idx="26">
                  <c:v>0.85</c:v>
                </c:pt>
                <c:pt idx="27">
                  <c:v>0.85</c:v>
                </c:pt>
                <c:pt idx="28">
                  <c:v>0.85</c:v>
                </c:pt>
                <c:pt idx="29">
                  <c:v>0.85</c:v>
                </c:pt>
                <c:pt idx="30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0C7-4C15-ACAC-53651E415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500064"/>
        <c:axId val="1610499584"/>
      </c:lineChart>
      <c:catAx>
        <c:axId val="1219605088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9607008"/>
        <c:crosses val="autoZero"/>
        <c:auto val="1"/>
        <c:lblAlgn val="ctr"/>
        <c:lblOffset val="100"/>
        <c:noMultiLvlLbl val="0"/>
      </c:catAx>
      <c:valAx>
        <c:axId val="1219607008"/>
        <c:scaling>
          <c:orientation val="minMax"/>
          <c:max val="630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9605088"/>
        <c:crosses val="autoZero"/>
        <c:crossBetween val="between"/>
      </c:valAx>
      <c:valAx>
        <c:axId val="1610499584"/>
        <c:scaling>
          <c:orientation val="minMax"/>
          <c:max val="1"/>
          <c:min val="1.0000000000000002E-3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500064"/>
        <c:crosses val="max"/>
        <c:crossBetween val="between"/>
      </c:valAx>
      <c:catAx>
        <c:axId val="1610500064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610499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Média de Atendimentos Diários</a:t>
            </a:r>
          </a:p>
          <a:p>
            <a:pPr>
              <a:defRPr b="0"/>
            </a:pPr>
            <a:r>
              <a:rPr lang="en-US" sz="1400" b="0"/>
              <a:t>(Dias da Semana - Setembro/2025)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'CONTROLE DIÁRIO DE ATENDIMENTOS'!$T$26:$V$26</c:f>
              <c:strCache>
                <c:ptCount val="1"/>
                <c:pt idx="0">
                  <c:v>AGOSTO.2025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'CONTROLE DIÁRIO DE ATENDIMENTOS'!$T$63:$T$69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'CONTROLE DIÁRIO DE ATENDIMENTOS'!$V$63:$V$69</c:f>
              <c:numCache>
                <c:formatCode>#,##0</c:formatCode>
                <c:ptCount val="7"/>
                <c:pt idx="0">
                  <c:v>554</c:v>
                </c:pt>
                <c:pt idx="1">
                  <c:v>514.5</c:v>
                </c:pt>
                <c:pt idx="2">
                  <c:v>503.5</c:v>
                </c:pt>
                <c:pt idx="3">
                  <c:v>470</c:v>
                </c:pt>
                <c:pt idx="4">
                  <c:v>452.5</c:v>
                </c:pt>
                <c:pt idx="5">
                  <c:v>351.75</c:v>
                </c:pt>
                <c:pt idx="6">
                  <c:v>331.25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1-492C-9754-E24EDEFB22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3345872"/>
        <c:axId val="1343337712"/>
      </c:barChart>
      <c:catAx>
        <c:axId val="134334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3337712"/>
        <c:crosses val="autoZero"/>
        <c:auto val="1"/>
        <c:lblAlgn val="ctr"/>
        <c:lblOffset val="100"/>
        <c:noMultiLvlLbl val="0"/>
      </c:catAx>
      <c:valAx>
        <c:axId val="134333771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34334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 b="1"/>
              <a:t>Percentual</a:t>
            </a:r>
            <a:r>
              <a:rPr lang="pt-BR" sz="1400" b="1" baseline="0"/>
              <a:t> de Internações por Classificação de Risco</a:t>
            </a:r>
          </a:p>
          <a:p>
            <a:pPr>
              <a:defRPr sz="1400" b="1"/>
            </a:pPr>
            <a:r>
              <a:rPr lang="pt-BR" sz="1100" b="1" baseline="0"/>
              <a:t>Agosto/2025</a:t>
            </a:r>
            <a:endParaRPr lang="pt-BR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59-4C8B-A3DC-58DDE56E44BC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59-4C8B-A3DC-58DDE56E44B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59-4C8B-A3DC-58DDE56E44B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59-4C8B-A3DC-58DDE56E44BC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59-4C8B-A3DC-58DDE56E44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'INDICADORES UPA II - LUZIANIA'!#REF!</c:f>
              <c:numCache>
                <c:formatCode>0.00%</c:formatCode>
                <c:ptCount val="5"/>
                <c:pt idx="0">
                  <c:v>6.3241106719367585E-2</c:v>
                </c:pt>
                <c:pt idx="1">
                  <c:v>0.21739130434782608</c:v>
                </c:pt>
                <c:pt idx="2">
                  <c:v>0.54150197628458496</c:v>
                </c:pt>
                <c:pt idx="3">
                  <c:v>0.10276679841897234</c:v>
                </c:pt>
                <c:pt idx="4">
                  <c:v>7.5098814229249009E-2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C59-4C8B-A3DC-58DDE56E44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20000"/>
          <a:lumOff val="80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Internações</a:t>
            </a:r>
            <a:r>
              <a:rPr lang="pt-BR" sz="1400" baseline="0"/>
              <a:t> por Classificação de Risco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1E5-43F5-BB7E-5CD1F7E5313C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1E5-43F5-BB7E-5CD1F7E5313C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41E5-43F5-BB7E-5CD1F7E5313C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41E5-43F5-BB7E-5CD1F7E5313C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41E5-43F5-BB7E-5CD1F7E53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3994784"/>
        <c:axId val="1793995264"/>
      </c:barChart>
      <c:lineChart>
        <c:grouping val="standard"/>
        <c:varyColors val="0"/>
        <c:ser>
          <c:idx val="5"/>
          <c:order val="5"/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'INDICADORES UPAS'!$J$2:$N$2</c:f>
              <c:numCache>
                <c:formatCode>General</c:formatCode>
                <c:ptCount val="5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41E5-43F5-BB7E-5CD1F7E53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994784"/>
        <c:axId val="1793995264"/>
      </c:lineChart>
      <c:catAx>
        <c:axId val="179399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793995264"/>
        <c:crosses val="autoZero"/>
        <c:auto val="1"/>
        <c:lblAlgn val="ctr"/>
        <c:lblOffset val="100"/>
        <c:noMultiLvlLbl val="0"/>
      </c:catAx>
      <c:valAx>
        <c:axId val="1793995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39947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Transferências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UPAS'!$A$41</c:f>
              <c:strCache>
                <c:ptCount val="1"/>
                <c:pt idx="0">
                  <c:v>TRANSFERÊNCIAS (REMOÇÕES)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UPAS'!$K$41:$N$41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D9C4-4CDD-A70C-433E749DF2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1702336"/>
        <c:axId val="48479040"/>
      </c:barChart>
      <c:catAx>
        <c:axId val="11170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8479040"/>
        <c:crosses val="autoZero"/>
        <c:auto val="1"/>
        <c:lblAlgn val="ctr"/>
        <c:lblOffset val="100"/>
        <c:noMultiLvlLbl val="0"/>
      </c:catAx>
      <c:valAx>
        <c:axId val="484790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170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Quantidade de Transferências</a:t>
            </a:r>
            <a:r>
              <a:rPr lang="en-US" b="1" baseline="0"/>
              <a:t> por </a:t>
            </a:r>
            <a:r>
              <a:rPr lang="en-US" b="1"/>
              <a:t>Unidade de Destino</a:t>
            </a:r>
          </a:p>
          <a:p>
            <a:pPr>
              <a:defRPr b="1"/>
            </a:pPr>
            <a:r>
              <a:rPr lang="en-US" sz="1100" b="1"/>
              <a:t>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INTERNAÇÕES!$L$22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INTERNAÇÕES!$L$23:$L$38</c:f>
              <c:strCache>
                <c:ptCount val="16"/>
                <c:pt idx="0">
                  <c:v>  HOSPITAL DE OLHOS DO PARANA</c:v>
                </c:pt>
                <c:pt idx="1">
                  <c:v>  HOSPITAL DE CLINICAS</c:v>
                </c:pt>
                <c:pt idx="2">
                  <c:v>  AMBULATORIO DO HOSPITAL EVANGELICO</c:v>
                </c:pt>
                <c:pt idx="3">
                  <c:v>  CRUZ VERMELHA</c:v>
                </c:pt>
                <c:pt idx="4">
                  <c:v>  HOSPITAL DE CLINICAS</c:v>
                </c:pt>
                <c:pt idx="5">
                  <c:v>  HOSPITAL NOSSA SENHORA DO ROCIO</c:v>
                </c:pt>
                <c:pt idx="6">
                  <c:v>  HEC HOSPITAL EVANGELICO DE CURITIBA</c:v>
                </c:pt>
                <c:pt idx="7">
                  <c:v>  HOSPITAL NOSSA SENHORA DA LUZ</c:v>
                </c:pt>
                <c:pt idx="8">
                  <c:v>  HOSPITAL INFANTIL PEQUENO PRINCIPE</c:v>
                </c:pt>
                <c:pt idx="9">
                  <c:v>  HOSPITAL ANGELINA CARON</c:v>
                </c:pt>
                <c:pt idx="10">
                  <c:v>  HOSPITAL E MATERNIDADE DE PINHAIS</c:v>
                </c:pt>
                <c:pt idx="11">
                  <c:v>  HMSJP - HOSPITAL MUNICIPAL SAO JOSE</c:v>
                </c:pt>
                <c:pt idx="12">
                  <c:v>  HOSPITAL UNIVERSITARIO CAJURU</c:v>
                </c:pt>
                <c:pt idx="13">
                  <c:v>  HOSPITAL UNIVERSITARIO EVANGELICO D</c:v>
                </c:pt>
                <c:pt idx="14">
                  <c:v>  HOSPITAL DO TRABALHADOR</c:v>
                </c:pt>
                <c:pt idx="15">
                  <c:v>  HOSPITAL ANGELINA CARON</c:v>
                </c:pt>
              </c:strCache>
            </c:strRef>
          </c:cat>
          <c:val>
            <c:numRef>
              <c:f>INTERNAÇÕES!$M$23:$M$38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12</c:v>
                </c:pt>
                <c:pt idx="14">
                  <c:v>13</c:v>
                </c:pt>
                <c:pt idx="1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7-407A-B74A-67CA9C6454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18317184"/>
        <c:axId val="1918319104"/>
      </c:barChart>
      <c:catAx>
        <c:axId val="191831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918319104"/>
        <c:crosses val="autoZero"/>
        <c:auto val="1"/>
        <c:lblAlgn val="ctr"/>
        <c:lblOffset val="100"/>
        <c:noMultiLvlLbl val="0"/>
      </c:catAx>
      <c:valAx>
        <c:axId val="191831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91831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20000"/>
          <a:lumOff val="8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Quantidade de Pacientes que Excederam 12hs de Permanência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0EA-4CD2-95B0-9BBCA8E76316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0EA-4CD2-95B0-9BBCA8E76316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30EA-4CD2-95B0-9BBCA8E76316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30EA-4CD2-95B0-9BBCA8E763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0254687"/>
        <c:axId val="60274367"/>
      </c:barChart>
      <c:lineChart>
        <c:grouping val="standard"/>
        <c:varyColors val="0"/>
        <c:ser>
          <c:idx val="4"/>
          <c:order val="4"/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UPAS'!$J$2:$N$2</c:f>
              <c:numCache>
                <c:formatCode>General</c:formatCode>
                <c:ptCount val="5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30EA-4CD2-95B0-9BBCA8E763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254687"/>
        <c:axId val="60274367"/>
      </c:lineChart>
      <c:catAx>
        <c:axId val="6025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60274367"/>
        <c:crosses val="autoZero"/>
        <c:auto val="1"/>
        <c:lblAlgn val="ctr"/>
        <c:lblOffset val="100"/>
        <c:noMultiLvlLbl val="0"/>
      </c:catAx>
      <c:valAx>
        <c:axId val="602743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25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Percentual de Pacientes Internados com Mais</a:t>
            </a:r>
            <a:r>
              <a:rPr lang="en-US" sz="1400" baseline="0"/>
              <a:t> de 12hs de Permanência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13F-4B3D-A361-65F13DF8CD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7387311"/>
        <c:axId val="107380111"/>
      </c:barChart>
      <c:catAx>
        <c:axId val="10738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07380111"/>
        <c:crosses val="autoZero"/>
        <c:auto val="1"/>
        <c:lblAlgn val="ctr"/>
        <c:lblOffset val="100"/>
        <c:noMultiLvlLbl val="0"/>
      </c:catAx>
      <c:valAx>
        <c:axId val="107380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738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Percentual de Transferências em Relação</a:t>
            </a:r>
            <a:r>
              <a:rPr lang="en-US" sz="1400" baseline="0"/>
              <a:t> ao Número de Pacientes Internados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26A-40F4-B5C9-9AB0C99332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6640112"/>
        <c:axId val="206648752"/>
      </c:barChart>
      <c:catAx>
        <c:axId val="20664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06648752"/>
        <c:crosses val="autoZero"/>
        <c:auto val="1"/>
        <c:lblAlgn val="ctr"/>
        <c:lblOffset val="100"/>
        <c:noMultiLvlLbl val="0"/>
      </c:catAx>
      <c:valAx>
        <c:axId val="2066487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664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Raio-x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UPAS'!$B$44</c:f>
              <c:strCache>
                <c:ptCount val="1"/>
                <c:pt idx="0">
                  <c:v>RAIO-X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UPAS'!$K$44:$N$44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F1EA-4107-8AFE-A46C1A4B4F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9074736"/>
        <c:axId val="158858176"/>
      </c:barChart>
      <c:catAx>
        <c:axId val="21907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8858176"/>
        <c:crosses val="autoZero"/>
        <c:auto val="1"/>
        <c:lblAlgn val="ctr"/>
        <c:lblOffset val="100"/>
        <c:noMultiLvlLbl val="0"/>
      </c:catAx>
      <c:valAx>
        <c:axId val="15885817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1907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Laboratoriais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UPAS'!$B$45</c:f>
              <c:strCache>
                <c:ptCount val="1"/>
                <c:pt idx="0">
                  <c:v>PATOLOGIA CLINICA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UPAS'!$K$45:$N$45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CDAA-40CD-95F0-F9C2E51AA6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9074736"/>
        <c:axId val="158858176"/>
      </c:barChart>
      <c:catAx>
        <c:axId val="21907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8858176"/>
        <c:crosses val="autoZero"/>
        <c:auto val="1"/>
        <c:lblAlgn val="ctr"/>
        <c:lblOffset val="100"/>
        <c:noMultiLvlLbl val="0"/>
      </c:catAx>
      <c:valAx>
        <c:axId val="15885817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1907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Exames Externos Realizados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6AE-4E3E-BE66-453517616E45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6AE-4E3E-BE66-453517616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183744"/>
        <c:axId val="53185664"/>
      </c:barChart>
      <c:lineChart>
        <c:grouping val="standard"/>
        <c:varyColors val="0"/>
        <c:ser>
          <c:idx val="2"/>
          <c:order val="2"/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'INDICADORES UPAS'!$J$2:$N$2</c:f>
              <c:numCache>
                <c:formatCode>General</c:formatCode>
                <c:ptCount val="5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C6AE-4E3E-BE66-453517616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83744"/>
        <c:axId val="53185664"/>
      </c:lineChart>
      <c:catAx>
        <c:axId val="5318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3185664"/>
        <c:crosses val="autoZero"/>
        <c:auto val="1"/>
        <c:lblAlgn val="ctr"/>
        <c:lblOffset val="100"/>
        <c:noMultiLvlLbl val="0"/>
      </c:catAx>
      <c:valAx>
        <c:axId val="531856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183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Eletrocardiograma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>
                <a:solidFill>
                  <a:sysClr val="windowText" lastClr="000000"/>
                </a:solidFill>
              </a:defRPr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UPAS'!$B$46</c:f>
              <c:strCache>
                <c:ptCount val="1"/>
                <c:pt idx="0">
                  <c:v>ELETROCARDIOGRAMA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UPAS'!$K$46:$N$46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B9C6-4BC2-9976-CD89765F8A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9074736"/>
        <c:axId val="158858176"/>
      </c:barChart>
      <c:catAx>
        <c:axId val="21907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8858176"/>
        <c:crosses val="autoZero"/>
        <c:auto val="1"/>
        <c:lblAlgn val="ctr"/>
        <c:lblOffset val="100"/>
        <c:noMultiLvlLbl val="0"/>
      </c:catAx>
      <c:valAx>
        <c:axId val="15885817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1907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Exames Externos Realizados</a:t>
            </a:r>
          </a:p>
          <a:p>
            <a:pPr>
              <a:defRPr/>
            </a:pPr>
            <a:r>
              <a:rPr lang="en-US" sz="1100"/>
              <a:t>Agosto/2025</a:t>
            </a:r>
            <a:endParaRPr lang="pt-B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45719488188976376"/>
          <c:y val="0.19471296505691357"/>
          <c:w val="0.54280511811023624"/>
          <c:h val="0.757419323889996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SADT!$B$63</c:f>
              <c:strCache>
                <c:ptCount val="1"/>
                <c:pt idx="0">
                  <c:v>QTD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SADT!$A$64:$A$69</c:f>
              <c:strCache>
                <c:ptCount val="6"/>
                <c:pt idx="0">
                  <c:v>ULTRASSONOGRAFIA DE PARTES MOLES</c:v>
                </c:pt>
                <c:pt idx="1">
                  <c:v>TOMOGRAFIA COMPUTADORIZADA DE PESCOÇO</c:v>
                </c:pt>
                <c:pt idx="2">
                  <c:v>TOMOGRAFIA COMPUTADORIZADA DO TORAX</c:v>
                </c:pt>
                <c:pt idx="3">
                  <c:v>TOMOGRAFIA DE ABDOMEN INFERIOR</c:v>
                </c:pt>
                <c:pt idx="4">
                  <c:v>TOMOGRAFIA DE ABDOMEN SUPERIOR</c:v>
                </c:pt>
                <c:pt idx="5">
                  <c:v>TOMOGRAFIA COMPUTADORIZADA DO CRANIO</c:v>
                </c:pt>
              </c:strCache>
            </c:strRef>
          </c:cat>
          <c:val>
            <c:numRef>
              <c:f>SADT!$B$64:$B$69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9-421B-B96E-AE25921387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01199696"/>
        <c:axId val="401210736"/>
      </c:barChart>
      <c:catAx>
        <c:axId val="401199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01210736"/>
        <c:crosses val="autoZero"/>
        <c:auto val="1"/>
        <c:lblAlgn val="ctr"/>
        <c:lblOffset val="100"/>
        <c:noMultiLvlLbl val="0"/>
      </c:catAx>
      <c:valAx>
        <c:axId val="401210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119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 anchor="ctr" anchorCtr="0"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Exames Internos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'INDICADORES UPAS'!$B$44</c:f>
              <c:strCache>
                <c:ptCount val="1"/>
                <c:pt idx="0">
                  <c:v>RAIO-X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UPAS'!$K$44:$N$44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2C86-4A16-A3D2-CEF18EA0F39C}"/>
            </c:ext>
          </c:extLst>
        </c:ser>
        <c:ser>
          <c:idx val="1"/>
          <c:order val="1"/>
          <c:tx>
            <c:strRef>
              <c:f>'INDICADORES UPAS'!$B$45</c:f>
              <c:strCache>
                <c:ptCount val="1"/>
                <c:pt idx="0">
                  <c:v>PATOLOGIA CLINICA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UPAS'!$K$45:$N$45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2C86-4A16-A3D2-CEF18EA0F39C}"/>
            </c:ext>
          </c:extLst>
        </c:ser>
        <c:ser>
          <c:idx val="2"/>
          <c:order val="2"/>
          <c:tx>
            <c:strRef>
              <c:f>'INDICADORES UPAS'!$B$46</c:f>
              <c:strCache>
                <c:ptCount val="1"/>
                <c:pt idx="0">
                  <c:v>ELETROCARDIOGRAMA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UPAS'!$K$46:$N$46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2C86-4A16-A3D2-CEF18EA0F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8161968"/>
        <c:axId val="1918162928"/>
      </c:barChart>
      <c:lineChart>
        <c:grouping val="standard"/>
        <c:varyColors val="0"/>
        <c:ser>
          <c:idx val="3"/>
          <c:order val="3"/>
          <c:tx>
            <c:strRef>
              <c:f>'INDICADORES UPAS'!$B$47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UPAS'!$J$2:$N$2</c:f>
              <c:numCache>
                <c:formatCode>General</c:formatCode>
                <c:ptCount val="5"/>
              </c:numCache>
            </c:numRef>
          </c:cat>
          <c:val>
            <c:numRef>
              <c:f>'INDICADORES UPAS'!$K$47:$N$47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86-4A16-A3D2-CEF18EA0F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161968"/>
        <c:axId val="1918162928"/>
      </c:lineChart>
      <c:catAx>
        <c:axId val="191816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918162928"/>
        <c:crosses val="autoZero"/>
        <c:auto val="1"/>
        <c:lblAlgn val="ctr"/>
        <c:lblOffset val="100"/>
        <c:noMultiLvlLbl val="0"/>
      </c:catAx>
      <c:valAx>
        <c:axId val="19181629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1816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Liberação de Materiais por</a:t>
            </a:r>
            <a:r>
              <a:rPr lang="pt-BR" sz="1400" baseline="0"/>
              <a:t> Setor</a:t>
            </a:r>
          </a:p>
          <a:p>
            <a:pPr>
              <a:defRPr sz="1400"/>
            </a:pPr>
            <a:r>
              <a:rPr lang="pt-BR" sz="1100" baseline="0"/>
              <a:t>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9527972914881062"/>
          <c:y val="0.10064752528088769"/>
          <c:w val="0.76996272592070447"/>
          <c:h val="0.8028990078819813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CME!$B$17</c:f>
              <c:strCache>
                <c:ptCount val="1"/>
                <c:pt idx="0">
                  <c:v>Emergência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CME!$A$18:$A$43</c:f>
              <c:strCache>
                <c:ptCount val="26"/>
                <c:pt idx="0">
                  <c:v>BDJ ANESTESIA</c:v>
                </c:pt>
                <c:pt idx="1">
                  <c:v>CAIXA PARTO</c:v>
                </c:pt>
                <c:pt idx="2">
                  <c:v>PINÇA PEAN</c:v>
                </c:pt>
                <c:pt idx="3">
                  <c:v>CUBA 8 CM</c:v>
                </c:pt>
                <c:pt idx="4">
                  <c:v>PINÇA KELLY RETA</c:v>
                </c:pt>
                <c:pt idx="5">
                  <c:v>CX PEQ CIRURGIA</c:v>
                </c:pt>
                <c:pt idx="6">
                  <c:v>CAMPO FENESTRADO</c:v>
                </c:pt>
                <c:pt idx="7">
                  <c:v>RETIRADA DE PONTOS</c:v>
                </c:pt>
                <c:pt idx="8">
                  <c:v>CIRCUITO</c:v>
                </c:pt>
                <c:pt idx="9">
                  <c:v>FIO GUIA</c:v>
                </c:pt>
                <c:pt idx="10">
                  <c:v>CURATIVO</c:v>
                </c:pt>
                <c:pt idx="11">
                  <c:v>CAMPO CIRURGICO</c:v>
                </c:pt>
                <c:pt idx="12">
                  <c:v>AVENTAL ESTERIL</c:v>
                </c:pt>
                <c:pt idx="13">
                  <c:v>COMADRE</c:v>
                </c:pt>
                <c:pt idx="14">
                  <c:v>AMBU</c:v>
                </c:pt>
                <c:pt idx="15">
                  <c:v>CUBA RIM</c:v>
                </c:pt>
                <c:pt idx="16">
                  <c:v>BACIA</c:v>
                </c:pt>
                <c:pt idx="17">
                  <c:v>CATETERISMO</c:v>
                </c:pt>
                <c:pt idx="18">
                  <c:v>FRASCO ASPIRAÇÃO</c:v>
                </c:pt>
                <c:pt idx="19">
                  <c:v>MASCARA ALTO FLUXO</c:v>
                </c:pt>
                <c:pt idx="20">
                  <c:v>PAPAGAIO</c:v>
                </c:pt>
                <c:pt idx="21">
                  <c:v>SUTURA</c:v>
                </c:pt>
                <c:pt idx="22">
                  <c:v>LATEX </c:v>
                </c:pt>
                <c:pt idx="23">
                  <c:v>UMIDIFICADOR</c:v>
                </c:pt>
                <c:pt idx="24">
                  <c:v>NBZ</c:v>
                </c:pt>
                <c:pt idx="25">
                  <c:v>ESPAÇADOR</c:v>
                </c:pt>
              </c:strCache>
            </c:strRef>
          </c:cat>
          <c:val>
            <c:numRef>
              <c:f>CME!$B$18:$B$43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8</c:v>
                </c:pt>
                <c:pt idx="7">
                  <c:v>13</c:v>
                </c:pt>
                <c:pt idx="8">
                  <c:v>18</c:v>
                </c:pt>
                <c:pt idx="9">
                  <c:v>14</c:v>
                </c:pt>
                <c:pt idx="10">
                  <c:v>20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23</c:v>
                </c:pt>
                <c:pt idx="15">
                  <c:v>21</c:v>
                </c:pt>
                <c:pt idx="16">
                  <c:v>27</c:v>
                </c:pt>
                <c:pt idx="17">
                  <c:v>27</c:v>
                </c:pt>
                <c:pt idx="18">
                  <c:v>51</c:v>
                </c:pt>
                <c:pt idx="19">
                  <c:v>29</c:v>
                </c:pt>
                <c:pt idx="20">
                  <c:v>53</c:v>
                </c:pt>
                <c:pt idx="21">
                  <c:v>111</c:v>
                </c:pt>
                <c:pt idx="22">
                  <c:v>60</c:v>
                </c:pt>
                <c:pt idx="23">
                  <c:v>58</c:v>
                </c:pt>
                <c:pt idx="24">
                  <c:v>33</c:v>
                </c:pt>
                <c:pt idx="2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C-4E4D-86A1-7BEDDF50788D}"/>
            </c:ext>
          </c:extLst>
        </c:ser>
        <c:ser>
          <c:idx val="1"/>
          <c:order val="1"/>
          <c:tx>
            <c:strRef>
              <c:f>CME!$C$17</c:f>
              <c:strCache>
                <c:ptCount val="1"/>
                <c:pt idx="0">
                  <c:v>Medicação Rápida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CME!$A$18:$A$43</c:f>
              <c:strCache>
                <c:ptCount val="26"/>
                <c:pt idx="0">
                  <c:v>BDJ ANESTESIA</c:v>
                </c:pt>
                <c:pt idx="1">
                  <c:v>CAIXA PARTO</c:v>
                </c:pt>
                <c:pt idx="2">
                  <c:v>PINÇA PEAN</c:v>
                </c:pt>
                <c:pt idx="3">
                  <c:v>CUBA 8 CM</c:v>
                </c:pt>
                <c:pt idx="4">
                  <c:v>PINÇA KELLY RETA</c:v>
                </c:pt>
                <c:pt idx="5">
                  <c:v>CX PEQ CIRURGIA</c:v>
                </c:pt>
                <c:pt idx="6">
                  <c:v>CAMPO FENESTRADO</c:v>
                </c:pt>
                <c:pt idx="7">
                  <c:v>RETIRADA DE PONTOS</c:v>
                </c:pt>
                <c:pt idx="8">
                  <c:v>CIRCUITO</c:v>
                </c:pt>
                <c:pt idx="9">
                  <c:v>FIO GUIA</c:v>
                </c:pt>
                <c:pt idx="10">
                  <c:v>CURATIVO</c:v>
                </c:pt>
                <c:pt idx="11">
                  <c:v>CAMPO CIRURGICO</c:v>
                </c:pt>
                <c:pt idx="12">
                  <c:v>AVENTAL ESTERIL</c:v>
                </c:pt>
                <c:pt idx="13">
                  <c:v>COMADRE</c:v>
                </c:pt>
                <c:pt idx="14">
                  <c:v>AMBU</c:v>
                </c:pt>
                <c:pt idx="15">
                  <c:v>CUBA RIM</c:v>
                </c:pt>
                <c:pt idx="16">
                  <c:v>BACIA</c:v>
                </c:pt>
                <c:pt idx="17">
                  <c:v>CATETERISMO</c:v>
                </c:pt>
                <c:pt idx="18">
                  <c:v>FRASCO ASPIRAÇÃO</c:v>
                </c:pt>
                <c:pt idx="19">
                  <c:v>MASCARA ALTO FLUXO</c:v>
                </c:pt>
                <c:pt idx="20">
                  <c:v>PAPAGAIO</c:v>
                </c:pt>
                <c:pt idx="21">
                  <c:v>SUTURA</c:v>
                </c:pt>
                <c:pt idx="22">
                  <c:v>LATEX </c:v>
                </c:pt>
                <c:pt idx="23">
                  <c:v>UMIDIFICADOR</c:v>
                </c:pt>
                <c:pt idx="24">
                  <c:v>NBZ</c:v>
                </c:pt>
                <c:pt idx="25">
                  <c:v>ESPAÇADOR</c:v>
                </c:pt>
              </c:strCache>
            </c:strRef>
          </c:cat>
          <c:val>
            <c:numRef>
              <c:f>CME!$C$18:$C$43</c:f>
              <c:numCache>
                <c:formatCode>General</c:formatCode>
                <c:ptCount val="26"/>
                <c:pt idx="13">
                  <c:v>4</c:v>
                </c:pt>
                <c:pt idx="16">
                  <c:v>5</c:v>
                </c:pt>
                <c:pt idx="17">
                  <c:v>24</c:v>
                </c:pt>
                <c:pt idx="19">
                  <c:v>37</c:v>
                </c:pt>
                <c:pt idx="20">
                  <c:v>15</c:v>
                </c:pt>
                <c:pt idx="22">
                  <c:v>72</c:v>
                </c:pt>
                <c:pt idx="23">
                  <c:v>77</c:v>
                </c:pt>
                <c:pt idx="24">
                  <c:v>290</c:v>
                </c:pt>
                <c:pt idx="25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FC-4E4D-86A1-7BEDDF50788D}"/>
            </c:ext>
          </c:extLst>
        </c:ser>
        <c:ser>
          <c:idx val="2"/>
          <c:order val="2"/>
          <c:tx>
            <c:strRef>
              <c:f>CME!$D$17</c:f>
              <c:strCache>
                <c:ptCount val="1"/>
                <c:pt idx="0">
                  <c:v>Observação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CME!$A$18:$A$43</c:f>
              <c:strCache>
                <c:ptCount val="26"/>
                <c:pt idx="0">
                  <c:v>BDJ ANESTESIA</c:v>
                </c:pt>
                <c:pt idx="1">
                  <c:v>CAIXA PARTO</c:v>
                </c:pt>
                <c:pt idx="2">
                  <c:v>PINÇA PEAN</c:v>
                </c:pt>
                <c:pt idx="3">
                  <c:v>CUBA 8 CM</c:v>
                </c:pt>
                <c:pt idx="4">
                  <c:v>PINÇA KELLY RETA</c:v>
                </c:pt>
                <c:pt idx="5">
                  <c:v>CX PEQ CIRURGIA</c:v>
                </c:pt>
                <c:pt idx="6">
                  <c:v>CAMPO FENESTRADO</c:v>
                </c:pt>
                <c:pt idx="7">
                  <c:v>RETIRADA DE PONTOS</c:v>
                </c:pt>
                <c:pt idx="8">
                  <c:v>CIRCUITO</c:v>
                </c:pt>
                <c:pt idx="9">
                  <c:v>FIO GUIA</c:v>
                </c:pt>
                <c:pt idx="10">
                  <c:v>CURATIVO</c:v>
                </c:pt>
                <c:pt idx="11">
                  <c:v>CAMPO CIRURGICO</c:v>
                </c:pt>
                <c:pt idx="12">
                  <c:v>AVENTAL ESTERIL</c:v>
                </c:pt>
                <c:pt idx="13">
                  <c:v>COMADRE</c:v>
                </c:pt>
                <c:pt idx="14">
                  <c:v>AMBU</c:v>
                </c:pt>
                <c:pt idx="15">
                  <c:v>CUBA RIM</c:v>
                </c:pt>
                <c:pt idx="16">
                  <c:v>BACIA</c:v>
                </c:pt>
                <c:pt idx="17">
                  <c:v>CATETERISMO</c:v>
                </c:pt>
                <c:pt idx="18">
                  <c:v>FRASCO ASPIRAÇÃO</c:v>
                </c:pt>
                <c:pt idx="19">
                  <c:v>MASCARA ALTO FLUXO</c:v>
                </c:pt>
                <c:pt idx="20">
                  <c:v>PAPAGAIO</c:v>
                </c:pt>
                <c:pt idx="21">
                  <c:v>SUTURA</c:v>
                </c:pt>
                <c:pt idx="22">
                  <c:v>LATEX </c:v>
                </c:pt>
                <c:pt idx="23">
                  <c:v>UMIDIFICADOR</c:v>
                </c:pt>
                <c:pt idx="24">
                  <c:v>NBZ</c:v>
                </c:pt>
                <c:pt idx="25">
                  <c:v>ESPAÇADOR</c:v>
                </c:pt>
              </c:strCache>
            </c:strRef>
          </c:cat>
          <c:val>
            <c:numRef>
              <c:f>CME!$D$18:$D$43</c:f>
              <c:numCache>
                <c:formatCode>General</c:formatCode>
                <c:ptCount val="26"/>
                <c:pt idx="3">
                  <c:v>2</c:v>
                </c:pt>
                <c:pt idx="4">
                  <c:v>2</c:v>
                </c:pt>
                <c:pt idx="6">
                  <c:v>4</c:v>
                </c:pt>
                <c:pt idx="9">
                  <c:v>5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5">
                  <c:v>4</c:v>
                </c:pt>
                <c:pt idx="16">
                  <c:v>23</c:v>
                </c:pt>
                <c:pt idx="17">
                  <c:v>11</c:v>
                </c:pt>
                <c:pt idx="18">
                  <c:v>12</c:v>
                </c:pt>
                <c:pt idx="19">
                  <c:v>9</c:v>
                </c:pt>
                <c:pt idx="20">
                  <c:v>34</c:v>
                </c:pt>
                <c:pt idx="22">
                  <c:v>14</c:v>
                </c:pt>
                <c:pt idx="23">
                  <c:v>13</c:v>
                </c:pt>
                <c:pt idx="24">
                  <c:v>33</c:v>
                </c:pt>
                <c:pt idx="2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FC-4E4D-86A1-7BEDDF507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6406047"/>
        <c:axId val="1306406527"/>
      </c:barChart>
      <c:catAx>
        <c:axId val="1306406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306406527"/>
        <c:crosses val="autoZero"/>
        <c:auto val="1"/>
        <c:lblAlgn val="ctr"/>
        <c:lblOffset val="100"/>
        <c:noMultiLvlLbl val="0"/>
      </c:catAx>
      <c:valAx>
        <c:axId val="130640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30640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DE-4CF4-90FD-DE253433BEA5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DE-4CF4-90FD-DE253433BEA5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DE-4CF4-90FD-DE253433BE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CME!$B$17:$D$17</c:f>
              <c:strCache>
                <c:ptCount val="3"/>
                <c:pt idx="0">
                  <c:v>Emergência</c:v>
                </c:pt>
                <c:pt idx="1">
                  <c:v>Medicação Rápida</c:v>
                </c:pt>
                <c:pt idx="2">
                  <c:v>Observação</c:v>
                </c:pt>
              </c:strCache>
            </c:strRef>
          </c:cat>
          <c:val>
            <c:numRef>
              <c:f>CME!$B$45:$D$45</c:f>
              <c:numCache>
                <c:formatCode>0%</c:formatCode>
                <c:ptCount val="3"/>
                <c:pt idx="0">
                  <c:v>0.39512471655328796</c:v>
                </c:pt>
                <c:pt idx="1">
                  <c:v>0.48185941043083902</c:v>
                </c:pt>
                <c:pt idx="2">
                  <c:v>0.12301587301587301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E-4CF4-90FD-DE253433BE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EF-4D67-B784-0630CF3C5652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EF-4D67-B784-0630CF3C5652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EF-4D67-B784-0630CF3C56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CME!$B$17:$D$17</c:f>
              <c:strCache>
                <c:ptCount val="3"/>
                <c:pt idx="0">
                  <c:v>Emergência</c:v>
                </c:pt>
                <c:pt idx="1">
                  <c:v>Medicação Rápida</c:v>
                </c:pt>
                <c:pt idx="2">
                  <c:v>Observação</c:v>
                </c:pt>
              </c:strCache>
            </c:strRef>
          </c:cat>
          <c:val>
            <c:numRef>
              <c:f>CME!$B$44:$D$44</c:f>
              <c:numCache>
                <c:formatCode>#,##0</c:formatCode>
                <c:ptCount val="3"/>
                <c:pt idx="0">
                  <c:v>697</c:v>
                </c:pt>
                <c:pt idx="1">
                  <c:v>850</c:v>
                </c:pt>
                <c:pt idx="2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F-4D67-B784-0630CF3C56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63444463"/>
        <c:axId val="1063448783"/>
      </c:barChart>
      <c:catAx>
        <c:axId val="106344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063448783"/>
        <c:crosses val="autoZero"/>
        <c:auto val="1"/>
        <c:lblAlgn val="ctr"/>
        <c:lblOffset val="100"/>
        <c:noMultiLvlLbl val="0"/>
      </c:catAx>
      <c:valAx>
        <c:axId val="106344878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06344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Quantitativo</a:t>
            </a:r>
            <a:r>
              <a:rPr lang="pt-BR" sz="1400" baseline="0"/>
              <a:t> de Materiais Esterilizados</a:t>
            </a:r>
          </a:p>
          <a:p>
            <a:pPr>
              <a:defRPr sz="1400"/>
            </a:pPr>
            <a:r>
              <a:rPr lang="pt-BR" sz="1100" baseline="0"/>
              <a:t>Agosto/2025</a:t>
            </a:r>
            <a:endParaRPr lang="pt-B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185916098722954"/>
          <c:y val="0.30862652742425323"/>
          <c:w val="0.37074814177639559"/>
          <c:h val="0.5331604697449072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E48-419C-AB93-7A342604A4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48-419C-AB93-7A342604A4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CME!$A$3:$A$4</c:f>
              <c:strCache>
                <c:ptCount val="2"/>
                <c:pt idx="0">
                  <c:v>AUTOCLAVE</c:v>
                </c:pt>
                <c:pt idx="1">
                  <c:v>QUÍMICO</c:v>
                </c:pt>
              </c:strCache>
            </c:strRef>
          </c:cat>
          <c:val>
            <c:numRef>
              <c:f>'INDICADORES UPA II - LUZIANIA'!#REF!</c:f>
              <c:numCache>
                <c:formatCode>#,##0</c:formatCode>
                <c:ptCount val="2"/>
                <c:pt idx="0">
                  <c:v>326</c:v>
                </c:pt>
                <c:pt idx="1">
                  <c:v>2038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E48-419C-AB93-7A342604A4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Quantitativo de Materiais Esterilizados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'INDICADORES UPAS'!$B$62</c:f>
              <c:strCache>
                <c:ptCount val="1"/>
                <c:pt idx="0">
                  <c:v>DA CIDADE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UPAS'!$K$62:$N$62</c:f>
              <c:numCache>
                <c:formatCode>#,##0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9F-4270-87DB-02DEF7DF3CC4}"/>
            </c:ext>
          </c:extLst>
        </c:ser>
        <c:ser>
          <c:idx val="1"/>
          <c:order val="1"/>
          <c:tx>
            <c:strRef>
              <c:f>'INDICADORES UPAS'!$B$63</c:f>
              <c:strCache>
                <c:ptCount val="1"/>
                <c:pt idx="0">
                  <c:v>DE OUTRAS CIDADES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UPAS'!$K$63:$N$63</c:f>
              <c:numCache>
                <c:formatCode>#,##0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9F-4270-87DB-02DEF7DF3CC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33877983"/>
        <c:axId val="1333868383"/>
      </c:lineChart>
      <c:catAx>
        <c:axId val="1333877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333868383"/>
        <c:crosses val="autoZero"/>
        <c:auto val="1"/>
        <c:lblAlgn val="ctr"/>
        <c:lblOffset val="100"/>
        <c:noMultiLvlLbl val="0"/>
      </c:catAx>
      <c:valAx>
        <c:axId val="133386838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33387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Quantitativo de Materiais Estrerilizados</a:t>
            </a:r>
          </a:p>
          <a:p>
            <a:pPr>
              <a:defRPr sz="1400"/>
            </a:pPr>
            <a:r>
              <a:rPr lang="pt-BR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UPAS'!$A$62</c:f>
              <c:strCache>
                <c:ptCount val="1"/>
                <c:pt idx="0">
                  <c:v>ATENDIMENTOS DE  PACIENTES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UPAS'!$K$64:$N$64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5-4AF3-93C9-ED4E4D6163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18297695"/>
        <c:axId val="1318299135"/>
      </c:barChart>
      <c:catAx>
        <c:axId val="13182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318299135"/>
        <c:crosses val="autoZero"/>
        <c:auto val="1"/>
        <c:lblAlgn val="ctr"/>
        <c:lblOffset val="100"/>
        <c:noMultiLvlLbl val="0"/>
      </c:catAx>
      <c:valAx>
        <c:axId val="131829913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31829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Óbitos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INTERNOS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E-47DA-9E04-DF37CA6ABA01}"/>
            </c:ext>
          </c:extLst>
        </c:ser>
        <c:ser>
          <c:idx val="1"/>
          <c:order val="1"/>
          <c:tx>
            <c:v>EXTERNOS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6E-47DA-9E04-DF37CA6AB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5807023"/>
        <c:axId val="1305805583"/>
      </c:barChart>
      <c:lineChart>
        <c:grouping val="standard"/>
        <c:varyColors val="0"/>
        <c:ser>
          <c:idx val="2"/>
          <c:order val="2"/>
          <c:tx>
            <c:v>TOTAL DE ÓBITOS</c:v>
          </c:tx>
          <c:spPr>
            <a:ln w="3175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'INDICADORES UPAS'!$J$2:$N$2</c:f>
              <c:numCache>
                <c:formatCode>General</c:formatCode>
                <c:ptCount val="5"/>
              </c:numCache>
            </c:numRef>
          </c:cat>
          <c:val>
            <c:numRef>
              <c:f>'INDICADORES UPAS'!$K$67:$N$67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6E-47DA-9E04-DF37CA6AB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5807023"/>
        <c:axId val="1305805583"/>
      </c:lineChart>
      <c:catAx>
        <c:axId val="130580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305805583"/>
        <c:crosses val="autoZero"/>
        <c:auto val="1"/>
        <c:lblAlgn val="ctr"/>
        <c:lblOffset val="100"/>
        <c:noMultiLvlLbl val="0"/>
      </c:catAx>
      <c:valAx>
        <c:axId val="13058055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058070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/>
              <a:t>SÍFILIS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NVE!$Y$9</c:f>
              <c:strCache>
                <c:ptCount val="1"/>
                <c:pt idx="0">
                  <c:v>SÍFILIS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shade val="7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shade val="7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7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CC-4895-9BFF-D7C9DAE8C43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CC-4895-9BFF-D7C9DAE8C4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NVE!$Y$10:$Y$11</c:f>
              <c:strCache>
                <c:ptCount val="2"/>
                <c:pt idx="0">
                  <c:v>NÃO REAGENTES</c:v>
                </c:pt>
                <c:pt idx="1">
                  <c:v>REAGENTES</c:v>
                </c:pt>
              </c:strCache>
            </c:strRef>
          </c:cat>
          <c:val>
            <c:numRef>
              <c:f>NVE!$Z$10:$Z$11</c:f>
              <c:numCache>
                <c:formatCode>General</c:formatCode>
                <c:ptCount val="2"/>
                <c:pt idx="0">
                  <c:v>31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CC-4895-9BFF-D7C9DAE8C4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25000"/>
          <a:lumOff val="7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/>
              <a:t>HEPATITE</a:t>
            </a:r>
            <a:r>
              <a:rPr lang="pt-BR" sz="1200" baseline="0"/>
              <a:t> B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NVE!$Y$6</c:f>
              <c:strCache>
                <c:ptCount val="1"/>
                <c:pt idx="0">
                  <c:v>HEPATITE B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shade val="7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shade val="7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7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8F-4CD0-A555-AFEAFDDE149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78F-4CD0-A555-AFEAFDDE14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NVE!$Y$7:$Y$8</c:f>
              <c:strCache>
                <c:ptCount val="2"/>
                <c:pt idx="0">
                  <c:v>NÃO REAGENTES</c:v>
                </c:pt>
                <c:pt idx="1">
                  <c:v>REAGENTES</c:v>
                </c:pt>
              </c:strCache>
            </c:strRef>
          </c:cat>
          <c:val>
            <c:numRef>
              <c:f>NVE!$Z$7:$Z$8</c:f>
              <c:numCache>
                <c:formatCode>General</c:formatCode>
                <c:ptCount val="2"/>
                <c:pt idx="0">
                  <c:v>30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8F-4CD0-A555-AFEAFDDE14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25000"/>
          <a:lumOff val="7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/>
              <a:t>HEPATITE</a:t>
            </a:r>
            <a:r>
              <a:rPr lang="pt-BR" sz="1200" baseline="0"/>
              <a:t> C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NVE!$AA$6</c:f>
              <c:strCache>
                <c:ptCount val="1"/>
                <c:pt idx="0">
                  <c:v>HEPATITE 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shade val="7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shade val="7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7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27-43A8-B615-193D167FF81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27-43A8-B615-193D167FF8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NVE!$AA$7:$AA$8</c:f>
              <c:strCache>
                <c:ptCount val="2"/>
                <c:pt idx="0">
                  <c:v>NÃO REAGENTES</c:v>
                </c:pt>
                <c:pt idx="1">
                  <c:v>REAGENTES</c:v>
                </c:pt>
              </c:strCache>
            </c:strRef>
          </c:cat>
          <c:val>
            <c:numRef>
              <c:f>NVE!$AB$7:$AB$8</c:f>
              <c:numCache>
                <c:formatCode>General</c:formatCode>
                <c:ptCount val="2"/>
                <c:pt idx="0">
                  <c:v>31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27-43A8-B615-193D167FF8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25000"/>
          <a:lumOff val="7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/>
              <a:t>H</a:t>
            </a:r>
            <a:r>
              <a:rPr lang="pt-BR" sz="1200" baseline="0"/>
              <a:t>IV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NVE!$AC$6</c:f>
              <c:strCache>
                <c:ptCount val="1"/>
                <c:pt idx="0">
                  <c:v>HIV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shade val="7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shade val="7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7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41-4EBA-83FB-1197659521F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41-4EBA-83FB-1197659521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NVE!$AC$7:$AC$8</c:f>
              <c:strCache>
                <c:ptCount val="2"/>
                <c:pt idx="0">
                  <c:v>NÃO REAGENTES</c:v>
                </c:pt>
                <c:pt idx="1">
                  <c:v>REAGENTES</c:v>
                </c:pt>
              </c:strCache>
            </c:strRef>
          </c:cat>
          <c:val>
            <c:numRef>
              <c:f>NVE!$AD$7:$AD$8</c:f>
              <c:numCache>
                <c:formatCode>General</c:formatCode>
                <c:ptCount val="2"/>
                <c:pt idx="0">
                  <c:v>33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41-4EBA-83FB-1197659521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25000"/>
          <a:lumOff val="7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/>
              <a:t>DENGUE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NVE!$AA$9</c:f>
              <c:strCache>
                <c:ptCount val="1"/>
                <c:pt idx="0">
                  <c:v>DENGUE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shade val="7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shade val="7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7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91-44CB-998E-49EE09B9E4C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91-44CB-998E-49EE09B9E4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NVE!$AA$10:$AA$11</c:f>
              <c:strCache>
                <c:ptCount val="2"/>
                <c:pt idx="0">
                  <c:v>NÃO REAGENTES</c:v>
                </c:pt>
                <c:pt idx="1">
                  <c:v>REAGENTES</c:v>
                </c:pt>
              </c:strCache>
            </c:strRef>
          </c:cat>
          <c:val>
            <c:numRef>
              <c:f>NVE!$AB$10:$AB$11</c:f>
              <c:numCache>
                <c:formatCode>General</c:formatCode>
                <c:ptCount val="2"/>
                <c:pt idx="0">
                  <c:v>15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91-44CB-998E-49EE09B9E4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25000"/>
          <a:lumOff val="7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/>
              <a:t>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NVE!$AC$9</c:f>
              <c:strCache>
                <c:ptCount val="1"/>
                <c:pt idx="0">
                  <c:v>COVID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shade val="7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shade val="7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7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D4-4324-B6A7-7C267356A66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D4-4324-B6A7-7C267356A6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NVE!$AC$10:$AC$11</c:f>
              <c:strCache>
                <c:ptCount val="2"/>
                <c:pt idx="0">
                  <c:v>NÃO REAGENTES</c:v>
                </c:pt>
                <c:pt idx="1">
                  <c:v>REAGENTES</c:v>
                </c:pt>
              </c:strCache>
            </c:strRef>
          </c:cat>
          <c:val>
            <c:numRef>
              <c:f>NVE!$AD$10:$AD$11</c:f>
              <c:numCache>
                <c:formatCode>General</c:formatCode>
                <c:ptCount val="2"/>
                <c:pt idx="0">
                  <c:v>105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D4-4324-B6A7-7C267356A6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25000"/>
          <a:lumOff val="7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Teste</a:t>
            </a:r>
            <a:r>
              <a:rPr lang="pt-BR" sz="1400" baseline="0"/>
              <a:t> Rápido - Covid-19</a:t>
            </a:r>
          </a:p>
          <a:p>
            <a:pPr>
              <a:defRPr sz="1400"/>
            </a:pPr>
            <a:r>
              <a:rPr lang="pt-BR" sz="1100" baseline="0"/>
              <a:t>Agosto/2025</a:t>
            </a:r>
            <a:endParaRPr lang="pt-B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0417745554980147E-2"/>
          <c:y val="0.12057448229792919"/>
          <c:w val="0.93008803728638001"/>
          <c:h val="0.65569538026183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NVE!$B$145</c:f>
              <c:strCache>
                <c:ptCount val="1"/>
                <c:pt idx="0">
                  <c:v>Não Reagente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NVE!$A$146:$A$176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NVE!$B$146:$B$176</c:f>
              <c:numCache>
                <c:formatCode>General</c:formatCode>
                <c:ptCount val="31"/>
                <c:pt idx="0">
                  <c:v>8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5">
                  <c:v>10</c:v>
                </c:pt>
                <c:pt idx="6">
                  <c:v>3</c:v>
                </c:pt>
                <c:pt idx="8">
                  <c:v>4</c:v>
                </c:pt>
                <c:pt idx="9">
                  <c:v>2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7</c:v>
                </c:pt>
                <c:pt idx="18">
                  <c:v>5</c:v>
                </c:pt>
                <c:pt idx="19">
                  <c:v>2</c:v>
                </c:pt>
                <c:pt idx="20">
                  <c:v>8</c:v>
                </c:pt>
                <c:pt idx="21">
                  <c:v>5</c:v>
                </c:pt>
                <c:pt idx="22">
                  <c:v>1</c:v>
                </c:pt>
                <c:pt idx="23">
                  <c:v>3</c:v>
                </c:pt>
                <c:pt idx="24">
                  <c:v>2</c:v>
                </c:pt>
                <c:pt idx="25">
                  <c:v>4</c:v>
                </c:pt>
                <c:pt idx="26">
                  <c:v>1</c:v>
                </c:pt>
                <c:pt idx="27">
                  <c:v>10</c:v>
                </c:pt>
                <c:pt idx="2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E-4834-B04B-43AD8C8A744C}"/>
            </c:ext>
          </c:extLst>
        </c:ser>
        <c:ser>
          <c:idx val="1"/>
          <c:order val="1"/>
          <c:tx>
            <c:strRef>
              <c:f>NVE!$C$145</c:f>
              <c:strCache>
                <c:ptCount val="1"/>
                <c:pt idx="0">
                  <c:v>Reagente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NVE!$A$146:$A$176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NVE!$C$146:$C$176</c:f>
              <c:numCache>
                <c:formatCode>General</c:formatCode>
                <c:ptCount val="31"/>
                <c:pt idx="2">
                  <c:v>1</c:v>
                </c:pt>
                <c:pt idx="21">
                  <c:v>1</c:v>
                </c:pt>
                <c:pt idx="23">
                  <c:v>2</c:v>
                </c:pt>
                <c:pt idx="25">
                  <c:v>1</c:v>
                </c:pt>
                <c:pt idx="27">
                  <c:v>2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E-4834-B04B-43AD8C8A7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7874304"/>
        <c:axId val="1915504000"/>
      </c:barChart>
      <c:lineChart>
        <c:grouping val="standard"/>
        <c:varyColors val="0"/>
        <c:ser>
          <c:idx val="2"/>
          <c:order val="2"/>
          <c:tx>
            <c:strRef>
              <c:f>NVE!$D$145</c:f>
              <c:strCache>
                <c:ptCount val="1"/>
                <c:pt idx="0">
                  <c:v>Total Geral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NVE!$A$146:$A$176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NVE!$D$146:$D$176</c:f>
              <c:numCache>
                <c:formatCode>General</c:formatCode>
                <c:ptCount val="31"/>
                <c:pt idx="0">
                  <c:v>8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10</c:v>
                </c:pt>
                <c:pt idx="6">
                  <c:v>3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2</c:v>
                </c:pt>
                <c:pt idx="20">
                  <c:v>8</c:v>
                </c:pt>
                <c:pt idx="21">
                  <c:v>6</c:v>
                </c:pt>
                <c:pt idx="22">
                  <c:v>1</c:v>
                </c:pt>
                <c:pt idx="23">
                  <c:v>5</c:v>
                </c:pt>
                <c:pt idx="24">
                  <c:v>2</c:v>
                </c:pt>
                <c:pt idx="25">
                  <c:v>5</c:v>
                </c:pt>
                <c:pt idx="26">
                  <c:v>1</c:v>
                </c:pt>
                <c:pt idx="27">
                  <c:v>12</c:v>
                </c:pt>
                <c:pt idx="28">
                  <c:v>0</c:v>
                </c:pt>
                <c:pt idx="29">
                  <c:v>10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AE-4834-B04B-43AD8C8A7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874304"/>
        <c:axId val="1915504000"/>
      </c:lineChart>
      <c:catAx>
        <c:axId val="1917874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5504000"/>
        <c:crosses val="autoZero"/>
        <c:auto val="1"/>
        <c:lblAlgn val="ctr"/>
        <c:lblOffset val="100"/>
        <c:noMultiLvlLbl val="1"/>
      </c:catAx>
      <c:valAx>
        <c:axId val="1915504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17874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Notificações Compulsórias</a:t>
            </a:r>
          </a:p>
          <a:p>
            <a:pPr>
              <a:defRPr sz="1400"/>
            </a:pPr>
            <a:r>
              <a:rPr lang="en-US" sz="1100"/>
              <a:t>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3598001336789418"/>
          <c:y val="9.4825321775676388E-2"/>
          <c:w val="0.63530379354754574"/>
          <c:h val="0.847881130697906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NVE!$B$43</c:f>
              <c:strCache>
                <c:ptCount val="1"/>
                <c:pt idx="0">
                  <c:v>Qtd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7000"/>
                  </a:schemeClr>
                </a:gs>
                <a:gs pos="48000">
                  <a:schemeClr val="accent6">
                    <a:lumMod val="97000"/>
                    <a:lumOff val="3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chemeClr val="accent6">
                      <a:lumMod val="67000"/>
                    </a:schemeClr>
                  </a:gs>
                  <a:gs pos="48000">
                    <a:schemeClr val="accent6">
                      <a:lumMod val="97000"/>
                      <a:lumOff val="3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60D-4D55-9563-937F983453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NVE!$A$44:$A$62</c:f>
              <c:strCache>
                <c:ptCount val="19"/>
                <c:pt idx="0">
                  <c:v>Coqueluche</c:v>
                </c:pt>
                <c:pt idx="1">
                  <c:v>Meningete</c:v>
                </c:pt>
                <c:pt idx="2">
                  <c:v>Doenças exantematicas</c:v>
                </c:pt>
                <c:pt idx="3">
                  <c:v>AIDS</c:v>
                </c:pt>
                <c:pt idx="4">
                  <c:v>Tuberculose</c:v>
                </c:pt>
                <c:pt idx="5">
                  <c:v>Caxumba</c:v>
                </c:pt>
                <c:pt idx="6">
                  <c:v>Esporotricose</c:v>
                </c:pt>
                <c:pt idx="7">
                  <c:v>Dengue</c:v>
                </c:pt>
                <c:pt idx="8">
                  <c:v>Sifilis</c:v>
                </c:pt>
                <c:pt idx="9">
                  <c:v>Mão pé boca</c:v>
                </c:pt>
                <c:pt idx="10">
                  <c:v>Animais peçonhentos</c:v>
                </c:pt>
                <c:pt idx="11">
                  <c:v>COVID</c:v>
                </c:pt>
                <c:pt idx="12">
                  <c:v>Escabiose</c:v>
                </c:pt>
                <c:pt idx="13">
                  <c:v>Intoxicação Exógena</c:v>
                </c:pt>
                <c:pt idx="14">
                  <c:v> Influenza</c:v>
                </c:pt>
                <c:pt idx="15">
                  <c:v>Antirrábico</c:v>
                </c:pt>
                <c:pt idx="16">
                  <c:v>Acidente de trabalho</c:v>
                </c:pt>
                <c:pt idx="17">
                  <c:v>Violência interpessoal e auto… </c:v>
                </c:pt>
                <c:pt idx="18">
                  <c:v>Conjuntivite</c:v>
                </c:pt>
              </c:strCache>
            </c:strRef>
          </c:cat>
          <c:val>
            <c:numRef>
              <c:f>NVE!$B$44:$B$62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11</c:v>
                </c:pt>
                <c:pt idx="11">
                  <c:v>12</c:v>
                </c:pt>
                <c:pt idx="12">
                  <c:v>19</c:v>
                </c:pt>
                <c:pt idx="13">
                  <c:v>29</c:v>
                </c:pt>
                <c:pt idx="14">
                  <c:v>44</c:v>
                </c:pt>
                <c:pt idx="15">
                  <c:v>53</c:v>
                </c:pt>
                <c:pt idx="16">
                  <c:v>58</c:v>
                </c:pt>
                <c:pt idx="17">
                  <c:v>62</c:v>
                </c:pt>
                <c:pt idx="18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7-485E-AA72-2BFE45B89B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8632224"/>
        <c:axId val="88629344"/>
      </c:barChart>
      <c:catAx>
        <c:axId val="8863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88629344"/>
        <c:crosses val="autoZero"/>
        <c:auto val="1"/>
        <c:lblAlgn val="ctr"/>
        <c:lblOffset val="100"/>
        <c:noMultiLvlLbl val="0"/>
      </c:catAx>
      <c:valAx>
        <c:axId val="8862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8863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Notificações Compulsórias</a:t>
            </a:r>
          </a:p>
          <a:p>
            <a:pPr>
              <a:defRPr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A3A-45C5-82EF-64CDD711C2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56127584"/>
        <c:axId val="356128064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UPAS'!$J$2:$N$2</c:f>
              <c:numCache>
                <c:formatCode>General</c:formatCode>
                <c:ptCount val="5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A3A-45C5-82EF-64CDD711C2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503728"/>
        <c:axId val="94503248"/>
      </c:lineChart>
      <c:catAx>
        <c:axId val="35612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356128064"/>
        <c:crosses val="autoZero"/>
        <c:auto val="1"/>
        <c:lblAlgn val="ctr"/>
        <c:lblOffset val="100"/>
        <c:noMultiLvlLbl val="0"/>
      </c:catAx>
      <c:valAx>
        <c:axId val="356128064"/>
        <c:scaling>
          <c:orientation val="minMax"/>
          <c:max val="700"/>
          <c:min val="2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356127584"/>
        <c:crosses val="autoZero"/>
        <c:crossBetween val="between"/>
      </c:valAx>
      <c:valAx>
        <c:axId val="945032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94503728"/>
        <c:crosses val="max"/>
        <c:crossBetween val="between"/>
      </c:valAx>
      <c:catAx>
        <c:axId val="94503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50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 b="1"/>
              <a:t>Percentual de testes reagentes</a:t>
            </a:r>
          </a:p>
          <a:p>
            <a:pPr>
              <a:defRPr sz="1400" b="1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2891887136697447E-2"/>
          <c:y val="1.7593138478269002E-2"/>
          <c:w val="0.91869060444579409"/>
          <c:h val="0.68328613264177995"/>
        </c:manualLayout>
      </c:layout>
      <c:lineChart>
        <c:grouping val="standard"/>
        <c:varyColors val="0"/>
        <c:ser>
          <c:idx val="0"/>
          <c:order val="0"/>
          <c:tx>
            <c:strRef>
              <c:f>NVE!$A$95</c:f>
              <c:strCache>
                <c:ptCount val="1"/>
                <c:pt idx="0">
                  <c:v>HEPATITE B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 w="2857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NVE!$J$94:$O$94</c:f>
              <c:strCache>
                <c:ptCount val="6"/>
                <c:pt idx="0">
                  <c:v>MARÇO.25</c:v>
                </c:pt>
                <c:pt idx="1">
                  <c:v>ABRIL.25</c:v>
                </c:pt>
                <c:pt idx="2">
                  <c:v>MAIO.25</c:v>
                </c:pt>
                <c:pt idx="3">
                  <c:v>JUNHO.25</c:v>
                </c:pt>
                <c:pt idx="4">
                  <c:v>JULHO.25</c:v>
                </c:pt>
                <c:pt idx="5">
                  <c:v>AGOSTO.25</c:v>
                </c:pt>
              </c:strCache>
            </c:strRef>
          </c:cat>
          <c:val>
            <c:numRef>
              <c:f>NVE!$J$95:$O$95</c:f>
              <c:numCache>
                <c:formatCode>0%</c:formatCode>
                <c:ptCount val="6"/>
                <c:pt idx="0">
                  <c:v>0</c:v>
                </c:pt>
                <c:pt idx="1">
                  <c:v>0.04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8-432C-929B-DE020FC8ACF1}"/>
            </c:ext>
          </c:extLst>
        </c:ser>
        <c:ser>
          <c:idx val="1"/>
          <c:order val="1"/>
          <c:tx>
            <c:strRef>
              <c:f>NVE!$A$96</c:f>
              <c:strCache>
                <c:ptCount val="1"/>
                <c:pt idx="0">
                  <c:v>HEPATITE C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 w="2857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NVE!$J$94:$O$94</c:f>
              <c:strCache>
                <c:ptCount val="6"/>
                <c:pt idx="0">
                  <c:v>MARÇO.25</c:v>
                </c:pt>
                <c:pt idx="1">
                  <c:v>ABRIL.25</c:v>
                </c:pt>
                <c:pt idx="2">
                  <c:v>MAIO.25</c:v>
                </c:pt>
                <c:pt idx="3">
                  <c:v>JUNHO.25</c:v>
                </c:pt>
                <c:pt idx="4">
                  <c:v>JULHO.25</c:v>
                </c:pt>
                <c:pt idx="5">
                  <c:v>AGOSTO.25</c:v>
                </c:pt>
              </c:strCache>
            </c:strRef>
          </c:cat>
          <c:val>
            <c:numRef>
              <c:f>NVE!$J$96:$O$96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3.4482758620689655E-2</c:v>
                </c:pt>
                <c:pt idx="3">
                  <c:v>0.04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8-432C-929B-DE020FC8ACF1}"/>
            </c:ext>
          </c:extLst>
        </c:ser>
        <c:ser>
          <c:idx val="2"/>
          <c:order val="2"/>
          <c:tx>
            <c:strRef>
              <c:f>NVE!$A$97</c:f>
              <c:strCache>
                <c:ptCount val="1"/>
                <c:pt idx="0">
                  <c:v>HIV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 w="2857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NVE!$J$94:$O$94</c:f>
              <c:strCache>
                <c:ptCount val="6"/>
                <c:pt idx="0">
                  <c:v>MARÇO.25</c:v>
                </c:pt>
                <c:pt idx="1">
                  <c:v>ABRIL.25</c:v>
                </c:pt>
                <c:pt idx="2">
                  <c:v>MAIO.25</c:v>
                </c:pt>
                <c:pt idx="3">
                  <c:v>JUNHO.25</c:v>
                </c:pt>
                <c:pt idx="4">
                  <c:v>JULHO.25</c:v>
                </c:pt>
                <c:pt idx="5">
                  <c:v>AGOSTO.25</c:v>
                </c:pt>
              </c:strCache>
            </c:strRef>
          </c:cat>
          <c:val>
            <c:numRef>
              <c:f>NVE!$J$97:$O$97</c:f>
              <c:numCache>
                <c:formatCode>0%</c:formatCode>
                <c:ptCount val="6"/>
                <c:pt idx="0">
                  <c:v>2.9411764705882353E-2</c:v>
                </c:pt>
                <c:pt idx="1">
                  <c:v>0.14285714285714285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18-432C-929B-DE020FC8ACF1}"/>
            </c:ext>
          </c:extLst>
        </c:ser>
        <c:ser>
          <c:idx val="3"/>
          <c:order val="3"/>
          <c:tx>
            <c:strRef>
              <c:f>NVE!$A$98</c:f>
              <c:strCache>
                <c:ptCount val="1"/>
                <c:pt idx="0">
                  <c:v>SÍFILIS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 w="2857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NVE!$J$94:$O$94</c:f>
              <c:strCache>
                <c:ptCount val="6"/>
                <c:pt idx="0">
                  <c:v>MARÇO.25</c:v>
                </c:pt>
                <c:pt idx="1">
                  <c:v>ABRIL.25</c:v>
                </c:pt>
                <c:pt idx="2">
                  <c:v>MAIO.25</c:v>
                </c:pt>
                <c:pt idx="3">
                  <c:v>JUNHO.25</c:v>
                </c:pt>
                <c:pt idx="4">
                  <c:v>JULHO.25</c:v>
                </c:pt>
                <c:pt idx="5">
                  <c:v>AGOSTO.25</c:v>
                </c:pt>
              </c:strCache>
            </c:strRef>
          </c:cat>
          <c:val>
            <c:numRef>
              <c:f>NVE!$J$98:$O$98</c:f>
              <c:numCache>
                <c:formatCode>0%</c:formatCode>
                <c:ptCount val="6"/>
                <c:pt idx="0">
                  <c:v>0.2608695652173913</c:v>
                </c:pt>
                <c:pt idx="1">
                  <c:v>6.6666666666666666E-2</c:v>
                </c:pt>
                <c:pt idx="2">
                  <c:v>0.12</c:v>
                </c:pt>
                <c:pt idx="3">
                  <c:v>0.03</c:v>
                </c:pt>
                <c:pt idx="4">
                  <c:v>0.08</c:v>
                </c:pt>
                <c:pt idx="5">
                  <c:v>0.11428571428571428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18-432C-929B-DE020FC8ACF1}"/>
            </c:ext>
          </c:extLst>
        </c:ser>
        <c:ser>
          <c:idx val="4"/>
          <c:order val="4"/>
          <c:tx>
            <c:strRef>
              <c:f>NVE!$A$99</c:f>
              <c:strCache>
                <c:ptCount val="1"/>
                <c:pt idx="0">
                  <c:v>DENGUE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 w="2857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NVE!$J$94:$O$94</c:f>
              <c:strCache>
                <c:ptCount val="6"/>
                <c:pt idx="0">
                  <c:v>MARÇO.25</c:v>
                </c:pt>
                <c:pt idx="1">
                  <c:v>ABRIL.25</c:v>
                </c:pt>
                <c:pt idx="2">
                  <c:v>MAIO.25</c:v>
                </c:pt>
                <c:pt idx="3">
                  <c:v>JUNHO.25</c:v>
                </c:pt>
                <c:pt idx="4">
                  <c:v>JULHO.25</c:v>
                </c:pt>
                <c:pt idx="5">
                  <c:v>AGOSTO.25</c:v>
                </c:pt>
              </c:strCache>
            </c:strRef>
          </c:cat>
          <c:val>
            <c:numRef>
              <c:f>NVE!$J$99:$O$99</c:f>
              <c:numCache>
                <c:formatCode>0%</c:formatCode>
                <c:ptCount val="6"/>
                <c:pt idx="0">
                  <c:v>1.5706806282722512E-2</c:v>
                </c:pt>
                <c:pt idx="1">
                  <c:v>1.935483870967742E-2</c:v>
                </c:pt>
                <c:pt idx="2">
                  <c:v>9.0090090090090089E-3</c:v>
                </c:pt>
                <c:pt idx="3">
                  <c:v>0</c:v>
                </c:pt>
                <c:pt idx="4">
                  <c:v>0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18-432C-929B-DE020FC8ACF1}"/>
            </c:ext>
          </c:extLst>
        </c:ser>
        <c:ser>
          <c:idx val="5"/>
          <c:order val="5"/>
          <c:tx>
            <c:strRef>
              <c:f>NVE!$A$100</c:f>
              <c:strCache>
                <c:ptCount val="1"/>
                <c:pt idx="0">
                  <c:v>COQUELUCHE</c:v>
                </c:pt>
              </c:strCache>
            </c:strRef>
          </c:tx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 w="2857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NVE!$J$94:$O$94</c:f>
              <c:strCache>
                <c:ptCount val="6"/>
                <c:pt idx="0">
                  <c:v>MARÇO.25</c:v>
                </c:pt>
                <c:pt idx="1">
                  <c:v>ABRIL.25</c:v>
                </c:pt>
                <c:pt idx="2">
                  <c:v>MAIO.25</c:v>
                </c:pt>
                <c:pt idx="3">
                  <c:v>JUNHO.25</c:v>
                </c:pt>
                <c:pt idx="4">
                  <c:v>JULHO.25</c:v>
                </c:pt>
                <c:pt idx="5">
                  <c:v>AGOSTO.25</c:v>
                </c:pt>
              </c:strCache>
            </c:strRef>
          </c:cat>
          <c:val>
            <c:numRef>
              <c:f>NVE!$B$100:$G$100</c:f>
            </c:numRef>
          </c:val>
          <c:smooth val="0"/>
          <c:extLst>
            <c:ext xmlns:c16="http://schemas.microsoft.com/office/drawing/2014/chart" uri="{C3380CC4-5D6E-409C-BE32-E72D297353CC}">
              <c16:uniqueId val="{00000005-F118-432C-929B-DE020FC8AC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0531040"/>
        <c:axId val="470552160"/>
      </c:lineChart>
      <c:catAx>
        <c:axId val="47053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70552160"/>
        <c:crosses val="autoZero"/>
        <c:auto val="1"/>
        <c:lblAlgn val="ctr"/>
        <c:lblOffset val="100"/>
        <c:noMultiLvlLbl val="0"/>
      </c:catAx>
      <c:valAx>
        <c:axId val="470552160"/>
        <c:scaling>
          <c:orientation val="minMax"/>
          <c:max val="0.35000000000000003"/>
          <c:min val="-1.0000000000000002E-2"/>
        </c:scaling>
        <c:delete val="1"/>
        <c:axPos val="l"/>
        <c:numFmt formatCode="0%" sourceLinked="1"/>
        <c:majorTickMark val="out"/>
        <c:minorTickMark val="none"/>
        <c:tickLblPos val="nextTo"/>
        <c:crossAx val="4705310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25400"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accent1">
          <a:lumMod val="40000"/>
          <a:lumOff val="60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E284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Testes Realizados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>
                <a:solidFill>
                  <a:srgbClr val="0E2841"/>
                </a:solidFill>
              </a:defRPr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1" i="0" u="none" strike="noStrike" kern="1200" baseline="0">
              <a:solidFill>
                <a:srgbClr val="0E284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186-4001-8993-AA07D37A7E73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186-4001-8993-AA07D37A7E73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C186-4001-8993-AA07D37A7E73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C186-4001-8993-AA07D37A7E73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C186-4001-8993-AA07D37A7E73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C186-4001-8993-AA07D37A7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433647"/>
        <c:axId val="768428367"/>
      </c:barChart>
      <c:lineChart>
        <c:grouping val="standard"/>
        <c:varyColors val="0"/>
        <c:ser>
          <c:idx val="6"/>
          <c:order val="6"/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'INDICADORES UPAS'!$J$2:$N$2</c:f>
              <c:numCache>
                <c:formatCode>General</c:formatCode>
                <c:ptCount val="5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C186-4001-8993-AA07D37A7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433647"/>
        <c:axId val="768428367"/>
      </c:lineChart>
      <c:catAx>
        <c:axId val="76843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768428367"/>
        <c:crosses val="autoZero"/>
        <c:auto val="1"/>
        <c:lblAlgn val="ctr"/>
        <c:lblOffset val="100"/>
        <c:noMultiLvlLbl val="0"/>
      </c:catAx>
      <c:valAx>
        <c:axId val="7684283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84336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Total de Treinamentos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>
                <a:solidFill>
                  <a:sysClr val="windowText" lastClr="000000"/>
                </a:solidFill>
              </a:defRPr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CC6-4C0B-9867-45867517650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1464511"/>
        <c:axId val="861468351"/>
      </c:lineChart>
      <c:catAx>
        <c:axId val="861464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861468351"/>
        <c:crosses val="autoZero"/>
        <c:auto val="1"/>
        <c:lblAlgn val="ctr"/>
        <c:lblOffset val="100"/>
        <c:noMultiLvlLbl val="0"/>
      </c:catAx>
      <c:valAx>
        <c:axId val="8614683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146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Total de Horas</a:t>
            </a:r>
            <a:r>
              <a:rPr lang="en-US" sz="1400" baseline="0"/>
              <a:t> em Treinamentos</a:t>
            </a:r>
          </a:p>
          <a:p>
            <a:pPr>
              <a:defRPr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73D-4D72-BB19-2358B5FB98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1466431"/>
        <c:axId val="861470271"/>
      </c:barChart>
      <c:catAx>
        <c:axId val="86146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861470271"/>
        <c:crosses val="autoZero"/>
        <c:auto val="1"/>
        <c:lblAlgn val="ctr"/>
        <c:lblOffset val="100"/>
        <c:noMultiLvlLbl val="0"/>
      </c:catAx>
      <c:valAx>
        <c:axId val="8614702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1466431"/>
        <c:crosses val="autoZero"/>
        <c:crossBetween val="between"/>
      </c:valAx>
      <c:spPr>
        <a:noFill/>
        <a:ln>
          <a:solidFill>
            <a:schemeClr val="lt1">
              <a:alpha val="94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Tempo</a:t>
            </a:r>
            <a:r>
              <a:rPr lang="pt-BR" sz="1400" baseline="0"/>
              <a:t> de Treinamento</a:t>
            </a:r>
          </a:p>
          <a:p>
            <a:pPr>
              <a:defRPr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5821596244131457E-2"/>
          <c:y val="0.27659740449110526"/>
          <c:w val="0.94835680751173712"/>
          <c:h val="0.56616105278506845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6AF-44CA-8C2B-6A424EDCBF92}"/>
            </c:ext>
          </c:extLst>
        </c:ser>
        <c:ser>
          <c:idx val="2"/>
          <c:order val="1"/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6AF-44CA-8C2B-6A424EDCBF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1467391"/>
        <c:axId val="861458751"/>
      </c:lineChart>
      <c:catAx>
        <c:axId val="86146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861458751"/>
        <c:crosses val="autoZero"/>
        <c:auto val="1"/>
        <c:lblAlgn val="ctr"/>
        <c:lblOffset val="100"/>
        <c:noMultiLvlLbl val="0"/>
      </c:catAx>
      <c:valAx>
        <c:axId val="861458751"/>
        <c:scaling>
          <c:orientation val="minMax"/>
          <c:max val="0.29000000000000004"/>
        </c:scaling>
        <c:delete val="1"/>
        <c:axPos val="l"/>
        <c:numFmt formatCode="General" sourceLinked="1"/>
        <c:majorTickMark val="out"/>
        <c:minorTickMark val="none"/>
        <c:tickLblPos val="nextTo"/>
        <c:crossAx val="86146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Média de Participantes</a:t>
            </a:r>
            <a:r>
              <a:rPr lang="en-US" sz="1400" baseline="0"/>
              <a:t> por Treinamento</a:t>
            </a:r>
          </a:p>
          <a:p>
            <a:pPr>
              <a:defRPr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525-47E8-A9F9-4D2A27947C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1486111"/>
        <c:axId val="861485151"/>
      </c:barChart>
      <c:catAx>
        <c:axId val="86148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861485151"/>
        <c:crosses val="autoZero"/>
        <c:auto val="1"/>
        <c:lblAlgn val="ctr"/>
        <c:lblOffset val="100"/>
        <c:noMultiLvlLbl val="0"/>
      </c:catAx>
      <c:valAx>
        <c:axId val="8614851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148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Temas Abordados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D88-40FD-BE51-5F5F7FBD6D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1464511"/>
        <c:axId val="861468351"/>
      </c:lineChart>
      <c:catAx>
        <c:axId val="861464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861468351"/>
        <c:crosses val="autoZero"/>
        <c:auto val="1"/>
        <c:lblAlgn val="ctr"/>
        <c:lblOffset val="100"/>
        <c:noMultiLvlLbl val="0"/>
      </c:catAx>
      <c:valAx>
        <c:axId val="8614683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146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/>
              <a:t>Capacitações - Marçoo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E4D-408B-95A3-639A3F5D712D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E4D-408B-95A3-639A3F5D7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8426927"/>
        <c:axId val="768423567"/>
      </c:barChart>
      <c:lineChart>
        <c:grouping val="standard"/>
        <c:varyColors val="0"/>
        <c:ser>
          <c:idx val="2"/>
          <c:order val="2"/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'INDICADORES UPAS'!$I$2:$N$2</c:f>
              <c:numCache>
                <c:formatCode>General</c:formatCode>
                <c:ptCount val="6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E4D-408B-95A3-639A3F5D712D}"/>
            </c:ext>
          </c:extLst>
        </c:ser>
        <c:ser>
          <c:idx val="3"/>
          <c:order val="3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'INDICADORES UPAS'!$I$2:$N$2</c:f>
              <c:numCache>
                <c:formatCode>General</c:formatCode>
                <c:ptCount val="6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0E4D-408B-95A3-639A3F5D7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616735"/>
        <c:axId val="885629215"/>
      </c:lineChart>
      <c:catAx>
        <c:axId val="76842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768423567"/>
        <c:crosses val="autoZero"/>
        <c:auto val="1"/>
        <c:lblAlgn val="ctr"/>
        <c:lblOffset val="100"/>
        <c:noMultiLvlLbl val="0"/>
      </c:catAx>
      <c:valAx>
        <c:axId val="768423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768426927"/>
        <c:crosses val="autoZero"/>
        <c:crossBetween val="between"/>
      </c:valAx>
      <c:valAx>
        <c:axId val="88562921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885616735"/>
        <c:crosses val="max"/>
        <c:crossBetween val="between"/>
      </c:valAx>
      <c:catAx>
        <c:axId val="8856167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8562921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Ordens de Serviços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825-4838-9F75-0B0E6BF770DD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825-4838-9F75-0B0E6BF770DD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8825-4838-9F75-0B0E6BF770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8280240"/>
        <c:axId val="168282160"/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UPAS'!$J$2:$N$2</c:f>
              <c:numCache>
                <c:formatCode>General</c:formatCode>
                <c:ptCount val="5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8825-4838-9F75-0B0E6BF770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280240"/>
        <c:axId val="168282160"/>
      </c:lineChart>
      <c:catAx>
        <c:axId val="16828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68282160"/>
        <c:crosses val="autoZero"/>
        <c:auto val="1"/>
        <c:lblAlgn val="ctr"/>
        <c:lblOffset val="100"/>
        <c:noMultiLvlLbl val="0"/>
      </c:catAx>
      <c:valAx>
        <c:axId val="168282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828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Lavanderia -</a:t>
            </a:r>
            <a:r>
              <a:rPr lang="en-US" sz="1400" baseline="0"/>
              <a:t> Kg de Roupa Processada</a:t>
            </a:r>
          </a:p>
          <a:p>
            <a:pPr>
              <a:defRPr sz="1400"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425-43E9-B142-A6B9E30F5E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1285728"/>
        <c:axId val="1917881504"/>
      </c:barChart>
      <c:catAx>
        <c:axId val="6128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917881504"/>
        <c:crosses val="autoZero"/>
        <c:auto val="1"/>
        <c:lblAlgn val="ctr"/>
        <c:lblOffset val="100"/>
        <c:noMultiLvlLbl val="0"/>
      </c:catAx>
      <c:valAx>
        <c:axId val="1917881504"/>
        <c:scaling>
          <c:orientation val="minMax"/>
          <c:min val="1000"/>
        </c:scaling>
        <c:delete val="1"/>
        <c:axPos val="l"/>
        <c:numFmt formatCode="General" sourceLinked="1"/>
        <c:majorTickMark val="out"/>
        <c:minorTickMark val="none"/>
        <c:tickLblPos val="nextTo"/>
        <c:crossAx val="6128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solidFill>
                  <a:schemeClr val="tx1"/>
                </a:solidFill>
              </a:rPr>
              <a:t>Serviço de Nutrição - Refeições Servidas</a:t>
            </a:r>
          </a:p>
          <a:p>
            <a:pPr>
              <a:defRPr sz="1400">
                <a:solidFill>
                  <a:schemeClr val="tx1"/>
                </a:solidFill>
              </a:defRPr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426498711606317"/>
          <c:y val="0.1981830534457529"/>
          <c:w val="0.74483041387215421"/>
          <c:h val="0.37275044712331312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18F-489E-8D49-58DA826DABDB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18F-489E-8D49-58DA826DABDB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E18F-489E-8D49-58DA826DABDB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E18F-489E-8D49-58DA826DABDB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E18F-489E-8D49-58DA826DABDB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E18F-489E-8D49-58DA826DA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8585168"/>
        <c:axId val="168575568"/>
      </c:barChart>
      <c:lineChart>
        <c:grouping val="standard"/>
        <c:varyColors val="0"/>
        <c:ser>
          <c:idx val="6"/>
          <c:order val="6"/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'INDICADORES UPAS'!$J$2:$N$2</c:f>
              <c:numCache>
                <c:formatCode>General</c:formatCode>
                <c:ptCount val="5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E18F-489E-8D49-58DA826DA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585168"/>
        <c:axId val="168575568"/>
      </c:lineChart>
      <c:catAx>
        <c:axId val="16858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68575568"/>
        <c:crosses val="autoZero"/>
        <c:auto val="1"/>
        <c:lblAlgn val="ctr"/>
        <c:lblOffset val="100"/>
        <c:noMultiLvlLbl val="0"/>
      </c:catAx>
      <c:valAx>
        <c:axId val="168575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8585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Lavanderia (kg de roupa processada)</a:t>
            </a:r>
          </a:p>
          <a:p>
            <a:pPr>
              <a:defRPr/>
            </a:pPr>
            <a:r>
              <a:rPr lang="en-US" sz="1100"/>
              <a:t>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0928462709284626E-2"/>
          <c:y val="0.12996607131425644"/>
          <c:w val="0.95814307458143078"/>
          <c:h val="0.71904487548812501"/>
        </c:manualLayout>
      </c:layout>
      <c:barChart>
        <c:barDir val="col"/>
        <c:grouping val="clustered"/>
        <c:varyColors val="0"/>
        <c:ser>
          <c:idx val="0"/>
          <c:order val="0"/>
          <c:tx>
            <c:v>Lavanderia (kg de roupa processada)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APOIO!$X$20:$X$50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APOIO!$Y$20:$Y$50</c:f>
              <c:numCache>
                <c:formatCode>General</c:formatCode>
                <c:ptCount val="31"/>
                <c:pt idx="0">
                  <c:v>111</c:v>
                </c:pt>
                <c:pt idx="1">
                  <c:v>124.2</c:v>
                </c:pt>
                <c:pt idx="2">
                  <c:v>142.80000000000001</c:v>
                </c:pt>
                <c:pt idx="3">
                  <c:v>108</c:v>
                </c:pt>
                <c:pt idx="4">
                  <c:v>71.3</c:v>
                </c:pt>
                <c:pt idx="5">
                  <c:v>113</c:v>
                </c:pt>
                <c:pt idx="6">
                  <c:v>127</c:v>
                </c:pt>
                <c:pt idx="7">
                  <c:v>165</c:v>
                </c:pt>
                <c:pt idx="8">
                  <c:v>73</c:v>
                </c:pt>
                <c:pt idx="9">
                  <c:v>100</c:v>
                </c:pt>
                <c:pt idx="10">
                  <c:v>95</c:v>
                </c:pt>
                <c:pt idx="11">
                  <c:v>85</c:v>
                </c:pt>
                <c:pt idx="12">
                  <c:v>97.7</c:v>
                </c:pt>
                <c:pt idx="13">
                  <c:v>98.3</c:v>
                </c:pt>
                <c:pt idx="14">
                  <c:v>112</c:v>
                </c:pt>
                <c:pt idx="15">
                  <c:v>69.900000000000006</c:v>
                </c:pt>
                <c:pt idx="16">
                  <c:v>78.2</c:v>
                </c:pt>
                <c:pt idx="17">
                  <c:v>110.6</c:v>
                </c:pt>
                <c:pt idx="18">
                  <c:v>109.7</c:v>
                </c:pt>
                <c:pt idx="19">
                  <c:v>86.6</c:v>
                </c:pt>
                <c:pt idx="20">
                  <c:v>70</c:v>
                </c:pt>
                <c:pt idx="21">
                  <c:v>98</c:v>
                </c:pt>
                <c:pt idx="22">
                  <c:v>119.1</c:v>
                </c:pt>
                <c:pt idx="23">
                  <c:v>75</c:v>
                </c:pt>
                <c:pt idx="24">
                  <c:v>98.6</c:v>
                </c:pt>
                <c:pt idx="25">
                  <c:v>70</c:v>
                </c:pt>
                <c:pt idx="26">
                  <c:v>141.19999999999999</c:v>
                </c:pt>
                <c:pt idx="27">
                  <c:v>62</c:v>
                </c:pt>
                <c:pt idx="28">
                  <c:v>68.5</c:v>
                </c:pt>
                <c:pt idx="29">
                  <c:v>127.5</c:v>
                </c:pt>
                <c:pt idx="30">
                  <c:v>111.7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2-41A4-84EA-8DB1F09BE5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4732479"/>
        <c:axId val="474720479"/>
      </c:barChart>
      <c:catAx>
        <c:axId val="474732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74720479"/>
        <c:crosses val="autoZero"/>
        <c:auto val="1"/>
        <c:lblAlgn val="ctr"/>
        <c:lblOffset val="100"/>
        <c:noMultiLvlLbl val="1"/>
      </c:catAx>
      <c:valAx>
        <c:axId val="4747204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473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Serviço de Nutrição - Refeições Servidas</a:t>
            </a:r>
            <a:br>
              <a:rPr lang="pt-BR"/>
            </a:br>
            <a:r>
              <a:rPr lang="pt-BR" sz="1100"/>
              <a:t>Agosto/2025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('INDICADORES UPA II - LUZIANIA'!#REF!,'INDICADORES UPA II - LUZIANIA'!#REF!,'INDICADORES UPA II - LUZIANIA'!#REF!)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('INDICADORES UPA II - LUZIANIA'!#REF!,'INDICADORES UPA II - LUZIANIA'!#REF!,'INDICADORES UPA II - LUZIANIA'!#REF!)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A4B-44B5-88E1-91061158A3B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('INDICADORES UPA II - LUZIANIA'!#REF!,'INDICADORES UPA II - LUZIANIA'!#REF!,'INDICADORES UPA II - LUZIANIA'!#REF!)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('INDICADORES UPA II - LUZIANIA'!#REF!,'INDICADORES UPA II - LUZIANIA'!#REF!,'INDICADORES UPA II - LUZIANIA'!#REF!)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A4B-44B5-88E1-91061158A3B8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('INDICADORES UPA II - LUZIANIA'!#REF!,'INDICADORES UPA II - LUZIANIA'!#REF!,'INDICADORES UPA II - LUZIANIA'!#REF!)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('INDICADORES UPA II - LUZIANIA'!#REF!,'INDICADORES UPA II - LUZIANIA'!#REF!,'INDICADORES UPA II - LUZIANIA'!#REF!)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A4B-44B5-88E1-91061158A3B8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('INDICADORES UPA II - LUZIANIA'!#REF!,'INDICADORES UPA II - LUZIANIA'!#REF!,'INDICADORES UPA II - LUZIANIA'!#REF!)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('INDICADORES UPA II - LUZIANIA'!#REF!,'INDICADORES UPA II - LUZIANIA'!#REF!,'INDICADORES UPA II - LUZIANIA'!#REF!)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A4B-44B5-88E1-91061158A3B8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('INDICADORES UPA II - LUZIANIA'!#REF!,'INDICADORES UPA II - LUZIANIA'!#REF!,'INDICADORES UPA II - LUZIANIA'!#REF!)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('INDICADORES UPA II - LUZIANIA'!#REF!,'INDICADORES UPA II - LUZIANIA'!#REF!,'INDICADORES UPA II - LUZIANIA'!#REF!)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CA4B-44B5-88E1-91061158A3B8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'INDICADORES UPA II - LUZIANIA'!#REF!</c:f>
              <c:numCache>
                <c:formatCode>#,##0</c:formatCode>
                <c:ptCount val="1"/>
                <c:pt idx="0">
                  <c:v>161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('INDICADORES UPA II - LUZIANIA'!#REF!,'INDICADORES UPA II - LUZIANIA'!#REF!,'INDICADORES UPA II - LUZIANIA'!#REF!)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CA4B-44B5-88E1-91061158A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6239791"/>
        <c:axId val="686241231"/>
      </c:barChart>
      <c:catAx>
        <c:axId val="68623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686241231"/>
        <c:crosses val="autoZero"/>
        <c:auto val="1"/>
        <c:lblAlgn val="ctr"/>
        <c:lblOffset val="100"/>
        <c:noMultiLvlLbl val="0"/>
      </c:catAx>
      <c:valAx>
        <c:axId val="6862412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6239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Serviço de Nutrição - Refeições Servidas</a:t>
            </a:r>
          </a:p>
          <a:p>
            <a:pPr>
              <a:defRPr/>
            </a:pPr>
            <a:r>
              <a:rPr lang="pt-BR" sz="1100"/>
              <a:t>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14-44A0-82DB-45A67E82D7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14-44A0-82DB-45A67E82D77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714-44A0-82DB-45A67E82D7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('INDICADORES UPA II - LUZIANIA'!#REF!,'INDICADORES UPA II - LUZIANIA'!#REF!,'INDICADORES UPA II - LUZIANIA'!#REF!)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('INDICADORES UPA II - LUZIANIA'!#REF!,'INDICADORES UPA II - LUZIANIA'!#REF!,'INDICADORES UPA II - LUZIANIA'!#REF!)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714-44A0-82DB-45A67E82D7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defRPr>
            </a:pPr>
            <a:r>
              <a:rPr lang="en-US"/>
              <a:t>Equipe de Assistência Social</a:t>
            </a:r>
          </a:p>
          <a:p>
            <a:pPr>
              <a:defRPr/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Calibri" panose="020F0502020204030204" pitchFamily="34" charset="0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FAE-49CE-9557-A3ECA26AD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9535887"/>
        <c:axId val="769548847"/>
      </c:barChart>
      <c:catAx>
        <c:axId val="76953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defRPr>
            </a:pPr>
            <a:endParaRPr lang="pt-BR"/>
          </a:p>
        </c:txPr>
        <c:crossAx val="769548847"/>
        <c:crosses val="autoZero"/>
        <c:auto val="1"/>
        <c:lblAlgn val="ctr"/>
        <c:lblOffset val="100"/>
        <c:noMultiLvlLbl val="0"/>
      </c:catAx>
      <c:valAx>
        <c:axId val="7695488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953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ea typeface="Calibri" panose="020F0502020204030204" pitchFamily="34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4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defRPr>
            </a:pPr>
            <a:r>
              <a:rPr lang="en-US"/>
              <a:t>Equipe de Técnicos</a:t>
            </a:r>
            <a:r>
              <a:rPr lang="en-US" baseline="0"/>
              <a:t> de Enfermagem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/>
                </a:solidFill>
              </a:defRPr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4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Calibri" panose="020F0502020204030204" pitchFamily="34" charset="0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F02-4DCC-9A4A-53F5542C35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9535887"/>
        <c:axId val="769548847"/>
      </c:barChart>
      <c:catAx>
        <c:axId val="76953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defRPr>
            </a:pPr>
            <a:endParaRPr lang="pt-BR"/>
          </a:p>
        </c:txPr>
        <c:crossAx val="769548847"/>
        <c:crosses val="autoZero"/>
        <c:auto val="1"/>
        <c:lblAlgn val="ctr"/>
        <c:lblOffset val="100"/>
        <c:noMultiLvlLbl val="0"/>
      </c:catAx>
      <c:valAx>
        <c:axId val="7695488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953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ea typeface="Calibri" panose="020F0502020204030204" pitchFamily="34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4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defRPr>
            </a:pPr>
            <a:r>
              <a:rPr lang="en-US"/>
              <a:t>Equipe de </a:t>
            </a:r>
            <a:r>
              <a:rPr lang="en-US" baseline="0"/>
              <a:t>Enfermeiros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/>
                </a:solidFill>
              </a:defRPr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4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Calibri" panose="020F0502020204030204" pitchFamily="34" charset="0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53A-4DEE-9004-B433226E94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9535887"/>
        <c:axId val="769548847"/>
      </c:barChart>
      <c:catAx>
        <c:axId val="76953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defRPr>
            </a:pPr>
            <a:endParaRPr lang="pt-BR"/>
          </a:p>
        </c:txPr>
        <c:crossAx val="769548847"/>
        <c:crosses val="autoZero"/>
        <c:auto val="1"/>
        <c:lblAlgn val="ctr"/>
        <c:lblOffset val="100"/>
        <c:noMultiLvlLbl val="0"/>
      </c:catAx>
      <c:valAx>
        <c:axId val="7695488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953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ea typeface="Calibri" panose="020F0502020204030204" pitchFamily="34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4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defRPr>
            </a:pPr>
            <a:r>
              <a:rPr lang="en-US"/>
              <a:t>Equipe Médica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/>
                </a:solidFill>
              </a:defRPr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4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Calibri" panose="020F0502020204030204" pitchFamily="34" charset="0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'INDICADORES UPAS'!$K$2:$N$2</c:f>
              <c:numCache>
                <c:formatCode>General</c:formatCode>
                <c:ptCount val="4"/>
              </c:numCache>
            </c:numRef>
          </c:cat>
          <c:val>
            <c:numRef>
              <c:f>'INDICADORES UPA II - LUZIANIA'!#REF!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'INDICADORES UPA II - LUZIANIA'!#REF!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698-483A-B925-F92A7A90FF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9535887"/>
        <c:axId val="769548847"/>
      </c:barChart>
      <c:catAx>
        <c:axId val="76953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defRPr>
            </a:pPr>
            <a:endParaRPr lang="pt-BR"/>
          </a:p>
        </c:txPr>
        <c:crossAx val="769548847"/>
        <c:crosses val="autoZero"/>
        <c:auto val="1"/>
        <c:lblAlgn val="ctr"/>
        <c:lblOffset val="100"/>
        <c:noMultiLvlLbl val="0"/>
      </c:catAx>
      <c:valAx>
        <c:axId val="7695488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953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ea typeface="Calibri" panose="020F0502020204030204" pitchFamily="34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'PESQUISA DE SATISFAÇÃO'!$K$48:$P$48</c:f>
              <c:numCache>
                <c:formatCode>0.00%</c:formatCode>
                <c:ptCount val="6"/>
                <c:pt idx="0">
                  <c:v>0.90780000000000005</c:v>
                </c:pt>
                <c:pt idx="1">
                  <c:v>0.95600000000000007</c:v>
                </c:pt>
                <c:pt idx="2">
                  <c:v>0.92159999999999997</c:v>
                </c:pt>
                <c:pt idx="3">
                  <c:v>0.94529999999999992</c:v>
                </c:pt>
                <c:pt idx="4">
                  <c:v>0.90649999999999997</c:v>
                </c:pt>
                <c:pt idx="5">
                  <c:v>0.96789999999999998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1-4343-8900-E26D3D8E4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769296"/>
        <c:axId val="611768816"/>
      </c:lineChart>
      <c:catAx>
        <c:axId val="6117692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611768816"/>
        <c:crosses val="autoZero"/>
        <c:auto val="1"/>
        <c:lblAlgn val="ctr"/>
        <c:lblOffset val="100"/>
        <c:noMultiLvlLbl val="0"/>
      </c:catAx>
      <c:valAx>
        <c:axId val="6117688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117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'PESQUISA DE SATISFAÇÃO'!$K$49:$P$49</c:f>
              <c:numCache>
                <c:formatCode>0.00%</c:formatCode>
                <c:ptCount val="6"/>
                <c:pt idx="0">
                  <c:v>0.89800000000000002</c:v>
                </c:pt>
                <c:pt idx="1">
                  <c:v>0.9577</c:v>
                </c:pt>
                <c:pt idx="2">
                  <c:v>0.9032</c:v>
                </c:pt>
                <c:pt idx="3">
                  <c:v>0.93789999999999996</c:v>
                </c:pt>
                <c:pt idx="4">
                  <c:v>0.9052</c:v>
                </c:pt>
                <c:pt idx="5">
                  <c:v>0.96150000000000002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3-4DCA-9C32-BD3F07289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769296"/>
        <c:axId val="611768816"/>
      </c:lineChart>
      <c:catAx>
        <c:axId val="6117692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611768816"/>
        <c:crosses val="autoZero"/>
        <c:auto val="1"/>
        <c:lblAlgn val="ctr"/>
        <c:lblOffset val="100"/>
        <c:noMultiLvlLbl val="0"/>
      </c:catAx>
      <c:valAx>
        <c:axId val="6117688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117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'PESQUISA DE SATISFAÇÃO'!$K$50:$P$50</c:f>
              <c:numCache>
                <c:formatCode>0.00%</c:formatCode>
                <c:ptCount val="6"/>
                <c:pt idx="0">
                  <c:v>0.83499999999999996</c:v>
                </c:pt>
                <c:pt idx="1">
                  <c:v>0.96040000000000003</c:v>
                </c:pt>
                <c:pt idx="2">
                  <c:v>0.90939999999999999</c:v>
                </c:pt>
                <c:pt idx="3">
                  <c:v>0.91290000000000004</c:v>
                </c:pt>
                <c:pt idx="4">
                  <c:v>0.86419999999999997</c:v>
                </c:pt>
                <c:pt idx="5">
                  <c:v>0.95580000000000009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9-42B5-8EAD-4CD7F8D88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769296"/>
        <c:axId val="611768816"/>
      </c:lineChart>
      <c:catAx>
        <c:axId val="6117692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611768816"/>
        <c:crosses val="autoZero"/>
        <c:auto val="1"/>
        <c:lblAlgn val="ctr"/>
        <c:lblOffset val="100"/>
        <c:noMultiLvlLbl val="0"/>
      </c:catAx>
      <c:valAx>
        <c:axId val="6117688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117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'PESQUISA DE SATISFAÇÃO'!$K$51:$P$51</c:f>
              <c:numCache>
                <c:formatCode>0.00%</c:formatCode>
                <c:ptCount val="6"/>
                <c:pt idx="0">
                  <c:v>0.80089999999999995</c:v>
                </c:pt>
                <c:pt idx="1">
                  <c:v>0.7016</c:v>
                </c:pt>
                <c:pt idx="2">
                  <c:v>0.74939999999999996</c:v>
                </c:pt>
                <c:pt idx="3">
                  <c:v>0.85730000000000006</c:v>
                </c:pt>
                <c:pt idx="4">
                  <c:v>0.75800000000000001</c:v>
                </c:pt>
                <c:pt idx="5">
                  <c:v>0.93229999999999991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87-4CC8-A68F-0BCE6C0FD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769296"/>
        <c:axId val="611768816"/>
      </c:lineChart>
      <c:catAx>
        <c:axId val="6117692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611768816"/>
        <c:crosses val="autoZero"/>
        <c:auto val="1"/>
        <c:lblAlgn val="ctr"/>
        <c:lblOffset val="100"/>
        <c:noMultiLvlLbl val="0"/>
      </c:catAx>
      <c:valAx>
        <c:axId val="6117688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117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'PESQUISA DE SATISFAÇÃO'!$K$52:$P$52</c:f>
              <c:numCache>
                <c:formatCode>0.00%</c:formatCode>
                <c:ptCount val="6"/>
                <c:pt idx="0">
                  <c:v>0.89319999999999999</c:v>
                </c:pt>
                <c:pt idx="1">
                  <c:v>0.82040000000000002</c:v>
                </c:pt>
                <c:pt idx="2">
                  <c:v>0.87280000000000002</c:v>
                </c:pt>
                <c:pt idx="3">
                  <c:v>0.89339999999999997</c:v>
                </c:pt>
                <c:pt idx="4">
                  <c:v>0.85019999999999996</c:v>
                </c:pt>
                <c:pt idx="5">
                  <c:v>0.93720000000000003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99-4858-81AC-BC7177493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769296"/>
        <c:axId val="611768816"/>
      </c:lineChart>
      <c:catAx>
        <c:axId val="6117692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611768816"/>
        <c:crosses val="autoZero"/>
        <c:auto val="1"/>
        <c:lblAlgn val="ctr"/>
        <c:lblOffset val="100"/>
        <c:noMultiLvlLbl val="0"/>
      </c:catAx>
      <c:valAx>
        <c:axId val="6117688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117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'PESQUISA DE SATISFAÇÃO'!$K$53:$P$53</c:f>
              <c:numCache>
                <c:formatCode>0.00%</c:formatCode>
                <c:ptCount val="6"/>
                <c:pt idx="0">
                  <c:v>0.8398000000000001</c:v>
                </c:pt>
                <c:pt idx="1">
                  <c:v>0.9032</c:v>
                </c:pt>
                <c:pt idx="2">
                  <c:v>0.8788999999999999</c:v>
                </c:pt>
                <c:pt idx="3">
                  <c:v>0.92500000000000004</c:v>
                </c:pt>
                <c:pt idx="4">
                  <c:v>0.8335999999999999</c:v>
                </c:pt>
                <c:pt idx="5">
                  <c:v>0.96300000000000008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AC-442D-830A-BE13F91EF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769296"/>
        <c:axId val="611768816"/>
      </c:lineChart>
      <c:catAx>
        <c:axId val="6117692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611768816"/>
        <c:crosses val="autoZero"/>
        <c:auto val="1"/>
        <c:lblAlgn val="ctr"/>
        <c:lblOffset val="100"/>
        <c:noMultiLvlLbl val="0"/>
      </c:catAx>
      <c:valAx>
        <c:axId val="6117688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117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'PESQUISA DE SATISFAÇÃO'!$K$54:$P$54</c:f>
              <c:numCache>
                <c:formatCode>0.00%</c:formatCode>
                <c:ptCount val="6"/>
                <c:pt idx="0">
                  <c:v>0.83979999999999999</c:v>
                </c:pt>
                <c:pt idx="1">
                  <c:v>0.95069999999999999</c:v>
                </c:pt>
                <c:pt idx="2">
                  <c:v>0.91090000000000004</c:v>
                </c:pt>
                <c:pt idx="3">
                  <c:v>0.93700000000000006</c:v>
                </c:pt>
                <c:pt idx="4">
                  <c:v>0.87580000000000002</c:v>
                </c:pt>
                <c:pt idx="5">
                  <c:v>0.96870000000000001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E-46A6-89BF-A1A803EA1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769296"/>
        <c:axId val="611768816"/>
      </c:lineChart>
      <c:catAx>
        <c:axId val="6117692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611768816"/>
        <c:crosses val="autoZero"/>
        <c:auto val="1"/>
        <c:lblAlgn val="ctr"/>
        <c:lblOffset val="100"/>
        <c:noMultiLvlLbl val="0"/>
      </c:catAx>
      <c:valAx>
        <c:axId val="6117688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117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'PESQUISA DE SATISFAÇÃO'!$K$55:$P$55</c:f>
              <c:numCache>
                <c:formatCode>0.00%</c:formatCode>
                <c:ptCount val="6"/>
                <c:pt idx="0">
                  <c:v>0.85930000000000006</c:v>
                </c:pt>
                <c:pt idx="1">
                  <c:v>0.96650000000000003</c:v>
                </c:pt>
                <c:pt idx="2">
                  <c:v>0.94290000000000007</c:v>
                </c:pt>
                <c:pt idx="3">
                  <c:v>0.93790000000000007</c:v>
                </c:pt>
                <c:pt idx="4">
                  <c:v>0.86680000000000001</c:v>
                </c:pt>
                <c:pt idx="5">
                  <c:v>0.96579999999999999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D-4999-8BC1-06A7D16AA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769296"/>
        <c:axId val="611768816"/>
      </c:lineChart>
      <c:catAx>
        <c:axId val="6117692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611768816"/>
        <c:crosses val="autoZero"/>
        <c:auto val="1"/>
        <c:lblAlgn val="ctr"/>
        <c:lblOffset val="100"/>
        <c:noMultiLvlLbl val="0"/>
      </c:catAx>
      <c:valAx>
        <c:axId val="6117688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117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'PESQUISA DE SATISFAÇÃO'!$A$3:$A$7</c:f>
              <c:strCache>
                <c:ptCount val="5"/>
                <c:pt idx="0">
                  <c:v>Atenção e interesse dos profissionais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31-43E9-BD35-89F2EF5E98D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31-43E9-BD35-89F2EF5E98D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31-43E9-BD35-89F2EF5E98D2}"/>
              </c:ext>
            </c:extLst>
          </c:dPt>
          <c:dPt>
            <c:idx val="3"/>
            <c:bubble3D val="0"/>
            <c:spPr>
              <a:solidFill>
                <a:srgbClr val="FFD13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31-43E9-BD35-89F2EF5E98D2}"/>
              </c:ext>
            </c:extLst>
          </c:dPt>
          <c:dPt>
            <c:idx val="4"/>
            <c:bubble3D val="0"/>
            <c:spPr>
              <a:solidFill>
                <a:srgbClr val="FFA7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31-43E9-BD35-89F2EF5E98D2}"/>
              </c:ext>
            </c:extLst>
          </c:dPt>
          <c:dLbls>
            <c:dLbl>
              <c:idx val="1"/>
              <c:layout>
                <c:manualLayout>
                  <c:x val="-4.6395444872179316E-2"/>
                  <c:y val="2.31481397097770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31-43E9-BD35-89F2EF5E98D2}"/>
                </c:ext>
              </c:extLst>
            </c:dLbl>
            <c:dLbl>
              <c:idx val="2"/>
              <c:layout>
                <c:manualLayout>
                  <c:x val="-6.4239846746094398E-2"/>
                  <c:y val="-1.851851176782160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31-43E9-BD35-89F2EF5E98D2}"/>
                </c:ext>
              </c:extLst>
            </c:dLbl>
            <c:dLbl>
              <c:idx val="3"/>
              <c:layout>
                <c:manualLayout>
                  <c:x val="1.0706641124349065E-2"/>
                  <c:y val="-4.166665147759861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31-43E9-BD35-89F2EF5E98D2}"/>
                </c:ext>
              </c:extLst>
            </c:dLbl>
            <c:dLbl>
              <c:idx val="4"/>
              <c:layout>
                <c:manualLayout>
                  <c:x val="7.494648787044346E-2"/>
                  <c:y val="4.629627941955401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631-43E9-BD35-89F2EF5E98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'PESQUISA DE SATISFAÇÃO'!$D$3:$D$7</c:f>
              <c:strCache>
                <c:ptCount val="5"/>
                <c:pt idx="0">
                  <c:v>ÓTIMO</c:v>
                </c:pt>
                <c:pt idx="1">
                  <c:v>BOM</c:v>
                </c:pt>
                <c:pt idx="2">
                  <c:v>REGULAR</c:v>
                </c:pt>
                <c:pt idx="3">
                  <c:v>RUIM</c:v>
                </c:pt>
                <c:pt idx="4">
                  <c:v>PÉSSIMO</c:v>
                </c:pt>
              </c:strCache>
            </c:strRef>
          </c:cat>
          <c:val>
            <c:numRef>
              <c:f>'PESQUISA DE SATISFAÇÃO'!$R$3:$R$7</c:f>
              <c:numCache>
                <c:formatCode>0.00%</c:formatCode>
                <c:ptCount val="5"/>
                <c:pt idx="0">
                  <c:v>0.94589999999999996</c:v>
                </c:pt>
                <c:pt idx="1">
                  <c:v>4.07E-2</c:v>
                </c:pt>
                <c:pt idx="2">
                  <c:v>2.7000000000000001E-3</c:v>
                </c:pt>
                <c:pt idx="3">
                  <c:v>2.7000000000000001E-3</c:v>
                </c:pt>
                <c:pt idx="4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31-43E9-BD35-89F2EF5E98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'PESQUISA DE SATISFAÇÃO'!$A$8:$A$12</c:f>
              <c:strCache>
                <c:ptCount val="5"/>
                <c:pt idx="0">
                  <c:v>Orientações recebidas sobre o tratamento,exames e procedimentos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98-44B5-9DF7-463E9EB079A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98-44B5-9DF7-463E9EB079A3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98-44B5-9DF7-463E9EB079A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198-44B5-9DF7-463E9EB079A3}"/>
              </c:ext>
            </c:extLst>
          </c:dPt>
          <c:dPt>
            <c:idx val="4"/>
            <c:bubble3D val="0"/>
            <c:spPr>
              <a:solidFill>
                <a:srgbClr val="FFA7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198-44B5-9DF7-463E9EB079A3}"/>
              </c:ext>
            </c:extLst>
          </c:dPt>
          <c:dLbls>
            <c:dLbl>
              <c:idx val="1"/>
              <c:layout>
                <c:manualLayout>
                  <c:x val="-5.2703716810894898E-2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98-44B5-9DF7-463E9EB079A3}"/>
                </c:ext>
              </c:extLst>
            </c:dLbl>
            <c:dLbl>
              <c:idx val="2"/>
              <c:layout>
                <c:manualLayout>
                  <c:x val="-2.6351858405447435E-2"/>
                  <c:y val="-3.791664458594352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98-44B5-9DF7-463E9EB079A3}"/>
                </c:ext>
              </c:extLst>
            </c:dLbl>
            <c:dLbl>
              <c:idx val="3"/>
              <c:layout>
                <c:manualLayout>
                  <c:x val="7.3199606681798424E-2"/>
                  <c:y val="-4.739580573242940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98-44B5-9DF7-463E9EB079A3}"/>
                </c:ext>
              </c:extLst>
            </c:dLbl>
            <c:dLbl>
              <c:idx val="4"/>
              <c:layout>
                <c:manualLayout>
                  <c:x val="0.20203091444176377"/>
                  <c:y val="-3.791664458594354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198-44B5-9DF7-463E9EB079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'PESQUISA DE SATISFAÇÃO'!$D$3:$D$7</c:f>
              <c:strCache>
                <c:ptCount val="5"/>
                <c:pt idx="0">
                  <c:v>ÓTIMO</c:v>
                </c:pt>
                <c:pt idx="1">
                  <c:v>BOM</c:v>
                </c:pt>
                <c:pt idx="2">
                  <c:v>REGULAR</c:v>
                </c:pt>
                <c:pt idx="3">
                  <c:v>RUIM</c:v>
                </c:pt>
                <c:pt idx="4">
                  <c:v>PÉSSIMO</c:v>
                </c:pt>
              </c:strCache>
            </c:strRef>
          </c:cat>
          <c:val>
            <c:numRef>
              <c:f>'PESQUISA DE SATISFAÇÃO'!$R$8:$R$12</c:f>
              <c:numCache>
                <c:formatCode>0.00%</c:formatCode>
                <c:ptCount val="5"/>
                <c:pt idx="0">
                  <c:v>0.9446</c:v>
                </c:pt>
                <c:pt idx="1">
                  <c:v>4.1399999999999999E-2</c:v>
                </c:pt>
                <c:pt idx="2">
                  <c:v>4.7000000000000002E-3</c:v>
                </c:pt>
                <c:pt idx="3">
                  <c:v>1.2999999999999999E-3</c:v>
                </c:pt>
                <c:pt idx="4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98-44B5-9DF7-463E9EB079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'PESQUISA DE SATISFAÇÃO'!$A$13:$A$17</c:f>
              <c:strCache>
                <c:ptCount val="5"/>
                <c:pt idx="0">
                  <c:v>Tempo de espera para atendimento na recepção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19-4D81-BE04-C36BF282E21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19-4D81-BE04-C36BF282E21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19-4D81-BE04-C36BF282E21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419-4D81-BE04-C36BF282E211}"/>
              </c:ext>
            </c:extLst>
          </c:dPt>
          <c:dPt>
            <c:idx val="4"/>
            <c:bubble3D val="0"/>
            <c:spPr>
              <a:solidFill>
                <a:srgbClr val="FFA7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419-4D81-BE04-C36BF282E211}"/>
              </c:ext>
            </c:extLst>
          </c:dPt>
          <c:dLbls>
            <c:dLbl>
              <c:idx val="1"/>
              <c:layout>
                <c:manualLayout>
                  <c:x val="-0.10574134370478208"/>
                  <c:y val="-4.3445669580552493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19-4D81-BE04-C36BF282E211}"/>
                </c:ext>
              </c:extLst>
            </c:dLbl>
            <c:dLbl>
              <c:idx val="2"/>
              <c:layout>
                <c:manualLayout>
                  <c:x val="-6.7484763322429447E-2"/>
                  <c:y val="-3.752771401316336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19-4D81-BE04-C36BF282E211}"/>
                </c:ext>
              </c:extLst>
            </c:dLbl>
            <c:dLbl>
              <c:idx val="3"/>
              <c:layout>
                <c:manualLayout>
                  <c:x val="4.4986978969292199E-2"/>
                  <c:y val="-3.76573001650862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19-4D81-BE04-C36BF282E211}"/>
                </c:ext>
              </c:extLst>
            </c:dLbl>
            <c:dLbl>
              <c:idx val="4"/>
              <c:layout>
                <c:manualLayout>
                  <c:x val="0.17303128969873424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419-4D81-BE04-C36BF282E2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'PESQUISA DE SATISFAÇÃO'!$D$3:$D$7</c:f>
              <c:strCache>
                <c:ptCount val="5"/>
                <c:pt idx="0">
                  <c:v>ÓTIMO</c:v>
                </c:pt>
                <c:pt idx="1">
                  <c:v>BOM</c:v>
                </c:pt>
                <c:pt idx="2">
                  <c:v>REGULAR</c:v>
                </c:pt>
                <c:pt idx="3">
                  <c:v>RUIM</c:v>
                </c:pt>
                <c:pt idx="4">
                  <c:v>PÉSSIMO</c:v>
                </c:pt>
              </c:strCache>
            </c:strRef>
          </c:cat>
          <c:val>
            <c:numRef>
              <c:f>'PESQUISA DE SATISFAÇÃO'!$R$13:$R$17</c:f>
              <c:numCache>
                <c:formatCode>0.00%</c:formatCode>
                <c:ptCount val="5"/>
                <c:pt idx="0">
                  <c:v>0.93520000000000003</c:v>
                </c:pt>
                <c:pt idx="1">
                  <c:v>4.5400000000000003E-2</c:v>
                </c:pt>
                <c:pt idx="2">
                  <c:v>8.6999999999999994E-3</c:v>
                </c:pt>
                <c:pt idx="3">
                  <c:v>1.2999999999999999E-3</c:v>
                </c:pt>
                <c:pt idx="4">
                  <c:v>9.2999999999999992E-3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19-4D81-BE04-C36BF282E2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'PESQUISA DE SATISFAÇÃO'!$A$18:$A$22</c:f>
              <c:strCache>
                <c:ptCount val="5"/>
                <c:pt idx="0">
                  <c:v>Tempo de espera para atendimento médico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B4-4488-912A-EC0DF12B592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B4-4488-912A-EC0DF12B592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B4-4488-912A-EC0DF12B592D}"/>
              </c:ext>
            </c:extLst>
          </c:dPt>
          <c:dPt>
            <c:idx val="3"/>
            <c:bubble3D val="0"/>
            <c:spPr>
              <a:solidFill>
                <a:srgbClr val="FFD13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B4-4488-912A-EC0DF12B592D}"/>
              </c:ext>
            </c:extLst>
          </c:dPt>
          <c:dPt>
            <c:idx val="4"/>
            <c:bubble3D val="0"/>
            <c:spPr>
              <a:solidFill>
                <a:srgbClr val="FFA7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2B4-4488-912A-EC0DF12B592D}"/>
              </c:ext>
            </c:extLst>
          </c:dPt>
          <c:dLbls>
            <c:dLbl>
              <c:idx val="1"/>
              <c:layout>
                <c:manualLayout>
                  <c:x val="-7.855105264337954E-2"/>
                  <c:y val="5.53191304006934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B4-4488-912A-EC0DF12B592D}"/>
                </c:ext>
              </c:extLst>
            </c:dLbl>
            <c:dLbl>
              <c:idx val="2"/>
              <c:layout>
                <c:manualLayout>
                  <c:x val="-2.2910723687652356E-2"/>
                  <c:y val="-4.2257180897525599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B4-4488-912A-EC0DF12B592D}"/>
                </c:ext>
              </c:extLst>
            </c:dLbl>
            <c:dLbl>
              <c:idx val="3"/>
              <c:layout>
                <c:manualLayout>
                  <c:x val="4.2548486848497234E-2"/>
                  <c:y val="-2.765956520034674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B4-4488-912A-EC0DF12B592D}"/>
                </c:ext>
              </c:extLst>
            </c:dLbl>
            <c:dLbl>
              <c:idx val="4"/>
              <c:layout>
                <c:manualLayout>
                  <c:x val="8.182401317018699E-2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B4-4488-912A-EC0DF12B59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'PESQUISA DE SATISFAÇÃO'!$D$3:$D$7</c:f>
              <c:strCache>
                <c:ptCount val="5"/>
                <c:pt idx="0">
                  <c:v>ÓTIMO</c:v>
                </c:pt>
                <c:pt idx="1">
                  <c:v>BOM</c:v>
                </c:pt>
                <c:pt idx="2">
                  <c:v>REGULAR</c:v>
                </c:pt>
                <c:pt idx="3">
                  <c:v>RUIM</c:v>
                </c:pt>
                <c:pt idx="4">
                  <c:v>PÉSSIMO</c:v>
                </c:pt>
              </c:strCache>
            </c:strRef>
          </c:cat>
          <c:val>
            <c:numRef>
              <c:f>'PESQUISA DE SATISFAÇÃO'!$R$18:$R$22</c:f>
              <c:numCache>
                <c:formatCode>0.00%</c:formatCode>
                <c:ptCount val="5"/>
                <c:pt idx="0">
                  <c:v>0.86719999999999997</c:v>
                </c:pt>
                <c:pt idx="1">
                  <c:v>5.0099999999999999E-2</c:v>
                </c:pt>
                <c:pt idx="2">
                  <c:v>1.67E-2</c:v>
                </c:pt>
                <c:pt idx="3">
                  <c:v>1.34E-2</c:v>
                </c:pt>
                <c:pt idx="4">
                  <c:v>5.2699999999999997E-2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B4-4488-912A-EC0DF12B59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'PESQUISA DE SATISFAÇÃO'!$A$23:$A$27</c:f>
              <c:strCache>
                <c:ptCount val="5"/>
                <c:pt idx="0">
                  <c:v>Instalações físicas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2A-44A3-B73A-0D7B59BFCF4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82A-44A3-B73A-0D7B59BFCF4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82A-44A3-B73A-0D7B59BFCF4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82A-44A3-B73A-0D7B59BFCF40}"/>
              </c:ext>
            </c:extLst>
          </c:dPt>
          <c:dPt>
            <c:idx val="4"/>
            <c:bubble3D val="0"/>
            <c:spPr>
              <a:solidFill>
                <a:srgbClr val="FFA7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82A-44A3-B73A-0D7B59BFCF40}"/>
              </c:ext>
            </c:extLst>
          </c:dPt>
          <c:dLbls>
            <c:dLbl>
              <c:idx val="1"/>
              <c:layout>
                <c:manualLayout>
                  <c:x val="-2.1413282248698141E-2"/>
                  <c:y val="2.311112081656867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2A-44A3-B73A-0D7B59BFCF40}"/>
                </c:ext>
              </c:extLst>
            </c:dLbl>
            <c:dLbl>
              <c:idx val="3"/>
              <c:layout>
                <c:manualLayout>
                  <c:x val="4.6395444872179288E-2"/>
                  <c:y val="-3.697779330650989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2A-44A3-B73A-0D7B59BFCF40}"/>
                </c:ext>
              </c:extLst>
            </c:dLbl>
            <c:dLbl>
              <c:idx val="4"/>
              <c:layout>
                <c:manualLayout>
                  <c:x val="7.494648787044339E-2"/>
                  <c:y val="-9.244448326627468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82A-44A3-B73A-0D7B59BFC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'PESQUISA DE SATISFAÇÃO'!$D$3:$D$7</c:f>
              <c:strCache>
                <c:ptCount val="5"/>
                <c:pt idx="0">
                  <c:v>ÓTIMO</c:v>
                </c:pt>
                <c:pt idx="1">
                  <c:v>BOM</c:v>
                </c:pt>
                <c:pt idx="2">
                  <c:v>REGULAR</c:v>
                </c:pt>
                <c:pt idx="3">
                  <c:v>RUIM</c:v>
                </c:pt>
                <c:pt idx="4">
                  <c:v>PÉSSIMO</c:v>
                </c:pt>
              </c:strCache>
            </c:strRef>
          </c:cat>
          <c:val>
            <c:numRef>
              <c:f>'PESQUISA DE SATISFAÇÃO'!$R$23:$R$27</c:f>
              <c:numCache>
                <c:formatCode>0.00%</c:formatCode>
                <c:ptCount val="5"/>
                <c:pt idx="0">
                  <c:v>0.85109999999999997</c:v>
                </c:pt>
                <c:pt idx="1">
                  <c:v>5.0700000000000002E-2</c:v>
                </c:pt>
                <c:pt idx="2">
                  <c:v>1.4E-2</c:v>
                </c:pt>
                <c:pt idx="3">
                  <c:v>2.9399999999999999E-2</c:v>
                </c:pt>
                <c:pt idx="4">
                  <c:v>5.4699999999999999E-2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2A-44A3-B73A-0D7B59BFCF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'PESQUISA DE SATISFAÇÃO'!$A$28:$A$32</c:f>
              <c:strCache>
                <c:ptCount val="5"/>
                <c:pt idx="0">
                  <c:v>Você indicaria este serviço a um familiar ou amigo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3C-4F9D-8A55-2E046A00184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3C-4F9D-8A55-2E046A00184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3C-4F9D-8A55-2E046A00184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3C-4F9D-8A55-2E046A001840}"/>
              </c:ext>
            </c:extLst>
          </c:dPt>
          <c:dPt>
            <c:idx val="4"/>
            <c:bubble3D val="0"/>
            <c:spPr>
              <a:solidFill>
                <a:srgbClr val="FFA7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33C-4F9D-8A55-2E046A0018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'PESQUISA DE SATISFAÇÃO'!$D$3:$D$7</c:f>
              <c:strCache>
                <c:ptCount val="5"/>
                <c:pt idx="0">
                  <c:v>ÓTIMO</c:v>
                </c:pt>
                <c:pt idx="1">
                  <c:v>BOM</c:v>
                </c:pt>
                <c:pt idx="2">
                  <c:v>REGULAR</c:v>
                </c:pt>
                <c:pt idx="3">
                  <c:v>RUIM</c:v>
                </c:pt>
                <c:pt idx="4">
                  <c:v>PÉSSIMO</c:v>
                </c:pt>
              </c:strCache>
            </c:strRef>
          </c:cat>
          <c:val>
            <c:numRef>
              <c:f>'PESQUISA DE SATISFAÇÃO'!$R$28:$R$32</c:f>
              <c:numCache>
                <c:formatCode>0.00%</c:formatCode>
                <c:ptCount val="5"/>
                <c:pt idx="0">
                  <c:v>0.87719999999999998</c:v>
                </c:pt>
                <c:pt idx="1">
                  <c:v>6.4799999999999996E-2</c:v>
                </c:pt>
                <c:pt idx="2">
                  <c:v>3.4000000000000002E-2</c:v>
                </c:pt>
                <c:pt idx="3">
                  <c:v>1.0699999999999999E-2</c:v>
                </c:pt>
                <c:pt idx="4">
                  <c:v>1.34E-2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3C-4F9D-8A55-2E046A0018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'PESQUISA DE SATISFAÇÃO'!$A$33:$A$37</c:f>
              <c:strCache>
                <c:ptCount val="5"/>
                <c:pt idx="0">
                  <c:v>Você voltaria a utilizar este serviço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0E-4357-95E7-2C3FD95AD14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0E-4357-95E7-2C3FD95AD14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0E-4357-95E7-2C3FD95AD14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E0E-4357-95E7-2C3FD95AD147}"/>
              </c:ext>
            </c:extLst>
          </c:dPt>
          <c:dPt>
            <c:idx val="4"/>
            <c:bubble3D val="0"/>
            <c:spPr>
              <a:solidFill>
                <a:srgbClr val="FFA7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E0E-4357-95E7-2C3FD95AD1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'PESQUISA DE SATISFAÇÃO'!$D$3:$D$7</c:f>
              <c:strCache>
                <c:ptCount val="5"/>
                <c:pt idx="0">
                  <c:v>ÓTIMO</c:v>
                </c:pt>
                <c:pt idx="1">
                  <c:v>BOM</c:v>
                </c:pt>
                <c:pt idx="2">
                  <c:v>REGULAR</c:v>
                </c:pt>
                <c:pt idx="3">
                  <c:v>RUIM</c:v>
                </c:pt>
                <c:pt idx="4">
                  <c:v>PÉSSIMO</c:v>
                </c:pt>
              </c:strCache>
            </c:strRef>
          </c:cat>
          <c:val>
            <c:numRef>
              <c:f>'PESQUISA DE SATISFAÇÃO'!$R$33:$R$37</c:f>
              <c:numCache>
                <c:formatCode>0.00%</c:formatCode>
                <c:ptCount val="5"/>
                <c:pt idx="0">
                  <c:v>0.88319999999999999</c:v>
                </c:pt>
                <c:pt idx="1">
                  <c:v>8.9499999999999996E-2</c:v>
                </c:pt>
                <c:pt idx="2">
                  <c:v>1.54E-2</c:v>
                </c:pt>
                <c:pt idx="3">
                  <c:v>2E-3</c:v>
                </c:pt>
                <c:pt idx="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0E-4357-95E7-2C3FD95AD1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'PESQUISA DE SATISFAÇÃO'!$A$38:$A$42</c:f>
              <c:strCache>
                <c:ptCount val="5"/>
                <c:pt idx="0">
                  <c:v>Tempo de espera para acolhimento (triagem)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9D-4176-8E77-434DB678F8D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9D-4176-8E77-434DB678F8D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9D-4176-8E77-434DB678F8D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9D-4176-8E77-434DB678F8DC}"/>
              </c:ext>
            </c:extLst>
          </c:dPt>
          <c:dPt>
            <c:idx val="4"/>
            <c:bubble3D val="0"/>
            <c:spPr>
              <a:solidFill>
                <a:srgbClr val="FFA7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9D-4176-8E77-434DB678F8DC}"/>
              </c:ext>
            </c:extLst>
          </c:dPt>
          <c:dLbls>
            <c:dLbl>
              <c:idx val="1"/>
              <c:layout>
                <c:manualLayout>
                  <c:x val="-0.11401040380202254"/>
                  <c:y val="2.311112081656867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9D-4176-8E77-434DB678F8DC}"/>
                </c:ext>
              </c:extLst>
            </c:dLbl>
            <c:dLbl>
              <c:idx val="2"/>
              <c:layout>
                <c:manualLayout>
                  <c:x val="-7.4921122498471951E-2"/>
                  <c:y val="-2.773334497988240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9D-4176-8E77-434DB678F8DC}"/>
                </c:ext>
              </c:extLst>
            </c:dLbl>
            <c:dLbl>
              <c:idx val="3"/>
              <c:layout>
                <c:manualLayout>
                  <c:x val="5.5376481846696662E-2"/>
                  <c:y val="-2.773334497988242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9D-4176-8E77-434DB678F8DC}"/>
                </c:ext>
              </c:extLst>
            </c:dLbl>
            <c:dLbl>
              <c:idx val="4"/>
              <c:layout>
                <c:manualLayout>
                  <c:x val="0.18241664608323593"/>
                  <c:y val="9.244448326627468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9D-4176-8E77-434DB678F8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'PESQUISA DE SATISFAÇÃO'!$D$3:$D$7</c:f>
              <c:strCache>
                <c:ptCount val="5"/>
                <c:pt idx="0">
                  <c:v>ÓTIMO</c:v>
                </c:pt>
                <c:pt idx="1">
                  <c:v>BOM</c:v>
                </c:pt>
                <c:pt idx="2">
                  <c:v>REGULAR</c:v>
                </c:pt>
                <c:pt idx="3">
                  <c:v>RUIM</c:v>
                </c:pt>
                <c:pt idx="4">
                  <c:v>PÉSSIMO</c:v>
                </c:pt>
              </c:strCache>
            </c:strRef>
          </c:cat>
          <c:val>
            <c:numRef>
              <c:f>'PESQUISA DE SATISFAÇÃO'!$R$38:$R$42</c:f>
              <c:numCache>
                <c:formatCode>0.00%</c:formatCode>
                <c:ptCount val="5"/>
                <c:pt idx="0">
                  <c:v>0.92659999999999998</c:v>
                </c:pt>
                <c:pt idx="1">
                  <c:v>5.3400000000000003E-2</c:v>
                </c:pt>
                <c:pt idx="2">
                  <c:v>2.7000000000000001E-3</c:v>
                </c:pt>
                <c:pt idx="3">
                  <c:v>4.7000000000000002E-3</c:v>
                </c:pt>
                <c:pt idx="4">
                  <c:v>1.2699999999999999E-2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9D-4176-8E77-434DB678F8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63542738437439"/>
          <c:y val="0.36653402305039173"/>
          <c:w val="0.22270225143410782"/>
          <c:h val="0.374598611146228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/>
              <a:t>Índice</a:t>
            </a:r>
            <a:r>
              <a:rPr lang="pt-BR" sz="1400" baseline="0"/>
              <a:t> de Satisfação Geral</a:t>
            </a:r>
          </a:p>
          <a:p>
            <a:pPr>
              <a:defRPr sz="1400"/>
            </a:pPr>
            <a:r>
              <a:rPr lang="pt-BR" sz="1100" baseline="0"/>
              <a:t>Julho/2025</a:t>
            </a:r>
            <a:endParaRPr lang="pt-B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v>Índice de Satisfação Geral</c:v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2D-4834-9DFE-91D38A28A5A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2D-4834-9DFE-91D38A28A5A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2D-4834-9DFE-91D38A28A5A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D2D-4834-9DFE-91D38A28A5A9}"/>
              </c:ext>
            </c:extLst>
          </c:dPt>
          <c:dPt>
            <c:idx val="4"/>
            <c:bubble3D val="0"/>
            <c:spPr>
              <a:solidFill>
                <a:srgbClr val="FFA7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D2D-4834-9DFE-91D38A28A5A9}"/>
              </c:ext>
            </c:extLst>
          </c:dPt>
          <c:dLbls>
            <c:dLbl>
              <c:idx val="1"/>
              <c:layout>
                <c:manualLayout>
                  <c:x val="-8.349590881480691E-2"/>
                  <c:y val="9.60179031806875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2D-4834-9DFE-91D38A28A5A9}"/>
                </c:ext>
              </c:extLst>
            </c:dLbl>
            <c:dLbl>
              <c:idx val="2"/>
              <c:layout>
                <c:manualLayout>
                  <c:x val="-5.0823596669882447E-2"/>
                  <c:y val="-2.240417740882709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2D-4834-9DFE-91D38A28A5A9}"/>
                </c:ext>
              </c:extLst>
            </c:dLbl>
            <c:dLbl>
              <c:idx val="3"/>
              <c:layout>
                <c:manualLayout>
                  <c:x val="1.9966412977453753E-2"/>
                  <c:y val="-4.480835481765420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2D-4834-9DFE-91D38A28A5A9}"/>
                </c:ext>
              </c:extLst>
            </c:dLbl>
            <c:dLbl>
              <c:idx val="4"/>
              <c:layout>
                <c:manualLayout>
                  <c:x val="8.3495908814806938E-2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2D-4834-9DFE-91D38A28A5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'PESQUISA DE SATISFAÇÃO'!$D$3:$D$7</c:f>
              <c:strCache>
                <c:ptCount val="5"/>
                <c:pt idx="0">
                  <c:v>ÓTIMO</c:v>
                </c:pt>
                <c:pt idx="1">
                  <c:v>BOM</c:v>
                </c:pt>
                <c:pt idx="2">
                  <c:v>REGULAR</c:v>
                </c:pt>
                <c:pt idx="3">
                  <c:v>RUIM</c:v>
                </c:pt>
                <c:pt idx="4">
                  <c:v>PÉSSIMO</c:v>
                </c:pt>
              </c:strCache>
            </c:strRef>
          </c:cat>
          <c:val>
            <c:numRef>
              <c:f>'PESQUISA DE SATISFAÇÃO'!$R$60:$R$64</c:f>
              <c:numCache>
                <c:formatCode>0.00%</c:formatCode>
                <c:ptCount val="5"/>
                <c:pt idx="0">
                  <c:v>0.90387499999999987</c:v>
                </c:pt>
                <c:pt idx="1">
                  <c:v>5.4500000000000007E-2</c:v>
                </c:pt>
                <c:pt idx="2">
                  <c:v>1.2362499999999998E-2</c:v>
                </c:pt>
                <c:pt idx="3">
                  <c:v>8.1875000000000003E-3</c:v>
                </c:pt>
                <c:pt idx="4">
                  <c:v>2.1099999999999997E-2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2D-4834-9DFE-91D38A28A5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 b="1"/>
              <a:t>Índice de Satisfação do Usuário</a:t>
            </a:r>
          </a:p>
          <a:p>
            <a:pPr>
              <a:defRPr b="1"/>
            </a:pPr>
            <a:r>
              <a:rPr lang="en-US" sz="11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Março a Agosto</a:t>
            </a:r>
            <a:r>
              <a:rPr lang="pt-BR" sz="11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/2025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'PESQUISA DE SATISFAÇÃO'!$D$43</c:f>
              <c:strCache>
                <c:ptCount val="1"/>
                <c:pt idx="0">
                  <c:v>ÍNDICE DE SATISFAÇÃO DO USUÁRIO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'PESQUISA DE SATISFAÇÃO'!$M$2:$R$2</c:f>
              <c:strCache>
                <c:ptCount val="6"/>
                <c:pt idx="0">
                  <c:v>MARÇO.25</c:v>
                </c:pt>
                <c:pt idx="1">
                  <c:v>ABRIL.25</c:v>
                </c:pt>
                <c:pt idx="2">
                  <c:v>MAIO.25</c:v>
                </c:pt>
                <c:pt idx="3">
                  <c:v>JUNHO.25</c:v>
                </c:pt>
                <c:pt idx="4">
                  <c:v>JULHO.25</c:v>
                </c:pt>
                <c:pt idx="5">
                  <c:v>AGOSTO.25</c:v>
                </c:pt>
              </c:strCache>
            </c:strRef>
          </c:cat>
          <c:val>
            <c:numRef>
              <c:f>'PESQUISA DE SATISFAÇÃO'!$M$43:$R$43</c:f>
              <c:numCache>
                <c:formatCode>0.00%</c:formatCode>
                <c:ptCount val="6"/>
                <c:pt idx="0">
                  <c:v>0.88613750000000002</c:v>
                </c:pt>
                <c:pt idx="1">
                  <c:v>0.91833749999999992</c:v>
                </c:pt>
                <c:pt idx="2">
                  <c:v>0.85753749999999995</c:v>
                </c:pt>
                <c:pt idx="3">
                  <c:v>0.95652500000000007</c:v>
                </c:pt>
                <c:pt idx="4">
                  <c:v>0.95663750000000014</c:v>
                </c:pt>
                <c:pt idx="5">
                  <c:v>0.95837499999999998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2-4C10-A06C-B62806B5AC4A}"/>
            </c:ext>
          </c:extLst>
        </c:ser>
        <c:ser>
          <c:idx val="1"/>
          <c:order val="1"/>
          <c:tx>
            <c:strRef>
              <c:f>'PESQUISA DE SATISFAÇÃO'!$D$44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62-4C10-A06C-B62806B5AC4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62-4C10-A06C-B62806B5AC4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62-4C10-A06C-B62806B5AC4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10-47FC-B7E8-D142403E1E6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43-4BBB-85A6-C8B71CBE88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'PESQUISA DE SATISFAÇÃO'!$M$2:$R$2</c:f>
              <c:strCache>
                <c:ptCount val="6"/>
                <c:pt idx="0">
                  <c:v>MARÇO.25</c:v>
                </c:pt>
                <c:pt idx="1">
                  <c:v>ABRIL.25</c:v>
                </c:pt>
                <c:pt idx="2">
                  <c:v>MAIO.25</c:v>
                </c:pt>
                <c:pt idx="3">
                  <c:v>JUNHO.25</c:v>
                </c:pt>
                <c:pt idx="4">
                  <c:v>JULHO.25</c:v>
                </c:pt>
                <c:pt idx="5">
                  <c:v>AGOSTO.25</c:v>
                </c:pt>
              </c:strCache>
            </c:strRef>
          </c:cat>
          <c:val>
            <c:numRef>
              <c:f>'PESQUISA DE SATISFAÇÃO'!$M$44:$R$44</c:f>
              <c:numCache>
                <c:formatCode>0%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62-4C10-A06C-B62806B5AC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7928464"/>
        <c:axId val="297923184"/>
      </c:lineChart>
      <c:catAx>
        <c:axId val="29792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97923184"/>
        <c:crosses val="autoZero"/>
        <c:auto val="1"/>
        <c:lblAlgn val="ctr"/>
        <c:lblOffset val="100"/>
        <c:noMultiLvlLbl val="0"/>
      </c:catAx>
      <c:valAx>
        <c:axId val="29792318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9792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microsoft.com/office/2007/relationships/hdphoto" Target="../media/hdphoto1.wdp"/><Relationship Id="rId16" Type="http://schemas.openxmlformats.org/officeDocument/2006/relationships/image" Target="../media/image2.svg"/><Relationship Id="rId1" Type="http://schemas.openxmlformats.org/officeDocument/2006/relationships/image" Target="../media/image6.png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image" Target="../media/image1.png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image" Target="../media/image7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2.xml"/><Relationship Id="rId3" Type="http://schemas.openxmlformats.org/officeDocument/2006/relationships/chart" Target="../charts/chart40.xml"/><Relationship Id="rId7" Type="http://schemas.openxmlformats.org/officeDocument/2006/relationships/image" Target="../media/image2.svg"/><Relationship Id="rId2" Type="http://schemas.microsoft.com/office/2007/relationships/hdphoto" Target="../media/hdphoto1.wdp"/><Relationship Id="rId1" Type="http://schemas.openxmlformats.org/officeDocument/2006/relationships/image" Target="../media/image6.png"/><Relationship Id="rId6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chart" Target="../charts/chart41.xml"/><Relationship Id="rId9" Type="http://schemas.openxmlformats.org/officeDocument/2006/relationships/chart" Target="../charts/chart43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9.xml"/><Relationship Id="rId3" Type="http://schemas.openxmlformats.org/officeDocument/2006/relationships/chart" Target="../charts/chart44.xml"/><Relationship Id="rId7" Type="http://schemas.openxmlformats.org/officeDocument/2006/relationships/chart" Target="../charts/chart48.xml"/><Relationship Id="rId12" Type="http://schemas.openxmlformats.org/officeDocument/2006/relationships/image" Target="../media/image2.svg"/><Relationship Id="rId2" Type="http://schemas.microsoft.com/office/2007/relationships/hdphoto" Target="../media/hdphoto1.wdp"/><Relationship Id="rId1" Type="http://schemas.openxmlformats.org/officeDocument/2006/relationships/image" Target="../media/image6.png"/><Relationship Id="rId6" Type="http://schemas.openxmlformats.org/officeDocument/2006/relationships/chart" Target="../charts/chart47.xml"/><Relationship Id="rId11" Type="http://schemas.openxmlformats.org/officeDocument/2006/relationships/image" Target="../media/image1.png"/><Relationship Id="rId5" Type="http://schemas.openxmlformats.org/officeDocument/2006/relationships/chart" Target="../charts/chart46.xml"/><Relationship Id="rId10" Type="http://schemas.openxmlformats.org/officeDocument/2006/relationships/image" Target="../media/image7.png"/><Relationship Id="rId4" Type="http://schemas.openxmlformats.org/officeDocument/2006/relationships/chart" Target="../charts/chart45.xml"/><Relationship Id="rId9" Type="http://schemas.openxmlformats.org/officeDocument/2006/relationships/chart" Target="../charts/chart50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.xml"/><Relationship Id="rId3" Type="http://schemas.openxmlformats.org/officeDocument/2006/relationships/chart" Target="../charts/chart51.xml"/><Relationship Id="rId7" Type="http://schemas.openxmlformats.org/officeDocument/2006/relationships/chart" Target="../charts/chart55.xml"/><Relationship Id="rId2" Type="http://schemas.microsoft.com/office/2007/relationships/hdphoto" Target="../media/hdphoto1.wdp"/><Relationship Id="rId1" Type="http://schemas.openxmlformats.org/officeDocument/2006/relationships/image" Target="../media/image6.png"/><Relationship Id="rId6" Type="http://schemas.openxmlformats.org/officeDocument/2006/relationships/chart" Target="../charts/chart54.xml"/><Relationship Id="rId11" Type="http://schemas.openxmlformats.org/officeDocument/2006/relationships/image" Target="../media/image2.svg"/><Relationship Id="rId5" Type="http://schemas.openxmlformats.org/officeDocument/2006/relationships/chart" Target="../charts/chart53.xml"/><Relationship Id="rId10" Type="http://schemas.openxmlformats.org/officeDocument/2006/relationships/image" Target="../media/image1.png"/><Relationship Id="rId4" Type="http://schemas.openxmlformats.org/officeDocument/2006/relationships/chart" Target="../charts/chart52.xml"/><Relationship Id="rId9" Type="http://schemas.openxmlformats.org/officeDocument/2006/relationships/image" Target="../media/image7.png"/></Relationships>
</file>

<file path=xl/drawings/_rels/drawing2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chart" Target="../charts/chart59.xml"/><Relationship Id="rId7" Type="http://schemas.openxmlformats.org/officeDocument/2006/relationships/image" Target="../media/image6.png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11" Type="http://schemas.openxmlformats.org/officeDocument/2006/relationships/image" Target="../media/image2.svg"/><Relationship Id="rId5" Type="http://schemas.openxmlformats.org/officeDocument/2006/relationships/chart" Target="../charts/chart61.xml"/><Relationship Id="rId10" Type="http://schemas.openxmlformats.org/officeDocument/2006/relationships/image" Target="../media/image1.png"/><Relationship Id="rId4" Type="http://schemas.openxmlformats.org/officeDocument/2006/relationships/chart" Target="../charts/chart60.xml"/><Relationship Id="rId9" Type="http://schemas.openxmlformats.org/officeDocument/2006/relationships/image" Target="../media/image7.png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hart" Target="../charts/chart73.xml"/><Relationship Id="rId3" Type="http://schemas.openxmlformats.org/officeDocument/2006/relationships/chart" Target="../charts/chart65.xml"/><Relationship Id="rId7" Type="http://schemas.openxmlformats.org/officeDocument/2006/relationships/chart" Target="../charts/chart69.xml"/><Relationship Id="rId12" Type="http://schemas.openxmlformats.org/officeDocument/2006/relationships/chart" Target="../charts/chart72.xml"/><Relationship Id="rId17" Type="http://schemas.openxmlformats.org/officeDocument/2006/relationships/image" Target="../media/image2.svg"/><Relationship Id="rId2" Type="http://schemas.openxmlformats.org/officeDocument/2006/relationships/chart" Target="../charts/chart64.xml"/><Relationship Id="rId16" Type="http://schemas.openxmlformats.org/officeDocument/2006/relationships/image" Target="../media/image1.png"/><Relationship Id="rId1" Type="http://schemas.openxmlformats.org/officeDocument/2006/relationships/chart" Target="../charts/chart63.xml"/><Relationship Id="rId6" Type="http://schemas.openxmlformats.org/officeDocument/2006/relationships/chart" Target="../charts/chart68.xml"/><Relationship Id="rId11" Type="http://schemas.openxmlformats.org/officeDocument/2006/relationships/chart" Target="../charts/chart71.xml"/><Relationship Id="rId5" Type="http://schemas.openxmlformats.org/officeDocument/2006/relationships/chart" Target="../charts/chart67.xml"/><Relationship Id="rId15" Type="http://schemas.openxmlformats.org/officeDocument/2006/relationships/image" Target="../media/image7.png"/><Relationship Id="rId10" Type="http://schemas.openxmlformats.org/officeDocument/2006/relationships/chart" Target="../charts/chart70.xml"/><Relationship Id="rId4" Type="http://schemas.openxmlformats.org/officeDocument/2006/relationships/chart" Target="../charts/chart66.xml"/><Relationship Id="rId9" Type="http://schemas.microsoft.com/office/2007/relationships/hdphoto" Target="../media/hdphoto1.wdp"/><Relationship Id="rId14" Type="http://schemas.openxmlformats.org/officeDocument/2006/relationships/chart" Target="../charts/chart74.xm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12" Type="http://schemas.openxmlformats.org/officeDocument/2006/relationships/image" Target="../media/image8.emf"/><Relationship Id="rId2" Type="http://schemas.microsoft.com/office/2007/relationships/hdphoto" Target="../media/hdphoto1.wdp"/><Relationship Id="rId1" Type="http://schemas.openxmlformats.org/officeDocument/2006/relationships/image" Target="../media/image6.png"/><Relationship Id="rId6" Type="http://schemas.openxmlformats.org/officeDocument/2006/relationships/chart" Target="../charts/chart78.xml"/><Relationship Id="rId11" Type="http://schemas.openxmlformats.org/officeDocument/2006/relationships/image" Target="../media/image2.svg"/><Relationship Id="rId5" Type="http://schemas.openxmlformats.org/officeDocument/2006/relationships/chart" Target="../charts/chart77.xml"/><Relationship Id="rId10" Type="http://schemas.openxmlformats.org/officeDocument/2006/relationships/image" Target="../media/image1.png"/><Relationship Id="rId4" Type="http://schemas.openxmlformats.org/officeDocument/2006/relationships/chart" Target="../charts/chart76.xml"/><Relationship Id="rId9" Type="http://schemas.openxmlformats.org/officeDocument/2006/relationships/image" Target="../media/image7.png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6.xml"/><Relationship Id="rId3" Type="http://schemas.openxmlformats.org/officeDocument/2006/relationships/chart" Target="../charts/chart81.xml"/><Relationship Id="rId7" Type="http://schemas.openxmlformats.org/officeDocument/2006/relationships/chart" Target="../charts/chart85.xml"/><Relationship Id="rId2" Type="http://schemas.microsoft.com/office/2007/relationships/hdphoto" Target="../media/hdphoto1.wdp"/><Relationship Id="rId1" Type="http://schemas.openxmlformats.org/officeDocument/2006/relationships/image" Target="../media/image6.png"/><Relationship Id="rId6" Type="http://schemas.openxmlformats.org/officeDocument/2006/relationships/chart" Target="../charts/chart84.xml"/><Relationship Id="rId11" Type="http://schemas.openxmlformats.org/officeDocument/2006/relationships/image" Target="../media/image2.svg"/><Relationship Id="rId5" Type="http://schemas.openxmlformats.org/officeDocument/2006/relationships/chart" Target="../charts/chart83.xml"/><Relationship Id="rId10" Type="http://schemas.openxmlformats.org/officeDocument/2006/relationships/image" Target="../media/image1.png"/><Relationship Id="rId4" Type="http://schemas.openxmlformats.org/officeDocument/2006/relationships/chart" Target="../charts/chart82.xml"/><Relationship Id="rId9" Type="http://schemas.openxmlformats.org/officeDocument/2006/relationships/image" Target="../media/image7.png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87.xml"/><Relationship Id="rId7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6.png"/><Relationship Id="rId6" Type="http://schemas.openxmlformats.org/officeDocument/2006/relationships/chart" Target="../charts/chart90.xml"/><Relationship Id="rId5" Type="http://schemas.openxmlformats.org/officeDocument/2006/relationships/chart" Target="../charts/chart89.xml"/><Relationship Id="rId4" Type="http://schemas.openxmlformats.org/officeDocument/2006/relationships/chart" Target="../charts/chart88.xml"/><Relationship Id="rId9" Type="http://schemas.openxmlformats.org/officeDocument/2006/relationships/image" Target="../media/image2.svg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6.xml"/><Relationship Id="rId13" Type="http://schemas.openxmlformats.org/officeDocument/2006/relationships/chart" Target="../charts/chart101.xml"/><Relationship Id="rId18" Type="http://schemas.openxmlformats.org/officeDocument/2006/relationships/chart" Target="../charts/chart106.xml"/><Relationship Id="rId3" Type="http://schemas.openxmlformats.org/officeDocument/2006/relationships/chart" Target="../charts/chart91.xml"/><Relationship Id="rId21" Type="http://schemas.openxmlformats.org/officeDocument/2006/relationships/image" Target="../media/image7.png"/><Relationship Id="rId7" Type="http://schemas.openxmlformats.org/officeDocument/2006/relationships/chart" Target="../charts/chart95.xml"/><Relationship Id="rId12" Type="http://schemas.openxmlformats.org/officeDocument/2006/relationships/chart" Target="../charts/chart100.xml"/><Relationship Id="rId17" Type="http://schemas.openxmlformats.org/officeDocument/2006/relationships/chart" Target="../charts/chart105.xml"/><Relationship Id="rId2" Type="http://schemas.microsoft.com/office/2007/relationships/hdphoto" Target="../media/hdphoto1.wdp"/><Relationship Id="rId16" Type="http://schemas.openxmlformats.org/officeDocument/2006/relationships/chart" Target="../charts/chart104.xml"/><Relationship Id="rId20" Type="http://schemas.openxmlformats.org/officeDocument/2006/relationships/chart" Target="../charts/chart108.xml"/><Relationship Id="rId1" Type="http://schemas.openxmlformats.org/officeDocument/2006/relationships/image" Target="../media/image6.png"/><Relationship Id="rId6" Type="http://schemas.openxmlformats.org/officeDocument/2006/relationships/chart" Target="../charts/chart94.xml"/><Relationship Id="rId11" Type="http://schemas.openxmlformats.org/officeDocument/2006/relationships/chart" Target="../charts/chart99.xml"/><Relationship Id="rId5" Type="http://schemas.openxmlformats.org/officeDocument/2006/relationships/chart" Target="../charts/chart93.xml"/><Relationship Id="rId15" Type="http://schemas.openxmlformats.org/officeDocument/2006/relationships/chart" Target="../charts/chart103.xml"/><Relationship Id="rId23" Type="http://schemas.openxmlformats.org/officeDocument/2006/relationships/image" Target="../media/image2.svg"/><Relationship Id="rId10" Type="http://schemas.openxmlformats.org/officeDocument/2006/relationships/chart" Target="../charts/chart98.xml"/><Relationship Id="rId19" Type="http://schemas.openxmlformats.org/officeDocument/2006/relationships/chart" Target="../charts/chart107.xml"/><Relationship Id="rId4" Type="http://schemas.openxmlformats.org/officeDocument/2006/relationships/chart" Target="../charts/chart92.xml"/><Relationship Id="rId9" Type="http://schemas.openxmlformats.org/officeDocument/2006/relationships/chart" Target="../charts/chart97.xml"/><Relationship Id="rId14" Type="http://schemas.openxmlformats.org/officeDocument/2006/relationships/chart" Target="../charts/chart102.xml"/><Relationship Id="rId22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image" Target="../media/image7.png"/><Relationship Id="rId5" Type="http://schemas.microsoft.com/office/2007/relationships/hdphoto" Target="../media/hdphoto1.wdp"/><Relationship Id="rId4" Type="http://schemas.openxmlformats.org/officeDocument/2006/relationships/image" Target="../media/image6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6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186466</xdr:rowOff>
    </xdr:from>
    <xdr:to>
      <xdr:col>14</xdr:col>
      <xdr:colOff>836086</xdr:colOff>
      <xdr:row>0</xdr:row>
      <xdr:rowOff>647476</xdr:rowOff>
    </xdr:to>
    <xdr:pic>
      <xdr:nvPicPr>
        <xdr:cNvPr id="3" name="Gráfico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390658" y="186466"/>
          <a:ext cx="865220" cy="4610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795617</xdr:colOff>
      <xdr:row>1</xdr:row>
      <xdr:rowOff>0</xdr:rowOff>
    </xdr:to>
    <xdr:pic>
      <xdr:nvPicPr>
        <xdr:cNvPr id="5" name="Imagem 4" descr="Logotipo&#10;&#10;O conteúdo gerado por IA pode estar incorreto.">
          <a:extLst>
            <a:ext uri="{FF2B5EF4-FFF2-40B4-BE49-F238E27FC236}">
              <a16:creationId xmlns:a16="http://schemas.microsoft.com/office/drawing/2014/main" id="{D9CF5A69-BB79-D444-4FA6-CDBA3BEE1A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400" r="365" b="1369"/>
        <a:stretch>
          <a:fillRect/>
        </a:stretch>
      </xdr:blipFill>
      <xdr:spPr bwMode="auto">
        <a:xfrm>
          <a:off x="0" y="0"/>
          <a:ext cx="2947146" cy="78441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963706</xdr:colOff>
      <xdr:row>0</xdr:row>
      <xdr:rowOff>56029</xdr:rowOff>
    </xdr:from>
    <xdr:to>
      <xdr:col>1</xdr:col>
      <xdr:colOff>2879912</xdr:colOff>
      <xdr:row>0</xdr:row>
      <xdr:rowOff>751211</xdr:rowOff>
    </xdr:to>
    <xdr:pic>
      <xdr:nvPicPr>
        <xdr:cNvPr id="6" name="Imagem 5" descr="Interface gráfica do usuário, Site&#10;&#10;O conteúdo gerado por IA pode estar incorreto.">
          <a:extLst>
            <a:ext uri="{FF2B5EF4-FFF2-40B4-BE49-F238E27FC236}">
              <a16:creationId xmlns:a16="http://schemas.microsoft.com/office/drawing/2014/main" id="{D75602E8-13EA-1FAA-F362-9A4301D9B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5235" y="56029"/>
          <a:ext cx="1916206" cy="69518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0</xdr:row>
      <xdr:rowOff>112059</xdr:rowOff>
    </xdr:from>
    <xdr:to>
      <xdr:col>14</xdr:col>
      <xdr:colOff>1322294</xdr:colOff>
      <xdr:row>0</xdr:row>
      <xdr:rowOff>725469</xdr:rowOff>
    </xdr:to>
    <xdr:pic>
      <xdr:nvPicPr>
        <xdr:cNvPr id="7" name="Imagem 6" descr="Logotipo&#10;&#10;O conteúdo gerado por IA pode estar incorreto.">
          <a:extLst>
            <a:ext uri="{FF2B5EF4-FFF2-40B4-BE49-F238E27FC236}">
              <a16:creationId xmlns:a16="http://schemas.microsoft.com/office/drawing/2014/main" id="{7E87017A-27FE-9115-72B2-1E33F0ADC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69736" y="112059"/>
          <a:ext cx="1322294" cy="6134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154889</xdr:rowOff>
    </xdr:from>
    <xdr:to>
      <xdr:col>12</xdr:col>
      <xdr:colOff>371474</xdr:colOff>
      <xdr:row>47</xdr:row>
      <xdr:rowOff>104775</xdr:rowOff>
    </xdr:to>
    <xdr:graphicFrame macro="">
      <xdr:nvGraphicFramePr>
        <xdr:cNvPr id="7" name="Gráfico 7">
          <a:extLst>
            <a:ext uri="{FF2B5EF4-FFF2-40B4-BE49-F238E27FC236}">
              <a16:creationId xmlns:a16="http://schemas.microsoft.com/office/drawing/2014/main" id="{02735EAA-535A-E900-89D9-B81BCD3F6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12</xdr:col>
      <xdr:colOff>390525</xdr:colOff>
      <xdr:row>75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5B4A22C-C29B-40FB-B9D0-9B58FC155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76</xdr:row>
      <xdr:rowOff>168649</xdr:rowOff>
    </xdr:from>
    <xdr:to>
      <xdr:col>12</xdr:col>
      <xdr:colOff>400050</xdr:colOff>
      <xdr:row>104</xdr:row>
      <xdr:rowOff>9525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3F955B4C-221E-7DAF-7C8B-5B15E2DC2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105</xdr:row>
      <xdr:rowOff>6723</xdr:rowOff>
    </xdr:from>
    <xdr:to>
      <xdr:col>12</xdr:col>
      <xdr:colOff>423332</xdr:colOff>
      <xdr:row>130</xdr:row>
      <xdr:rowOff>84667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7A97FF-43E7-589D-8D50-4F0F44A96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130</xdr:row>
      <xdr:rowOff>186641</xdr:rowOff>
    </xdr:from>
    <xdr:to>
      <xdr:col>12</xdr:col>
      <xdr:colOff>433916</xdr:colOff>
      <xdr:row>153</xdr:row>
      <xdr:rowOff>10583</xdr:rowOff>
    </xdr:to>
    <xdr:graphicFrame macro="">
      <xdr:nvGraphicFramePr>
        <xdr:cNvPr id="5" name="Gráfico 7">
          <a:extLst>
            <a:ext uri="{FF2B5EF4-FFF2-40B4-BE49-F238E27FC236}">
              <a16:creationId xmlns:a16="http://schemas.microsoft.com/office/drawing/2014/main" id="{3A191BA2-2195-9AE9-7A56-D1BA0B176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153</xdr:row>
      <xdr:rowOff>165473</xdr:rowOff>
    </xdr:from>
    <xdr:to>
      <xdr:col>12</xdr:col>
      <xdr:colOff>444500</xdr:colOff>
      <xdr:row>175</xdr:row>
      <xdr:rowOff>105832</xdr:rowOff>
    </xdr:to>
    <xdr:graphicFrame macro="">
      <xdr:nvGraphicFramePr>
        <xdr:cNvPr id="6" name="Gráfico 8">
          <a:extLst>
            <a:ext uri="{FF2B5EF4-FFF2-40B4-BE49-F238E27FC236}">
              <a16:creationId xmlns:a16="http://schemas.microsoft.com/office/drawing/2014/main" id="{E05A4308-CF39-BFFD-822E-C98E1EF3B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176</xdr:row>
      <xdr:rowOff>165473</xdr:rowOff>
    </xdr:from>
    <xdr:to>
      <xdr:col>12</xdr:col>
      <xdr:colOff>465666</xdr:colOff>
      <xdr:row>199</xdr:row>
      <xdr:rowOff>52917</xdr:rowOff>
    </xdr:to>
    <xdr:graphicFrame macro="">
      <xdr:nvGraphicFramePr>
        <xdr:cNvPr id="9" name="Gráfico 9">
          <a:extLst>
            <a:ext uri="{FF2B5EF4-FFF2-40B4-BE49-F238E27FC236}">
              <a16:creationId xmlns:a16="http://schemas.microsoft.com/office/drawing/2014/main" id="{4ECC497C-3964-7FFD-43EC-7D5E24111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200</xdr:row>
      <xdr:rowOff>59641</xdr:rowOff>
    </xdr:from>
    <xdr:to>
      <xdr:col>12</xdr:col>
      <xdr:colOff>455082</xdr:colOff>
      <xdr:row>221</xdr:row>
      <xdr:rowOff>21167</xdr:rowOff>
    </xdr:to>
    <xdr:graphicFrame macro="">
      <xdr:nvGraphicFramePr>
        <xdr:cNvPr id="10" name="Gráfico 10">
          <a:extLst>
            <a:ext uri="{FF2B5EF4-FFF2-40B4-BE49-F238E27FC236}">
              <a16:creationId xmlns:a16="http://schemas.microsoft.com/office/drawing/2014/main" id="{6F78CC94-A28B-F12C-4BCB-E0C27E7EE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221</xdr:row>
      <xdr:rowOff>186640</xdr:rowOff>
    </xdr:from>
    <xdr:to>
      <xdr:col>13</xdr:col>
      <xdr:colOff>63499</xdr:colOff>
      <xdr:row>248</xdr:row>
      <xdr:rowOff>84667</xdr:rowOff>
    </xdr:to>
    <xdr:graphicFrame macro="">
      <xdr:nvGraphicFramePr>
        <xdr:cNvPr id="11" name="Gráfico 12">
          <a:extLst>
            <a:ext uri="{FF2B5EF4-FFF2-40B4-BE49-F238E27FC236}">
              <a16:creationId xmlns:a16="http://schemas.microsoft.com/office/drawing/2014/main" id="{1A361A87-9EF3-E050-7870-43C928DAD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249</xdr:row>
      <xdr:rowOff>13570</xdr:rowOff>
    </xdr:from>
    <xdr:to>
      <xdr:col>13</xdr:col>
      <xdr:colOff>74083</xdr:colOff>
      <xdr:row>271</xdr:row>
      <xdr:rowOff>95250</xdr:rowOff>
    </xdr:to>
    <xdr:graphicFrame macro="">
      <xdr:nvGraphicFramePr>
        <xdr:cNvPr id="12" name="Gráfico 1">
          <a:extLst>
            <a:ext uri="{FF2B5EF4-FFF2-40B4-BE49-F238E27FC236}">
              <a16:creationId xmlns:a16="http://schemas.microsoft.com/office/drawing/2014/main" id="{C9F9505B-4D55-C78F-22BB-B0F253C42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271</xdr:row>
      <xdr:rowOff>186018</xdr:rowOff>
    </xdr:from>
    <xdr:to>
      <xdr:col>13</xdr:col>
      <xdr:colOff>84667</xdr:colOff>
      <xdr:row>292</xdr:row>
      <xdr:rowOff>63500</xdr:rowOff>
    </xdr:to>
    <xdr:graphicFrame macro="">
      <xdr:nvGraphicFramePr>
        <xdr:cNvPr id="13" name="Gráfico 3">
          <a:extLst>
            <a:ext uri="{FF2B5EF4-FFF2-40B4-BE49-F238E27FC236}">
              <a16:creationId xmlns:a16="http://schemas.microsoft.com/office/drawing/2014/main" id="{88B7D11E-E6A8-9B3D-3798-F84309B6F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293</xdr:row>
      <xdr:rowOff>6100</xdr:rowOff>
    </xdr:from>
    <xdr:to>
      <xdr:col>13</xdr:col>
      <xdr:colOff>105833</xdr:colOff>
      <xdr:row>313</xdr:row>
      <xdr:rowOff>169333</xdr:rowOff>
    </xdr:to>
    <xdr:graphicFrame macro="">
      <xdr:nvGraphicFramePr>
        <xdr:cNvPr id="14" name="Gráfico 7">
          <a:extLst>
            <a:ext uri="{FF2B5EF4-FFF2-40B4-BE49-F238E27FC236}">
              <a16:creationId xmlns:a16="http://schemas.microsoft.com/office/drawing/2014/main" id="{212E54A3-239C-45E2-7B21-E8E651847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48824</xdr:colOff>
      <xdr:row>0</xdr:row>
      <xdr:rowOff>0</xdr:rowOff>
    </xdr:from>
    <xdr:to>
      <xdr:col>12</xdr:col>
      <xdr:colOff>394606</xdr:colOff>
      <xdr:row>24</xdr:row>
      <xdr:rowOff>95250</xdr:rowOff>
    </xdr:to>
    <xdr:graphicFrame macro="">
      <xdr:nvGraphicFramePr>
        <xdr:cNvPr id="15" name="Gráfico 3">
          <a:extLst>
            <a:ext uri="{FF2B5EF4-FFF2-40B4-BE49-F238E27FC236}">
              <a16:creationId xmlns:a16="http://schemas.microsoft.com/office/drawing/2014/main" id="{C87BF049-B510-835D-864E-10851F1C3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0.00684</cdr:x>
      <cdr:y>0.01286</cdr:y>
    </cdr:from>
    <cdr:to>
      <cdr:x>0.2208</cdr:x>
      <cdr:y>0.16924</cdr:y>
    </cdr:to>
    <cdr:pic>
      <cdr:nvPicPr>
        <cdr:cNvPr id="2" name="Imagem 1" descr="Interface gráfica do usuário, Site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3FD1FF51-2940-0820-5BDF-22E2EA6BFAE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589617" cy="61794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0.80371</cdr:x>
      <cdr:y>0.01018</cdr:y>
    </cdr:from>
    <cdr:to>
      <cdr:x>0.98291</cdr:x>
      <cdr:y>0.17766</cdr:y>
    </cdr:to>
    <cdr:pic>
      <cdr:nvPicPr>
        <cdr:cNvPr id="3" name="Imagem 2" descr="Logotipo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C8E167F0-0CDC-C4A4-D186-840F991957F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971141" y="40217"/>
          <a:ext cx="1331359" cy="6617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0.00659</cdr:x>
      <cdr:y>0.00999</cdr:y>
    </cdr:from>
    <cdr:to>
      <cdr:x>0.22002</cdr:x>
      <cdr:y>0.14316</cdr:y>
    </cdr:to>
    <cdr:pic>
      <cdr:nvPicPr>
        <cdr:cNvPr id="2" name="Imagem 1" descr="Interface gráfica do usuário, Site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BA69495E-53D1-82FE-0BEA-6EA510ADD1B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644641" cy="67734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0.81253</cdr:x>
      <cdr:y>0.01748</cdr:y>
    </cdr:from>
    <cdr:to>
      <cdr:x>0.99128</cdr:x>
      <cdr:y>0.1601</cdr:y>
    </cdr:to>
    <cdr:pic>
      <cdr:nvPicPr>
        <cdr:cNvPr id="3" name="Imagem 2" descr="Logotipo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472D7673-D63F-8F9B-0C98-9EC70C922CE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6261100" y="88900"/>
          <a:ext cx="1377452" cy="725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0.80412</cdr:x>
      <cdr:y>0.0135</cdr:y>
    </cdr:from>
    <cdr:to>
      <cdr:x>0.98265</cdr:x>
      <cdr:y>0.15368</cdr:y>
    </cdr:to>
    <cdr:pic>
      <cdr:nvPicPr>
        <cdr:cNvPr id="2" name="Imagem 1" descr="Logotipo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472D7673-D63F-8F9B-0C98-9EC70C922CE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6203950" y="69850"/>
          <a:ext cx="1377452" cy="725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  <cdr:relSizeAnchor xmlns:cdr="http://schemas.openxmlformats.org/drawingml/2006/chartDrawing">
    <cdr:from>
      <cdr:x>0.00658</cdr:x>
      <cdr:y>0.00982</cdr:y>
    </cdr:from>
    <cdr:to>
      <cdr:x>0.21975</cdr:x>
      <cdr:y>0.14071</cdr:y>
    </cdr:to>
    <cdr:pic>
      <cdr:nvPicPr>
        <cdr:cNvPr id="3" name="Imagem 2" descr="Interface gráfica do usuário, Site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D36FE824-F6F8-10DC-0E69-41014FF3907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644641" cy="677342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0.00652</cdr:x>
      <cdr:y>0.01049</cdr:y>
    </cdr:from>
    <cdr:to>
      <cdr:x>0.21905</cdr:x>
      <cdr:y>0.15043</cdr:y>
    </cdr:to>
    <cdr:pic>
      <cdr:nvPicPr>
        <cdr:cNvPr id="2" name="Imagem 1" descr="Interface gráfica do usuário, Site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DF525D04-E0AD-58BE-A506-A82DDC2F2F1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655470" cy="67734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0.80543</cdr:x>
      <cdr:y>0.01049</cdr:y>
    </cdr:from>
    <cdr:to>
      <cdr:x>0.98344</cdr:x>
      <cdr:y>0.16036</cdr:y>
    </cdr:to>
    <cdr:pic>
      <cdr:nvPicPr>
        <cdr:cNvPr id="3" name="Imagem 2" descr="Logotipo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FD8F6D1A-FDD6-5410-9134-96A298241FA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6273800" y="50800"/>
          <a:ext cx="1386522" cy="725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0.00651</cdr:x>
      <cdr:y>0.01208</cdr:y>
    </cdr:from>
    <cdr:to>
      <cdr:x>0.21875</cdr:x>
      <cdr:y>0.17314</cdr:y>
    </cdr:to>
    <cdr:pic>
      <cdr:nvPicPr>
        <cdr:cNvPr id="2" name="Imagem 1" descr="Interface gráfica do usuário, Site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44567B21-7472-98D7-6582-9CC1DA6853E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655470" cy="67734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0.82224</cdr:x>
      <cdr:y>0.00705</cdr:y>
    </cdr:from>
    <cdr:to>
      <cdr:x>1</cdr:x>
      <cdr:y>0.17954</cdr:y>
    </cdr:to>
    <cdr:pic>
      <cdr:nvPicPr>
        <cdr:cNvPr id="3" name="Imagem 2" descr="Logotipo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BE18E44A-F461-4129-8E9E-7187C552E0E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6413394" y="29633"/>
          <a:ext cx="1386522" cy="725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0.0065</cdr:x>
      <cdr:y>0.0123</cdr:y>
    </cdr:from>
    <cdr:to>
      <cdr:x>0.21846</cdr:x>
      <cdr:y>0.17625</cdr:y>
    </cdr:to>
    <cdr:pic>
      <cdr:nvPicPr>
        <cdr:cNvPr id="2" name="Imagem 1" descr="Interface gráfica do usuário, Site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73F1E536-1950-4CDB-41C2-43D68247520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655470" cy="67734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0.82248</cdr:x>
      <cdr:y>0</cdr:y>
    </cdr:from>
    <cdr:to>
      <cdr:x>1</cdr:x>
      <cdr:y>0.17559</cdr:y>
    </cdr:to>
    <cdr:pic>
      <cdr:nvPicPr>
        <cdr:cNvPr id="3" name="Imagem 2" descr="Logotipo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A73A9C0D-AFE3-3346-B999-7897B0A7A99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6423978" y="0"/>
          <a:ext cx="1386522" cy="725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0.00649</cdr:x>
      <cdr:y>0.0119</cdr:y>
    </cdr:from>
    <cdr:to>
      <cdr:x>0.18514</cdr:x>
      <cdr:y>0.17057</cdr:y>
    </cdr:to>
    <cdr:pic>
      <cdr:nvPicPr>
        <cdr:cNvPr id="2" name="Imagem 1" descr="Interface gráfica do usuário, Site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D3AD2813-71F7-D447-CC24-82919E9EF02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399117" cy="67734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0.82701</cdr:x>
      <cdr:y>0.01934</cdr:y>
    </cdr:from>
    <cdr:to>
      <cdr:x>0.98861</cdr:x>
      <cdr:y>0.17444</cdr:y>
    </cdr:to>
    <cdr:pic>
      <cdr:nvPicPr>
        <cdr:cNvPr id="3" name="Imagem 2" descr="Logotipo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23107E54-329B-2B89-8FD2-EF7D8C0096C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6476894" y="82551"/>
          <a:ext cx="1265576" cy="6621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0.0065</cdr:x>
      <cdr:y>0.01282</cdr:y>
    </cdr:from>
    <cdr:to>
      <cdr:x>0.24222</cdr:x>
      <cdr:y>0.18378</cdr:y>
    </cdr:to>
    <cdr:pic>
      <cdr:nvPicPr>
        <cdr:cNvPr id="2" name="Imagem 1" descr="Interface gráfica do usuário, Site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5EC281E2-EBC4-7C8F-AEDB-84C0345AAB8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843617" cy="67734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0.83818</cdr:x>
      <cdr:y>0.00214</cdr:y>
    </cdr:from>
    <cdr:to>
      <cdr:x>1</cdr:x>
      <cdr:y>0.16926</cdr:y>
    </cdr:to>
    <cdr:pic>
      <cdr:nvPicPr>
        <cdr:cNvPr id="3" name="Imagem 2" descr="Logotipo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B80FD594-C04D-73EA-48E0-C5FAB155133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6555506" y="8466"/>
          <a:ext cx="1265576" cy="6621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0.00632</cdr:x>
      <cdr:y>0.01008</cdr:y>
    </cdr:from>
    <cdr:to>
      <cdr:x>0.16974</cdr:x>
      <cdr:y>0.10587</cdr:y>
    </cdr:to>
    <cdr:pic>
      <cdr:nvPicPr>
        <cdr:cNvPr id="2" name="Imagem 1" descr="Interface gráfica do usuário, Site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F818E72E-E365-068B-96B6-D404536C2B1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1" y="50800"/>
          <a:ext cx="1314450" cy="482927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0.87737</cdr:x>
      <cdr:y>0.00378</cdr:y>
    </cdr:from>
    <cdr:to>
      <cdr:x>1</cdr:x>
      <cdr:y>0.12042</cdr:y>
    </cdr:to>
    <cdr:pic>
      <cdr:nvPicPr>
        <cdr:cNvPr id="3" name="Imagem 2" descr="Logotipo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01F8849E-690B-5B9C-9FB9-3E749130D42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7056965" y="19050"/>
          <a:ext cx="986367" cy="5880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0.00631</cdr:x>
      <cdr:y>0.01189</cdr:y>
    </cdr:from>
    <cdr:to>
      <cdr:x>0.16951</cdr:x>
      <cdr:y>0.12492</cdr:y>
    </cdr:to>
    <cdr:pic>
      <cdr:nvPicPr>
        <cdr:cNvPr id="2" name="Imagem 1" descr="Interface gráfica do usuário, Site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020884A2-0858-4D7B-9714-9C28066B7A7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314441" cy="482927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0.85256</cdr:x>
      <cdr:y>0</cdr:y>
    </cdr:from>
    <cdr:to>
      <cdr:x>0.97503</cdr:x>
      <cdr:y>0.13763</cdr:y>
    </cdr:to>
    <cdr:pic>
      <cdr:nvPicPr>
        <cdr:cNvPr id="3" name="Imagem 2" descr="Logotipo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CC8BD649-526F-6D8D-3DCC-6E6EA390C0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6866466" y="0"/>
          <a:ext cx="986354" cy="5880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0.0063</cdr:x>
      <cdr:y>0.0131</cdr:y>
    </cdr:from>
    <cdr:to>
      <cdr:x>0.16929</cdr:x>
      <cdr:y>0.13763</cdr:y>
    </cdr:to>
    <cdr:pic>
      <cdr:nvPicPr>
        <cdr:cNvPr id="2" name="Imagem 1" descr="Interface gráfica do usuário, Site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528C47CF-5C2C-1608-50EF-5899BDEF219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314441" cy="482927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0.88819</cdr:x>
      <cdr:y>0.01637</cdr:y>
    </cdr:from>
    <cdr:to>
      <cdr:x>0.98818</cdr:x>
      <cdr:y>0.14034</cdr:y>
    </cdr:to>
    <cdr:pic>
      <cdr:nvPicPr>
        <cdr:cNvPr id="3" name="Imagem 2" descr="Logotipo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147796B5-BF93-F299-4322-B489F6E7276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7162800" y="63500"/>
          <a:ext cx="806355" cy="4807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0.00628</cdr:x>
      <cdr:y>0.01498</cdr:y>
    </cdr:from>
    <cdr:to>
      <cdr:x>0.16885</cdr:x>
      <cdr:y>0.15739</cdr:y>
    </cdr:to>
    <cdr:pic>
      <cdr:nvPicPr>
        <cdr:cNvPr id="2" name="Imagem 1" descr="Interface gráfica do usuário, Site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E7973E2A-FD25-098C-419A-2388D2A09B2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314441" cy="482927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0.88717</cdr:x>
      <cdr:y>0.01498</cdr:y>
    </cdr:from>
    <cdr:to>
      <cdr:x>0.9869</cdr:x>
      <cdr:y>0.15674</cdr:y>
    </cdr:to>
    <cdr:pic>
      <cdr:nvPicPr>
        <cdr:cNvPr id="3" name="Imagem 2" descr="Logotipo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914CA871-16C1-A5CC-D6F4-37695A1B83A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7173383" y="50800"/>
          <a:ext cx="806355" cy="4807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0.0066</cdr:x>
      <cdr:y>0.01088</cdr:y>
    </cdr:from>
    <cdr:to>
      <cdr:x>0.20093</cdr:x>
      <cdr:y>0.12536</cdr:y>
    </cdr:to>
    <cdr:pic>
      <cdr:nvPicPr>
        <cdr:cNvPr id="2" name="Imagem 1" descr="Interface gráfica do usuário, Site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BBD977B5-481A-EC33-EDB7-C0610361AA8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1495080" cy="534307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0.8196</cdr:x>
      <cdr:y>0.01672</cdr:y>
    </cdr:from>
    <cdr:to>
      <cdr:x>0.97191</cdr:x>
      <cdr:y>0.1137</cdr:y>
    </cdr:to>
    <cdr:pic>
      <cdr:nvPicPr>
        <cdr:cNvPr id="3" name="Imagem 2" descr="Logotipo&#10;&#10;O conteúdo gerado por IA pode estar incorreto.">
          <a:extLst xmlns:a="http://schemas.openxmlformats.org/drawingml/2006/main">
            <a:ext uri="{FF2B5EF4-FFF2-40B4-BE49-F238E27FC236}">
              <a16:creationId xmlns:a16="http://schemas.microsoft.com/office/drawing/2014/main" id="{5C3F94A7-F4DF-C4DF-E205-331A86F456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6305713" y="78014"/>
          <a:ext cx="1171844" cy="452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9</xdr:row>
      <xdr:rowOff>57150</xdr:rowOff>
    </xdr:from>
    <xdr:to>
      <xdr:col>10</xdr:col>
      <xdr:colOff>373380</xdr:colOff>
      <xdr:row>24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</xdr:colOff>
      <xdr:row>0</xdr:row>
      <xdr:rowOff>0</xdr:rowOff>
    </xdr:from>
    <xdr:to>
      <xdr:col>13</xdr:col>
      <xdr:colOff>449580</xdr:colOff>
      <xdr:row>9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60960</xdr:colOff>
      <xdr:row>24</xdr:row>
      <xdr:rowOff>118110</xdr:rowOff>
    </xdr:from>
    <xdr:to>
      <xdr:col>10</xdr:col>
      <xdr:colOff>365760</xdr:colOff>
      <xdr:row>39</xdr:row>
      <xdr:rowOff>118110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449580</xdr:colOff>
      <xdr:row>9</xdr:row>
      <xdr:rowOff>57150</xdr:rowOff>
    </xdr:from>
    <xdr:to>
      <xdr:col>18</xdr:col>
      <xdr:colOff>144780</xdr:colOff>
      <xdr:row>24</xdr:row>
      <xdr:rowOff>57150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243840</xdr:colOff>
      <xdr:row>40</xdr:row>
      <xdr:rowOff>171450</xdr:rowOff>
    </xdr:from>
    <xdr:to>
      <xdr:col>19</xdr:col>
      <xdr:colOff>548640</xdr:colOff>
      <xdr:row>55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480060</xdr:colOff>
      <xdr:row>40</xdr:row>
      <xdr:rowOff>171450</xdr:rowOff>
    </xdr:from>
    <xdr:to>
      <xdr:col>12</xdr:col>
      <xdr:colOff>175260</xdr:colOff>
      <xdr:row>55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457200</xdr:colOff>
      <xdr:row>24</xdr:row>
      <xdr:rowOff>125730</xdr:rowOff>
    </xdr:from>
    <xdr:to>
      <xdr:col>18</xdr:col>
      <xdr:colOff>152400</xdr:colOff>
      <xdr:row>39</xdr:row>
      <xdr:rowOff>125730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297180</xdr:colOff>
      <xdr:row>51</xdr:row>
      <xdr:rowOff>140970</xdr:rowOff>
    </xdr:from>
    <xdr:to>
      <xdr:col>7</xdr:col>
      <xdr:colOff>815340</xdr:colOff>
      <xdr:row>70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</xdr:colOff>
      <xdr:row>23</xdr:row>
      <xdr:rowOff>247650</xdr:rowOff>
    </xdr:from>
    <xdr:to>
      <xdr:col>19</xdr:col>
      <xdr:colOff>38100</xdr:colOff>
      <xdr:row>38</xdr:row>
      <xdr:rowOff>83820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434340</xdr:colOff>
      <xdr:row>4</xdr:row>
      <xdr:rowOff>110490</xdr:rowOff>
    </xdr:from>
    <xdr:to>
      <xdr:col>16</xdr:col>
      <xdr:colOff>129540</xdr:colOff>
      <xdr:row>16</xdr:row>
      <xdr:rowOff>201930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68580</xdr:colOff>
      <xdr:row>38</xdr:row>
      <xdr:rowOff>179070</xdr:rowOff>
    </xdr:from>
    <xdr:to>
      <xdr:col>16</xdr:col>
      <xdr:colOff>373380</xdr:colOff>
      <xdr:row>51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23</xdr:col>
      <xdr:colOff>335280</xdr:colOff>
      <xdr:row>14</xdr:row>
      <xdr:rowOff>91440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7620</xdr:colOff>
      <xdr:row>15</xdr:row>
      <xdr:rowOff>0</xdr:rowOff>
    </xdr:from>
    <xdr:to>
      <xdr:col>23</xdr:col>
      <xdr:colOff>350520</xdr:colOff>
      <xdr:row>27</xdr:row>
      <xdr:rowOff>91440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160020</xdr:colOff>
      <xdr:row>50</xdr:row>
      <xdr:rowOff>99060</xdr:rowOff>
    </xdr:from>
    <xdr:to>
      <xdr:col>24</xdr:col>
      <xdr:colOff>464820</xdr:colOff>
      <xdr:row>64</xdr:row>
      <xdr:rowOff>83820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79</xdr:row>
      <xdr:rowOff>0</xdr:rowOff>
    </xdr:from>
    <xdr:to>
      <xdr:col>15</xdr:col>
      <xdr:colOff>746760</xdr:colOff>
      <xdr:row>104</xdr:row>
      <xdr:rowOff>179070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99060</xdr:rowOff>
    </xdr:from>
    <xdr:to>
      <xdr:col>3</xdr:col>
      <xdr:colOff>246671</xdr:colOff>
      <xdr:row>0</xdr:row>
      <xdr:rowOff>677133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400" b="92800" l="1393" r="97446">
                      <a14:foregroundMark x1="4257" y1="17067" x2="4644" y2="41333"/>
                      <a14:foregroundMark x1="24458" y1="11733" x2="23607" y2="51200"/>
                      <a14:foregroundMark x1="23607" y1="51200" x2="23684" y2="51467"/>
                      <a14:foregroundMark x1="42957" y1="6667" x2="40712" y2="17333"/>
                      <a14:foregroundMark x1="60681" y1="6667" x2="65170" y2="6400"/>
                      <a14:foregroundMark x1="77941" y1="10667" x2="76471" y2="16533"/>
                      <a14:foregroundMark x1="80805" y1="52000" x2="80882" y2="64267"/>
                      <a14:foregroundMark x1="80882" y1="39200" x2="80882" y2="50133"/>
                      <a14:foregroundMark x1="81192" y1="70667" x2="79954" y2="64267"/>
                      <a14:foregroundMark x1="77245" y1="57333" x2="74536" y2="54933"/>
                      <a14:foregroundMark x1="82972" y1="54667" x2="86997" y2="53600"/>
                      <a14:foregroundMark x1="79567" y1="72000" x2="79567" y2="72000"/>
                      <a14:foregroundMark x1="90557" y1="26667" x2="94814" y2="24800"/>
                      <a14:foregroundMark x1="94814" y1="24800" x2="96749" y2="38133"/>
                      <a14:foregroundMark x1="96749" y1="38133" x2="97523" y2="66667"/>
                      <a14:foregroundMark x1="53758" y1="83696" x2="54257" y2="83733"/>
                      <a14:foregroundMark x1="52844" y1="83627" x2="53622" y2="83685"/>
                      <a14:foregroundMark x1="49458" y1="83374" x2="51453" y2="83523"/>
                      <a14:foregroundMark x1="47420" y1="83221" x2="49136" y2="83349"/>
                      <a14:foregroundMark x1="45071" y1="83045" x2="47296" y2="83211"/>
                      <a14:foregroundMark x1="41185" y1="82754" x2="44857" y2="83029"/>
                      <a14:foregroundMark x1="37692" y1="82492" x2="41081" y2="82746"/>
                      <a14:foregroundMark x1="31484" y1="82027" x2="37657" y2="82490"/>
                      <a14:foregroundMark x1="30048" y1="81920" x2="30801" y2="81976"/>
                      <a14:foregroundMark x1="22381" y1="81345" x2="29968" y2="81914"/>
                      <a14:foregroundMark x1="19307" y1="81115" x2="22198" y2="81332"/>
                      <a14:foregroundMark x1="15475" y1="80828" x2="15897" y2="80860"/>
                      <a14:foregroundMark x1="4876" y1="80034" x2="5636" y2="80091"/>
                      <a14:foregroundMark x1="2846" y1="79882" x2="4361" y2="79995"/>
                      <a14:foregroundMark x1="851" y1="79733" x2="2210" y2="79835"/>
                      <a14:foregroundMark x1="72019" y1="81735" x2="73220" y2="81600"/>
                      <a14:foregroundMark x1="70197" y1="81940" x2="71604" y2="81782"/>
                      <a14:foregroundMark x1="63648" y1="82677" x2="70067" y2="81955"/>
                      <a14:foregroundMark x1="61273" y1="82944" x2="63458" y2="82698"/>
                      <a14:foregroundMark x1="60397" y1="83043" x2="61266" y2="82945"/>
                      <a14:foregroundMark x1="54257" y1="83733" x2="59250" y2="83172"/>
                      <a14:foregroundMark x1="94588" y1="83854" x2="95975" y2="84000"/>
                      <a14:foregroundMark x1="89044" y1="83269" x2="94480" y2="83842"/>
                      <a14:foregroundMark x1="87593" y1="83116" x2="88882" y2="83252"/>
                      <a14:foregroundMark x1="84880" y1="82830" x2="86987" y2="83052"/>
                      <a14:foregroundMark x1="82078" y1="82534" x2="84563" y2="82796"/>
                      <a14:foregroundMark x1="80166" y1="82333" x2="81903" y2="82516"/>
                      <a14:foregroundMark x1="77780" y1="82081" x2="80036" y2="82319"/>
                      <a14:foregroundMark x1="73220" y1="81600" x2="77230" y2="82023"/>
                      <a14:foregroundMark x1="95975" y1="84000" x2="95392" y2="93678"/>
                      <a14:foregroundMark x1="2710" y1="92809" x2="2554" y2="92800"/>
                      <a14:foregroundMark x1="4581" y1="92917" x2="2819" y2="92815"/>
                      <a14:foregroundMark x1="6564" y1="93031" x2="4808" y2="92930"/>
                      <a14:foregroundMark x1="8438" y1="93139" x2="6702" y2="93039"/>
                      <a14:foregroundMark x1="16823" y1="93622" x2="8616" y2="93149"/>
                      <a14:foregroundMark x1="24093" y1="94041" x2="20229" y2="93818"/>
                      <a14:foregroundMark x1="28980" y1="94323" x2="26036" y2="94153"/>
                      <a14:foregroundMark x1="31534" y1="94470" x2="28989" y2="94323"/>
                      <a14:foregroundMark x1="33547" y1="94585" x2="31876" y2="94489"/>
                      <a14:foregroundMark x1="35706" y1="94710" x2="33915" y2="94607"/>
                      <a14:foregroundMark x1="2554" y1="92800" x2="1876" y2="85637"/>
                      <a14:backgroundMark x1="3251" y1="74400" x2="1858" y2="72800"/>
                      <a14:backgroundMark x1="18808" y1="74667" x2="19350" y2="66133"/>
                      <a14:backgroundMark x1="14783" y1="77067" x2="5031" y2="76800"/>
                      <a14:backgroundMark x1="35217" y1="82933" x2="35217" y2="90933"/>
                      <a14:backgroundMark x1="38467" y1="94133" x2="38777" y2="95200"/>
                      <a14:backgroundMark x1="1006" y1="98400" x2="21130" y2="99733"/>
                      <a14:backgroundMark x1="21130" y1="99733" x2="98297" y2="98400"/>
                      <a14:backgroundMark x1="98297" y1="98400" x2="98297" y2="98133"/>
                      <a14:backgroundMark x1="58824" y1="86667" x2="59365" y2="90667"/>
                      <a14:backgroundMark x1="56192" y1="88533" x2="56192" y2="91467"/>
                      <a14:backgroundMark x1="24845" y1="89867" x2="26858" y2="89600"/>
                      <a14:backgroundMark x1="20201" y1="88533" x2="20124" y2="90133"/>
                      <a14:backgroundMark x1="18034" y1="84267" x2="18034" y2="87733"/>
                      <a14:backgroundMark x1="16563" y1="89333" x2="16563" y2="88533"/>
                      <a14:backgroundMark x1="15170" y1="85333" x2="15325" y2="81333"/>
                      <a14:backgroundMark x1="17492" y1="79467" x2="18653" y2="95467"/>
                      <a14:backgroundMark x1="2709" y1="85867" x2="2709" y2="78400"/>
                      <a14:backgroundMark x1="4876" y1="86400" x2="4799" y2="79200"/>
                      <a14:backgroundMark x1="8901" y1="90133" x2="8978" y2="86133"/>
                      <a14:backgroundMark x1="6734" y1="93333" x2="6192" y2="89600"/>
                      <a14:backgroundMark x1="2554" y1="92000" x2="2477" y2="88533"/>
                      <a14:backgroundMark x1="4721" y1="94400" x2="4644" y2="91200"/>
                      <a14:backgroundMark x1="2941" y1="93867" x2="2709" y2="92800"/>
                      <a14:backgroundMark x1="22601" y1="85333" x2="22059" y2="78133"/>
                      <a14:backgroundMark x1="31502" y1="94133" x2="31037" y2="77333"/>
                      <a14:backgroundMark x1="29489" y1="89067" x2="29567" y2="86133"/>
                      <a14:backgroundMark x1="45356" y1="90400" x2="45356" y2="86133"/>
                      <a14:backgroundMark x1="38080" y1="86667" x2="37926" y2="84800"/>
                      <a14:backgroundMark x1="33746" y1="93333" x2="33204" y2="92000"/>
                      <a14:backgroundMark x1="64087" y1="90133" x2="63777" y2="84000"/>
                      <a14:backgroundMark x1="61765" y1="89600" x2="61765" y2="88267"/>
                      <a14:backgroundMark x1="60372" y1="82933" x2="59443" y2="84000"/>
                      <a14:backgroundMark x1="54025" y1="85867" x2="53793" y2="85067"/>
                      <a14:backgroundMark x1="51703" y1="83200" x2="51393" y2="83200"/>
                      <a14:backgroundMark x1="52864" y1="83733" x2="51858" y2="83733"/>
                      <a14:backgroundMark x1="41409" y1="86133" x2="41331" y2="84267"/>
                      <a14:backgroundMark x1="12461" y1="90933" x2="12693" y2="88000"/>
                      <a14:backgroundMark x1="69350" y1="93600" x2="69814" y2="84533"/>
                      <a14:backgroundMark x1="71981" y1="85867" x2="71981" y2="81333"/>
                      <a14:backgroundMark x1="82430" y1="85600" x2="82043" y2="83733"/>
                      <a14:backgroundMark x1="79567" y1="90133" x2="79721" y2="85600"/>
                      <a14:backgroundMark x1="87539" y1="85600" x2="87926" y2="88000"/>
                      <a14:backgroundMark x1="86687" y1="85067" x2="87461" y2="84000"/>
                      <a14:backgroundMark x1="85062" y1="90400" x2="85062" y2="84800"/>
                      <a14:backgroundMark x1="95124" y1="90933" x2="94814" y2="86133"/>
                      <a14:backgroundMark x1="78096" y1="84533" x2="77245" y2="82133"/>
                      <a14:backgroundMark x1="49923" y1="87467" x2="49149" y2="83467"/>
                      <a14:backgroundMark x1="47368" y1="84000" x2="47368" y2="8266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820" y="99060"/>
          <a:ext cx="1991651" cy="57807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783771</xdr:rowOff>
    </xdr:from>
    <xdr:to>
      <xdr:col>10</xdr:col>
      <xdr:colOff>594360</xdr:colOff>
      <xdr:row>10</xdr:row>
      <xdr:rowOff>156755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</xdr:row>
      <xdr:rowOff>182880</xdr:rowOff>
    </xdr:from>
    <xdr:to>
      <xdr:col>10</xdr:col>
      <xdr:colOff>594360</xdr:colOff>
      <xdr:row>20</xdr:row>
      <xdr:rowOff>152400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21</xdr:col>
      <xdr:colOff>594360</xdr:colOff>
      <xdr:row>20</xdr:row>
      <xdr:rowOff>152400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592015</xdr:colOff>
      <xdr:row>41</xdr:row>
      <xdr:rowOff>152400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20</xdr:row>
      <xdr:rowOff>181707</xdr:rowOff>
    </xdr:from>
    <xdr:to>
      <xdr:col>21</xdr:col>
      <xdr:colOff>601980</xdr:colOff>
      <xdr:row>41</xdr:row>
      <xdr:rowOff>158261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10</xdr:col>
      <xdr:colOff>594360</xdr:colOff>
      <xdr:row>62</xdr:row>
      <xdr:rowOff>160020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0</xdr:colOff>
      <xdr:row>42</xdr:row>
      <xdr:rowOff>0</xdr:rowOff>
    </xdr:from>
    <xdr:to>
      <xdr:col>21</xdr:col>
      <xdr:colOff>601980</xdr:colOff>
      <xdr:row>62</xdr:row>
      <xdr:rowOff>158262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10</xdr:col>
      <xdr:colOff>592015</xdr:colOff>
      <xdr:row>82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22</xdr:col>
      <xdr:colOff>0</xdr:colOff>
      <xdr:row>82</xdr:row>
      <xdr:rowOff>175846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83</xdr:row>
      <xdr:rowOff>29736</xdr:rowOff>
    </xdr:from>
    <xdr:to>
      <xdr:col>10</xdr:col>
      <xdr:colOff>587298</xdr:colOff>
      <xdr:row>105</xdr:row>
      <xdr:rowOff>22860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22860</xdr:colOff>
      <xdr:row>83</xdr:row>
      <xdr:rowOff>53340</xdr:rowOff>
    </xdr:from>
    <xdr:to>
      <xdr:col>22</xdr:col>
      <xdr:colOff>22860</xdr:colOff>
      <xdr:row>105</xdr:row>
      <xdr:rowOff>15240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18</xdr:col>
      <xdr:colOff>533401</xdr:colOff>
      <xdr:row>0</xdr:row>
      <xdr:rowOff>106680</xdr:rowOff>
    </xdr:from>
    <xdr:to>
      <xdr:col>21</xdr:col>
      <xdr:colOff>563880</xdr:colOff>
      <xdr:row>0</xdr:row>
      <xdr:rowOff>685210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7" t="34636" r="20749" b="33167"/>
        <a:stretch/>
      </xdr:blipFill>
      <xdr:spPr bwMode="auto">
        <a:xfrm>
          <a:off x="11506201" y="106680"/>
          <a:ext cx="1859279" cy="5785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175260</xdr:colOff>
      <xdr:row>0</xdr:row>
      <xdr:rowOff>167639</xdr:rowOff>
    </xdr:from>
    <xdr:to>
      <xdr:col>18</xdr:col>
      <xdr:colOff>436595</xdr:colOff>
      <xdr:row>0</xdr:row>
      <xdr:rowOff>617219</xdr:rowOff>
    </xdr:to>
    <xdr:pic>
      <xdr:nvPicPr>
        <xdr:cNvPr id="8" name="Gráfico 5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0538460" y="167639"/>
          <a:ext cx="870935" cy="44958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133350</xdr:rowOff>
    </xdr:from>
    <xdr:to>
      <xdr:col>4</xdr:col>
      <xdr:colOff>209605</xdr:colOff>
      <xdr:row>0</xdr:row>
      <xdr:rowOff>533400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400" b="92800" l="1393" r="97446">
                      <a14:foregroundMark x1="4257" y1="17067" x2="4644" y2="41333"/>
                      <a14:foregroundMark x1="24458" y1="11733" x2="23607" y2="51200"/>
                      <a14:foregroundMark x1="23607" y1="51200" x2="23684" y2="51467"/>
                      <a14:foregroundMark x1="42957" y1="6667" x2="40712" y2="17333"/>
                      <a14:foregroundMark x1="60681" y1="6667" x2="65170" y2="6400"/>
                      <a14:foregroundMark x1="77941" y1="10667" x2="76471" y2="16533"/>
                      <a14:foregroundMark x1="80805" y1="52000" x2="80882" y2="64267"/>
                      <a14:foregroundMark x1="80882" y1="39200" x2="80882" y2="50133"/>
                      <a14:foregroundMark x1="81192" y1="70667" x2="79954" y2="64267"/>
                      <a14:foregroundMark x1="77245" y1="57333" x2="74536" y2="54933"/>
                      <a14:foregroundMark x1="82972" y1="54667" x2="86997" y2="53600"/>
                      <a14:foregroundMark x1="79567" y1="72000" x2="79567" y2="72000"/>
                      <a14:foregroundMark x1="90557" y1="26667" x2="94814" y2="24800"/>
                      <a14:foregroundMark x1="94814" y1="24800" x2="96749" y2="38133"/>
                      <a14:foregroundMark x1="96749" y1="38133" x2="97523" y2="66667"/>
                      <a14:foregroundMark x1="53758" y1="83696" x2="54257" y2="83733"/>
                      <a14:foregroundMark x1="52844" y1="83627" x2="53622" y2="83685"/>
                      <a14:foregroundMark x1="49458" y1="83374" x2="51453" y2="83523"/>
                      <a14:foregroundMark x1="47420" y1="83221" x2="49136" y2="83349"/>
                      <a14:foregroundMark x1="45071" y1="83045" x2="47296" y2="83211"/>
                      <a14:foregroundMark x1="41185" y1="82754" x2="44857" y2="83029"/>
                      <a14:foregroundMark x1="37692" y1="82492" x2="41081" y2="82746"/>
                      <a14:foregroundMark x1="31484" y1="82027" x2="37657" y2="82490"/>
                      <a14:foregroundMark x1="30048" y1="81920" x2="30801" y2="81976"/>
                      <a14:foregroundMark x1="22381" y1="81345" x2="29968" y2="81914"/>
                      <a14:foregroundMark x1="19307" y1="81115" x2="22198" y2="81332"/>
                      <a14:foregroundMark x1="15475" y1="80828" x2="15897" y2="80860"/>
                      <a14:foregroundMark x1="4876" y1="80034" x2="5636" y2="80091"/>
                      <a14:foregroundMark x1="2846" y1="79882" x2="4361" y2="79995"/>
                      <a14:foregroundMark x1="851" y1="79733" x2="2210" y2="79835"/>
                      <a14:foregroundMark x1="72019" y1="81735" x2="73220" y2="81600"/>
                      <a14:foregroundMark x1="70197" y1="81940" x2="71604" y2="81782"/>
                      <a14:foregroundMark x1="63648" y1="82677" x2="70067" y2="81955"/>
                      <a14:foregroundMark x1="61273" y1="82944" x2="63458" y2="82698"/>
                      <a14:foregroundMark x1="60397" y1="83043" x2="61266" y2="82945"/>
                      <a14:foregroundMark x1="54257" y1="83733" x2="59250" y2="83172"/>
                      <a14:foregroundMark x1="94588" y1="83854" x2="95975" y2="84000"/>
                      <a14:foregroundMark x1="89044" y1="83269" x2="94480" y2="83842"/>
                      <a14:foregroundMark x1="87593" y1="83116" x2="88882" y2="83252"/>
                      <a14:foregroundMark x1="84880" y1="82830" x2="86987" y2="83052"/>
                      <a14:foregroundMark x1="82078" y1="82534" x2="84563" y2="82796"/>
                      <a14:foregroundMark x1="80166" y1="82333" x2="81903" y2="82516"/>
                      <a14:foregroundMark x1="77780" y1="82081" x2="80036" y2="82319"/>
                      <a14:foregroundMark x1="73220" y1="81600" x2="77230" y2="82023"/>
                      <a14:foregroundMark x1="95975" y1="84000" x2="95392" y2="93678"/>
                      <a14:foregroundMark x1="2710" y1="92809" x2="2554" y2="92800"/>
                      <a14:foregroundMark x1="4581" y1="92917" x2="2819" y2="92815"/>
                      <a14:foregroundMark x1="6564" y1="93031" x2="4808" y2="92930"/>
                      <a14:foregroundMark x1="8438" y1="93139" x2="6702" y2="93039"/>
                      <a14:foregroundMark x1="16823" y1="93622" x2="8616" y2="93149"/>
                      <a14:foregroundMark x1="24093" y1="94041" x2="20229" y2="93818"/>
                      <a14:foregroundMark x1="28980" y1="94323" x2="26036" y2="94153"/>
                      <a14:foregroundMark x1="31534" y1="94470" x2="28989" y2="94323"/>
                      <a14:foregroundMark x1="33547" y1="94585" x2="31876" y2="94489"/>
                      <a14:foregroundMark x1="35706" y1="94710" x2="33915" y2="94607"/>
                      <a14:foregroundMark x1="2554" y1="92800" x2="1876" y2="85637"/>
                      <a14:backgroundMark x1="3251" y1="74400" x2="1858" y2="72800"/>
                      <a14:backgroundMark x1="18808" y1="74667" x2="19350" y2="66133"/>
                      <a14:backgroundMark x1="14783" y1="77067" x2="5031" y2="76800"/>
                      <a14:backgroundMark x1="35217" y1="82933" x2="35217" y2="90933"/>
                      <a14:backgroundMark x1="38467" y1="94133" x2="38777" y2="95200"/>
                      <a14:backgroundMark x1="1006" y1="98400" x2="21130" y2="99733"/>
                      <a14:backgroundMark x1="21130" y1="99733" x2="98297" y2="98400"/>
                      <a14:backgroundMark x1="98297" y1="98400" x2="98297" y2="98133"/>
                      <a14:backgroundMark x1="58824" y1="86667" x2="59365" y2="90667"/>
                      <a14:backgroundMark x1="56192" y1="88533" x2="56192" y2="91467"/>
                      <a14:backgroundMark x1="24845" y1="89867" x2="26858" y2="89600"/>
                      <a14:backgroundMark x1="20201" y1="88533" x2="20124" y2="90133"/>
                      <a14:backgroundMark x1="18034" y1="84267" x2="18034" y2="87733"/>
                      <a14:backgroundMark x1="16563" y1="89333" x2="16563" y2="88533"/>
                      <a14:backgroundMark x1="15170" y1="85333" x2="15325" y2="81333"/>
                      <a14:backgroundMark x1="17492" y1="79467" x2="18653" y2="95467"/>
                      <a14:backgroundMark x1="2709" y1="85867" x2="2709" y2="78400"/>
                      <a14:backgroundMark x1="4876" y1="86400" x2="4799" y2="79200"/>
                      <a14:backgroundMark x1="8901" y1="90133" x2="8978" y2="86133"/>
                      <a14:backgroundMark x1="6734" y1="93333" x2="6192" y2="89600"/>
                      <a14:backgroundMark x1="2554" y1="92000" x2="2477" y2="88533"/>
                      <a14:backgroundMark x1="4721" y1="94400" x2="4644" y2="91200"/>
                      <a14:backgroundMark x1="2941" y1="93867" x2="2709" y2="92800"/>
                      <a14:backgroundMark x1="22601" y1="85333" x2="22059" y2="78133"/>
                      <a14:backgroundMark x1="31502" y1="94133" x2="31037" y2="77333"/>
                      <a14:backgroundMark x1="29489" y1="89067" x2="29567" y2="86133"/>
                      <a14:backgroundMark x1="45356" y1="90400" x2="45356" y2="86133"/>
                      <a14:backgroundMark x1="38080" y1="86667" x2="37926" y2="84800"/>
                      <a14:backgroundMark x1="33746" y1="93333" x2="33204" y2="92000"/>
                      <a14:backgroundMark x1="64087" y1="90133" x2="63777" y2="84000"/>
                      <a14:backgroundMark x1="61765" y1="89600" x2="61765" y2="88267"/>
                      <a14:backgroundMark x1="60372" y1="82933" x2="59443" y2="84000"/>
                      <a14:backgroundMark x1="54025" y1="85867" x2="53793" y2="85067"/>
                      <a14:backgroundMark x1="51703" y1="83200" x2="51393" y2="83200"/>
                      <a14:backgroundMark x1="52864" y1="83733" x2="51858" y2="83733"/>
                      <a14:backgroundMark x1="41409" y1="86133" x2="41331" y2="84267"/>
                      <a14:backgroundMark x1="12461" y1="90933" x2="12693" y2="88000"/>
                      <a14:backgroundMark x1="69350" y1="93600" x2="69814" y2="84533"/>
                      <a14:backgroundMark x1="71981" y1="85867" x2="71981" y2="81333"/>
                      <a14:backgroundMark x1="82430" y1="85600" x2="82043" y2="83733"/>
                      <a14:backgroundMark x1="79567" y1="90133" x2="79721" y2="85600"/>
                      <a14:backgroundMark x1="87539" y1="85600" x2="87926" y2="88000"/>
                      <a14:backgroundMark x1="86687" y1="85067" x2="87461" y2="84000"/>
                      <a14:backgroundMark x1="85062" y1="90400" x2="85062" y2="84800"/>
                      <a14:backgroundMark x1="95124" y1="90933" x2="94814" y2="86133"/>
                      <a14:backgroundMark x1="78096" y1="84533" x2="77245" y2="82133"/>
                      <a14:backgroundMark x1="49923" y1="87467" x2="49149" y2="83467"/>
                      <a14:backgroundMark x1="47368" y1="84000" x2="47368" y2="8266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55270" y="133350"/>
          <a:ext cx="1402135" cy="400050"/>
        </a:xfrm>
        <a:prstGeom prst="rect">
          <a:avLst/>
        </a:prstGeom>
      </xdr:spPr>
    </xdr:pic>
    <xdr:clientData/>
  </xdr:twoCellAnchor>
  <xdr:twoCellAnchor>
    <xdr:from>
      <xdr:col>5</xdr:col>
      <xdr:colOff>20954</xdr:colOff>
      <xdr:row>1</xdr:row>
      <xdr:rowOff>1905</xdr:rowOff>
    </xdr:from>
    <xdr:to>
      <xdr:col>18</xdr:col>
      <xdr:colOff>1209674</xdr:colOff>
      <xdr:row>35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1</xdr:row>
      <xdr:rowOff>0</xdr:rowOff>
    </xdr:from>
    <xdr:to>
      <xdr:col>21</xdr:col>
      <xdr:colOff>1143001</xdr:colOff>
      <xdr:row>24</xdr:row>
      <xdr:rowOff>114300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438151</xdr:colOff>
      <xdr:row>0</xdr:row>
      <xdr:rowOff>38100</xdr:rowOff>
    </xdr:from>
    <xdr:to>
      <xdr:col>22</xdr:col>
      <xdr:colOff>15240</xdr:colOff>
      <xdr:row>0</xdr:row>
      <xdr:rowOff>626155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7" t="34636" r="20749" b="33167"/>
        <a:stretch/>
      </xdr:blipFill>
      <xdr:spPr bwMode="auto">
        <a:xfrm>
          <a:off x="13401676" y="38100"/>
          <a:ext cx="1876424" cy="58805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619125</xdr:colOff>
      <xdr:row>0</xdr:row>
      <xdr:rowOff>95249</xdr:rowOff>
    </xdr:from>
    <xdr:to>
      <xdr:col>20</xdr:col>
      <xdr:colOff>358490</xdr:colOff>
      <xdr:row>0</xdr:row>
      <xdr:rowOff>556259</xdr:rowOff>
    </xdr:to>
    <xdr:pic>
      <xdr:nvPicPr>
        <xdr:cNvPr id="9" name="Gráfico 5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2430125" y="95249"/>
          <a:ext cx="882365" cy="461010"/>
        </a:xfrm>
        <a:prstGeom prst="rect">
          <a:avLst/>
        </a:prstGeom>
      </xdr:spPr>
    </xdr:pic>
    <xdr:clientData/>
  </xdr:twoCellAnchor>
  <xdr:twoCellAnchor>
    <xdr:from>
      <xdr:col>4</xdr:col>
      <xdr:colOff>683894</xdr:colOff>
      <xdr:row>36</xdr:row>
      <xdr:rowOff>177165</xdr:rowOff>
    </xdr:from>
    <xdr:to>
      <xdr:col>18</xdr:col>
      <xdr:colOff>1186814</xdr:colOff>
      <xdr:row>70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37</xdr:row>
      <xdr:rowOff>0</xdr:rowOff>
    </xdr:from>
    <xdr:to>
      <xdr:col>21</xdr:col>
      <xdr:colOff>1143001</xdr:colOff>
      <xdr:row>59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99060</xdr:rowOff>
    </xdr:from>
    <xdr:to>
      <xdr:col>3</xdr:col>
      <xdr:colOff>261911</xdr:colOff>
      <xdr:row>0</xdr:row>
      <xdr:rowOff>677133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400" b="92800" l="1393" r="97446">
                      <a14:foregroundMark x1="4257" y1="17067" x2="4644" y2="41333"/>
                      <a14:foregroundMark x1="24458" y1="11733" x2="23607" y2="51200"/>
                      <a14:foregroundMark x1="23607" y1="51200" x2="23684" y2="51467"/>
                      <a14:foregroundMark x1="42957" y1="6667" x2="40712" y2="17333"/>
                      <a14:foregroundMark x1="60681" y1="6667" x2="65170" y2="6400"/>
                      <a14:foregroundMark x1="77941" y1="10667" x2="76471" y2="16533"/>
                      <a14:foregroundMark x1="80805" y1="52000" x2="80882" y2="64267"/>
                      <a14:foregroundMark x1="80882" y1="39200" x2="80882" y2="50133"/>
                      <a14:foregroundMark x1="81192" y1="70667" x2="79954" y2="64267"/>
                      <a14:foregroundMark x1="77245" y1="57333" x2="74536" y2="54933"/>
                      <a14:foregroundMark x1="82972" y1="54667" x2="86997" y2="53600"/>
                      <a14:foregroundMark x1="79567" y1="72000" x2="79567" y2="72000"/>
                      <a14:foregroundMark x1="90557" y1="26667" x2="94814" y2="24800"/>
                      <a14:foregroundMark x1="94814" y1="24800" x2="96749" y2="38133"/>
                      <a14:foregroundMark x1="96749" y1="38133" x2="97523" y2="66667"/>
                      <a14:foregroundMark x1="53758" y1="83696" x2="54257" y2="83733"/>
                      <a14:foregroundMark x1="52844" y1="83627" x2="53622" y2="83685"/>
                      <a14:foregroundMark x1="49458" y1="83374" x2="51453" y2="83523"/>
                      <a14:foregroundMark x1="47420" y1="83221" x2="49136" y2="83349"/>
                      <a14:foregroundMark x1="45071" y1="83045" x2="47296" y2="83211"/>
                      <a14:foregroundMark x1="41185" y1="82754" x2="44857" y2="83029"/>
                      <a14:foregroundMark x1="37692" y1="82492" x2="41081" y2="82746"/>
                      <a14:foregroundMark x1="31484" y1="82027" x2="37657" y2="82490"/>
                      <a14:foregroundMark x1="30048" y1="81920" x2="30801" y2="81976"/>
                      <a14:foregroundMark x1="22381" y1="81345" x2="29968" y2="81914"/>
                      <a14:foregroundMark x1="19307" y1="81115" x2="22198" y2="81332"/>
                      <a14:foregroundMark x1="15475" y1="80828" x2="15897" y2="80860"/>
                      <a14:foregroundMark x1="4876" y1="80034" x2="5636" y2="80091"/>
                      <a14:foregroundMark x1="2846" y1="79882" x2="4361" y2="79995"/>
                      <a14:foregroundMark x1="851" y1="79733" x2="2210" y2="79835"/>
                      <a14:foregroundMark x1="72019" y1="81735" x2="73220" y2="81600"/>
                      <a14:foregroundMark x1="70197" y1="81940" x2="71604" y2="81782"/>
                      <a14:foregroundMark x1="63648" y1="82677" x2="70067" y2="81955"/>
                      <a14:foregroundMark x1="61273" y1="82944" x2="63458" y2="82698"/>
                      <a14:foregroundMark x1="60397" y1="83043" x2="61266" y2="82945"/>
                      <a14:foregroundMark x1="54257" y1="83733" x2="59250" y2="83172"/>
                      <a14:foregroundMark x1="94588" y1="83854" x2="95975" y2="84000"/>
                      <a14:foregroundMark x1="89044" y1="83269" x2="94480" y2="83842"/>
                      <a14:foregroundMark x1="87593" y1="83116" x2="88882" y2="83252"/>
                      <a14:foregroundMark x1="84880" y1="82830" x2="86987" y2="83052"/>
                      <a14:foregroundMark x1="82078" y1="82534" x2="84563" y2="82796"/>
                      <a14:foregroundMark x1="80166" y1="82333" x2="81903" y2="82516"/>
                      <a14:foregroundMark x1="77780" y1="82081" x2="80036" y2="82319"/>
                      <a14:foregroundMark x1="73220" y1="81600" x2="77230" y2="82023"/>
                      <a14:foregroundMark x1="95975" y1="84000" x2="95392" y2="93678"/>
                      <a14:foregroundMark x1="2710" y1="92809" x2="2554" y2="92800"/>
                      <a14:foregroundMark x1="4581" y1="92917" x2="2819" y2="92815"/>
                      <a14:foregroundMark x1="6564" y1="93031" x2="4808" y2="92930"/>
                      <a14:foregroundMark x1="8438" y1="93139" x2="6702" y2="93039"/>
                      <a14:foregroundMark x1="16823" y1="93622" x2="8616" y2="93149"/>
                      <a14:foregroundMark x1="24093" y1="94041" x2="20229" y2="93818"/>
                      <a14:foregroundMark x1="28980" y1="94323" x2="26036" y2="94153"/>
                      <a14:foregroundMark x1="31534" y1="94470" x2="28989" y2="94323"/>
                      <a14:foregroundMark x1="33547" y1="94585" x2="31876" y2="94489"/>
                      <a14:foregroundMark x1="35706" y1="94710" x2="33915" y2="94607"/>
                      <a14:foregroundMark x1="2554" y1="92800" x2="1876" y2="85637"/>
                      <a14:backgroundMark x1="3251" y1="74400" x2="1858" y2="72800"/>
                      <a14:backgroundMark x1="18808" y1="74667" x2="19350" y2="66133"/>
                      <a14:backgroundMark x1="14783" y1="77067" x2="5031" y2="76800"/>
                      <a14:backgroundMark x1="35217" y1="82933" x2="35217" y2="90933"/>
                      <a14:backgroundMark x1="38467" y1="94133" x2="38777" y2="95200"/>
                      <a14:backgroundMark x1="1006" y1="98400" x2="21130" y2="99733"/>
                      <a14:backgroundMark x1="21130" y1="99733" x2="98297" y2="98400"/>
                      <a14:backgroundMark x1="98297" y1="98400" x2="98297" y2="98133"/>
                      <a14:backgroundMark x1="58824" y1="86667" x2="59365" y2="90667"/>
                      <a14:backgroundMark x1="56192" y1="88533" x2="56192" y2="91467"/>
                      <a14:backgroundMark x1="24845" y1="89867" x2="26858" y2="89600"/>
                      <a14:backgroundMark x1="20201" y1="88533" x2="20124" y2="90133"/>
                      <a14:backgroundMark x1="18034" y1="84267" x2="18034" y2="87733"/>
                      <a14:backgroundMark x1="16563" y1="89333" x2="16563" y2="88533"/>
                      <a14:backgroundMark x1="15170" y1="85333" x2="15325" y2="81333"/>
                      <a14:backgroundMark x1="17492" y1="79467" x2="18653" y2="95467"/>
                      <a14:backgroundMark x1="2709" y1="85867" x2="2709" y2="78400"/>
                      <a14:backgroundMark x1="4876" y1="86400" x2="4799" y2="79200"/>
                      <a14:backgroundMark x1="8901" y1="90133" x2="8978" y2="86133"/>
                      <a14:backgroundMark x1="6734" y1="93333" x2="6192" y2="89600"/>
                      <a14:backgroundMark x1="2554" y1="92000" x2="2477" y2="88533"/>
                      <a14:backgroundMark x1="4721" y1="94400" x2="4644" y2="91200"/>
                      <a14:backgroundMark x1="2941" y1="93867" x2="2709" y2="92800"/>
                      <a14:backgroundMark x1="22601" y1="85333" x2="22059" y2="78133"/>
                      <a14:backgroundMark x1="31502" y1="94133" x2="31037" y2="77333"/>
                      <a14:backgroundMark x1="29489" y1="89067" x2="29567" y2="86133"/>
                      <a14:backgroundMark x1="45356" y1="90400" x2="45356" y2="86133"/>
                      <a14:backgroundMark x1="38080" y1="86667" x2="37926" y2="84800"/>
                      <a14:backgroundMark x1="33746" y1="93333" x2="33204" y2="92000"/>
                      <a14:backgroundMark x1="64087" y1="90133" x2="63777" y2="84000"/>
                      <a14:backgroundMark x1="61765" y1="89600" x2="61765" y2="88267"/>
                      <a14:backgroundMark x1="60372" y1="82933" x2="59443" y2="84000"/>
                      <a14:backgroundMark x1="54025" y1="85867" x2="53793" y2="85067"/>
                      <a14:backgroundMark x1="51703" y1="83200" x2="51393" y2="83200"/>
                      <a14:backgroundMark x1="52864" y1="83733" x2="51858" y2="83733"/>
                      <a14:backgroundMark x1="41409" y1="86133" x2="41331" y2="84267"/>
                      <a14:backgroundMark x1="12461" y1="90933" x2="12693" y2="88000"/>
                      <a14:backgroundMark x1="69350" y1="93600" x2="69814" y2="84533"/>
                      <a14:backgroundMark x1="71981" y1="85867" x2="71981" y2="81333"/>
                      <a14:backgroundMark x1="82430" y1="85600" x2="82043" y2="83733"/>
                      <a14:backgroundMark x1="79567" y1="90133" x2="79721" y2="85600"/>
                      <a14:backgroundMark x1="87539" y1="85600" x2="87926" y2="88000"/>
                      <a14:backgroundMark x1="86687" y1="85067" x2="87461" y2="84000"/>
                      <a14:backgroundMark x1="85062" y1="90400" x2="85062" y2="84800"/>
                      <a14:backgroundMark x1="95124" y1="90933" x2="94814" y2="86133"/>
                      <a14:backgroundMark x1="78096" y1="84533" x2="77245" y2="82133"/>
                      <a14:backgroundMark x1="49923" y1="87467" x2="49149" y2="83467"/>
                      <a14:backgroundMark x1="47368" y1="84000" x2="47368" y2="8266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9060" y="99060"/>
          <a:ext cx="1991651" cy="578073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0</xdr:row>
      <xdr:rowOff>783771</xdr:rowOff>
    </xdr:from>
    <xdr:to>
      <xdr:col>19</xdr:col>
      <xdr:colOff>579120</xdr:colOff>
      <xdr:row>20</xdr:row>
      <xdr:rowOff>156755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9</xdr:col>
      <xdr:colOff>579120</xdr:colOff>
      <xdr:row>20</xdr:row>
      <xdr:rowOff>160020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21</xdr:row>
      <xdr:rowOff>1051</xdr:rowOff>
    </xdr:from>
    <xdr:to>
      <xdr:col>9</xdr:col>
      <xdr:colOff>578069</xdr:colOff>
      <xdr:row>42</xdr:row>
      <xdr:rowOff>160020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22860</xdr:colOff>
      <xdr:row>21</xdr:row>
      <xdr:rowOff>22860</xdr:rowOff>
    </xdr:from>
    <xdr:to>
      <xdr:col>20</xdr:col>
      <xdr:colOff>7620</xdr:colOff>
      <xdr:row>42</xdr:row>
      <xdr:rowOff>181886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60</xdr:row>
      <xdr:rowOff>15240</xdr:rowOff>
    </xdr:from>
    <xdr:to>
      <xdr:col>19</xdr:col>
      <xdr:colOff>594360</xdr:colOff>
      <xdr:row>80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81</xdr:row>
      <xdr:rowOff>7620</xdr:rowOff>
    </xdr:from>
    <xdr:to>
      <xdr:col>19</xdr:col>
      <xdr:colOff>601980</xdr:colOff>
      <xdr:row>96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19</xdr:col>
      <xdr:colOff>594360</xdr:colOff>
      <xdr:row>60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16</xdr:col>
      <xdr:colOff>502921</xdr:colOff>
      <xdr:row>0</xdr:row>
      <xdr:rowOff>121920</xdr:rowOff>
    </xdr:from>
    <xdr:to>
      <xdr:col>19</xdr:col>
      <xdr:colOff>533400</xdr:colOff>
      <xdr:row>0</xdr:row>
      <xdr:rowOff>700450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7" t="34636" r="20749" b="33167"/>
        <a:stretch/>
      </xdr:blipFill>
      <xdr:spPr bwMode="auto">
        <a:xfrm>
          <a:off x="10256521" y="121920"/>
          <a:ext cx="1859279" cy="5785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144780</xdr:colOff>
      <xdr:row>0</xdr:row>
      <xdr:rowOff>182879</xdr:rowOff>
    </xdr:from>
    <xdr:to>
      <xdr:col>16</xdr:col>
      <xdr:colOff>406115</xdr:colOff>
      <xdr:row>0</xdr:row>
      <xdr:rowOff>632459</xdr:rowOff>
    </xdr:to>
    <xdr:pic>
      <xdr:nvPicPr>
        <xdr:cNvPr id="12" name="Gráfico 5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288780" y="182879"/>
          <a:ext cx="870935" cy="44958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91440</xdr:rowOff>
    </xdr:from>
    <xdr:to>
      <xdr:col>3</xdr:col>
      <xdr:colOff>239051</xdr:colOff>
      <xdr:row>0</xdr:row>
      <xdr:rowOff>669513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400" b="92800" l="1393" r="97446">
                      <a14:foregroundMark x1="4257" y1="17067" x2="4644" y2="41333"/>
                      <a14:foregroundMark x1="24458" y1="11733" x2="23607" y2="51200"/>
                      <a14:foregroundMark x1="23607" y1="51200" x2="23684" y2="51467"/>
                      <a14:foregroundMark x1="42957" y1="6667" x2="40712" y2="17333"/>
                      <a14:foregroundMark x1="60681" y1="6667" x2="65170" y2="6400"/>
                      <a14:foregroundMark x1="77941" y1="10667" x2="76471" y2="16533"/>
                      <a14:foregroundMark x1="80805" y1="52000" x2="80882" y2="64267"/>
                      <a14:foregroundMark x1="80882" y1="39200" x2="80882" y2="50133"/>
                      <a14:foregroundMark x1="81192" y1="70667" x2="79954" y2="64267"/>
                      <a14:foregroundMark x1="77245" y1="57333" x2="74536" y2="54933"/>
                      <a14:foregroundMark x1="82972" y1="54667" x2="86997" y2="53600"/>
                      <a14:foregroundMark x1="79567" y1="72000" x2="79567" y2="72000"/>
                      <a14:foregroundMark x1="90557" y1="26667" x2="94814" y2="24800"/>
                      <a14:foregroundMark x1="94814" y1="24800" x2="96749" y2="38133"/>
                      <a14:foregroundMark x1="96749" y1="38133" x2="97523" y2="66667"/>
                      <a14:foregroundMark x1="53758" y1="83696" x2="54257" y2="83733"/>
                      <a14:foregroundMark x1="52844" y1="83627" x2="53622" y2="83685"/>
                      <a14:foregroundMark x1="49458" y1="83374" x2="51453" y2="83523"/>
                      <a14:foregroundMark x1="47420" y1="83221" x2="49136" y2="83349"/>
                      <a14:foregroundMark x1="45071" y1="83045" x2="47296" y2="83211"/>
                      <a14:foregroundMark x1="41185" y1="82754" x2="44857" y2="83029"/>
                      <a14:foregroundMark x1="37692" y1="82492" x2="41081" y2="82746"/>
                      <a14:foregroundMark x1="31484" y1="82027" x2="37657" y2="82490"/>
                      <a14:foregroundMark x1="30048" y1="81920" x2="30801" y2="81976"/>
                      <a14:foregroundMark x1="22381" y1="81345" x2="29968" y2="81914"/>
                      <a14:foregroundMark x1="19307" y1="81115" x2="22198" y2="81332"/>
                      <a14:foregroundMark x1="15475" y1="80828" x2="15897" y2="80860"/>
                      <a14:foregroundMark x1="4876" y1="80034" x2="5636" y2="80091"/>
                      <a14:foregroundMark x1="2846" y1="79882" x2="4361" y2="79995"/>
                      <a14:foregroundMark x1="851" y1="79733" x2="2210" y2="79835"/>
                      <a14:foregroundMark x1="72019" y1="81735" x2="73220" y2="81600"/>
                      <a14:foregroundMark x1="70197" y1="81940" x2="71604" y2="81782"/>
                      <a14:foregroundMark x1="63648" y1="82677" x2="70067" y2="81955"/>
                      <a14:foregroundMark x1="61273" y1="82944" x2="63458" y2="82698"/>
                      <a14:foregroundMark x1="60397" y1="83043" x2="61266" y2="82945"/>
                      <a14:foregroundMark x1="54257" y1="83733" x2="59250" y2="83172"/>
                      <a14:foregroundMark x1="94588" y1="83854" x2="95975" y2="84000"/>
                      <a14:foregroundMark x1="89044" y1="83269" x2="94480" y2="83842"/>
                      <a14:foregroundMark x1="87593" y1="83116" x2="88882" y2="83252"/>
                      <a14:foregroundMark x1="84880" y1="82830" x2="86987" y2="83052"/>
                      <a14:foregroundMark x1="82078" y1="82534" x2="84563" y2="82796"/>
                      <a14:foregroundMark x1="80166" y1="82333" x2="81903" y2="82516"/>
                      <a14:foregroundMark x1="77780" y1="82081" x2="80036" y2="82319"/>
                      <a14:foregroundMark x1="73220" y1="81600" x2="77230" y2="82023"/>
                      <a14:foregroundMark x1="95975" y1="84000" x2="95392" y2="93678"/>
                      <a14:foregroundMark x1="2710" y1="92809" x2="2554" y2="92800"/>
                      <a14:foregroundMark x1="4581" y1="92917" x2="2819" y2="92815"/>
                      <a14:foregroundMark x1="6564" y1="93031" x2="4808" y2="92930"/>
                      <a14:foregroundMark x1="8438" y1="93139" x2="6702" y2="93039"/>
                      <a14:foregroundMark x1="16823" y1="93622" x2="8616" y2="93149"/>
                      <a14:foregroundMark x1="24093" y1="94041" x2="20229" y2="93818"/>
                      <a14:foregroundMark x1="28980" y1="94323" x2="26036" y2="94153"/>
                      <a14:foregroundMark x1="31534" y1="94470" x2="28989" y2="94323"/>
                      <a14:foregroundMark x1="33547" y1="94585" x2="31876" y2="94489"/>
                      <a14:foregroundMark x1="35706" y1="94710" x2="33915" y2="94607"/>
                      <a14:foregroundMark x1="2554" y1="92800" x2="1876" y2="85637"/>
                      <a14:backgroundMark x1="3251" y1="74400" x2="1858" y2="72800"/>
                      <a14:backgroundMark x1="18808" y1="74667" x2="19350" y2="66133"/>
                      <a14:backgroundMark x1="14783" y1="77067" x2="5031" y2="76800"/>
                      <a14:backgroundMark x1="35217" y1="82933" x2="35217" y2="90933"/>
                      <a14:backgroundMark x1="38467" y1="94133" x2="38777" y2="95200"/>
                      <a14:backgroundMark x1="1006" y1="98400" x2="21130" y2="99733"/>
                      <a14:backgroundMark x1="21130" y1="99733" x2="98297" y2="98400"/>
                      <a14:backgroundMark x1="98297" y1="98400" x2="98297" y2="98133"/>
                      <a14:backgroundMark x1="58824" y1="86667" x2="59365" y2="90667"/>
                      <a14:backgroundMark x1="56192" y1="88533" x2="56192" y2="91467"/>
                      <a14:backgroundMark x1="24845" y1="89867" x2="26858" y2="89600"/>
                      <a14:backgroundMark x1="20201" y1="88533" x2="20124" y2="90133"/>
                      <a14:backgroundMark x1="18034" y1="84267" x2="18034" y2="87733"/>
                      <a14:backgroundMark x1="16563" y1="89333" x2="16563" y2="88533"/>
                      <a14:backgroundMark x1="15170" y1="85333" x2="15325" y2="81333"/>
                      <a14:backgroundMark x1="17492" y1="79467" x2="18653" y2="95467"/>
                      <a14:backgroundMark x1="2709" y1="85867" x2="2709" y2="78400"/>
                      <a14:backgroundMark x1="4876" y1="86400" x2="4799" y2="79200"/>
                      <a14:backgroundMark x1="8901" y1="90133" x2="8978" y2="86133"/>
                      <a14:backgroundMark x1="6734" y1="93333" x2="6192" y2="89600"/>
                      <a14:backgroundMark x1="2554" y1="92000" x2="2477" y2="88533"/>
                      <a14:backgroundMark x1="4721" y1="94400" x2="4644" y2="91200"/>
                      <a14:backgroundMark x1="2941" y1="93867" x2="2709" y2="92800"/>
                      <a14:backgroundMark x1="22601" y1="85333" x2="22059" y2="78133"/>
                      <a14:backgroundMark x1="31502" y1="94133" x2="31037" y2="77333"/>
                      <a14:backgroundMark x1="29489" y1="89067" x2="29567" y2="86133"/>
                      <a14:backgroundMark x1="45356" y1="90400" x2="45356" y2="86133"/>
                      <a14:backgroundMark x1="38080" y1="86667" x2="37926" y2="84800"/>
                      <a14:backgroundMark x1="33746" y1="93333" x2="33204" y2="92000"/>
                      <a14:backgroundMark x1="64087" y1="90133" x2="63777" y2="84000"/>
                      <a14:backgroundMark x1="61765" y1="89600" x2="61765" y2="88267"/>
                      <a14:backgroundMark x1="60372" y1="82933" x2="59443" y2="84000"/>
                      <a14:backgroundMark x1="54025" y1="85867" x2="53793" y2="85067"/>
                      <a14:backgroundMark x1="51703" y1="83200" x2="51393" y2="83200"/>
                      <a14:backgroundMark x1="52864" y1="83733" x2="51858" y2="83733"/>
                      <a14:backgroundMark x1="41409" y1="86133" x2="41331" y2="84267"/>
                      <a14:backgroundMark x1="12461" y1="90933" x2="12693" y2="88000"/>
                      <a14:backgroundMark x1="69350" y1="93600" x2="69814" y2="84533"/>
                      <a14:backgroundMark x1="71981" y1="85867" x2="71981" y2="81333"/>
                      <a14:backgroundMark x1="82430" y1="85600" x2="82043" y2="83733"/>
                      <a14:backgroundMark x1="79567" y1="90133" x2="79721" y2="85600"/>
                      <a14:backgroundMark x1="87539" y1="85600" x2="87926" y2="88000"/>
                      <a14:backgroundMark x1="86687" y1="85067" x2="87461" y2="84000"/>
                      <a14:backgroundMark x1="85062" y1="90400" x2="85062" y2="84800"/>
                      <a14:backgroundMark x1="95124" y1="90933" x2="94814" y2="86133"/>
                      <a14:backgroundMark x1="78096" y1="84533" x2="77245" y2="82133"/>
                      <a14:backgroundMark x1="49923" y1="87467" x2="49149" y2="83467"/>
                      <a14:backgroundMark x1="47368" y1="84000" x2="47368" y2="8266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200" y="91440"/>
          <a:ext cx="1991651" cy="57807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1</xdr:rowOff>
    </xdr:from>
    <xdr:to>
      <xdr:col>6</xdr:col>
      <xdr:colOff>571500</xdr:colOff>
      <xdr:row>44</xdr:row>
      <xdr:rowOff>140370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13</xdr:col>
      <xdr:colOff>571500</xdr:colOff>
      <xdr:row>44</xdr:row>
      <xdr:rowOff>136358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327660</xdr:colOff>
      <xdr:row>45</xdr:row>
      <xdr:rowOff>0</xdr:rowOff>
    </xdr:from>
    <xdr:to>
      <xdr:col>20</xdr:col>
      <xdr:colOff>556260</xdr:colOff>
      <xdr:row>60</xdr:row>
      <xdr:rowOff>167640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20</xdr:col>
      <xdr:colOff>556260</xdr:colOff>
      <xdr:row>44</xdr:row>
      <xdr:rowOff>140369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44</xdr:row>
      <xdr:rowOff>160020</xdr:rowOff>
    </xdr:from>
    <xdr:to>
      <xdr:col>10</xdr:col>
      <xdr:colOff>304800</xdr:colOff>
      <xdr:row>60</xdr:row>
      <xdr:rowOff>152400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20</xdr:col>
      <xdr:colOff>556260</xdr:colOff>
      <xdr:row>28</xdr:row>
      <xdr:rowOff>144780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17</xdr:col>
      <xdr:colOff>487681</xdr:colOff>
      <xdr:row>0</xdr:row>
      <xdr:rowOff>114300</xdr:rowOff>
    </xdr:from>
    <xdr:to>
      <xdr:col>20</xdr:col>
      <xdr:colOff>518160</xdr:colOff>
      <xdr:row>0</xdr:row>
      <xdr:rowOff>692830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7" t="34636" r="20749" b="33167"/>
        <a:stretch/>
      </xdr:blipFill>
      <xdr:spPr bwMode="auto">
        <a:xfrm>
          <a:off x="10850881" y="114300"/>
          <a:ext cx="1859279" cy="5785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16</xdr:col>
      <xdr:colOff>129540</xdr:colOff>
      <xdr:row>0</xdr:row>
      <xdr:rowOff>175259</xdr:rowOff>
    </xdr:from>
    <xdr:to>
      <xdr:col>17</xdr:col>
      <xdr:colOff>390875</xdr:colOff>
      <xdr:row>0</xdr:row>
      <xdr:rowOff>624839</xdr:rowOff>
    </xdr:to>
    <xdr:pic>
      <xdr:nvPicPr>
        <xdr:cNvPr id="3" name="Gráfico 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883140" y="175259"/>
          <a:ext cx="870935" cy="44958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14</xdr:row>
      <xdr:rowOff>213360</xdr:rowOff>
    </xdr:from>
    <xdr:to>
      <xdr:col>16</xdr:col>
      <xdr:colOff>0</xdr:colOff>
      <xdr:row>44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45</xdr:row>
      <xdr:rowOff>57150</xdr:rowOff>
    </xdr:from>
    <xdr:to>
      <xdr:col>5</xdr:col>
      <xdr:colOff>7620</xdr:colOff>
      <xdr:row>58</xdr:row>
      <xdr:rowOff>106680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53340</xdr:colOff>
      <xdr:row>45</xdr:row>
      <xdr:rowOff>49530</xdr:rowOff>
    </xdr:from>
    <xdr:to>
      <xdr:col>16</xdr:col>
      <xdr:colOff>0</xdr:colOff>
      <xdr:row>58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</xdr:colOff>
      <xdr:row>0</xdr:row>
      <xdr:rowOff>777240</xdr:rowOff>
    </xdr:from>
    <xdr:to>
      <xdr:col>2</xdr:col>
      <xdr:colOff>1089660</xdr:colOff>
      <xdr:row>14</xdr:row>
      <xdr:rowOff>137160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1120140</xdr:colOff>
      <xdr:row>1</xdr:row>
      <xdr:rowOff>0</xdr:rowOff>
    </xdr:from>
    <xdr:to>
      <xdr:col>8</xdr:col>
      <xdr:colOff>251460</xdr:colOff>
      <xdr:row>14</xdr:row>
      <xdr:rowOff>152400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297180</xdr:colOff>
      <xdr:row>1</xdr:row>
      <xdr:rowOff>0</xdr:rowOff>
    </xdr:from>
    <xdr:to>
      <xdr:col>15</xdr:col>
      <xdr:colOff>601980</xdr:colOff>
      <xdr:row>14</xdr:row>
      <xdr:rowOff>160020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76200</xdr:colOff>
      <xdr:row>0</xdr:row>
      <xdr:rowOff>114300</xdr:rowOff>
    </xdr:from>
    <xdr:to>
      <xdr:col>1</xdr:col>
      <xdr:colOff>719111</xdr:colOff>
      <xdr:row>0</xdr:row>
      <xdr:rowOff>692373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6400" b="92800" l="1393" r="97446">
                      <a14:foregroundMark x1="4257" y1="17067" x2="4644" y2="41333"/>
                      <a14:foregroundMark x1="24458" y1="11733" x2="23607" y2="51200"/>
                      <a14:foregroundMark x1="23607" y1="51200" x2="23684" y2="51467"/>
                      <a14:foregroundMark x1="42957" y1="6667" x2="40712" y2="17333"/>
                      <a14:foregroundMark x1="60681" y1="6667" x2="65170" y2="6400"/>
                      <a14:foregroundMark x1="77941" y1="10667" x2="76471" y2="16533"/>
                      <a14:foregroundMark x1="80805" y1="52000" x2="80882" y2="64267"/>
                      <a14:foregroundMark x1="80882" y1="39200" x2="80882" y2="50133"/>
                      <a14:foregroundMark x1="81192" y1="70667" x2="79954" y2="64267"/>
                      <a14:foregroundMark x1="77245" y1="57333" x2="74536" y2="54933"/>
                      <a14:foregroundMark x1="82972" y1="54667" x2="86997" y2="53600"/>
                      <a14:foregroundMark x1="79567" y1="72000" x2="79567" y2="72000"/>
                      <a14:foregroundMark x1="90557" y1="26667" x2="94814" y2="24800"/>
                      <a14:foregroundMark x1="94814" y1="24800" x2="96749" y2="38133"/>
                      <a14:foregroundMark x1="96749" y1="38133" x2="97523" y2="66667"/>
                      <a14:foregroundMark x1="53758" y1="83696" x2="54257" y2="83733"/>
                      <a14:foregroundMark x1="52844" y1="83627" x2="53622" y2="83685"/>
                      <a14:foregroundMark x1="49458" y1="83374" x2="51453" y2="83523"/>
                      <a14:foregroundMark x1="47420" y1="83221" x2="49136" y2="83349"/>
                      <a14:foregroundMark x1="45071" y1="83045" x2="47296" y2="83211"/>
                      <a14:foregroundMark x1="41185" y1="82754" x2="44857" y2="83029"/>
                      <a14:foregroundMark x1="37692" y1="82492" x2="41081" y2="82746"/>
                      <a14:foregroundMark x1="31484" y1="82027" x2="37657" y2="82490"/>
                      <a14:foregroundMark x1="30048" y1="81920" x2="30801" y2="81976"/>
                      <a14:foregroundMark x1="22381" y1="81345" x2="29968" y2="81914"/>
                      <a14:foregroundMark x1="19307" y1="81115" x2="22198" y2="81332"/>
                      <a14:foregroundMark x1="15475" y1="80828" x2="15897" y2="80860"/>
                      <a14:foregroundMark x1="4876" y1="80034" x2="5636" y2="80091"/>
                      <a14:foregroundMark x1="2846" y1="79882" x2="4361" y2="79995"/>
                      <a14:foregroundMark x1="851" y1="79733" x2="2210" y2="79835"/>
                      <a14:foregroundMark x1="72019" y1="81735" x2="73220" y2="81600"/>
                      <a14:foregroundMark x1="70197" y1="81940" x2="71604" y2="81782"/>
                      <a14:foregroundMark x1="63648" y1="82677" x2="70067" y2="81955"/>
                      <a14:foregroundMark x1="61273" y1="82944" x2="63458" y2="82698"/>
                      <a14:foregroundMark x1="60397" y1="83043" x2="61266" y2="82945"/>
                      <a14:foregroundMark x1="54257" y1="83733" x2="59250" y2="83172"/>
                      <a14:foregroundMark x1="94588" y1="83854" x2="95975" y2="84000"/>
                      <a14:foregroundMark x1="89044" y1="83269" x2="94480" y2="83842"/>
                      <a14:foregroundMark x1="87593" y1="83116" x2="88882" y2="83252"/>
                      <a14:foregroundMark x1="84880" y1="82830" x2="86987" y2="83052"/>
                      <a14:foregroundMark x1="82078" y1="82534" x2="84563" y2="82796"/>
                      <a14:foregroundMark x1="80166" y1="82333" x2="81903" y2="82516"/>
                      <a14:foregroundMark x1="77780" y1="82081" x2="80036" y2="82319"/>
                      <a14:foregroundMark x1="73220" y1="81600" x2="77230" y2="82023"/>
                      <a14:foregroundMark x1="95975" y1="84000" x2="95392" y2="93678"/>
                      <a14:foregroundMark x1="2710" y1="92809" x2="2554" y2="92800"/>
                      <a14:foregroundMark x1="4581" y1="92917" x2="2819" y2="92815"/>
                      <a14:foregroundMark x1="6564" y1="93031" x2="4808" y2="92930"/>
                      <a14:foregroundMark x1="8438" y1="93139" x2="6702" y2="93039"/>
                      <a14:foregroundMark x1="16823" y1="93622" x2="8616" y2="93149"/>
                      <a14:foregroundMark x1="24093" y1="94041" x2="20229" y2="93818"/>
                      <a14:foregroundMark x1="28980" y1="94323" x2="26036" y2="94153"/>
                      <a14:foregroundMark x1="31534" y1="94470" x2="28989" y2="94323"/>
                      <a14:foregroundMark x1="33547" y1="94585" x2="31876" y2="94489"/>
                      <a14:foregroundMark x1="35706" y1="94710" x2="33915" y2="94607"/>
                      <a14:foregroundMark x1="2554" y1="92800" x2="1876" y2="85637"/>
                      <a14:backgroundMark x1="3251" y1="74400" x2="1858" y2="72800"/>
                      <a14:backgroundMark x1="18808" y1="74667" x2="19350" y2="66133"/>
                      <a14:backgroundMark x1="14783" y1="77067" x2="5031" y2="76800"/>
                      <a14:backgroundMark x1="35217" y1="82933" x2="35217" y2="90933"/>
                      <a14:backgroundMark x1="38467" y1="94133" x2="38777" y2="95200"/>
                      <a14:backgroundMark x1="1006" y1="98400" x2="21130" y2="99733"/>
                      <a14:backgroundMark x1="21130" y1="99733" x2="98297" y2="98400"/>
                      <a14:backgroundMark x1="98297" y1="98400" x2="98297" y2="98133"/>
                      <a14:backgroundMark x1="58824" y1="86667" x2="59365" y2="90667"/>
                      <a14:backgroundMark x1="56192" y1="88533" x2="56192" y2="91467"/>
                      <a14:backgroundMark x1="24845" y1="89867" x2="26858" y2="89600"/>
                      <a14:backgroundMark x1="20201" y1="88533" x2="20124" y2="90133"/>
                      <a14:backgroundMark x1="18034" y1="84267" x2="18034" y2="87733"/>
                      <a14:backgroundMark x1="16563" y1="89333" x2="16563" y2="88533"/>
                      <a14:backgroundMark x1="15170" y1="85333" x2="15325" y2="81333"/>
                      <a14:backgroundMark x1="17492" y1="79467" x2="18653" y2="95467"/>
                      <a14:backgroundMark x1="2709" y1="85867" x2="2709" y2="78400"/>
                      <a14:backgroundMark x1="4876" y1="86400" x2="4799" y2="79200"/>
                      <a14:backgroundMark x1="8901" y1="90133" x2="8978" y2="86133"/>
                      <a14:backgroundMark x1="6734" y1="93333" x2="6192" y2="89600"/>
                      <a14:backgroundMark x1="2554" y1="92000" x2="2477" y2="88533"/>
                      <a14:backgroundMark x1="4721" y1="94400" x2="4644" y2="91200"/>
                      <a14:backgroundMark x1="2941" y1="93867" x2="2709" y2="92800"/>
                      <a14:backgroundMark x1="22601" y1="85333" x2="22059" y2="78133"/>
                      <a14:backgroundMark x1="31502" y1="94133" x2="31037" y2="77333"/>
                      <a14:backgroundMark x1="29489" y1="89067" x2="29567" y2="86133"/>
                      <a14:backgroundMark x1="45356" y1="90400" x2="45356" y2="86133"/>
                      <a14:backgroundMark x1="38080" y1="86667" x2="37926" y2="84800"/>
                      <a14:backgroundMark x1="33746" y1="93333" x2="33204" y2="92000"/>
                      <a14:backgroundMark x1="64087" y1="90133" x2="63777" y2="84000"/>
                      <a14:backgroundMark x1="61765" y1="89600" x2="61765" y2="88267"/>
                      <a14:backgroundMark x1="60372" y1="82933" x2="59443" y2="84000"/>
                      <a14:backgroundMark x1="54025" y1="85867" x2="53793" y2="85067"/>
                      <a14:backgroundMark x1="51703" y1="83200" x2="51393" y2="83200"/>
                      <a14:backgroundMark x1="52864" y1="83733" x2="51858" y2="83733"/>
                      <a14:backgroundMark x1="41409" y1="86133" x2="41331" y2="84267"/>
                      <a14:backgroundMark x1="12461" y1="90933" x2="12693" y2="88000"/>
                      <a14:backgroundMark x1="69350" y1="93600" x2="69814" y2="84533"/>
                      <a14:backgroundMark x1="71981" y1="85867" x2="71981" y2="81333"/>
                      <a14:backgroundMark x1="82430" y1="85600" x2="82043" y2="83733"/>
                      <a14:backgroundMark x1="79567" y1="90133" x2="79721" y2="85600"/>
                      <a14:backgroundMark x1="87539" y1="85600" x2="87926" y2="88000"/>
                      <a14:backgroundMark x1="86687" y1="85067" x2="87461" y2="84000"/>
                      <a14:backgroundMark x1="85062" y1="90400" x2="85062" y2="84800"/>
                      <a14:backgroundMark x1="95124" y1="90933" x2="94814" y2="86133"/>
                      <a14:backgroundMark x1="78096" y1="84533" x2="77245" y2="82133"/>
                      <a14:backgroundMark x1="49923" y1="87467" x2="49149" y2="83467"/>
                      <a14:backgroundMark x1="47368" y1="84000" x2="47368" y2="8266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200" y="114300"/>
          <a:ext cx="1991651" cy="578073"/>
        </a:xfrm>
        <a:prstGeom prst="rect">
          <a:avLst/>
        </a:prstGeom>
      </xdr:spPr>
    </xdr:pic>
    <xdr:clientData/>
  </xdr:twoCellAnchor>
  <xdr:twoCellAnchor editAs="oneCell">
    <xdr:from>
      <xdr:col>12</xdr:col>
      <xdr:colOff>548641</xdr:colOff>
      <xdr:row>0</xdr:row>
      <xdr:rowOff>99060</xdr:rowOff>
    </xdr:from>
    <xdr:to>
      <xdr:col>15</xdr:col>
      <xdr:colOff>579120</xdr:colOff>
      <xdr:row>0</xdr:row>
      <xdr:rowOff>677590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7" t="34636" r="20749" b="33167"/>
        <a:stretch/>
      </xdr:blipFill>
      <xdr:spPr bwMode="auto">
        <a:xfrm>
          <a:off x="10980421" y="99060"/>
          <a:ext cx="1859279" cy="5785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190500</xdr:colOff>
      <xdr:row>0</xdr:row>
      <xdr:rowOff>160019</xdr:rowOff>
    </xdr:from>
    <xdr:to>
      <xdr:col>12</xdr:col>
      <xdr:colOff>451835</xdr:colOff>
      <xdr:row>0</xdr:row>
      <xdr:rowOff>609599</xdr:rowOff>
    </xdr:to>
    <xdr:pic>
      <xdr:nvPicPr>
        <xdr:cNvPr id="6" name="Gráfic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0012680" y="160019"/>
          <a:ext cx="870935" cy="44958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594360</xdr:colOff>
      <xdr:row>18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0</xdr:colOff>
      <xdr:row>1</xdr:row>
      <xdr:rowOff>0</xdr:rowOff>
    </xdr:from>
    <xdr:ext cx="1211580" cy="52578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6096000" y="502920"/>
          <a:ext cx="1211580" cy="525780"/>
        </a:xfrm>
        <a:prstGeom prst="rect">
          <a:avLst/>
        </a:prstGeom>
        <a:noFill/>
        <a:ln w="9525">
          <a:solidFill>
            <a:schemeClr val="tx2">
              <a:lumMod val="25000"/>
              <a:lumOff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6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30</a:t>
          </a:r>
        </a:p>
        <a:p>
          <a:pPr algn="ctr"/>
          <a:r>
            <a:rPr lang="pt-BR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HEPATITE B</a:t>
          </a:r>
        </a:p>
      </xdr:txBody>
    </xdr:sp>
    <xdr:clientData/>
  </xdr:oneCellAnchor>
  <xdr:oneCellAnchor>
    <xdr:from>
      <xdr:col>10</xdr:col>
      <xdr:colOff>0</xdr:colOff>
      <xdr:row>4</xdr:row>
      <xdr:rowOff>0</xdr:rowOff>
    </xdr:from>
    <xdr:ext cx="1211580" cy="52578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6096000" y="1051560"/>
          <a:ext cx="1211580" cy="525780"/>
        </a:xfrm>
        <a:prstGeom prst="rect">
          <a:avLst/>
        </a:prstGeom>
        <a:noFill/>
        <a:ln w="9525">
          <a:solidFill>
            <a:schemeClr val="tx2">
              <a:lumMod val="25000"/>
              <a:lumOff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6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31</a:t>
          </a:r>
        </a:p>
        <a:p>
          <a:pPr algn="ctr"/>
          <a:r>
            <a:rPr lang="pt-BR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HEPATITE C</a:t>
          </a:r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211580" cy="52578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6096000" y="1600200"/>
          <a:ext cx="1211580" cy="525780"/>
        </a:xfrm>
        <a:prstGeom prst="rect">
          <a:avLst/>
        </a:prstGeom>
        <a:noFill/>
        <a:ln w="9525">
          <a:solidFill>
            <a:schemeClr val="tx2">
              <a:lumMod val="25000"/>
              <a:lumOff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6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36</a:t>
          </a:r>
        </a:p>
        <a:p>
          <a:pPr algn="ctr"/>
          <a:r>
            <a:rPr lang="pt-BR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HIV</a:t>
          </a:r>
        </a:p>
      </xdr:txBody>
    </xdr:sp>
    <xdr:clientData/>
  </xdr:oneCellAnchor>
  <xdr:oneCellAnchor>
    <xdr:from>
      <xdr:col>10</xdr:col>
      <xdr:colOff>0</xdr:colOff>
      <xdr:row>10</xdr:row>
      <xdr:rowOff>0</xdr:rowOff>
    </xdr:from>
    <xdr:ext cx="1211580" cy="52578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6096000" y="2148840"/>
          <a:ext cx="1211580" cy="525780"/>
        </a:xfrm>
        <a:prstGeom prst="rect">
          <a:avLst/>
        </a:prstGeom>
        <a:noFill/>
        <a:ln w="9525">
          <a:solidFill>
            <a:schemeClr val="tx2">
              <a:lumMod val="25000"/>
              <a:lumOff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6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35</a:t>
          </a:r>
        </a:p>
        <a:p>
          <a:pPr algn="ctr"/>
          <a:r>
            <a:rPr lang="pt-BR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SÍFILIS</a:t>
          </a:r>
        </a:p>
      </xdr:txBody>
    </xdr:sp>
    <xdr:clientData/>
  </xdr:oneCellAnchor>
  <xdr:oneCellAnchor>
    <xdr:from>
      <xdr:col>10</xdr:col>
      <xdr:colOff>0</xdr:colOff>
      <xdr:row>13</xdr:row>
      <xdr:rowOff>0</xdr:rowOff>
    </xdr:from>
    <xdr:ext cx="1211580" cy="52578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6096000" y="2697480"/>
          <a:ext cx="1211580" cy="525780"/>
        </a:xfrm>
        <a:prstGeom prst="rect">
          <a:avLst/>
        </a:prstGeom>
        <a:noFill/>
        <a:ln w="9525">
          <a:solidFill>
            <a:schemeClr val="tx2">
              <a:lumMod val="25000"/>
              <a:lumOff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6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16</a:t>
          </a:r>
        </a:p>
        <a:p>
          <a:pPr algn="ctr"/>
          <a:r>
            <a:rPr lang="pt-BR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DENGUE</a:t>
          </a:r>
        </a:p>
      </xdr:txBody>
    </xdr:sp>
    <xdr:clientData/>
  </xdr:oneCellAnchor>
  <xdr:oneCellAnchor>
    <xdr:from>
      <xdr:col>10</xdr:col>
      <xdr:colOff>0</xdr:colOff>
      <xdr:row>16</xdr:row>
      <xdr:rowOff>0</xdr:rowOff>
    </xdr:from>
    <xdr:ext cx="1211580" cy="52578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6096000" y="3246120"/>
          <a:ext cx="1211580" cy="525780"/>
        </a:xfrm>
        <a:prstGeom prst="rect">
          <a:avLst/>
        </a:prstGeom>
        <a:noFill/>
        <a:ln w="9525">
          <a:solidFill>
            <a:schemeClr val="tx2">
              <a:lumMod val="25000"/>
              <a:lumOff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6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115</a:t>
          </a:r>
        </a:p>
        <a:p>
          <a:pPr algn="ctr"/>
          <a:r>
            <a:rPr lang="pt-BR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COVID</a:t>
          </a:r>
        </a:p>
      </xdr:txBody>
    </xdr:sp>
    <xdr:clientData/>
  </xdr:oneCellAnchor>
  <xdr:twoCellAnchor>
    <xdr:from>
      <xdr:col>11</xdr:col>
      <xdr:colOff>631902</xdr:colOff>
      <xdr:row>9</xdr:row>
      <xdr:rowOff>182135</xdr:rowOff>
    </xdr:from>
    <xdr:to>
      <xdr:col>15</xdr:col>
      <xdr:colOff>579120</xdr:colOff>
      <xdr:row>18</xdr:row>
      <xdr:rowOff>159833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631902</xdr:colOff>
      <xdr:row>1</xdr:row>
      <xdr:rowOff>0</xdr:rowOff>
    </xdr:from>
    <xdr:to>
      <xdr:col>15</xdr:col>
      <xdr:colOff>579120</xdr:colOff>
      <xdr:row>9</xdr:row>
      <xdr:rowOff>159833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609600</xdr:colOff>
      <xdr:row>1</xdr:row>
      <xdr:rowOff>0</xdr:rowOff>
    </xdr:from>
    <xdr:to>
      <xdr:col>19</xdr:col>
      <xdr:colOff>579120</xdr:colOff>
      <xdr:row>9</xdr:row>
      <xdr:rowOff>163551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609600</xdr:colOff>
      <xdr:row>1</xdr:row>
      <xdr:rowOff>0</xdr:rowOff>
    </xdr:from>
    <xdr:to>
      <xdr:col>23</xdr:col>
      <xdr:colOff>579120</xdr:colOff>
      <xdr:row>9</xdr:row>
      <xdr:rowOff>159835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10</xdr:row>
      <xdr:rowOff>0</xdr:rowOff>
    </xdr:from>
    <xdr:to>
      <xdr:col>19</xdr:col>
      <xdr:colOff>577690</xdr:colOff>
      <xdr:row>18</xdr:row>
      <xdr:rowOff>163229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10</xdr:row>
      <xdr:rowOff>0</xdr:rowOff>
    </xdr:from>
    <xdr:to>
      <xdr:col>23</xdr:col>
      <xdr:colOff>577690</xdr:colOff>
      <xdr:row>18</xdr:row>
      <xdr:rowOff>163229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76200</xdr:colOff>
      <xdr:row>0</xdr:row>
      <xdr:rowOff>114300</xdr:rowOff>
    </xdr:from>
    <xdr:to>
      <xdr:col>3</xdr:col>
      <xdr:colOff>139991</xdr:colOff>
      <xdr:row>0</xdr:row>
      <xdr:rowOff>695686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6400" b="92800" l="1393" r="97446">
                      <a14:foregroundMark x1="4257" y1="17067" x2="4644" y2="41333"/>
                      <a14:foregroundMark x1="24458" y1="11733" x2="23607" y2="51200"/>
                      <a14:foregroundMark x1="23607" y1="51200" x2="23684" y2="51467"/>
                      <a14:foregroundMark x1="42957" y1="6667" x2="40712" y2="17333"/>
                      <a14:foregroundMark x1="60681" y1="6667" x2="65170" y2="6400"/>
                      <a14:foregroundMark x1="77941" y1="10667" x2="76471" y2="16533"/>
                      <a14:foregroundMark x1="80805" y1="52000" x2="80882" y2="64267"/>
                      <a14:foregroundMark x1="80882" y1="39200" x2="80882" y2="50133"/>
                      <a14:foregroundMark x1="81192" y1="70667" x2="79954" y2="64267"/>
                      <a14:foregroundMark x1="77245" y1="57333" x2="74536" y2="54933"/>
                      <a14:foregroundMark x1="82972" y1="54667" x2="86997" y2="53600"/>
                      <a14:foregroundMark x1="79567" y1="72000" x2="79567" y2="72000"/>
                      <a14:foregroundMark x1="90557" y1="26667" x2="94814" y2="24800"/>
                      <a14:foregroundMark x1="94814" y1="24800" x2="96749" y2="38133"/>
                      <a14:foregroundMark x1="96749" y1="38133" x2="97523" y2="66667"/>
                      <a14:foregroundMark x1="53758" y1="83696" x2="54257" y2="83733"/>
                      <a14:foregroundMark x1="52844" y1="83627" x2="53622" y2="83685"/>
                      <a14:foregroundMark x1="49458" y1="83374" x2="51453" y2="83523"/>
                      <a14:foregroundMark x1="47420" y1="83221" x2="49136" y2="83349"/>
                      <a14:foregroundMark x1="45071" y1="83045" x2="47296" y2="83211"/>
                      <a14:foregroundMark x1="41185" y1="82754" x2="44857" y2="83029"/>
                      <a14:foregroundMark x1="37692" y1="82492" x2="41081" y2="82746"/>
                      <a14:foregroundMark x1="31484" y1="82027" x2="37657" y2="82490"/>
                      <a14:foregroundMark x1="30048" y1="81920" x2="30801" y2="81976"/>
                      <a14:foregroundMark x1="22381" y1="81345" x2="29968" y2="81914"/>
                      <a14:foregroundMark x1="19307" y1="81115" x2="22198" y2="81332"/>
                      <a14:foregroundMark x1="15475" y1="80828" x2="15897" y2="80860"/>
                      <a14:foregroundMark x1="4876" y1="80034" x2="5636" y2="80091"/>
                      <a14:foregroundMark x1="2846" y1="79882" x2="4361" y2="79995"/>
                      <a14:foregroundMark x1="851" y1="79733" x2="2210" y2="79835"/>
                      <a14:foregroundMark x1="72019" y1="81735" x2="73220" y2="81600"/>
                      <a14:foregroundMark x1="70197" y1="81940" x2="71604" y2="81782"/>
                      <a14:foregroundMark x1="63648" y1="82677" x2="70067" y2="81955"/>
                      <a14:foregroundMark x1="61273" y1="82944" x2="63458" y2="82698"/>
                      <a14:foregroundMark x1="60397" y1="83043" x2="61266" y2="82945"/>
                      <a14:foregroundMark x1="54257" y1="83733" x2="59250" y2="83172"/>
                      <a14:foregroundMark x1="94588" y1="83854" x2="95975" y2="84000"/>
                      <a14:foregroundMark x1="89044" y1="83269" x2="94480" y2="83842"/>
                      <a14:foregroundMark x1="87593" y1="83116" x2="88882" y2="83252"/>
                      <a14:foregroundMark x1="84880" y1="82830" x2="86987" y2="83052"/>
                      <a14:foregroundMark x1="82078" y1="82534" x2="84563" y2="82796"/>
                      <a14:foregroundMark x1="80166" y1="82333" x2="81903" y2="82516"/>
                      <a14:foregroundMark x1="77780" y1="82081" x2="80036" y2="82319"/>
                      <a14:foregroundMark x1="73220" y1="81600" x2="77230" y2="82023"/>
                      <a14:foregroundMark x1="95975" y1="84000" x2="95392" y2="93678"/>
                      <a14:foregroundMark x1="2710" y1="92809" x2="2554" y2="92800"/>
                      <a14:foregroundMark x1="4581" y1="92917" x2="2819" y2="92815"/>
                      <a14:foregroundMark x1="6564" y1="93031" x2="4808" y2="92930"/>
                      <a14:foregroundMark x1="8438" y1="93139" x2="6702" y2="93039"/>
                      <a14:foregroundMark x1="16823" y1="93622" x2="8616" y2="93149"/>
                      <a14:foregroundMark x1="24093" y1="94041" x2="20229" y2="93818"/>
                      <a14:foregroundMark x1="28980" y1="94323" x2="26036" y2="94153"/>
                      <a14:foregroundMark x1="31534" y1="94470" x2="28989" y2="94323"/>
                      <a14:foregroundMark x1="33547" y1="94585" x2="31876" y2="94489"/>
                      <a14:foregroundMark x1="35706" y1="94710" x2="33915" y2="94607"/>
                      <a14:foregroundMark x1="2554" y1="92800" x2="1876" y2="85637"/>
                      <a14:backgroundMark x1="3251" y1="74400" x2="1858" y2="72800"/>
                      <a14:backgroundMark x1="18808" y1="74667" x2="19350" y2="66133"/>
                      <a14:backgroundMark x1="14783" y1="77067" x2="5031" y2="76800"/>
                      <a14:backgroundMark x1="35217" y1="82933" x2="35217" y2="90933"/>
                      <a14:backgroundMark x1="38467" y1="94133" x2="38777" y2="95200"/>
                      <a14:backgroundMark x1="1006" y1="98400" x2="21130" y2="99733"/>
                      <a14:backgroundMark x1="21130" y1="99733" x2="98297" y2="98400"/>
                      <a14:backgroundMark x1="98297" y1="98400" x2="98297" y2="98133"/>
                      <a14:backgroundMark x1="58824" y1="86667" x2="59365" y2="90667"/>
                      <a14:backgroundMark x1="56192" y1="88533" x2="56192" y2="91467"/>
                      <a14:backgroundMark x1="24845" y1="89867" x2="26858" y2="89600"/>
                      <a14:backgroundMark x1="20201" y1="88533" x2="20124" y2="90133"/>
                      <a14:backgroundMark x1="18034" y1="84267" x2="18034" y2="87733"/>
                      <a14:backgroundMark x1="16563" y1="89333" x2="16563" y2="88533"/>
                      <a14:backgroundMark x1="15170" y1="85333" x2="15325" y2="81333"/>
                      <a14:backgroundMark x1="17492" y1="79467" x2="18653" y2="95467"/>
                      <a14:backgroundMark x1="2709" y1="85867" x2="2709" y2="78400"/>
                      <a14:backgroundMark x1="4876" y1="86400" x2="4799" y2="79200"/>
                      <a14:backgroundMark x1="8901" y1="90133" x2="8978" y2="86133"/>
                      <a14:backgroundMark x1="6734" y1="93333" x2="6192" y2="89600"/>
                      <a14:backgroundMark x1="2554" y1="92000" x2="2477" y2="88533"/>
                      <a14:backgroundMark x1="4721" y1="94400" x2="4644" y2="91200"/>
                      <a14:backgroundMark x1="2941" y1="93867" x2="2709" y2="92800"/>
                      <a14:backgroundMark x1="22601" y1="85333" x2="22059" y2="78133"/>
                      <a14:backgroundMark x1="31502" y1="94133" x2="31037" y2="77333"/>
                      <a14:backgroundMark x1="29489" y1="89067" x2="29567" y2="86133"/>
                      <a14:backgroundMark x1="45356" y1="90400" x2="45356" y2="86133"/>
                      <a14:backgroundMark x1="38080" y1="86667" x2="37926" y2="84800"/>
                      <a14:backgroundMark x1="33746" y1="93333" x2="33204" y2="92000"/>
                      <a14:backgroundMark x1="64087" y1="90133" x2="63777" y2="84000"/>
                      <a14:backgroundMark x1="61765" y1="89600" x2="61765" y2="88267"/>
                      <a14:backgroundMark x1="60372" y1="82933" x2="59443" y2="84000"/>
                      <a14:backgroundMark x1="54025" y1="85867" x2="53793" y2="85067"/>
                      <a14:backgroundMark x1="51703" y1="83200" x2="51393" y2="83200"/>
                      <a14:backgroundMark x1="52864" y1="83733" x2="51858" y2="83733"/>
                      <a14:backgroundMark x1="41409" y1="86133" x2="41331" y2="84267"/>
                      <a14:backgroundMark x1="12461" y1="90933" x2="12693" y2="88000"/>
                      <a14:backgroundMark x1="69350" y1="93600" x2="69814" y2="84533"/>
                      <a14:backgroundMark x1="71981" y1="85867" x2="71981" y2="81333"/>
                      <a14:backgroundMark x1="82430" y1="85600" x2="82043" y2="83733"/>
                      <a14:backgroundMark x1="79567" y1="90133" x2="79721" y2="85600"/>
                      <a14:backgroundMark x1="87539" y1="85600" x2="87926" y2="88000"/>
                      <a14:backgroundMark x1="86687" y1="85067" x2="87461" y2="84000"/>
                      <a14:backgroundMark x1="85062" y1="90400" x2="85062" y2="84800"/>
                      <a14:backgroundMark x1="95124" y1="90933" x2="94814" y2="86133"/>
                      <a14:backgroundMark x1="78096" y1="84533" x2="77245" y2="82133"/>
                      <a14:backgroundMark x1="49923" y1="87467" x2="49149" y2="83467"/>
                      <a14:backgroundMark x1="47368" y1="84000" x2="47368" y2="8266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200" y="114300"/>
          <a:ext cx="1991651" cy="57807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23</xdr:col>
      <xdr:colOff>579120</xdr:colOff>
      <xdr:row>40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41</xdr:row>
      <xdr:rowOff>11430</xdr:rowOff>
    </xdr:from>
    <xdr:to>
      <xdr:col>9</xdr:col>
      <xdr:colOff>548640</xdr:colOff>
      <xdr:row>89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0</xdr:colOff>
      <xdr:row>40</xdr:row>
      <xdr:rowOff>175260</xdr:rowOff>
    </xdr:from>
    <xdr:to>
      <xdr:col>24</xdr:col>
      <xdr:colOff>7620</xdr:colOff>
      <xdr:row>89</xdr:row>
      <xdr:rowOff>144780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89</xdr:row>
      <xdr:rowOff>148590</xdr:rowOff>
    </xdr:from>
    <xdr:to>
      <xdr:col>24</xdr:col>
      <xdr:colOff>22860</xdr:colOff>
      <xdr:row>115</xdr:row>
      <xdr:rowOff>104775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114</xdr:row>
      <xdr:rowOff>68580</xdr:rowOff>
    </xdr:from>
    <xdr:to>
      <xdr:col>24</xdr:col>
      <xdr:colOff>38100</xdr:colOff>
      <xdr:row>137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20</xdr:col>
      <xdr:colOff>548641</xdr:colOff>
      <xdr:row>0</xdr:row>
      <xdr:rowOff>106680</xdr:rowOff>
    </xdr:from>
    <xdr:to>
      <xdr:col>23</xdr:col>
      <xdr:colOff>579120</xdr:colOff>
      <xdr:row>0</xdr:row>
      <xdr:rowOff>685210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7" t="34636" r="20749" b="33167"/>
        <a:stretch/>
      </xdr:blipFill>
      <xdr:spPr bwMode="auto">
        <a:xfrm>
          <a:off x="12854941" y="106680"/>
          <a:ext cx="1859279" cy="5785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190500</xdr:colOff>
      <xdr:row>0</xdr:row>
      <xdr:rowOff>167639</xdr:rowOff>
    </xdr:from>
    <xdr:to>
      <xdr:col>20</xdr:col>
      <xdr:colOff>451835</xdr:colOff>
      <xdr:row>0</xdr:row>
      <xdr:rowOff>617219</xdr:rowOff>
    </xdr:to>
    <xdr:pic>
      <xdr:nvPicPr>
        <xdr:cNvPr id="9" name="Gráfico 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1887200" y="167639"/>
          <a:ext cx="870935" cy="44958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114300</xdr:rowOff>
    </xdr:from>
    <xdr:to>
      <xdr:col>3</xdr:col>
      <xdr:colOff>239051</xdr:colOff>
      <xdr:row>0</xdr:row>
      <xdr:rowOff>695686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400" b="92800" l="1393" r="97446">
                      <a14:foregroundMark x1="4257" y1="17067" x2="4644" y2="41333"/>
                      <a14:foregroundMark x1="24458" y1="11733" x2="23607" y2="51200"/>
                      <a14:foregroundMark x1="23607" y1="51200" x2="23684" y2="51467"/>
                      <a14:foregroundMark x1="42957" y1="6667" x2="40712" y2="17333"/>
                      <a14:foregroundMark x1="60681" y1="6667" x2="65170" y2="6400"/>
                      <a14:foregroundMark x1="77941" y1="10667" x2="76471" y2="16533"/>
                      <a14:foregroundMark x1="80805" y1="52000" x2="80882" y2="64267"/>
                      <a14:foregroundMark x1="80882" y1="39200" x2="80882" y2="50133"/>
                      <a14:foregroundMark x1="81192" y1="70667" x2="79954" y2="64267"/>
                      <a14:foregroundMark x1="77245" y1="57333" x2="74536" y2="54933"/>
                      <a14:foregroundMark x1="82972" y1="54667" x2="86997" y2="53600"/>
                      <a14:foregroundMark x1="79567" y1="72000" x2="79567" y2="72000"/>
                      <a14:foregroundMark x1="90557" y1="26667" x2="94814" y2="24800"/>
                      <a14:foregroundMark x1="94814" y1="24800" x2="96749" y2="38133"/>
                      <a14:foregroundMark x1="96749" y1="38133" x2="97523" y2="66667"/>
                      <a14:foregroundMark x1="53758" y1="83696" x2="54257" y2="83733"/>
                      <a14:foregroundMark x1="52844" y1="83627" x2="53622" y2="83685"/>
                      <a14:foregroundMark x1="49458" y1="83374" x2="51453" y2="83523"/>
                      <a14:foregroundMark x1="47420" y1="83221" x2="49136" y2="83349"/>
                      <a14:foregroundMark x1="45071" y1="83045" x2="47296" y2="83211"/>
                      <a14:foregroundMark x1="41185" y1="82754" x2="44857" y2="83029"/>
                      <a14:foregroundMark x1="37692" y1="82492" x2="41081" y2="82746"/>
                      <a14:foregroundMark x1="31484" y1="82027" x2="37657" y2="82490"/>
                      <a14:foregroundMark x1="30048" y1="81920" x2="30801" y2="81976"/>
                      <a14:foregroundMark x1="22381" y1="81345" x2="29968" y2="81914"/>
                      <a14:foregroundMark x1="19307" y1="81115" x2="22198" y2="81332"/>
                      <a14:foregroundMark x1="15475" y1="80828" x2="15897" y2="80860"/>
                      <a14:foregroundMark x1="4876" y1="80034" x2="5636" y2="80091"/>
                      <a14:foregroundMark x1="2846" y1="79882" x2="4361" y2="79995"/>
                      <a14:foregroundMark x1="851" y1="79733" x2="2210" y2="79835"/>
                      <a14:foregroundMark x1="72019" y1="81735" x2="73220" y2="81600"/>
                      <a14:foregroundMark x1="70197" y1="81940" x2="71604" y2="81782"/>
                      <a14:foregroundMark x1="63648" y1="82677" x2="70067" y2="81955"/>
                      <a14:foregroundMark x1="61273" y1="82944" x2="63458" y2="82698"/>
                      <a14:foregroundMark x1="60397" y1="83043" x2="61266" y2="82945"/>
                      <a14:foregroundMark x1="54257" y1="83733" x2="59250" y2="83172"/>
                      <a14:foregroundMark x1="94588" y1="83854" x2="95975" y2="84000"/>
                      <a14:foregroundMark x1="89044" y1="83269" x2="94480" y2="83842"/>
                      <a14:foregroundMark x1="87593" y1="83116" x2="88882" y2="83252"/>
                      <a14:foregroundMark x1="84880" y1="82830" x2="86987" y2="83052"/>
                      <a14:foregroundMark x1="82078" y1="82534" x2="84563" y2="82796"/>
                      <a14:foregroundMark x1="80166" y1="82333" x2="81903" y2="82516"/>
                      <a14:foregroundMark x1="77780" y1="82081" x2="80036" y2="82319"/>
                      <a14:foregroundMark x1="73220" y1="81600" x2="77230" y2="82023"/>
                      <a14:foregroundMark x1="95975" y1="84000" x2="95392" y2="93678"/>
                      <a14:foregroundMark x1="2710" y1="92809" x2="2554" y2="92800"/>
                      <a14:foregroundMark x1="4581" y1="92917" x2="2819" y2="92815"/>
                      <a14:foregroundMark x1="6564" y1="93031" x2="4808" y2="92930"/>
                      <a14:foregroundMark x1="8438" y1="93139" x2="6702" y2="93039"/>
                      <a14:foregroundMark x1="16823" y1="93622" x2="8616" y2="93149"/>
                      <a14:foregroundMark x1="24093" y1="94041" x2="20229" y2="93818"/>
                      <a14:foregroundMark x1="28980" y1="94323" x2="26036" y2="94153"/>
                      <a14:foregroundMark x1="31534" y1="94470" x2="28989" y2="94323"/>
                      <a14:foregroundMark x1="33547" y1="94585" x2="31876" y2="94489"/>
                      <a14:foregroundMark x1="35706" y1="94710" x2="33915" y2="94607"/>
                      <a14:foregroundMark x1="2554" y1="92800" x2="1876" y2="85637"/>
                      <a14:backgroundMark x1="3251" y1="74400" x2="1858" y2="72800"/>
                      <a14:backgroundMark x1="18808" y1="74667" x2="19350" y2="66133"/>
                      <a14:backgroundMark x1="14783" y1="77067" x2="5031" y2="76800"/>
                      <a14:backgroundMark x1="35217" y1="82933" x2="35217" y2="90933"/>
                      <a14:backgroundMark x1="38467" y1="94133" x2="38777" y2="95200"/>
                      <a14:backgroundMark x1="1006" y1="98400" x2="21130" y2="99733"/>
                      <a14:backgroundMark x1="21130" y1="99733" x2="98297" y2="98400"/>
                      <a14:backgroundMark x1="98297" y1="98400" x2="98297" y2="98133"/>
                      <a14:backgroundMark x1="58824" y1="86667" x2="59365" y2="90667"/>
                      <a14:backgroundMark x1="56192" y1="88533" x2="56192" y2="91467"/>
                      <a14:backgroundMark x1="24845" y1="89867" x2="26858" y2="89600"/>
                      <a14:backgroundMark x1="20201" y1="88533" x2="20124" y2="90133"/>
                      <a14:backgroundMark x1="18034" y1="84267" x2="18034" y2="87733"/>
                      <a14:backgroundMark x1="16563" y1="89333" x2="16563" y2="88533"/>
                      <a14:backgroundMark x1="15170" y1="85333" x2="15325" y2="81333"/>
                      <a14:backgroundMark x1="17492" y1="79467" x2="18653" y2="95467"/>
                      <a14:backgroundMark x1="2709" y1="85867" x2="2709" y2="78400"/>
                      <a14:backgroundMark x1="4876" y1="86400" x2="4799" y2="79200"/>
                      <a14:backgroundMark x1="8901" y1="90133" x2="8978" y2="86133"/>
                      <a14:backgroundMark x1="6734" y1="93333" x2="6192" y2="89600"/>
                      <a14:backgroundMark x1="2554" y1="92000" x2="2477" y2="88533"/>
                      <a14:backgroundMark x1="4721" y1="94400" x2="4644" y2="91200"/>
                      <a14:backgroundMark x1="2941" y1="93867" x2="2709" y2="92800"/>
                      <a14:backgroundMark x1="22601" y1="85333" x2="22059" y2="78133"/>
                      <a14:backgroundMark x1="31502" y1="94133" x2="31037" y2="77333"/>
                      <a14:backgroundMark x1="29489" y1="89067" x2="29567" y2="86133"/>
                      <a14:backgroundMark x1="45356" y1="90400" x2="45356" y2="86133"/>
                      <a14:backgroundMark x1="38080" y1="86667" x2="37926" y2="84800"/>
                      <a14:backgroundMark x1="33746" y1="93333" x2="33204" y2="92000"/>
                      <a14:backgroundMark x1="64087" y1="90133" x2="63777" y2="84000"/>
                      <a14:backgroundMark x1="61765" y1="89600" x2="61765" y2="88267"/>
                      <a14:backgroundMark x1="60372" y1="82933" x2="59443" y2="84000"/>
                      <a14:backgroundMark x1="54025" y1="85867" x2="53793" y2="85067"/>
                      <a14:backgroundMark x1="51703" y1="83200" x2="51393" y2="83200"/>
                      <a14:backgroundMark x1="52864" y1="83733" x2="51858" y2="83733"/>
                      <a14:backgroundMark x1="41409" y1="86133" x2="41331" y2="84267"/>
                      <a14:backgroundMark x1="12461" y1="90933" x2="12693" y2="88000"/>
                      <a14:backgroundMark x1="69350" y1="93600" x2="69814" y2="84533"/>
                      <a14:backgroundMark x1="71981" y1="85867" x2="71981" y2="81333"/>
                      <a14:backgroundMark x1="82430" y1="85600" x2="82043" y2="83733"/>
                      <a14:backgroundMark x1="79567" y1="90133" x2="79721" y2="85600"/>
                      <a14:backgroundMark x1="87539" y1="85600" x2="87926" y2="88000"/>
                      <a14:backgroundMark x1="86687" y1="85067" x2="87461" y2="84000"/>
                      <a14:backgroundMark x1="85062" y1="90400" x2="85062" y2="84800"/>
                      <a14:backgroundMark x1="95124" y1="90933" x2="94814" y2="86133"/>
                      <a14:backgroundMark x1="78096" y1="84533" x2="77245" y2="82133"/>
                      <a14:backgroundMark x1="49923" y1="87467" x2="49149" y2="83467"/>
                      <a14:backgroundMark x1="47368" y1="84000" x2="47368" y2="8266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200" y="114300"/>
          <a:ext cx="1991651" cy="581386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</xdr:row>
      <xdr:rowOff>0</xdr:rowOff>
    </xdr:from>
    <xdr:ext cx="1783080" cy="863741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0" y="784860"/>
          <a:ext cx="1783080" cy="863741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 kern="1200">
              <a:latin typeface="Times New Roman" panose="02020603050405020304" pitchFamily="18" charset="0"/>
              <a:cs typeface="Times New Roman" panose="02020603050405020304" pitchFamily="18" charset="0"/>
            </a:rPr>
            <a:t>TOTAL DE TREINAMENTOS</a:t>
          </a:r>
        </a:p>
        <a:p>
          <a:pPr algn="ctr"/>
          <a:r>
            <a:rPr lang="pt-BR" sz="2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40</a:t>
          </a:r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783080" cy="863741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1828800" y="784860"/>
          <a:ext cx="1783080" cy="863741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 kern="1200">
              <a:latin typeface="Times New Roman" panose="02020603050405020304" pitchFamily="18" charset="0"/>
              <a:cs typeface="Times New Roman" panose="02020603050405020304" pitchFamily="18" charset="0"/>
            </a:rPr>
            <a:t>TOTAL DE HORAS DE TREINAMENTO</a:t>
          </a:r>
        </a:p>
        <a:p>
          <a:pPr algn="ctr"/>
          <a:r>
            <a:rPr lang="pt-BR" sz="2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274:00</a:t>
          </a:r>
        </a:p>
      </xdr:txBody>
    </xdr:sp>
    <xdr:clientData/>
  </xdr:oneCellAnchor>
  <xdr:oneCellAnchor>
    <xdr:from>
      <xdr:col>6</xdr:col>
      <xdr:colOff>0</xdr:colOff>
      <xdr:row>1</xdr:row>
      <xdr:rowOff>0</xdr:rowOff>
    </xdr:from>
    <xdr:ext cx="1783080" cy="863741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3657600" y="784860"/>
          <a:ext cx="1783080" cy="863741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 kern="1200">
              <a:latin typeface="Times New Roman" panose="02020603050405020304" pitchFamily="18" charset="0"/>
              <a:cs typeface="Times New Roman" panose="02020603050405020304" pitchFamily="18" charset="0"/>
            </a:rPr>
            <a:t>MÉDIA DE HORA POR PARTICIPANTE</a:t>
          </a:r>
        </a:p>
        <a:p>
          <a:pPr algn="ctr"/>
          <a:r>
            <a:rPr lang="pt-BR" sz="2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6:51</a:t>
          </a:r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1783080" cy="863741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5486400" y="784860"/>
          <a:ext cx="1783080" cy="863741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 kern="1200">
              <a:latin typeface="Times New Roman" panose="02020603050405020304" pitchFamily="18" charset="0"/>
              <a:cs typeface="Times New Roman" panose="02020603050405020304" pitchFamily="18" charset="0"/>
            </a:rPr>
            <a:t>MÉDIA DE PARTICIPANTE POR</a:t>
          </a:r>
          <a:r>
            <a:rPr lang="pt-BR" sz="10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000" kern="1200">
              <a:latin typeface="Times New Roman" panose="02020603050405020304" pitchFamily="18" charset="0"/>
              <a:cs typeface="Times New Roman" panose="02020603050405020304" pitchFamily="18" charset="0"/>
            </a:rPr>
            <a:t>TREINAMENTO</a:t>
          </a:r>
        </a:p>
        <a:p>
          <a:pPr algn="ctr"/>
          <a:r>
            <a:rPr lang="pt-BR" sz="2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08</a:t>
          </a:r>
        </a:p>
      </xdr:txBody>
    </xdr:sp>
    <xdr:clientData/>
  </xdr:oneCellAnchor>
  <xdr:oneCellAnchor>
    <xdr:from>
      <xdr:col>16</xdr:col>
      <xdr:colOff>0</xdr:colOff>
      <xdr:row>1</xdr:row>
      <xdr:rowOff>0</xdr:rowOff>
    </xdr:from>
    <xdr:ext cx="1783080" cy="863741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9753600" y="784860"/>
          <a:ext cx="1783080" cy="863741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 kern="1200">
              <a:latin typeface="Times New Roman" panose="02020603050405020304" pitchFamily="18" charset="0"/>
              <a:cs typeface="Times New Roman" panose="02020603050405020304" pitchFamily="18" charset="0"/>
            </a:rPr>
            <a:t>TOTAL DE MÉDICOS ESCALADOS</a:t>
          </a:r>
        </a:p>
        <a:p>
          <a:pPr algn="ctr"/>
          <a:r>
            <a:rPr lang="pt-BR" sz="2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74</a:t>
          </a:r>
        </a:p>
      </xdr:txBody>
    </xdr:sp>
    <xdr:clientData/>
  </xdr:oneCellAnchor>
  <xdr:oneCellAnchor>
    <xdr:from>
      <xdr:col>19</xdr:col>
      <xdr:colOff>0</xdr:colOff>
      <xdr:row>1</xdr:row>
      <xdr:rowOff>0</xdr:rowOff>
    </xdr:from>
    <xdr:ext cx="1783080" cy="863741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>
          <a:off x="11582400" y="784860"/>
          <a:ext cx="1783080" cy="863741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 kern="1200">
              <a:latin typeface="Times New Roman" panose="02020603050405020304" pitchFamily="18" charset="0"/>
              <a:cs typeface="Times New Roman" panose="02020603050405020304" pitchFamily="18" charset="0"/>
            </a:rPr>
            <a:t>TOTAL DE MÉDICOS CAPACITADOS</a:t>
          </a:r>
        </a:p>
        <a:p>
          <a:pPr algn="ctr"/>
          <a:r>
            <a:rPr lang="pt-BR" sz="2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62</a:t>
          </a:r>
        </a:p>
      </xdr:txBody>
    </xdr:sp>
    <xdr:clientData/>
  </xdr:oneCellAnchor>
  <xdr:oneCellAnchor>
    <xdr:from>
      <xdr:col>22</xdr:col>
      <xdr:colOff>0</xdr:colOff>
      <xdr:row>1</xdr:row>
      <xdr:rowOff>0</xdr:rowOff>
    </xdr:from>
    <xdr:ext cx="1783080" cy="863741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13411200" y="784860"/>
          <a:ext cx="1783080" cy="863741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 kern="1200">
              <a:latin typeface="Times New Roman" panose="02020603050405020304" pitchFamily="18" charset="0"/>
              <a:cs typeface="Times New Roman" panose="02020603050405020304" pitchFamily="18" charset="0"/>
            </a:rPr>
            <a:t>PERCENTUAL</a:t>
          </a:r>
          <a:r>
            <a:rPr lang="pt-BR" sz="10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DE CAPACITAÇÃO MÉDICA</a:t>
          </a:r>
          <a:endParaRPr lang="pt-BR" sz="1000" kern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2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84%</a:t>
          </a:r>
        </a:p>
      </xdr:txBody>
    </xdr:sp>
    <xdr:clientData/>
  </xdr:oneCellAnchor>
  <xdr:oneCellAnchor>
    <xdr:from>
      <xdr:col>13</xdr:col>
      <xdr:colOff>0</xdr:colOff>
      <xdr:row>1</xdr:row>
      <xdr:rowOff>0</xdr:rowOff>
    </xdr:from>
    <xdr:ext cx="1783080" cy="863741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7924800" y="784860"/>
          <a:ext cx="1783080" cy="863741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 kern="1200">
              <a:latin typeface="Times New Roman" panose="02020603050405020304" pitchFamily="18" charset="0"/>
              <a:cs typeface="Times New Roman" panose="02020603050405020304" pitchFamily="18" charset="0"/>
            </a:rPr>
            <a:t>TEMAS</a:t>
          </a:r>
          <a:endParaRPr lang="pt-BR" sz="1000" kern="12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0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ABORDADOS</a:t>
          </a:r>
          <a:endParaRPr lang="pt-BR" sz="1000" kern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2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01</a:t>
          </a:r>
        </a:p>
      </xdr:txBody>
    </xdr:sp>
    <xdr:clientData/>
  </xdr:oneCellAnchor>
  <xdr:twoCellAnchor>
    <xdr:from>
      <xdr:col>13</xdr:col>
      <xdr:colOff>22860</xdr:colOff>
      <xdr:row>6</xdr:row>
      <xdr:rowOff>7620</xdr:rowOff>
    </xdr:from>
    <xdr:to>
      <xdr:col>24</xdr:col>
      <xdr:colOff>541020</xdr:colOff>
      <xdr:row>7</xdr:row>
      <xdr:rowOff>105539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GrpSpPr/>
      </xdr:nvGrpSpPr>
      <xdr:grpSpPr>
        <a:xfrm>
          <a:off x="7423785" y="1741170"/>
          <a:ext cx="7223760" cy="288419"/>
          <a:chOff x="0" y="985020"/>
          <a:chExt cx="5486400" cy="280799"/>
        </a:xfrm>
      </xdr:grpSpPr>
      <xdr:sp macro="" textlink="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00000000-0008-0000-0900-000022000000}"/>
              </a:ext>
            </a:extLst>
          </xdr:cNvPr>
          <xdr:cNvSpPr/>
        </xdr:nvSpPr>
        <xdr:spPr>
          <a:xfrm>
            <a:off x="0" y="985020"/>
            <a:ext cx="5486400" cy="280799"/>
          </a:xfrm>
          <a:prstGeom prst="round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</xdr:sp>
      <xdr:sp macro="" textlink="">
        <xdr:nvSpPr>
          <xdr:cNvPr id="35" name="Retângulo: Cantos Arredondados 4">
            <a:extLst>
              <a:ext uri="{FF2B5EF4-FFF2-40B4-BE49-F238E27FC236}">
                <a16:creationId xmlns:a16="http://schemas.microsoft.com/office/drawing/2014/main" id="{00000000-0008-0000-0900-000023000000}"/>
              </a:ext>
            </a:extLst>
          </xdr:cNvPr>
          <xdr:cNvSpPr txBox="1"/>
        </xdr:nvSpPr>
        <xdr:spPr>
          <a:xfrm>
            <a:off x="13707" y="998727"/>
            <a:ext cx="5458986" cy="253385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spcFirstLastPara="0" vert="horz" wrap="square" lIns="45720" tIns="45720" rIns="45720" bIns="45720" numCol="1" spcCol="1270" anchor="ctr" anchorCtr="0">
            <a:noAutofit/>
          </a:bodyPr>
          <a:lstStyle/>
          <a:p>
            <a:pPr marL="0" lvl="0" indent="0" algn="l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pt-BR" sz="1400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LANÇAMENTO DE PROCEDIMENTO NO SISTEMA IDS</a:t>
            </a:r>
          </a:p>
        </xdr:txBody>
      </xdr:sp>
    </xdr:grpSp>
    <xdr:clientData/>
  </xdr:twoCellAnchor>
  <xdr:twoCellAnchor>
    <xdr:from>
      <xdr:col>13</xdr:col>
      <xdr:colOff>22860</xdr:colOff>
      <xdr:row>8</xdr:row>
      <xdr:rowOff>7620</xdr:rowOff>
    </xdr:from>
    <xdr:to>
      <xdr:col>24</xdr:col>
      <xdr:colOff>541020</xdr:colOff>
      <xdr:row>9</xdr:row>
      <xdr:rowOff>105539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GrpSpPr/>
      </xdr:nvGrpSpPr>
      <xdr:grpSpPr>
        <a:xfrm>
          <a:off x="7423785" y="2122170"/>
          <a:ext cx="7223760" cy="288419"/>
          <a:chOff x="0" y="985020"/>
          <a:chExt cx="5486400" cy="280799"/>
        </a:xfrm>
      </xdr:grpSpPr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00000000-0008-0000-0900-000025000000}"/>
              </a:ext>
            </a:extLst>
          </xdr:cNvPr>
          <xdr:cNvSpPr/>
        </xdr:nvSpPr>
        <xdr:spPr>
          <a:xfrm>
            <a:off x="0" y="985020"/>
            <a:ext cx="5486400" cy="280799"/>
          </a:xfrm>
          <a:prstGeom prst="round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</xdr:sp>
      <xdr:sp macro="" textlink="">
        <xdr:nvSpPr>
          <xdr:cNvPr id="38" name="Retângulo: Cantos Arredondados 4">
            <a:extLst>
              <a:ext uri="{FF2B5EF4-FFF2-40B4-BE49-F238E27FC236}">
                <a16:creationId xmlns:a16="http://schemas.microsoft.com/office/drawing/2014/main" id="{00000000-0008-0000-0900-000026000000}"/>
              </a:ext>
            </a:extLst>
          </xdr:cNvPr>
          <xdr:cNvSpPr txBox="1"/>
        </xdr:nvSpPr>
        <xdr:spPr>
          <a:xfrm>
            <a:off x="13707" y="998727"/>
            <a:ext cx="5458986" cy="253385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spcFirstLastPara="0" vert="horz" wrap="square" lIns="45720" tIns="45720" rIns="45720" bIns="45720" numCol="1" spcCol="1270" anchor="ctr" anchorCtr="0">
            <a:noAutofit/>
          </a:bodyPr>
          <a:lstStyle/>
          <a:p>
            <a:pPr marL="0" lvl="0" indent="0" algn="l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pt-BR" sz="1400" kern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13</xdr:col>
      <xdr:colOff>22860</xdr:colOff>
      <xdr:row>10</xdr:row>
      <xdr:rowOff>7620</xdr:rowOff>
    </xdr:from>
    <xdr:to>
      <xdr:col>24</xdr:col>
      <xdr:colOff>541020</xdr:colOff>
      <xdr:row>11</xdr:row>
      <xdr:rowOff>105539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GrpSpPr/>
      </xdr:nvGrpSpPr>
      <xdr:grpSpPr>
        <a:xfrm>
          <a:off x="7423785" y="2503170"/>
          <a:ext cx="7223760" cy="288419"/>
          <a:chOff x="0" y="985020"/>
          <a:chExt cx="5486400" cy="280799"/>
        </a:xfrm>
      </xdr:grpSpPr>
      <xdr:sp macro="" textlink="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00000000-0008-0000-0900-000028000000}"/>
              </a:ext>
            </a:extLst>
          </xdr:cNvPr>
          <xdr:cNvSpPr/>
        </xdr:nvSpPr>
        <xdr:spPr>
          <a:xfrm>
            <a:off x="0" y="985020"/>
            <a:ext cx="5486400" cy="280799"/>
          </a:xfrm>
          <a:prstGeom prst="round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</xdr:sp>
      <xdr:sp macro="" textlink="">
        <xdr:nvSpPr>
          <xdr:cNvPr id="41" name="Retângulo: Cantos Arredondados 4">
            <a:extLst>
              <a:ext uri="{FF2B5EF4-FFF2-40B4-BE49-F238E27FC236}">
                <a16:creationId xmlns:a16="http://schemas.microsoft.com/office/drawing/2014/main" id="{00000000-0008-0000-0900-000029000000}"/>
              </a:ext>
            </a:extLst>
          </xdr:cNvPr>
          <xdr:cNvSpPr txBox="1"/>
        </xdr:nvSpPr>
        <xdr:spPr>
          <a:xfrm>
            <a:off x="13707" y="998727"/>
            <a:ext cx="5458986" cy="253385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spcFirstLastPara="0" vert="horz" wrap="square" lIns="45720" tIns="45720" rIns="45720" bIns="45720" numCol="1" spcCol="1270" anchor="ctr" anchorCtr="0">
            <a:noAutofit/>
          </a:bodyPr>
          <a:lstStyle/>
          <a:p>
            <a:pPr marL="0" lvl="0" indent="0" algn="l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pt-BR" sz="1400" kern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13</xdr:col>
      <xdr:colOff>22860</xdr:colOff>
      <xdr:row>12</xdr:row>
      <xdr:rowOff>7620</xdr:rowOff>
    </xdr:from>
    <xdr:to>
      <xdr:col>24</xdr:col>
      <xdr:colOff>541020</xdr:colOff>
      <xdr:row>13</xdr:row>
      <xdr:rowOff>105539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GrpSpPr/>
      </xdr:nvGrpSpPr>
      <xdr:grpSpPr>
        <a:xfrm>
          <a:off x="7423785" y="2884170"/>
          <a:ext cx="7223760" cy="288419"/>
          <a:chOff x="0" y="985020"/>
          <a:chExt cx="5486400" cy="280799"/>
        </a:xfrm>
      </xdr:grpSpPr>
      <xdr:sp macro="" textlink="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00000000-0008-0000-0900-00002B000000}"/>
              </a:ext>
            </a:extLst>
          </xdr:cNvPr>
          <xdr:cNvSpPr/>
        </xdr:nvSpPr>
        <xdr:spPr>
          <a:xfrm>
            <a:off x="0" y="985020"/>
            <a:ext cx="5486400" cy="280799"/>
          </a:xfrm>
          <a:prstGeom prst="round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</xdr:sp>
      <xdr:sp macro="" textlink="">
        <xdr:nvSpPr>
          <xdr:cNvPr id="44" name="Retângulo: Cantos Arredondados 4">
            <a:extLst>
              <a:ext uri="{FF2B5EF4-FFF2-40B4-BE49-F238E27FC236}">
                <a16:creationId xmlns:a16="http://schemas.microsoft.com/office/drawing/2014/main" id="{00000000-0008-0000-0900-00002C000000}"/>
              </a:ext>
            </a:extLst>
          </xdr:cNvPr>
          <xdr:cNvSpPr txBox="1"/>
        </xdr:nvSpPr>
        <xdr:spPr>
          <a:xfrm>
            <a:off x="13707" y="998727"/>
            <a:ext cx="5458986" cy="253385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spcFirstLastPara="0" vert="horz" wrap="square" lIns="45720" tIns="45720" rIns="45720" bIns="45720" numCol="1" spcCol="1270" anchor="ctr" anchorCtr="0">
            <a:noAutofit/>
          </a:bodyPr>
          <a:lstStyle/>
          <a:p>
            <a:pPr marL="0" lvl="0" indent="0" algn="l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pt-BR" sz="1400" kern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13</xdr:col>
      <xdr:colOff>22860</xdr:colOff>
      <xdr:row>14</xdr:row>
      <xdr:rowOff>7620</xdr:rowOff>
    </xdr:from>
    <xdr:to>
      <xdr:col>24</xdr:col>
      <xdr:colOff>541020</xdr:colOff>
      <xdr:row>15</xdr:row>
      <xdr:rowOff>105539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GrpSpPr/>
      </xdr:nvGrpSpPr>
      <xdr:grpSpPr>
        <a:xfrm>
          <a:off x="7423785" y="3265170"/>
          <a:ext cx="7223760" cy="288419"/>
          <a:chOff x="0" y="985020"/>
          <a:chExt cx="5486400" cy="280799"/>
        </a:xfrm>
      </xdr:grpSpPr>
      <xdr:sp macro="" textlink="">
        <xdr:nvSpPr>
          <xdr:cNvPr id="46" name="Retângulo: Cantos Arredondados 45">
            <a:extLst>
              <a:ext uri="{FF2B5EF4-FFF2-40B4-BE49-F238E27FC236}">
                <a16:creationId xmlns:a16="http://schemas.microsoft.com/office/drawing/2014/main" id="{00000000-0008-0000-0900-00002E000000}"/>
              </a:ext>
            </a:extLst>
          </xdr:cNvPr>
          <xdr:cNvSpPr/>
        </xdr:nvSpPr>
        <xdr:spPr>
          <a:xfrm>
            <a:off x="0" y="985020"/>
            <a:ext cx="5486400" cy="280799"/>
          </a:xfrm>
          <a:prstGeom prst="round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</xdr:sp>
      <xdr:sp macro="" textlink="">
        <xdr:nvSpPr>
          <xdr:cNvPr id="47" name="Retângulo: Cantos Arredondados 4">
            <a:extLst>
              <a:ext uri="{FF2B5EF4-FFF2-40B4-BE49-F238E27FC236}">
                <a16:creationId xmlns:a16="http://schemas.microsoft.com/office/drawing/2014/main" id="{00000000-0008-0000-0900-00002F000000}"/>
              </a:ext>
            </a:extLst>
          </xdr:cNvPr>
          <xdr:cNvSpPr txBox="1"/>
        </xdr:nvSpPr>
        <xdr:spPr>
          <a:xfrm>
            <a:off x="13707" y="998727"/>
            <a:ext cx="5458986" cy="253385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spcFirstLastPara="0" vert="horz" wrap="square" lIns="45720" tIns="45720" rIns="45720" bIns="45720" numCol="1" spcCol="1270" anchor="ctr" anchorCtr="0">
            <a:noAutofit/>
          </a:bodyPr>
          <a:lstStyle/>
          <a:p>
            <a:pPr marL="0" lvl="0" indent="0" algn="l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pt-BR" sz="1400" kern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13</xdr:col>
      <xdr:colOff>22860</xdr:colOff>
      <xdr:row>16</xdr:row>
      <xdr:rowOff>7620</xdr:rowOff>
    </xdr:from>
    <xdr:to>
      <xdr:col>24</xdr:col>
      <xdr:colOff>541020</xdr:colOff>
      <xdr:row>17</xdr:row>
      <xdr:rowOff>105539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GrpSpPr/>
      </xdr:nvGrpSpPr>
      <xdr:grpSpPr>
        <a:xfrm>
          <a:off x="7423785" y="3646170"/>
          <a:ext cx="7223760" cy="288419"/>
          <a:chOff x="0" y="985020"/>
          <a:chExt cx="5486400" cy="280799"/>
        </a:xfrm>
      </xdr:grpSpPr>
      <xdr:sp macro="" textlink="">
        <xdr:nvSpPr>
          <xdr:cNvPr id="52" name="Retângulo: Cantos Arredondados 51">
            <a:extLst>
              <a:ext uri="{FF2B5EF4-FFF2-40B4-BE49-F238E27FC236}">
                <a16:creationId xmlns:a16="http://schemas.microsoft.com/office/drawing/2014/main" id="{00000000-0008-0000-0900-000034000000}"/>
              </a:ext>
            </a:extLst>
          </xdr:cNvPr>
          <xdr:cNvSpPr/>
        </xdr:nvSpPr>
        <xdr:spPr>
          <a:xfrm>
            <a:off x="0" y="985020"/>
            <a:ext cx="5486400" cy="280799"/>
          </a:xfrm>
          <a:prstGeom prst="round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</xdr:sp>
      <xdr:sp macro="" textlink="">
        <xdr:nvSpPr>
          <xdr:cNvPr id="53" name="Retângulo: Cantos Arredondados 4">
            <a:extLst>
              <a:ext uri="{FF2B5EF4-FFF2-40B4-BE49-F238E27FC236}">
                <a16:creationId xmlns:a16="http://schemas.microsoft.com/office/drawing/2014/main" id="{00000000-0008-0000-0900-000035000000}"/>
              </a:ext>
            </a:extLst>
          </xdr:cNvPr>
          <xdr:cNvSpPr txBox="1"/>
        </xdr:nvSpPr>
        <xdr:spPr>
          <a:xfrm>
            <a:off x="13707" y="998727"/>
            <a:ext cx="5458986" cy="253385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spcFirstLastPara="0" vert="horz" wrap="square" lIns="45720" tIns="45720" rIns="45720" bIns="45720" numCol="1" spcCol="1270" anchor="ctr" anchorCtr="0">
            <a:noAutofit/>
          </a:bodyPr>
          <a:lstStyle/>
          <a:p>
            <a:pPr marL="0" lvl="0" indent="0" algn="l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pt-BR" sz="1400" kern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0</xdr:colOff>
      <xdr:row>57</xdr:row>
      <xdr:rowOff>0</xdr:rowOff>
    </xdr:from>
    <xdr:to>
      <xdr:col>8</xdr:col>
      <xdr:colOff>525780</xdr:colOff>
      <xdr:row>70</xdr:row>
      <xdr:rowOff>83820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57</xdr:row>
      <xdr:rowOff>0</xdr:rowOff>
    </xdr:from>
    <xdr:to>
      <xdr:col>17</xdr:col>
      <xdr:colOff>213360</xdr:colOff>
      <xdr:row>70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8</xdr:col>
      <xdr:colOff>533400</xdr:colOff>
      <xdr:row>86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71</xdr:row>
      <xdr:rowOff>0</xdr:rowOff>
    </xdr:from>
    <xdr:to>
      <xdr:col>17</xdr:col>
      <xdr:colOff>213360</xdr:colOff>
      <xdr:row>86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86</xdr:row>
      <xdr:rowOff>76200</xdr:rowOff>
    </xdr:from>
    <xdr:to>
      <xdr:col>8</xdr:col>
      <xdr:colOff>525780</xdr:colOff>
      <xdr:row>102</xdr:row>
      <xdr:rowOff>152400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601980</xdr:colOff>
      <xdr:row>86</xdr:row>
      <xdr:rowOff>68580</xdr:rowOff>
    </xdr:from>
    <xdr:to>
      <xdr:col>23</xdr:col>
      <xdr:colOff>129540</xdr:colOff>
      <xdr:row>104</xdr:row>
      <xdr:rowOff>129540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21</xdr:col>
      <xdr:colOff>419101</xdr:colOff>
      <xdr:row>0</xdr:row>
      <xdr:rowOff>114300</xdr:rowOff>
    </xdr:from>
    <xdr:to>
      <xdr:col>24</xdr:col>
      <xdr:colOff>449580</xdr:colOff>
      <xdr:row>0</xdr:row>
      <xdr:rowOff>692830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7" t="34636" r="20749" b="33167"/>
        <a:stretch/>
      </xdr:blipFill>
      <xdr:spPr bwMode="auto">
        <a:xfrm>
          <a:off x="12702541" y="114300"/>
          <a:ext cx="1859279" cy="5785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60960</xdr:colOff>
      <xdr:row>0</xdr:row>
      <xdr:rowOff>175259</xdr:rowOff>
    </xdr:from>
    <xdr:to>
      <xdr:col>21</xdr:col>
      <xdr:colOff>322295</xdr:colOff>
      <xdr:row>0</xdr:row>
      <xdr:rowOff>624839</xdr:rowOff>
    </xdr:to>
    <xdr:pic>
      <xdr:nvPicPr>
        <xdr:cNvPr id="19" name="Gráfico 5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734800" y="175259"/>
          <a:ext cx="870935" cy="4495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</xdr:row>
      <xdr:rowOff>0</xdr:rowOff>
    </xdr:from>
    <xdr:to>
      <xdr:col>13</xdr:col>
      <xdr:colOff>9526</xdr:colOff>
      <xdr:row>44</xdr:row>
      <xdr:rowOff>114299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685925"/>
          <a:ext cx="8343900" cy="6991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3810</xdr:colOff>
      <xdr:row>18</xdr:row>
      <xdr:rowOff>7620</xdr:rowOff>
    </xdr:from>
    <xdr:to>
      <xdr:col>24</xdr:col>
      <xdr:colOff>521970</xdr:colOff>
      <xdr:row>19</xdr:row>
      <xdr:rowOff>105539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GrpSpPr/>
      </xdr:nvGrpSpPr>
      <xdr:grpSpPr>
        <a:xfrm>
          <a:off x="7404735" y="4027170"/>
          <a:ext cx="7223760" cy="288419"/>
          <a:chOff x="0" y="985020"/>
          <a:chExt cx="5486400" cy="280799"/>
        </a:xfrm>
      </xdr:grpSpPr>
      <xdr:sp macro="" textlink="">
        <xdr:nvSpPr>
          <xdr:cNvPr id="49" name="Retângulo: Cantos Arredondados 33">
            <a:extLst>
              <a:ext uri="{FF2B5EF4-FFF2-40B4-BE49-F238E27FC236}">
                <a16:creationId xmlns:a16="http://schemas.microsoft.com/office/drawing/2014/main" id="{00000000-0008-0000-0900-000031000000}"/>
              </a:ext>
            </a:extLst>
          </xdr:cNvPr>
          <xdr:cNvSpPr/>
        </xdr:nvSpPr>
        <xdr:spPr>
          <a:xfrm>
            <a:off x="0" y="985020"/>
            <a:ext cx="5486400" cy="280799"/>
          </a:xfrm>
          <a:prstGeom prst="round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</xdr:sp>
      <xdr:sp macro="" textlink="">
        <xdr:nvSpPr>
          <xdr:cNvPr id="50" name="Retângulo: Cantos Arredondados 4">
            <a:extLst>
              <a:ext uri="{FF2B5EF4-FFF2-40B4-BE49-F238E27FC236}">
                <a16:creationId xmlns:a16="http://schemas.microsoft.com/office/drawing/2014/main" id="{00000000-0008-0000-0900-000032000000}"/>
              </a:ext>
            </a:extLst>
          </xdr:cNvPr>
          <xdr:cNvSpPr txBox="1"/>
        </xdr:nvSpPr>
        <xdr:spPr>
          <a:xfrm>
            <a:off x="13707" y="998727"/>
            <a:ext cx="5458986" cy="253385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spcFirstLastPara="0" vert="horz" wrap="square" lIns="45720" tIns="45720" rIns="45720" bIns="45720" numCol="1" spcCol="1270" anchor="ctr" anchorCtr="0">
            <a:noAutofit/>
          </a:bodyPr>
          <a:lstStyle/>
          <a:p>
            <a:pPr marL="0" lvl="0" indent="0" algn="l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pt-BR" sz="1400" kern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76200</xdr:rowOff>
    </xdr:from>
    <xdr:to>
      <xdr:col>3</xdr:col>
      <xdr:colOff>250481</xdr:colOff>
      <xdr:row>0</xdr:row>
      <xdr:rowOff>655681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400" b="92800" l="1393" r="97446">
                      <a14:foregroundMark x1="4257" y1="17067" x2="4644" y2="41333"/>
                      <a14:foregroundMark x1="24458" y1="11733" x2="23607" y2="51200"/>
                      <a14:foregroundMark x1="23607" y1="51200" x2="23684" y2="51467"/>
                      <a14:foregroundMark x1="42957" y1="6667" x2="40712" y2="17333"/>
                      <a14:foregroundMark x1="60681" y1="6667" x2="65170" y2="6400"/>
                      <a14:foregroundMark x1="77941" y1="10667" x2="76471" y2="16533"/>
                      <a14:foregroundMark x1="80805" y1="52000" x2="80882" y2="64267"/>
                      <a14:foregroundMark x1="80882" y1="39200" x2="80882" y2="50133"/>
                      <a14:foregroundMark x1="81192" y1="70667" x2="79954" y2="64267"/>
                      <a14:foregroundMark x1="77245" y1="57333" x2="74536" y2="54933"/>
                      <a14:foregroundMark x1="82972" y1="54667" x2="86997" y2="53600"/>
                      <a14:foregroundMark x1="79567" y1="72000" x2="79567" y2="72000"/>
                      <a14:foregroundMark x1="90557" y1="26667" x2="94814" y2="24800"/>
                      <a14:foregroundMark x1="94814" y1="24800" x2="96749" y2="38133"/>
                      <a14:foregroundMark x1="96749" y1="38133" x2="97523" y2="66667"/>
                      <a14:foregroundMark x1="53758" y1="83696" x2="54257" y2="83733"/>
                      <a14:foregroundMark x1="52844" y1="83627" x2="53622" y2="83685"/>
                      <a14:foregroundMark x1="49458" y1="83374" x2="51453" y2="83523"/>
                      <a14:foregroundMark x1="47420" y1="83221" x2="49136" y2="83349"/>
                      <a14:foregroundMark x1="45071" y1="83045" x2="47296" y2="83211"/>
                      <a14:foregroundMark x1="41185" y1="82754" x2="44857" y2="83029"/>
                      <a14:foregroundMark x1="37692" y1="82492" x2="41081" y2="82746"/>
                      <a14:foregroundMark x1="31484" y1="82027" x2="37657" y2="82490"/>
                      <a14:foregroundMark x1="30048" y1="81920" x2="30801" y2="81976"/>
                      <a14:foregroundMark x1="22381" y1="81345" x2="29968" y2="81914"/>
                      <a14:foregroundMark x1="19307" y1="81115" x2="22198" y2="81332"/>
                      <a14:foregroundMark x1="15475" y1="80828" x2="15897" y2="80860"/>
                      <a14:foregroundMark x1="4876" y1="80034" x2="5636" y2="80091"/>
                      <a14:foregroundMark x1="2846" y1="79882" x2="4361" y2="79995"/>
                      <a14:foregroundMark x1="851" y1="79733" x2="2210" y2="79835"/>
                      <a14:foregroundMark x1="72019" y1="81735" x2="73220" y2="81600"/>
                      <a14:foregroundMark x1="70197" y1="81940" x2="71604" y2="81782"/>
                      <a14:foregroundMark x1="63648" y1="82677" x2="70067" y2="81955"/>
                      <a14:foregroundMark x1="61273" y1="82944" x2="63458" y2="82698"/>
                      <a14:foregroundMark x1="60397" y1="83043" x2="61266" y2="82945"/>
                      <a14:foregroundMark x1="54257" y1="83733" x2="59250" y2="83172"/>
                      <a14:foregroundMark x1="94588" y1="83854" x2="95975" y2="84000"/>
                      <a14:foregroundMark x1="89044" y1="83269" x2="94480" y2="83842"/>
                      <a14:foregroundMark x1="87593" y1="83116" x2="88882" y2="83252"/>
                      <a14:foregroundMark x1="84880" y1="82830" x2="86987" y2="83052"/>
                      <a14:foregroundMark x1="82078" y1="82534" x2="84563" y2="82796"/>
                      <a14:foregroundMark x1="80166" y1="82333" x2="81903" y2="82516"/>
                      <a14:foregroundMark x1="77780" y1="82081" x2="80036" y2="82319"/>
                      <a14:foregroundMark x1="73220" y1="81600" x2="77230" y2="82023"/>
                      <a14:foregroundMark x1="95975" y1="84000" x2="95392" y2="93678"/>
                      <a14:foregroundMark x1="2710" y1="92809" x2="2554" y2="92800"/>
                      <a14:foregroundMark x1="4581" y1="92917" x2="2819" y2="92815"/>
                      <a14:foregroundMark x1="6564" y1="93031" x2="4808" y2="92930"/>
                      <a14:foregroundMark x1="8438" y1="93139" x2="6702" y2="93039"/>
                      <a14:foregroundMark x1="16823" y1="93622" x2="8616" y2="93149"/>
                      <a14:foregroundMark x1="24093" y1="94041" x2="20229" y2="93818"/>
                      <a14:foregroundMark x1="28980" y1="94323" x2="26036" y2="94153"/>
                      <a14:foregroundMark x1="31534" y1="94470" x2="28989" y2="94323"/>
                      <a14:foregroundMark x1="33547" y1="94585" x2="31876" y2="94489"/>
                      <a14:foregroundMark x1="35706" y1="94710" x2="33915" y2="94607"/>
                      <a14:foregroundMark x1="2554" y1="92800" x2="1876" y2="85637"/>
                      <a14:backgroundMark x1="3251" y1="74400" x2="1858" y2="72800"/>
                      <a14:backgroundMark x1="18808" y1="74667" x2="19350" y2="66133"/>
                      <a14:backgroundMark x1="14783" y1="77067" x2="5031" y2="76800"/>
                      <a14:backgroundMark x1="35217" y1="82933" x2="35217" y2="90933"/>
                      <a14:backgroundMark x1="38467" y1="94133" x2="38777" y2="95200"/>
                      <a14:backgroundMark x1="1006" y1="98400" x2="21130" y2="99733"/>
                      <a14:backgroundMark x1="21130" y1="99733" x2="98297" y2="98400"/>
                      <a14:backgroundMark x1="98297" y1="98400" x2="98297" y2="98133"/>
                      <a14:backgroundMark x1="58824" y1="86667" x2="59365" y2="90667"/>
                      <a14:backgroundMark x1="56192" y1="88533" x2="56192" y2="91467"/>
                      <a14:backgroundMark x1="24845" y1="89867" x2="26858" y2="89600"/>
                      <a14:backgroundMark x1="20201" y1="88533" x2="20124" y2="90133"/>
                      <a14:backgroundMark x1="18034" y1="84267" x2="18034" y2="87733"/>
                      <a14:backgroundMark x1="16563" y1="89333" x2="16563" y2="88533"/>
                      <a14:backgroundMark x1="15170" y1="85333" x2="15325" y2="81333"/>
                      <a14:backgroundMark x1="17492" y1="79467" x2="18653" y2="95467"/>
                      <a14:backgroundMark x1="2709" y1="85867" x2="2709" y2="78400"/>
                      <a14:backgroundMark x1="4876" y1="86400" x2="4799" y2="79200"/>
                      <a14:backgroundMark x1="8901" y1="90133" x2="8978" y2="86133"/>
                      <a14:backgroundMark x1="6734" y1="93333" x2="6192" y2="89600"/>
                      <a14:backgroundMark x1="2554" y1="92000" x2="2477" y2="88533"/>
                      <a14:backgroundMark x1="4721" y1="94400" x2="4644" y2="91200"/>
                      <a14:backgroundMark x1="2941" y1="93867" x2="2709" y2="92800"/>
                      <a14:backgroundMark x1="22601" y1="85333" x2="22059" y2="78133"/>
                      <a14:backgroundMark x1="31502" y1="94133" x2="31037" y2="77333"/>
                      <a14:backgroundMark x1="29489" y1="89067" x2="29567" y2="86133"/>
                      <a14:backgroundMark x1="45356" y1="90400" x2="45356" y2="86133"/>
                      <a14:backgroundMark x1="38080" y1="86667" x2="37926" y2="84800"/>
                      <a14:backgroundMark x1="33746" y1="93333" x2="33204" y2="92000"/>
                      <a14:backgroundMark x1="64087" y1="90133" x2="63777" y2="84000"/>
                      <a14:backgroundMark x1="61765" y1="89600" x2="61765" y2="88267"/>
                      <a14:backgroundMark x1="60372" y1="82933" x2="59443" y2="84000"/>
                      <a14:backgroundMark x1="54025" y1="85867" x2="53793" y2="85067"/>
                      <a14:backgroundMark x1="51703" y1="83200" x2="51393" y2="83200"/>
                      <a14:backgroundMark x1="52864" y1="83733" x2="51858" y2="83733"/>
                      <a14:backgroundMark x1="41409" y1="86133" x2="41331" y2="84267"/>
                      <a14:backgroundMark x1="12461" y1="90933" x2="12693" y2="88000"/>
                      <a14:backgroundMark x1="69350" y1="93600" x2="69814" y2="84533"/>
                      <a14:backgroundMark x1="71981" y1="85867" x2="71981" y2="81333"/>
                      <a14:backgroundMark x1="82430" y1="85600" x2="82043" y2="83733"/>
                      <a14:backgroundMark x1="79567" y1="90133" x2="79721" y2="85600"/>
                      <a14:backgroundMark x1="87539" y1="85600" x2="87926" y2="88000"/>
                      <a14:backgroundMark x1="86687" y1="85067" x2="87461" y2="84000"/>
                      <a14:backgroundMark x1="85062" y1="90400" x2="85062" y2="84800"/>
                      <a14:backgroundMark x1="95124" y1="90933" x2="94814" y2="86133"/>
                      <a14:backgroundMark x1="78096" y1="84533" x2="77245" y2="82133"/>
                      <a14:backgroundMark x1="49923" y1="87467" x2="49149" y2="83467"/>
                      <a14:backgroundMark x1="47368" y1="84000" x2="47368" y2="8266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820" y="76200"/>
          <a:ext cx="1991651" cy="5813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10</xdr:col>
      <xdr:colOff>579120</xdr:colOff>
      <xdr:row>18</xdr:row>
      <xdr:rowOff>160020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0</xdr:row>
      <xdr:rowOff>783770</xdr:rowOff>
    </xdr:from>
    <xdr:to>
      <xdr:col>21</xdr:col>
      <xdr:colOff>579120</xdr:colOff>
      <xdr:row>18</xdr:row>
      <xdr:rowOff>161108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19</xdr:row>
      <xdr:rowOff>7620</xdr:rowOff>
    </xdr:from>
    <xdr:to>
      <xdr:col>10</xdr:col>
      <xdr:colOff>579120</xdr:colOff>
      <xdr:row>37</xdr:row>
      <xdr:rowOff>152400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7620</xdr:colOff>
      <xdr:row>19</xdr:row>
      <xdr:rowOff>15240</xdr:rowOff>
    </xdr:from>
    <xdr:to>
      <xdr:col>21</xdr:col>
      <xdr:colOff>586740</xdr:colOff>
      <xdr:row>37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38</xdr:row>
      <xdr:rowOff>15240</xdr:rowOff>
    </xdr:from>
    <xdr:to>
      <xdr:col>10</xdr:col>
      <xdr:colOff>579120</xdr:colOff>
      <xdr:row>59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7620</xdr:colOff>
      <xdr:row>38</xdr:row>
      <xdr:rowOff>15240</xdr:rowOff>
    </xdr:from>
    <xdr:to>
      <xdr:col>21</xdr:col>
      <xdr:colOff>594360</xdr:colOff>
      <xdr:row>59</xdr:row>
      <xdr:rowOff>7620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18</xdr:col>
      <xdr:colOff>533401</xdr:colOff>
      <xdr:row>0</xdr:row>
      <xdr:rowOff>114300</xdr:rowOff>
    </xdr:from>
    <xdr:to>
      <xdr:col>21</xdr:col>
      <xdr:colOff>563880</xdr:colOff>
      <xdr:row>0</xdr:row>
      <xdr:rowOff>692830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7" t="34636" r="20749" b="33167"/>
        <a:stretch/>
      </xdr:blipFill>
      <xdr:spPr bwMode="auto">
        <a:xfrm>
          <a:off x="11597641" y="114300"/>
          <a:ext cx="1859279" cy="5785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175260</xdr:colOff>
      <xdr:row>0</xdr:row>
      <xdr:rowOff>175259</xdr:rowOff>
    </xdr:from>
    <xdr:to>
      <xdr:col>18</xdr:col>
      <xdr:colOff>436595</xdr:colOff>
      <xdr:row>0</xdr:row>
      <xdr:rowOff>624839</xdr:rowOff>
    </xdr:to>
    <xdr:pic>
      <xdr:nvPicPr>
        <xdr:cNvPr id="9" name="Gráfico 5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0629900" y="175259"/>
          <a:ext cx="870935" cy="44958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76200</xdr:rowOff>
    </xdr:from>
    <xdr:to>
      <xdr:col>3</xdr:col>
      <xdr:colOff>250481</xdr:colOff>
      <xdr:row>0</xdr:row>
      <xdr:rowOff>655681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400" b="92800" l="1393" r="97446">
                      <a14:foregroundMark x1="4257" y1="17067" x2="4644" y2="41333"/>
                      <a14:foregroundMark x1="24458" y1="11733" x2="23607" y2="51200"/>
                      <a14:foregroundMark x1="23607" y1="51200" x2="23684" y2="51467"/>
                      <a14:foregroundMark x1="42957" y1="6667" x2="40712" y2="17333"/>
                      <a14:foregroundMark x1="60681" y1="6667" x2="65170" y2="6400"/>
                      <a14:foregroundMark x1="77941" y1="10667" x2="76471" y2="16533"/>
                      <a14:foregroundMark x1="80805" y1="52000" x2="80882" y2="64267"/>
                      <a14:foregroundMark x1="80882" y1="39200" x2="80882" y2="50133"/>
                      <a14:foregroundMark x1="81192" y1="70667" x2="79954" y2="64267"/>
                      <a14:foregroundMark x1="77245" y1="57333" x2="74536" y2="54933"/>
                      <a14:foregroundMark x1="82972" y1="54667" x2="86997" y2="53600"/>
                      <a14:foregroundMark x1="79567" y1="72000" x2="79567" y2="72000"/>
                      <a14:foregroundMark x1="90557" y1="26667" x2="94814" y2="24800"/>
                      <a14:foregroundMark x1="94814" y1="24800" x2="96749" y2="38133"/>
                      <a14:foregroundMark x1="96749" y1="38133" x2="97523" y2="66667"/>
                      <a14:foregroundMark x1="53758" y1="83696" x2="54257" y2="83733"/>
                      <a14:foregroundMark x1="52844" y1="83627" x2="53622" y2="83685"/>
                      <a14:foregroundMark x1="49458" y1="83374" x2="51453" y2="83523"/>
                      <a14:foregroundMark x1="47420" y1="83221" x2="49136" y2="83349"/>
                      <a14:foregroundMark x1="45071" y1="83045" x2="47296" y2="83211"/>
                      <a14:foregroundMark x1="41185" y1="82754" x2="44857" y2="83029"/>
                      <a14:foregroundMark x1="37692" y1="82492" x2="41081" y2="82746"/>
                      <a14:foregroundMark x1="31484" y1="82027" x2="37657" y2="82490"/>
                      <a14:foregroundMark x1="30048" y1="81920" x2="30801" y2="81976"/>
                      <a14:foregroundMark x1="22381" y1="81345" x2="29968" y2="81914"/>
                      <a14:foregroundMark x1="19307" y1="81115" x2="22198" y2="81332"/>
                      <a14:foregroundMark x1="15475" y1="80828" x2="15897" y2="80860"/>
                      <a14:foregroundMark x1="4876" y1="80034" x2="5636" y2="80091"/>
                      <a14:foregroundMark x1="2846" y1="79882" x2="4361" y2="79995"/>
                      <a14:foregroundMark x1="851" y1="79733" x2="2210" y2="79835"/>
                      <a14:foregroundMark x1="72019" y1="81735" x2="73220" y2="81600"/>
                      <a14:foregroundMark x1="70197" y1="81940" x2="71604" y2="81782"/>
                      <a14:foregroundMark x1="63648" y1="82677" x2="70067" y2="81955"/>
                      <a14:foregroundMark x1="61273" y1="82944" x2="63458" y2="82698"/>
                      <a14:foregroundMark x1="60397" y1="83043" x2="61266" y2="82945"/>
                      <a14:foregroundMark x1="54257" y1="83733" x2="59250" y2="83172"/>
                      <a14:foregroundMark x1="94588" y1="83854" x2="95975" y2="84000"/>
                      <a14:foregroundMark x1="89044" y1="83269" x2="94480" y2="83842"/>
                      <a14:foregroundMark x1="87593" y1="83116" x2="88882" y2="83252"/>
                      <a14:foregroundMark x1="84880" y1="82830" x2="86987" y2="83052"/>
                      <a14:foregroundMark x1="82078" y1="82534" x2="84563" y2="82796"/>
                      <a14:foregroundMark x1="80166" y1="82333" x2="81903" y2="82516"/>
                      <a14:foregroundMark x1="77780" y1="82081" x2="80036" y2="82319"/>
                      <a14:foregroundMark x1="73220" y1="81600" x2="77230" y2="82023"/>
                      <a14:foregroundMark x1="95975" y1="84000" x2="95392" y2="93678"/>
                      <a14:foregroundMark x1="2710" y1="92809" x2="2554" y2="92800"/>
                      <a14:foregroundMark x1="4581" y1="92917" x2="2819" y2="92815"/>
                      <a14:foregroundMark x1="6564" y1="93031" x2="4808" y2="92930"/>
                      <a14:foregroundMark x1="8438" y1="93139" x2="6702" y2="93039"/>
                      <a14:foregroundMark x1="16823" y1="93622" x2="8616" y2="93149"/>
                      <a14:foregroundMark x1="24093" y1="94041" x2="20229" y2="93818"/>
                      <a14:foregroundMark x1="28980" y1="94323" x2="26036" y2="94153"/>
                      <a14:foregroundMark x1="31534" y1="94470" x2="28989" y2="94323"/>
                      <a14:foregroundMark x1="33547" y1="94585" x2="31876" y2="94489"/>
                      <a14:foregroundMark x1="35706" y1="94710" x2="33915" y2="94607"/>
                      <a14:foregroundMark x1="2554" y1="92800" x2="1876" y2="85637"/>
                      <a14:backgroundMark x1="3251" y1="74400" x2="1858" y2="72800"/>
                      <a14:backgroundMark x1="18808" y1="74667" x2="19350" y2="66133"/>
                      <a14:backgroundMark x1="14783" y1="77067" x2="5031" y2="76800"/>
                      <a14:backgroundMark x1="35217" y1="82933" x2="35217" y2="90933"/>
                      <a14:backgroundMark x1="38467" y1="94133" x2="38777" y2="95200"/>
                      <a14:backgroundMark x1="1006" y1="98400" x2="21130" y2="99733"/>
                      <a14:backgroundMark x1="21130" y1="99733" x2="98297" y2="98400"/>
                      <a14:backgroundMark x1="98297" y1="98400" x2="98297" y2="98133"/>
                      <a14:backgroundMark x1="58824" y1="86667" x2="59365" y2="90667"/>
                      <a14:backgroundMark x1="56192" y1="88533" x2="56192" y2="91467"/>
                      <a14:backgroundMark x1="24845" y1="89867" x2="26858" y2="89600"/>
                      <a14:backgroundMark x1="20201" y1="88533" x2="20124" y2="90133"/>
                      <a14:backgroundMark x1="18034" y1="84267" x2="18034" y2="87733"/>
                      <a14:backgroundMark x1="16563" y1="89333" x2="16563" y2="88533"/>
                      <a14:backgroundMark x1="15170" y1="85333" x2="15325" y2="81333"/>
                      <a14:backgroundMark x1="17492" y1="79467" x2="18653" y2="95467"/>
                      <a14:backgroundMark x1="2709" y1="85867" x2="2709" y2="78400"/>
                      <a14:backgroundMark x1="4876" y1="86400" x2="4799" y2="79200"/>
                      <a14:backgroundMark x1="8901" y1="90133" x2="8978" y2="86133"/>
                      <a14:backgroundMark x1="6734" y1="93333" x2="6192" y2="89600"/>
                      <a14:backgroundMark x1="2554" y1="92000" x2="2477" y2="88533"/>
                      <a14:backgroundMark x1="4721" y1="94400" x2="4644" y2="91200"/>
                      <a14:backgroundMark x1="2941" y1="93867" x2="2709" y2="92800"/>
                      <a14:backgroundMark x1="22601" y1="85333" x2="22059" y2="78133"/>
                      <a14:backgroundMark x1="31502" y1="94133" x2="31037" y2="77333"/>
                      <a14:backgroundMark x1="29489" y1="89067" x2="29567" y2="86133"/>
                      <a14:backgroundMark x1="45356" y1="90400" x2="45356" y2="86133"/>
                      <a14:backgroundMark x1="38080" y1="86667" x2="37926" y2="84800"/>
                      <a14:backgroundMark x1="33746" y1="93333" x2="33204" y2="92000"/>
                      <a14:backgroundMark x1="64087" y1="90133" x2="63777" y2="84000"/>
                      <a14:backgroundMark x1="61765" y1="89600" x2="61765" y2="88267"/>
                      <a14:backgroundMark x1="60372" y1="82933" x2="59443" y2="84000"/>
                      <a14:backgroundMark x1="54025" y1="85867" x2="53793" y2="85067"/>
                      <a14:backgroundMark x1="51703" y1="83200" x2="51393" y2="83200"/>
                      <a14:backgroundMark x1="52864" y1="83733" x2="51858" y2="83733"/>
                      <a14:backgroundMark x1="41409" y1="86133" x2="41331" y2="84267"/>
                      <a14:backgroundMark x1="12461" y1="90933" x2="12693" y2="88000"/>
                      <a14:backgroundMark x1="69350" y1="93600" x2="69814" y2="84533"/>
                      <a14:backgroundMark x1="71981" y1="85867" x2="71981" y2="81333"/>
                      <a14:backgroundMark x1="82430" y1="85600" x2="82043" y2="83733"/>
                      <a14:backgroundMark x1="79567" y1="90133" x2="79721" y2="85600"/>
                      <a14:backgroundMark x1="87539" y1="85600" x2="87926" y2="88000"/>
                      <a14:backgroundMark x1="86687" y1="85067" x2="87461" y2="84000"/>
                      <a14:backgroundMark x1="85062" y1="90400" x2="85062" y2="84800"/>
                      <a14:backgroundMark x1="95124" y1="90933" x2="94814" y2="86133"/>
                      <a14:backgroundMark x1="78096" y1="84533" x2="77245" y2="82133"/>
                      <a14:backgroundMark x1="49923" y1="87467" x2="49149" y2="83467"/>
                      <a14:backgroundMark x1="47368" y1="84000" x2="47368" y2="8266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820" y="76200"/>
          <a:ext cx="1995461" cy="5794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10</xdr:col>
      <xdr:colOff>525780</xdr:colOff>
      <xdr:row>19</xdr:row>
      <xdr:rowOff>106680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21</xdr:col>
      <xdr:colOff>525780</xdr:colOff>
      <xdr:row>19</xdr:row>
      <xdr:rowOff>106680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10</xdr:col>
      <xdr:colOff>525780</xdr:colOff>
      <xdr:row>38</xdr:row>
      <xdr:rowOff>99060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21</xdr:col>
      <xdr:colOff>525780</xdr:colOff>
      <xdr:row>38</xdr:row>
      <xdr:rowOff>99060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396241</xdr:colOff>
      <xdr:row>0</xdr:row>
      <xdr:rowOff>83820</xdr:rowOff>
    </xdr:from>
    <xdr:to>
      <xdr:col>21</xdr:col>
      <xdr:colOff>426720</xdr:colOff>
      <xdr:row>0</xdr:row>
      <xdr:rowOff>662350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7" t="34636" r="20749" b="33167"/>
        <a:stretch/>
      </xdr:blipFill>
      <xdr:spPr bwMode="auto">
        <a:xfrm>
          <a:off x="11369041" y="83820"/>
          <a:ext cx="1859279" cy="5785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38100</xdr:colOff>
      <xdr:row>0</xdr:row>
      <xdr:rowOff>144779</xdr:rowOff>
    </xdr:from>
    <xdr:to>
      <xdr:col>18</xdr:col>
      <xdr:colOff>299435</xdr:colOff>
      <xdr:row>0</xdr:row>
      <xdr:rowOff>594359</xdr:rowOff>
    </xdr:to>
    <xdr:pic>
      <xdr:nvPicPr>
        <xdr:cNvPr id="5" name="Gráfico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0401300" y="144779"/>
          <a:ext cx="870935" cy="44958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114300</xdr:rowOff>
    </xdr:from>
    <xdr:to>
      <xdr:col>0</xdr:col>
      <xdr:colOff>2092616</xdr:colOff>
      <xdr:row>0</xdr:row>
      <xdr:rowOff>690468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400" b="92800" l="1393" r="97446">
                      <a14:foregroundMark x1="4257" y1="17067" x2="4644" y2="41333"/>
                      <a14:foregroundMark x1="24458" y1="11733" x2="23607" y2="51200"/>
                      <a14:foregroundMark x1="23607" y1="51200" x2="23684" y2="51467"/>
                      <a14:foregroundMark x1="42957" y1="6667" x2="40712" y2="17333"/>
                      <a14:foregroundMark x1="60681" y1="6667" x2="65170" y2="6400"/>
                      <a14:foregroundMark x1="77941" y1="10667" x2="76471" y2="16533"/>
                      <a14:foregroundMark x1="80805" y1="52000" x2="80882" y2="64267"/>
                      <a14:foregroundMark x1="80882" y1="39200" x2="80882" y2="50133"/>
                      <a14:foregroundMark x1="81192" y1="70667" x2="79954" y2="64267"/>
                      <a14:foregroundMark x1="77245" y1="57333" x2="74536" y2="54933"/>
                      <a14:foregroundMark x1="82972" y1="54667" x2="86997" y2="53600"/>
                      <a14:foregroundMark x1="79567" y1="72000" x2="79567" y2="72000"/>
                      <a14:foregroundMark x1="90557" y1="26667" x2="94814" y2="24800"/>
                      <a14:foregroundMark x1="94814" y1="24800" x2="96749" y2="38133"/>
                      <a14:foregroundMark x1="96749" y1="38133" x2="97523" y2="66667"/>
                      <a14:foregroundMark x1="53758" y1="83696" x2="54257" y2="83733"/>
                      <a14:foregroundMark x1="52844" y1="83627" x2="53622" y2="83685"/>
                      <a14:foregroundMark x1="49458" y1="83374" x2="51453" y2="83523"/>
                      <a14:foregroundMark x1="47420" y1="83221" x2="49136" y2="83349"/>
                      <a14:foregroundMark x1="45071" y1="83045" x2="47296" y2="83211"/>
                      <a14:foregroundMark x1="41185" y1="82754" x2="44857" y2="83029"/>
                      <a14:foregroundMark x1="37692" y1="82492" x2="41081" y2="82746"/>
                      <a14:foregroundMark x1="31484" y1="82027" x2="37657" y2="82490"/>
                      <a14:foregroundMark x1="30048" y1="81920" x2="30801" y2="81976"/>
                      <a14:foregroundMark x1="22381" y1="81345" x2="29968" y2="81914"/>
                      <a14:foregroundMark x1="19307" y1="81115" x2="22198" y2="81332"/>
                      <a14:foregroundMark x1="15475" y1="80828" x2="15897" y2="80860"/>
                      <a14:foregroundMark x1="4876" y1="80034" x2="5636" y2="80091"/>
                      <a14:foregroundMark x1="2846" y1="79882" x2="4361" y2="79995"/>
                      <a14:foregroundMark x1="851" y1="79733" x2="2210" y2="79835"/>
                      <a14:foregroundMark x1="72019" y1="81735" x2="73220" y2="81600"/>
                      <a14:foregroundMark x1="70197" y1="81940" x2="71604" y2="81782"/>
                      <a14:foregroundMark x1="63648" y1="82677" x2="70067" y2="81955"/>
                      <a14:foregroundMark x1="61273" y1="82944" x2="63458" y2="82698"/>
                      <a14:foregroundMark x1="60397" y1="83043" x2="61266" y2="82945"/>
                      <a14:foregroundMark x1="54257" y1="83733" x2="59250" y2="83172"/>
                      <a14:foregroundMark x1="94588" y1="83854" x2="95975" y2="84000"/>
                      <a14:foregroundMark x1="89044" y1="83269" x2="94480" y2="83842"/>
                      <a14:foregroundMark x1="87593" y1="83116" x2="88882" y2="83252"/>
                      <a14:foregroundMark x1="84880" y1="82830" x2="86987" y2="83052"/>
                      <a14:foregroundMark x1="82078" y1="82534" x2="84563" y2="82796"/>
                      <a14:foregroundMark x1="80166" y1="82333" x2="81903" y2="82516"/>
                      <a14:foregroundMark x1="77780" y1="82081" x2="80036" y2="82319"/>
                      <a14:foregroundMark x1="73220" y1="81600" x2="77230" y2="82023"/>
                      <a14:foregroundMark x1="95975" y1="84000" x2="95392" y2="93678"/>
                      <a14:foregroundMark x1="2710" y1="92809" x2="2554" y2="92800"/>
                      <a14:foregroundMark x1="4581" y1="92917" x2="2819" y2="92815"/>
                      <a14:foregroundMark x1="6564" y1="93031" x2="4808" y2="92930"/>
                      <a14:foregroundMark x1="8438" y1="93139" x2="6702" y2="93039"/>
                      <a14:foregroundMark x1="16823" y1="93622" x2="8616" y2="93149"/>
                      <a14:foregroundMark x1="24093" y1="94041" x2="20229" y2="93818"/>
                      <a14:foregroundMark x1="28980" y1="94323" x2="26036" y2="94153"/>
                      <a14:foregroundMark x1="31534" y1="94470" x2="28989" y2="94323"/>
                      <a14:foregroundMark x1="33547" y1="94585" x2="31876" y2="94489"/>
                      <a14:foregroundMark x1="35706" y1="94710" x2="33915" y2="94607"/>
                      <a14:foregroundMark x1="2554" y1="92800" x2="1876" y2="85637"/>
                      <a14:backgroundMark x1="3251" y1="74400" x2="1858" y2="72800"/>
                      <a14:backgroundMark x1="18808" y1="74667" x2="19350" y2="66133"/>
                      <a14:backgroundMark x1="14783" y1="77067" x2="5031" y2="76800"/>
                      <a14:backgroundMark x1="35217" y1="82933" x2="35217" y2="90933"/>
                      <a14:backgroundMark x1="38467" y1="94133" x2="38777" y2="95200"/>
                      <a14:backgroundMark x1="1006" y1="98400" x2="21130" y2="99733"/>
                      <a14:backgroundMark x1="21130" y1="99733" x2="98297" y2="98400"/>
                      <a14:backgroundMark x1="98297" y1="98400" x2="98297" y2="98133"/>
                      <a14:backgroundMark x1="58824" y1="86667" x2="59365" y2="90667"/>
                      <a14:backgroundMark x1="56192" y1="88533" x2="56192" y2="91467"/>
                      <a14:backgroundMark x1="24845" y1="89867" x2="26858" y2="89600"/>
                      <a14:backgroundMark x1="20201" y1="88533" x2="20124" y2="90133"/>
                      <a14:backgroundMark x1="18034" y1="84267" x2="18034" y2="87733"/>
                      <a14:backgroundMark x1="16563" y1="89333" x2="16563" y2="88533"/>
                      <a14:backgroundMark x1="15170" y1="85333" x2="15325" y2="81333"/>
                      <a14:backgroundMark x1="17492" y1="79467" x2="18653" y2="95467"/>
                      <a14:backgroundMark x1="2709" y1="85867" x2="2709" y2="78400"/>
                      <a14:backgroundMark x1="4876" y1="86400" x2="4799" y2="79200"/>
                      <a14:backgroundMark x1="8901" y1="90133" x2="8978" y2="86133"/>
                      <a14:backgroundMark x1="6734" y1="93333" x2="6192" y2="89600"/>
                      <a14:backgroundMark x1="2554" y1="92000" x2="2477" y2="88533"/>
                      <a14:backgroundMark x1="4721" y1="94400" x2="4644" y2="91200"/>
                      <a14:backgroundMark x1="2941" y1="93867" x2="2709" y2="92800"/>
                      <a14:backgroundMark x1="22601" y1="85333" x2="22059" y2="78133"/>
                      <a14:backgroundMark x1="31502" y1="94133" x2="31037" y2="77333"/>
                      <a14:backgroundMark x1="29489" y1="89067" x2="29567" y2="86133"/>
                      <a14:backgroundMark x1="45356" y1="90400" x2="45356" y2="86133"/>
                      <a14:backgroundMark x1="38080" y1="86667" x2="37926" y2="84800"/>
                      <a14:backgroundMark x1="33746" y1="93333" x2="33204" y2="92000"/>
                      <a14:backgroundMark x1="64087" y1="90133" x2="63777" y2="84000"/>
                      <a14:backgroundMark x1="61765" y1="89600" x2="61765" y2="88267"/>
                      <a14:backgroundMark x1="60372" y1="82933" x2="59443" y2="84000"/>
                      <a14:backgroundMark x1="54025" y1="85867" x2="53793" y2="85067"/>
                      <a14:backgroundMark x1="51703" y1="83200" x2="51393" y2="83200"/>
                      <a14:backgroundMark x1="52864" y1="83733" x2="51858" y2="83733"/>
                      <a14:backgroundMark x1="41409" y1="86133" x2="41331" y2="84267"/>
                      <a14:backgroundMark x1="12461" y1="90933" x2="12693" y2="88000"/>
                      <a14:backgroundMark x1="69350" y1="93600" x2="69814" y2="84533"/>
                      <a14:backgroundMark x1="71981" y1="85867" x2="71981" y2="81333"/>
                      <a14:backgroundMark x1="82430" y1="85600" x2="82043" y2="83733"/>
                      <a14:backgroundMark x1="79567" y1="90133" x2="79721" y2="85600"/>
                      <a14:backgroundMark x1="87539" y1="85600" x2="87926" y2="88000"/>
                      <a14:backgroundMark x1="86687" y1="85067" x2="87461" y2="84000"/>
                      <a14:backgroundMark x1="85062" y1="90400" x2="85062" y2="84800"/>
                      <a14:backgroundMark x1="95124" y1="90933" x2="94814" y2="86133"/>
                      <a14:backgroundMark x1="78096" y1="84533" x2="77245" y2="82133"/>
                      <a14:backgroundMark x1="49923" y1="87467" x2="49149" y2="83467"/>
                      <a14:backgroundMark x1="47368" y1="84000" x2="47368" y2="8266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9060" y="114300"/>
          <a:ext cx="1991651" cy="578073"/>
        </a:xfrm>
        <a:prstGeom prst="rect">
          <a:avLst/>
        </a:prstGeom>
      </xdr:spPr>
    </xdr:pic>
    <xdr:clientData/>
  </xdr:twoCellAnchor>
  <xdr:twoCellAnchor>
    <xdr:from>
      <xdr:col>0</xdr:col>
      <xdr:colOff>4160520</xdr:colOff>
      <xdr:row>2</xdr:row>
      <xdr:rowOff>7620</xdr:rowOff>
    </xdr:from>
    <xdr:to>
      <xdr:col>2</xdr:col>
      <xdr:colOff>164123</xdr:colOff>
      <xdr:row>6</xdr:row>
      <xdr:rowOff>175260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4160520</xdr:colOff>
      <xdr:row>7</xdr:row>
      <xdr:rowOff>7620</xdr:rowOff>
    </xdr:from>
    <xdr:to>
      <xdr:col>2</xdr:col>
      <xdr:colOff>158262</xdr:colOff>
      <xdr:row>11</xdr:row>
      <xdr:rowOff>175260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4163786</xdr:colOff>
      <xdr:row>12</xdr:row>
      <xdr:rowOff>8708</xdr:rowOff>
    </xdr:from>
    <xdr:to>
      <xdr:col>2</xdr:col>
      <xdr:colOff>152400</xdr:colOff>
      <xdr:row>16</xdr:row>
      <xdr:rowOff>176348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4167051</xdr:colOff>
      <xdr:row>17</xdr:row>
      <xdr:rowOff>13063</xdr:rowOff>
    </xdr:from>
    <xdr:to>
      <xdr:col>2</xdr:col>
      <xdr:colOff>164123</xdr:colOff>
      <xdr:row>21</xdr:row>
      <xdr:rowOff>180703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4167052</xdr:colOff>
      <xdr:row>22</xdr:row>
      <xdr:rowOff>4355</xdr:rowOff>
    </xdr:from>
    <xdr:to>
      <xdr:col>2</xdr:col>
      <xdr:colOff>164124</xdr:colOff>
      <xdr:row>26</xdr:row>
      <xdr:rowOff>171995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4162697</xdr:colOff>
      <xdr:row>27</xdr:row>
      <xdr:rowOff>8709</xdr:rowOff>
    </xdr:from>
    <xdr:to>
      <xdr:col>2</xdr:col>
      <xdr:colOff>164123</xdr:colOff>
      <xdr:row>31</xdr:row>
      <xdr:rowOff>176349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4158342</xdr:colOff>
      <xdr:row>32</xdr:row>
      <xdr:rowOff>8709</xdr:rowOff>
    </xdr:from>
    <xdr:to>
      <xdr:col>2</xdr:col>
      <xdr:colOff>163286</xdr:colOff>
      <xdr:row>36</xdr:row>
      <xdr:rowOff>176349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4158344</xdr:colOff>
      <xdr:row>37</xdr:row>
      <xdr:rowOff>13062</xdr:rowOff>
    </xdr:from>
    <xdr:to>
      <xdr:col>2</xdr:col>
      <xdr:colOff>152401</xdr:colOff>
      <xdr:row>41</xdr:row>
      <xdr:rowOff>180702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35858</xdr:colOff>
      <xdr:row>64</xdr:row>
      <xdr:rowOff>161365</xdr:rowOff>
    </xdr:from>
    <xdr:to>
      <xdr:col>0</xdr:col>
      <xdr:colOff>3594397</xdr:colOff>
      <xdr:row>79</xdr:row>
      <xdr:rowOff>161366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3617257</xdr:colOff>
      <xdr:row>64</xdr:row>
      <xdr:rowOff>161365</xdr:rowOff>
    </xdr:from>
    <xdr:to>
      <xdr:col>3</xdr:col>
      <xdr:colOff>104437</xdr:colOff>
      <xdr:row>79</xdr:row>
      <xdr:rowOff>161366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142539</xdr:colOff>
      <xdr:row>64</xdr:row>
      <xdr:rowOff>157331</xdr:rowOff>
    </xdr:from>
    <xdr:to>
      <xdr:col>13</xdr:col>
      <xdr:colOff>107578</xdr:colOff>
      <xdr:row>79</xdr:row>
      <xdr:rowOff>157331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178834</xdr:colOff>
      <xdr:row>64</xdr:row>
      <xdr:rowOff>145660</xdr:rowOff>
    </xdr:from>
    <xdr:to>
      <xdr:col>16</xdr:col>
      <xdr:colOff>893883</xdr:colOff>
      <xdr:row>79</xdr:row>
      <xdr:rowOff>145660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35858</xdr:colOff>
      <xdr:row>80</xdr:row>
      <xdr:rowOff>20172</xdr:rowOff>
    </xdr:from>
    <xdr:to>
      <xdr:col>0</xdr:col>
      <xdr:colOff>3594397</xdr:colOff>
      <xdr:row>95</xdr:row>
      <xdr:rowOff>20171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3617257</xdr:colOff>
      <xdr:row>80</xdr:row>
      <xdr:rowOff>20172</xdr:rowOff>
    </xdr:from>
    <xdr:to>
      <xdr:col>3</xdr:col>
      <xdr:colOff>104437</xdr:colOff>
      <xdr:row>95</xdr:row>
      <xdr:rowOff>20171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142538</xdr:colOff>
      <xdr:row>80</xdr:row>
      <xdr:rowOff>20172</xdr:rowOff>
    </xdr:from>
    <xdr:to>
      <xdr:col>13</xdr:col>
      <xdr:colOff>98613</xdr:colOff>
      <xdr:row>95</xdr:row>
      <xdr:rowOff>20171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160347</xdr:colOff>
      <xdr:row>80</xdr:row>
      <xdr:rowOff>14190</xdr:rowOff>
    </xdr:from>
    <xdr:to>
      <xdr:col>16</xdr:col>
      <xdr:colOff>893884</xdr:colOff>
      <xdr:row>95</xdr:row>
      <xdr:rowOff>14189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35858</xdr:colOff>
      <xdr:row>95</xdr:row>
      <xdr:rowOff>50651</xdr:rowOff>
    </xdr:from>
    <xdr:to>
      <xdr:col>2</xdr:col>
      <xdr:colOff>51097</xdr:colOff>
      <xdr:row>117</xdr:row>
      <xdr:rowOff>103991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</xdr:col>
      <xdr:colOff>77767</xdr:colOff>
      <xdr:row>95</xdr:row>
      <xdr:rowOff>54459</xdr:rowOff>
    </xdr:from>
    <xdr:to>
      <xdr:col>16</xdr:col>
      <xdr:colOff>866774</xdr:colOff>
      <xdr:row>117</xdr:row>
      <xdr:rowOff>103990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16</xdr:col>
      <xdr:colOff>151312</xdr:colOff>
      <xdr:row>0</xdr:row>
      <xdr:rowOff>108858</xdr:rowOff>
    </xdr:from>
    <xdr:to>
      <xdr:col>18</xdr:col>
      <xdr:colOff>100148</xdr:colOff>
      <xdr:row>0</xdr:row>
      <xdr:rowOff>687388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7" t="34636" r="20749" b="33167"/>
        <a:stretch/>
      </xdr:blipFill>
      <xdr:spPr bwMode="auto">
        <a:xfrm>
          <a:off x="13714912" y="108858"/>
          <a:ext cx="1859279" cy="5785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141514</xdr:colOff>
      <xdr:row>0</xdr:row>
      <xdr:rowOff>169817</xdr:rowOff>
    </xdr:from>
    <xdr:to>
      <xdr:col>16</xdr:col>
      <xdr:colOff>54506</xdr:colOff>
      <xdr:row>0</xdr:row>
      <xdr:rowOff>619397</xdr:rowOff>
    </xdr:to>
    <xdr:pic>
      <xdr:nvPicPr>
        <xdr:cNvPr id="24" name="Gráfico 5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2747171" y="169817"/>
          <a:ext cx="870935" cy="44958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1211581</xdr:colOff>
      <xdr:row>0</xdr:row>
      <xdr:rowOff>114300</xdr:rowOff>
    </xdr:from>
    <xdr:to>
      <xdr:col>7</xdr:col>
      <xdr:colOff>1508760</xdr:colOff>
      <xdr:row>0</xdr:row>
      <xdr:rowOff>692830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7" t="34636" r="20749" b="33167"/>
        <a:stretch/>
      </xdr:blipFill>
      <xdr:spPr bwMode="auto">
        <a:xfrm>
          <a:off x="10584181" y="114300"/>
          <a:ext cx="1859279" cy="5785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213360</xdr:colOff>
      <xdr:row>0</xdr:row>
      <xdr:rowOff>167639</xdr:rowOff>
    </xdr:from>
    <xdr:to>
      <xdr:col>6</xdr:col>
      <xdr:colOff>1084295</xdr:colOff>
      <xdr:row>0</xdr:row>
      <xdr:rowOff>617219</xdr:rowOff>
    </xdr:to>
    <xdr:pic>
      <xdr:nvPicPr>
        <xdr:cNvPr id="5" name="Gráfico 5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585960" y="167639"/>
          <a:ext cx="870935" cy="44958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198120</xdr:rowOff>
    </xdr:from>
    <xdr:to>
      <xdr:col>0</xdr:col>
      <xdr:colOff>1543105</xdr:colOff>
      <xdr:row>0</xdr:row>
      <xdr:rowOff>601980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6400" b="92800" l="1393" r="97446">
                      <a14:foregroundMark x1="4257" y1="17067" x2="4644" y2="41333"/>
                      <a14:foregroundMark x1="24458" y1="11733" x2="23607" y2="51200"/>
                      <a14:foregroundMark x1="23607" y1="51200" x2="23684" y2="51467"/>
                      <a14:foregroundMark x1="42957" y1="6667" x2="40712" y2="17333"/>
                      <a14:foregroundMark x1="60681" y1="6667" x2="65170" y2="6400"/>
                      <a14:foregroundMark x1="77941" y1="10667" x2="76471" y2="16533"/>
                      <a14:foregroundMark x1="80805" y1="52000" x2="80882" y2="64267"/>
                      <a14:foregroundMark x1="80882" y1="39200" x2="80882" y2="50133"/>
                      <a14:foregroundMark x1="81192" y1="70667" x2="79954" y2="64267"/>
                      <a14:foregroundMark x1="77245" y1="57333" x2="74536" y2="54933"/>
                      <a14:foregroundMark x1="82972" y1="54667" x2="86997" y2="53600"/>
                      <a14:foregroundMark x1="79567" y1="72000" x2="79567" y2="72000"/>
                      <a14:foregroundMark x1="90557" y1="26667" x2="94814" y2="24800"/>
                      <a14:foregroundMark x1="94814" y1="24800" x2="96749" y2="38133"/>
                      <a14:foregroundMark x1="96749" y1="38133" x2="97523" y2="66667"/>
                      <a14:foregroundMark x1="53758" y1="83696" x2="54257" y2="83733"/>
                      <a14:foregroundMark x1="52844" y1="83627" x2="53622" y2="83685"/>
                      <a14:foregroundMark x1="49458" y1="83374" x2="51453" y2="83523"/>
                      <a14:foregroundMark x1="47420" y1="83221" x2="49136" y2="83349"/>
                      <a14:foregroundMark x1="45071" y1="83045" x2="47296" y2="83211"/>
                      <a14:foregroundMark x1="41185" y1="82754" x2="44857" y2="83029"/>
                      <a14:foregroundMark x1="37692" y1="82492" x2="41081" y2="82746"/>
                      <a14:foregroundMark x1="31484" y1="82027" x2="37657" y2="82490"/>
                      <a14:foregroundMark x1="30048" y1="81920" x2="30801" y2="81976"/>
                      <a14:foregroundMark x1="22381" y1="81345" x2="29968" y2="81914"/>
                      <a14:foregroundMark x1="19307" y1="81115" x2="22198" y2="81332"/>
                      <a14:foregroundMark x1="15475" y1="80828" x2="15897" y2="80860"/>
                      <a14:foregroundMark x1="4876" y1="80034" x2="5636" y2="80091"/>
                      <a14:foregroundMark x1="2846" y1="79882" x2="4361" y2="79995"/>
                      <a14:foregroundMark x1="851" y1="79733" x2="2210" y2="79835"/>
                      <a14:foregroundMark x1="72019" y1="81735" x2="73220" y2="81600"/>
                      <a14:foregroundMark x1="70197" y1="81940" x2="71604" y2="81782"/>
                      <a14:foregroundMark x1="63648" y1="82677" x2="70067" y2="81955"/>
                      <a14:foregroundMark x1="61273" y1="82944" x2="63458" y2="82698"/>
                      <a14:foregroundMark x1="60397" y1="83043" x2="61266" y2="82945"/>
                      <a14:foregroundMark x1="54257" y1="83733" x2="59250" y2="83172"/>
                      <a14:foregroundMark x1="94588" y1="83854" x2="95975" y2="84000"/>
                      <a14:foregroundMark x1="89044" y1="83269" x2="94480" y2="83842"/>
                      <a14:foregroundMark x1="87593" y1="83116" x2="88882" y2="83252"/>
                      <a14:foregroundMark x1="84880" y1="82830" x2="86987" y2="83052"/>
                      <a14:foregroundMark x1="82078" y1="82534" x2="84563" y2="82796"/>
                      <a14:foregroundMark x1="80166" y1="82333" x2="81903" y2="82516"/>
                      <a14:foregroundMark x1="77780" y1="82081" x2="80036" y2="82319"/>
                      <a14:foregroundMark x1="73220" y1="81600" x2="77230" y2="82023"/>
                      <a14:foregroundMark x1="95975" y1="84000" x2="95392" y2="93678"/>
                      <a14:foregroundMark x1="2710" y1="92809" x2="2554" y2="92800"/>
                      <a14:foregroundMark x1="4581" y1="92917" x2="2819" y2="92815"/>
                      <a14:foregroundMark x1="6564" y1="93031" x2="4808" y2="92930"/>
                      <a14:foregroundMark x1="8438" y1="93139" x2="6702" y2="93039"/>
                      <a14:foregroundMark x1="16823" y1="93622" x2="8616" y2="93149"/>
                      <a14:foregroundMark x1="24093" y1="94041" x2="20229" y2="93818"/>
                      <a14:foregroundMark x1="28980" y1="94323" x2="26036" y2="94153"/>
                      <a14:foregroundMark x1="31534" y1="94470" x2="28989" y2="94323"/>
                      <a14:foregroundMark x1="33547" y1="94585" x2="31876" y2="94489"/>
                      <a14:foregroundMark x1="35706" y1="94710" x2="33915" y2="94607"/>
                      <a14:foregroundMark x1="2554" y1="92800" x2="1876" y2="85637"/>
                      <a14:backgroundMark x1="3251" y1="74400" x2="1858" y2="72800"/>
                      <a14:backgroundMark x1="18808" y1="74667" x2="19350" y2="66133"/>
                      <a14:backgroundMark x1="14783" y1="77067" x2="5031" y2="76800"/>
                      <a14:backgroundMark x1="35217" y1="82933" x2="35217" y2="90933"/>
                      <a14:backgroundMark x1="38467" y1="94133" x2="38777" y2="95200"/>
                      <a14:backgroundMark x1="1006" y1="98400" x2="21130" y2="99733"/>
                      <a14:backgroundMark x1="21130" y1="99733" x2="98297" y2="98400"/>
                      <a14:backgroundMark x1="98297" y1="98400" x2="98297" y2="98133"/>
                      <a14:backgroundMark x1="58824" y1="86667" x2="59365" y2="90667"/>
                      <a14:backgroundMark x1="56192" y1="88533" x2="56192" y2="91467"/>
                      <a14:backgroundMark x1="24845" y1="89867" x2="26858" y2="89600"/>
                      <a14:backgroundMark x1="20201" y1="88533" x2="20124" y2="90133"/>
                      <a14:backgroundMark x1="18034" y1="84267" x2="18034" y2="87733"/>
                      <a14:backgroundMark x1="16563" y1="89333" x2="16563" y2="88533"/>
                      <a14:backgroundMark x1="15170" y1="85333" x2="15325" y2="81333"/>
                      <a14:backgroundMark x1="17492" y1="79467" x2="18653" y2="95467"/>
                      <a14:backgroundMark x1="2709" y1="85867" x2="2709" y2="78400"/>
                      <a14:backgroundMark x1="4876" y1="86400" x2="4799" y2="79200"/>
                      <a14:backgroundMark x1="8901" y1="90133" x2="8978" y2="86133"/>
                      <a14:backgroundMark x1="6734" y1="93333" x2="6192" y2="89600"/>
                      <a14:backgroundMark x1="2554" y1="92000" x2="2477" y2="88533"/>
                      <a14:backgroundMark x1="4721" y1="94400" x2="4644" y2="91200"/>
                      <a14:backgroundMark x1="2941" y1="93867" x2="2709" y2="92800"/>
                      <a14:backgroundMark x1="22601" y1="85333" x2="22059" y2="78133"/>
                      <a14:backgroundMark x1="31502" y1="94133" x2="31037" y2="77333"/>
                      <a14:backgroundMark x1="29489" y1="89067" x2="29567" y2="86133"/>
                      <a14:backgroundMark x1="45356" y1="90400" x2="45356" y2="86133"/>
                      <a14:backgroundMark x1="38080" y1="86667" x2="37926" y2="84800"/>
                      <a14:backgroundMark x1="33746" y1="93333" x2="33204" y2="92000"/>
                      <a14:backgroundMark x1="64087" y1="90133" x2="63777" y2="84000"/>
                      <a14:backgroundMark x1="61765" y1="89600" x2="61765" y2="88267"/>
                      <a14:backgroundMark x1="60372" y1="82933" x2="59443" y2="84000"/>
                      <a14:backgroundMark x1="54025" y1="85867" x2="53793" y2="85067"/>
                      <a14:backgroundMark x1="51703" y1="83200" x2="51393" y2="83200"/>
                      <a14:backgroundMark x1="52864" y1="83733" x2="51858" y2="83733"/>
                      <a14:backgroundMark x1="41409" y1="86133" x2="41331" y2="84267"/>
                      <a14:backgroundMark x1="12461" y1="90933" x2="12693" y2="88000"/>
                      <a14:backgroundMark x1="69350" y1="93600" x2="69814" y2="84533"/>
                      <a14:backgroundMark x1="71981" y1="85867" x2="71981" y2="81333"/>
                      <a14:backgroundMark x1="82430" y1="85600" x2="82043" y2="83733"/>
                      <a14:backgroundMark x1="79567" y1="90133" x2="79721" y2="85600"/>
                      <a14:backgroundMark x1="87539" y1="85600" x2="87926" y2="88000"/>
                      <a14:backgroundMark x1="86687" y1="85067" x2="87461" y2="84000"/>
                      <a14:backgroundMark x1="85062" y1="90400" x2="85062" y2="84800"/>
                      <a14:backgroundMark x1="95124" y1="90933" x2="94814" y2="86133"/>
                      <a14:backgroundMark x1="78096" y1="84533" x2="77245" y2="82133"/>
                      <a14:backgroundMark x1="49923" y1="87467" x2="49149" y2="83467"/>
                      <a14:backgroundMark x1="47368" y1="84000" x2="47368" y2="8266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2400" y="198120"/>
          <a:ext cx="1390705" cy="40386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198121</xdr:rowOff>
    </xdr:from>
    <xdr:to>
      <xdr:col>1</xdr:col>
      <xdr:colOff>301045</xdr:colOff>
      <xdr:row>0</xdr:row>
      <xdr:rowOff>601981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400" b="92800" l="1393" r="97446">
                      <a14:foregroundMark x1="4257" y1="17067" x2="4644" y2="41333"/>
                      <a14:foregroundMark x1="24458" y1="11733" x2="23607" y2="51200"/>
                      <a14:foregroundMark x1="23607" y1="51200" x2="23684" y2="51467"/>
                      <a14:foregroundMark x1="42957" y1="6667" x2="40712" y2="17333"/>
                      <a14:foregroundMark x1="60681" y1="6667" x2="65170" y2="6400"/>
                      <a14:foregroundMark x1="77941" y1="10667" x2="76471" y2="16533"/>
                      <a14:foregroundMark x1="80805" y1="52000" x2="80882" y2="64267"/>
                      <a14:foregroundMark x1="80882" y1="39200" x2="80882" y2="50133"/>
                      <a14:foregroundMark x1="81192" y1="70667" x2="79954" y2="64267"/>
                      <a14:foregroundMark x1="77245" y1="57333" x2="74536" y2="54933"/>
                      <a14:foregroundMark x1="82972" y1="54667" x2="86997" y2="53600"/>
                      <a14:foregroundMark x1="79567" y1="72000" x2="79567" y2="72000"/>
                      <a14:foregroundMark x1="90557" y1="26667" x2="94814" y2="24800"/>
                      <a14:foregroundMark x1="94814" y1="24800" x2="96749" y2="38133"/>
                      <a14:foregroundMark x1="96749" y1="38133" x2="97523" y2="66667"/>
                      <a14:foregroundMark x1="53758" y1="83696" x2="54257" y2="83733"/>
                      <a14:foregroundMark x1="52844" y1="83627" x2="53622" y2="83685"/>
                      <a14:foregroundMark x1="49458" y1="83374" x2="51453" y2="83523"/>
                      <a14:foregroundMark x1="47420" y1="83221" x2="49136" y2="83349"/>
                      <a14:foregroundMark x1="45071" y1="83045" x2="47296" y2="83211"/>
                      <a14:foregroundMark x1="41185" y1="82754" x2="44857" y2="83029"/>
                      <a14:foregroundMark x1="37692" y1="82492" x2="41081" y2="82746"/>
                      <a14:foregroundMark x1="31484" y1="82027" x2="37657" y2="82490"/>
                      <a14:foregroundMark x1="30048" y1="81920" x2="30801" y2="81976"/>
                      <a14:foregroundMark x1="22381" y1="81345" x2="29968" y2="81914"/>
                      <a14:foregroundMark x1="19307" y1="81115" x2="22198" y2="81332"/>
                      <a14:foregroundMark x1="15475" y1="80828" x2="15897" y2="80860"/>
                      <a14:foregroundMark x1="4876" y1="80034" x2="5636" y2="80091"/>
                      <a14:foregroundMark x1="2846" y1="79882" x2="4361" y2="79995"/>
                      <a14:foregroundMark x1="851" y1="79733" x2="2210" y2="79835"/>
                      <a14:foregroundMark x1="72019" y1="81735" x2="73220" y2="81600"/>
                      <a14:foregroundMark x1="70197" y1="81940" x2="71604" y2="81782"/>
                      <a14:foregroundMark x1="63648" y1="82677" x2="70067" y2="81955"/>
                      <a14:foregroundMark x1="61273" y1="82944" x2="63458" y2="82698"/>
                      <a14:foregroundMark x1="60397" y1="83043" x2="61266" y2="82945"/>
                      <a14:foregroundMark x1="54257" y1="83733" x2="59250" y2="83172"/>
                      <a14:foregroundMark x1="94588" y1="83854" x2="95975" y2="84000"/>
                      <a14:foregroundMark x1="89044" y1="83269" x2="94480" y2="83842"/>
                      <a14:foregroundMark x1="87593" y1="83116" x2="88882" y2="83252"/>
                      <a14:foregroundMark x1="84880" y1="82830" x2="86987" y2="83052"/>
                      <a14:foregroundMark x1="82078" y1="82534" x2="84563" y2="82796"/>
                      <a14:foregroundMark x1="80166" y1="82333" x2="81903" y2="82516"/>
                      <a14:foregroundMark x1="77780" y1="82081" x2="80036" y2="82319"/>
                      <a14:foregroundMark x1="73220" y1="81600" x2="77230" y2="82023"/>
                      <a14:foregroundMark x1="95975" y1="84000" x2="95392" y2="93678"/>
                      <a14:foregroundMark x1="2710" y1="92809" x2="2554" y2="92800"/>
                      <a14:foregroundMark x1="4581" y1="92917" x2="2819" y2="92815"/>
                      <a14:foregroundMark x1="6564" y1="93031" x2="4808" y2="92930"/>
                      <a14:foregroundMark x1="8438" y1="93139" x2="6702" y2="93039"/>
                      <a14:foregroundMark x1="16823" y1="93622" x2="8616" y2="93149"/>
                      <a14:foregroundMark x1="24093" y1="94041" x2="20229" y2="93818"/>
                      <a14:foregroundMark x1="28980" y1="94323" x2="26036" y2="94153"/>
                      <a14:foregroundMark x1="31534" y1="94470" x2="28989" y2="94323"/>
                      <a14:foregroundMark x1="33547" y1="94585" x2="31876" y2="94489"/>
                      <a14:foregroundMark x1="35706" y1="94710" x2="33915" y2="94607"/>
                      <a14:foregroundMark x1="2554" y1="92800" x2="1876" y2="85637"/>
                      <a14:backgroundMark x1="3251" y1="74400" x2="1858" y2="72800"/>
                      <a14:backgroundMark x1="18808" y1="74667" x2="19350" y2="66133"/>
                      <a14:backgroundMark x1="14783" y1="77067" x2="5031" y2="76800"/>
                      <a14:backgroundMark x1="35217" y1="82933" x2="35217" y2="90933"/>
                      <a14:backgroundMark x1="38467" y1="94133" x2="38777" y2="95200"/>
                      <a14:backgroundMark x1="1006" y1="98400" x2="21130" y2="99733"/>
                      <a14:backgroundMark x1="21130" y1="99733" x2="98297" y2="98400"/>
                      <a14:backgroundMark x1="98297" y1="98400" x2="98297" y2="98133"/>
                      <a14:backgroundMark x1="58824" y1="86667" x2="59365" y2="90667"/>
                      <a14:backgroundMark x1="56192" y1="88533" x2="56192" y2="91467"/>
                      <a14:backgroundMark x1="24845" y1="89867" x2="26858" y2="89600"/>
                      <a14:backgroundMark x1="20201" y1="88533" x2="20124" y2="90133"/>
                      <a14:backgroundMark x1="18034" y1="84267" x2="18034" y2="87733"/>
                      <a14:backgroundMark x1="16563" y1="89333" x2="16563" y2="88533"/>
                      <a14:backgroundMark x1="15170" y1="85333" x2="15325" y2="81333"/>
                      <a14:backgroundMark x1="17492" y1="79467" x2="18653" y2="95467"/>
                      <a14:backgroundMark x1="2709" y1="85867" x2="2709" y2="78400"/>
                      <a14:backgroundMark x1="4876" y1="86400" x2="4799" y2="79200"/>
                      <a14:backgroundMark x1="8901" y1="90133" x2="8978" y2="86133"/>
                      <a14:backgroundMark x1="6734" y1="93333" x2="6192" y2="89600"/>
                      <a14:backgroundMark x1="2554" y1="92000" x2="2477" y2="88533"/>
                      <a14:backgroundMark x1="4721" y1="94400" x2="4644" y2="91200"/>
                      <a14:backgroundMark x1="2941" y1="93867" x2="2709" y2="92800"/>
                      <a14:backgroundMark x1="22601" y1="85333" x2="22059" y2="78133"/>
                      <a14:backgroundMark x1="31502" y1="94133" x2="31037" y2="77333"/>
                      <a14:backgroundMark x1="29489" y1="89067" x2="29567" y2="86133"/>
                      <a14:backgroundMark x1="45356" y1="90400" x2="45356" y2="86133"/>
                      <a14:backgroundMark x1="38080" y1="86667" x2="37926" y2="84800"/>
                      <a14:backgroundMark x1="33746" y1="93333" x2="33204" y2="92000"/>
                      <a14:backgroundMark x1="64087" y1="90133" x2="63777" y2="84000"/>
                      <a14:backgroundMark x1="61765" y1="89600" x2="61765" y2="88267"/>
                      <a14:backgroundMark x1="60372" y1="82933" x2="59443" y2="84000"/>
                      <a14:backgroundMark x1="54025" y1="85867" x2="53793" y2="85067"/>
                      <a14:backgroundMark x1="51703" y1="83200" x2="51393" y2="83200"/>
                      <a14:backgroundMark x1="52864" y1="83733" x2="51858" y2="83733"/>
                      <a14:backgroundMark x1="41409" y1="86133" x2="41331" y2="84267"/>
                      <a14:backgroundMark x1="12461" y1="90933" x2="12693" y2="88000"/>
                      <a14:backgroundMark x1="69350" y1="93600" x2="69814" y2="84533"/>
                      <a14:backgroundMark x1="71981" y1="85867" x2="71981" y2="81333"/>
                      <a14:backgroundMark x1="82430" y1="85600" x2="82043" y2="83733"/>
                      <a14:backgroundMark x1="79567" y1="90133" x2="79721" y2="85600"/>
                      <a14:backgroundMark x1="87539" y1="85600" x2="87926" y2="88000"/>
                      <a14:backgroundMark x1="86687" y1="85067" x2="87461" y2="84000"/>
                      <a14:backgroundMark x1="85062" y1="90400" x2="85062" y2="84800"/>
                      <a14:backgroundMark x1="95124" y1="90933" x2="94814" y2="86133"/>
                      <a14:backgroundMark x1="78096" y1="84533" x2="77245" y2="82133"/>
                      <a14:backgroundMark x1="49923" y1="87467" x2="49149" y2="83467"/>
                      <a14:backgroundMark x1="47368" y1="84000" x2="47368" y2="8266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9060" y="198121"/>
          <a:ext cx="1390705" cy="403860"/>
        </a:xfrm>
        <a:prstGeom prst="rect">
          <a:avLst/>
        </a:prstGeom>
      </xdr:spPr>
    </xdr:pic>
    <xdr:clientData/>
  </xdr:twoCellAnchor>
  <xdr:twoCellAnchor editAs="oneCell">
    <xdr:from>
      <xdr:col>6</xdr:col>
      <xdr:colOff>1226821</xdr:colOff>
      <xdr:row>0</xdr:row>
      <xdr:rowOff>91441</xdr:rowOff>
    </xdr:from>
    <xdr:to>
      <xdr:col>8</xdr:col>
      <xdr:colOff>0</xdr:colOff>
      <xdr:row>0</xdr:row>
      <xdr:rowOff>669971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7" t="34636" r="20749" b="33167"/>
        <a:stretch/>
      </xdr:blipFill>
      <xdr:spPr bwMode="auto">
        <a:xfrm>
          <a:off x="10226041" y="91441"/>
          <a:ext cx="1859279" cy="5785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228600</xdr:colOff>
      <xdr:row>0</xdr:row>
      <xdr:rowOff>152400</xdr:rowOff>
    </xdr:from>
    <xdr:to>
      <xdr:col>6</xdr:col>
      <xdr:colOff>1099535</xdr:colOff>
      <xdr:row>0</xdr:row>
      <xdr:rowOff>601980</xdr:rowOff>
    </xdr:to>
    <xdr:pic>
      <xdr:nvPicPr>
        <xdr:cNvPr id="5" name="Gráfico 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227820" y="152400"/>
          <a:ext cx="870935" cy="4495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Relat&#243;rio%20de%20destino_transfer&#234;ncia%20(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</sheetNames>
    <sheetDataSet>
      <sheetData sheetId="0">
        <row r="1">
          <cell r="B1" t="str">
            <v>QTD</v>
          </cell>
        </row>
        <row r="2">
          <cell r="A2" t="str">
            <v xml:space="preserve">  PFP PENITENCIARIA FEMININA DO PARANA</v>
          </cell>
          <cell r="B2">
            <v>1</v>
          </cell>
        </row>
        <row r="3">
          <cell r="A3" t="str">
            <v xml:space="preserve">  PEP I PENITENCIARIA ESTADUAL DE PIRAQUARA</v>
          </cell>
          <cell r="B3">
            <v>1</v>
          </cell>
        </row>
        <row r="4">
          <cell r="A4" t="str">
            <v xml:space="preserve">  HOSPITAL DE CLINICAS</v>
          </cell>
          <cell r="B4">
            <v>1</v>
          </cell>
        </row>
        <row r="5">
          <cell r="A5" t="str">
            <v xml:space="preserve">  SAMU BRAVO - PIRAQUARA</v>
          </cell>
          <cell r="B5">
            <v>1</v>
          </cell>
        </row>
        <row r="6">
          <cell r="A6" t="str">
            <v xml:space="preserve">  HPM - HOSPITAL DA POLICIA MILITAR</v>
          </cell>
          <cell r="B6">
            <v>1</v>
          </cell>
        </row>
        <row r="7">
          <cell r="A7" t="str">
            <v xml:space="preserve">  HOSPITAL DO ROCIO CENTRAL ( VELHO)</v>
          </cell>
          <cell r="B7">
            <v>1</v>
          </cell>
        </row>
        <row r="8">
          <cell r="A8" t="str">
            <v xml:space="preserve">  HOSPITAL SAO VICENTE BATEL</v>
          </cell>
          <cell r="B8">
            <v>2</v>
          </cell>
        </row>
        <row r="9">
          <cell r="A9" t="str">
            <v xml:space="preserve">  HOSPITAL OSVALDO CRUZ</v>
          </cell>
          <cell r="B9">
            <v>2</v>
          </cell>
        </row>
        <row r="10">
          <cell r="A10" t="str">
            <v xml:space="preserve">  PCE PENITENCIARIA CENTRAL DO ESTADO</v>
          </cell>
          <cell r="B10">
            <v>3</v>
          </cell>
        </row>
        <row r="11">
          <cell r="A11" t="str">
            <v xml:space="preserve">  HOSPITAL REGIONAL DA LAPA DE SAO SE</v>
          </cell>
          <cell r="B11">
            <v>3</v>
          </cell>
        </row>
        <row r="12">
          <cell r="A12" t="str">
            <v xml:space="preserve">  HOSPITAL MUNICIPAL DE ARAUCARIA IND</v>
          </cell>
          <cell r="B12">
            <v>4</v>
          </cell>
        </row>
        <row r="13">
          <cell r="A13" t="str">
            <v xml:space="preserve">  HOSPITAL NOSSA SENHORA DO ROCIO</v>
          </cell>
          <cell r="B13">
            <v>5</v>
          </cell>
        </row>
        <row r="14">
          <cell r="A14" t="str">
            <v xml:space="preserve">  HOSPITAL ANGELINA CARON</v>
          </cell>
          <cell r="B14">
            <v>6</v>
          </cell>
        </row>
        <row r="15">
          <cell r="A15" t="str">
            <v xml:space="preserve">  HOSPITAL E MATERNIDADE DE PINHAIS</v>
          </cell>
          <cell r="B15">
            <v>7</v>
          </cell>
        </row>
        <row r="16">
          <cell r="A16" t="str">
            <v xml:space="preserve">  HOSPITAL SANTA CASA</v>
          </cell>
          <cell r="B16">
            <v>8</v>
          </cell>
        </row>
        <row r="17">
          <cell r="A17" t="str">
            <v xml:space="preserve">  HOSPITAL INFANTIL PEQUENO PRINCIPE</v>
          </cell>
          <cell r="B17">
            <v>10</v>
          </cell>
        </row>
        <row r="18">
          <cell r="A18" t="str">
            <v xml:space="preserve">  HOSPITAL DE CLINICAS</v>
          </cell>
          <cell r="B18">
            <v>14</v>
          </cell>
        </row>
        <row r="19">
          <cell r="A19" t="str">
            <v xml:space="preserve">  HEC HOSPITAL EVANGELICO DE CURITIBA</v>
          </cell>
          <cell r="B19">
            <v>15</v>
          </cell>
        </row>
        <row r="20">
          <cell r="A20" t="str">
            <v xml:space="preserve">  HMSJP - HOSPITAL MUNICIPAL SAO JOSE</v>
          </cell>
          <cell r="B20">
            <v>16</v>
          </cell>
        </row>
        <row r="21">
          <cell r="A21" t="str">
            <v xml:space="preserve">  UBS TREINAMENTO</v>
          </cell>
          <cell r="B21">
            <v>20</v>
          </cell>
        </row>
        <row r="22">
          <cell r="A22" t="str">
            <v xml:space="preserve">  HOSPITAL UNIVERSITARIO CAJURU</v>
          </cell>
          <cell r="B22">
            <v>28</v>
          </cell>
        </row>
        <row r="23">
          <cell r="A23" t="str">
            <v xml:space="preserve">  HOSPITAL UNIVERSITARIO EVANGELICO D</v>
          </cell>
          <cell r="B23">
            <v>40</v>
          </cell>
        </row>
        <row r="24">
          <cell r="A24" t="str">
            <v xml:space="preserve">  HOSPITAL DO TRABALHADOR</v>
          </cell>
          <cell r="B24">
            <v>47</v>
          </cell>
        </row>
        <row r="25">
          <cell r="A25" t="str">
            <v xml:space="preserve">  HOSPITAL ANGELINA CARON</v>
          </cell>
          <cell r="B25">
            <v>261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CLASSIFICAÇÃO DE RISC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3BEF2D"/>
      </a:accent2>
      <a:accent3>
        <a:srgbClr val="FFFF00"/>
      </a:accent3>
      <a:accent4>
        <a:srgbClr val="FFC000"/>
      </a:accent4>
      <a:accent5>
        <a:srgbClr val="FF0000"/>
      </a:accent5>
      <a:accent6>
        <a:srgbClr val="BFBFBF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5"/>
  <sheetViews>
    <sheetView showGridLines="0" topLeftCell="C1" zoomScale="85" zoomScaleNormal="85" workbookViewId="0">
      <selection activeCell="A3" sqref="A3:N5"/>
    </sheetView>
  </sheetViews>
  <sheetFormatPr defaultColWidth="8.85546875" defaultRowHeight="15" x14ac:dyDescent="0.25"/>
  <cols>
    <col min="1" max="1" width="32.28515625" style="6" customWidth="1"/>
    <col min="2" max="2" width="56.7109375" style="6" bestFit="1" customWidth="1"/>
    <col min="3" max="14" width="15.28515625" style="1" customWidth="1"/>
    <col min="15" max="15" width="21.42578125" style="1" customWidth="1"/>
    <col min="16" max="16" width="9.28515625" style="1" bestFit="1" customWidth="1"/>
    <col min="17" max="16384" width="8.85546875" style="1"/>
  </cols>
  <sheetData>
    <row r="1" spans="1:17" ht="61.9" customHeight="1" x14ac:dyDescent="0.25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2" spans="1:17" x14ac:dyDescent="0.25">
      <c r="A2" s="184" t="s">
        <v>369</v>
      </c>
      <c r="B2" s="184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7" x14ac:dyDescent="0.25">
      <c r="A3" s="188"/>
      <c r="B3" s="188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342</v>
      </c>
      <c r="I3" s="8" t="s">
        <v>343</v>
      </c>
      <c r="J3" s="8" t="s">
        <v>344</v>
      </c>
      <c r="K3" s="8" t="s">
        <v>345</v>
      </c>
      <c r="L3" s="8" t="s">
        <v>346</v>
      </c>
      <c r="M3" s="8" t="s">
        <v>347</v>
      </c>
      <c r="N3" s="8" t="s">
        <v>348</v>
      </c>
      <c r="O3" s="8" t="s">
        <v>5</v>
      </c>
    </row>
    <row r="4" spans="1:17" x14ac:dyDescent="0.25">
      <c r="A4" s="189" t="s">
        <v>14</v>
      </c>
      <c r="B4" s="189"/>
      <c r="C4" s="9">
        <v>8880</v>
      </c>
      <c r="D4" s="9">
        <v>12340</v>
      </c>
      <c r="E4" s="9">
        <v>5400</v>
      </c>
      <c r="F4" s="9"/>
      <c r="G4" s="9"/>
      <c r="H4" s="9"/>
      <c r="I4" s="9"/>
      <c r="J4" s="9"/>
      <c r="K4" s="9"/>
      <c r="L4" s="9"/>
      <c r="M4" s="9"/>
      <c r="N4" s="9"/>
      <c r="O4" s="15">
        <f>SUM(C4:N4)</f>
        <v>26620</v>
      </c>
    </row>
    <row r="5" spans="1:17" x14ac:dyDescent="0.25">
      <c r="A5" s="13" t="s">
        <v>77</v>
      </c>
      <c r="B5" s="13"/>
      <c r="C5" s="9">
        <f>C4/31</f>
        <v>286.45161290322579</v>
      </c>
      <c r="D5" s="9">
        <f>D4/30</f>
        <v>411.33333333333331</v>
      </c>
      <c r="E5" s="9">
        <f>E4/31</f>
        <v>174.19354838709677</v>
      </c>
      <c r="F5" s="9">
        <f>F4/30</f>
        <v>0</v>
      </c>
      <c r="G5" s="9">
        <f>G4/31</f>
        <v>0</v>
      </c>
      <c r="H5" s="9">
        <f>H4/31</f>
        <v>0</v>
      </c>
      <c r="I5" s="9">
        <f>I4/30</f>
        <v>0</v>
      </c>
      <c r="J5" s="9">
        <f>J4/31</f>
        <v>0</v>
      </c>
      <c r="K5" s="9">
        <f>K4/30</f>
        <v>0</v>
      </c>
      <c r="L5" s="9">
        <f>L4/31</f>
        <v>0</v>
      </c>
      <c r="M5" s="9">
        <f>M4/31</f>
        <v>0</v>
      </c>
      <c r="N5" s="9">
        <f>N4/28</f>
        <v>0</v>
      </c>
      <c r="O5" s="15">
        <f>AVERAGE(C5:N5)</f>
        <v>72.664874551971323</v>
      </c>
    </row>
    <row r="6" spans="1:17" ht="10.9" customHeight="1" x14ac:dyDescent="0.25">
      <c r="A6" s="14"/>
      <c r="B6" s="14"/>
      <c r="H6" s="3"/>
      <c r="I6" s="3"/>
      <c r="J6" s="3"/>
      <c r="K6" s="3"/>
      <c r="L6" s="3"/>
      <c r="M6" s="3"/>
      <c r="N6" s="3"/>
      <c r="O6" s="7"/>
    </row>
    <row r="7" spans="1:17" x14ac:dyDescent="0.25">
      <c r="A7" s="188"/>
      <c r="B7" s="188"/>
      <c r="C7" s="8" t="s">
        <v>337</v>
      </c>
      <c r="D7" s="8" t="s">
        <v>338</v>
      </c>
      <c r="E7" s="8" t="s">
        <v>339</v>
      </c>
      <c r="F7" s="8" t="s">
        <v>340</v>
      </c>
      <c r="G7" s="8" t="s">
        <v>341</v>
      </c>
      <c r="H7" s="8" t="s">
        <v>342</v>
      </c>
      <c r="I7" s="8" t="s">
        <v>343</v>
      </c>
      <c r="J7" s="8" t="s">
        <v>344</v>
      </c>
      <c r="K7" s="8" t="s">
        <v>345</v>
      </c>
      <c r="L7" s="8" t="s">
        <v>346</v>
      </c>
      <c r="M7" s="8" t="s">
        <v>347</v>
      </c>
      <c r="N7" s="8" t="s">
        <v>348</v>
      </c>
      <c r="O7" s="8" t="s">
        <v>5</v>
      </c>
    </row>
    <row r="8" spans="1:17" x14ac:dyDescent="0.25">
      <c r="A8" s="189" t="s">
        <v>43</v>
      </c>
      <c r="B8" s="189"/>
      <c r="C8" s="9">
        <v>12000</v>
      </c>
      <c r="D8" s="9">
        <v>9400</v>
      </c>
      <c r="E8" s="9">
        <v>10500</v>
      </c>
      <c r="F8" s="9">
        <v>12800</v>
      </c>
      <c r="G8" s="9"/>
      <c r="H8" s="9"/>
      <c r="I8" s="9"/>
      <c r="J8" s="9"/>
      <c r="K8" s="9"/>
      <c r="L8" s="9"/>
      <c r="M8" s="9"/>
      <c r="N8" s="9"/>
      <c r="O8" s="15">
        <f>SUM(C8:N8)</f>
        <v>44700</v>
      </c>
    </row>
    <row r="9" spans="1:17" s="175" customFormat="1" x14ac:dyDescent="0.25">
      <c r="A9" s="190" t="s">
        <v>11</v>
      </c>
      <c r="B9" s="190"/>
      <c r="C9" s="173">
        <v>8000</v>
      </c>
      <c r="D9" s="173">
        <v>8000</v>
      </c>
      <c r="E9" s="173">
        <v>8000</v>
      </c>
      <c r="F9" s="173">
        <v>8000</v>
      </c>
      <c r="G9" s="173">
        <v>8000</v>
      </c>
      <c r="H9" s="173">
        <v>8000</v>
      </c>
      <c r="I9" s="173">
        <v>8000</v>
      </c>
      <c r="J9" s="173">
        <v>8000</v>
      </c>
      <c r="K9" s="173">
        <v>8000</v>
      </c>
      <c r="L9" s="173">
        <v>8000</v>
      </c>
      <c r="M9" s="173">
        <v>8000</v>
      </c>
      <c r="N9" s="173">
        <v>8000</v>
      </c>
      <c r="O9" s="174">
        <f>SUM(C9:N9)</f>
        <v>96000</v>
      </c>
      <c r="Q9" s="173"/>
    </row>
    <row r="10" spans="1:17" ht="10.9" customHeight="1" x14ac:dyDescent="0.25">
      <c r="A10" s="14"/>
      <c r="B10" s="14"/>
      <c r="O10" s="16"/>
    </row>
    <row r="11" spans="1:17" x14ac:dyDescent="0.25">
      <c r="A11" s="188"/>
      <c r="B11" s="188"/>
      <c r="C11" s="8" t="s">
        <v>337</v>
      </c>
      <c r="D11" s="8" t="s">
        <v>338</v>
      </c>
      <c r="E11" s="8" t="s">
        <v>339</v>
      </c>
      <c r="F11" s="8" t="s">
        <v>340</v>
      </c>
      <c r="G11" s="8" t="s">
        <v>341</v>
      </c>
      <c r="H11" s="8" t="s">
        <v>342</v>
      </c>
      <c r="I11" s="8" t="s">
        <v>343</v>
      </c>
      <c r="J11" s="8" t="s">
        <v>344</v>
      </c>
      <c r="K11" s="8" t="s">
        <v>345</v>
      </c>
      <c r="L11" s="8" t="s">
        <v>346</v>
      </c>
      <c r="M11" s="8" t="s">
        <v>347</v>
      </c>
      <c r="N11" s="8" t="s">
        <v>348</v>
      </c>
      <c r="O11" s="8" t="s">
        <v>5</v>
      </c>
    </row>
    <row r="12" spans="1:17" x14ac:dyDescent="0.25">
      <c r="A12" s="189" t="s">
        <v>12</v>
      </c>
      <c r="B12" s="178" t="s">
        <v>0</v>
      </c>
      <c r="C12" s="9">
        <v>300</v>
      </c>
      <c r="D12" s="9">
        <v>34</v>
      </c>
      <c r="E12" s="9">
        <v>150</v>
      </c>
      <c r="F12" s="9"/>
      <c r="G12" s="9"/>
      <c r="H12" s="9"/>
      <c r="I12" s="9"/>
      <c r="J12" s="9"/>
      <c r="K12" s="9"/>
      <c r="L12" s="9"/>
      <c r="M12" s="9"/>
      <c r="N12" s="9"/>
      <c r="O12" s="15">
        <f t="shared" ref="O12:O18" si="0">SUM(C12:N12)</f>
        <v>484</v>
      </c>
    </row>
    <row r="13" spans="1:17" x14ac:dyDescent="0.25">
      <c r="A13" s="189"/>
      <c r="B13" s="179" t="s">
        <v>1</v>
      </c>
      <c r="C13" s="9">
        <v>96</v>
      </c>
      <c r="D13" s="9">
        <v>1240</v>
      </c>
      <c r="E13" s="9">
        <v>7580</v>
      </c>
      <c r="F13" s="9"/>
      <c r="G13" s="9"/>
      <c r="H13" s="9"/>
      <c r="I13" s="9"/>
      <c r="J13" s="9"/>
      <c r="K13" s="9"/>
      <c r="L13" s="9"/>
      <c r="M13" s="9"/>
      <c r="N13" s="9"/>
      <c r="O13" s="15">
        <f t="shared" si="0"/>
        <v>8916</v>
      </c>
    </row>
    <row r="14" spans="1:17" x14ac:dyDescent="0.25">
      <c r="A14" s="189"/>
      <c r="B14" s="172" t="s">
        <v>2</v>
      </c>
      <c r="C14" s="9">
        <v>84</v>
      </c>
      <c r="D14" s="9">
        <v>1000</v>
      </c>
      <c r="E14" s="9">
        <v>3400</v>
      </c>
      <c r="F14" s="9"/>
      <c r="G14" s="9"/>
      <c r="H14" s="9"/>
      <c r="I14" s="9"/>
      <c r="J14" s="9"/>
      <c r="K14" s="9"/>
      <c r="L14" s="9"/>
      <c r="M14" s="9"/>
      <c r="N14" s="9"/>
      <c r="O14" s="15">
        <f t="shared" si="0"/>
        <v>4484</v>
      </c>
    </row>
    <row r="15" spans="1:17" x14ac:dyDescent="0.25">
      <c r="A15" s="189"/>
      <c r="B15" s="180" t="s">
        <v>3</v>
      </c>
      <c r="C15" s="9">
        <v>16</v>
      </c>
      <c r="D15" s="9">
        <v>800</v>
      </c>
      <c r="E15" s="9">
        <v>200</v>
      </c>
      <c r="F15" s="9"/>
      <c r="G15" s="9"/>
      <c r="H15" s="9"/>
      <c r="I15" s="9"/>
      <c r="J15" s="9"/>
      <c r="K15" s="9"/>
      <c r="L15" s="9"/>
      <c r="M15" s="9"/>
      <c r="N15" s="9"/>
      <c r="O15" s="15">
        <f t="shared" si="0"/>
        <v>1016</v>
      </c>
    </row>
    <row r="16" spans="1:17" x14ac:dyDescent="0.25">
      <c r="A16" s="189"/>
      <c r="B16" s="181" t="s">
        <v>4</v>
      </c>
      <c r="C16" s="9">
        <v>25</v>
      </c>
      <c r="D16" s="9">
        <v>59</v>
      </c>
      <c r="E16" s="9">
        <v>94</v>
      </c>
      <c r="F16" s="9"/>
      <c r="G16" s="9"/>
      <c r="H16" s="9"/>
      <c r="I16" s="9"/>
      <c r="J16" s="9"/>
      <c r="K16" s="9"/>
      <c r="L16" s="9"/>
      <c r="M16" s="9"/>
      <c r="N16" s="9"/>
      <c r="O16" s="15">
        <f t="shared" si="0"/>
        <v>178</v>
      </c>
    </row>
    <row r="17" spans="1:15" x14ac:dyDescent="0.25">
      <c r="A17" s="189"/>
      <c r="B17" s="182" t="s">
        <v>13</v>
      </c>
      <c r="C17" s="9">
        <v>31</v>
      </c>
      <c r="D17" s="9">
        <v>21</v>
      </c>
      <c r="E17" s="9">
        <v>23</v>
      </c>
      <c r="F17" s="9"/>
      <c r="G17" s="9"/>
      <c r="H17" s="9"/>
      <c r="I17" s="9"/>
      <c r="J17" s="9"/>
      <c r="K17" s="9"/>
      <c r="L17" s="9"/>
      <c r="M17" s="9"/>
      <c r="N17" s="9"/>
      <c r="O17" s="15">
        <f t="shared" si="0"/>
        <v>75</v>
      </c>
    </row>
    <row r="18" spans="1:15" x14ac:dyDescent="0.25">
      <c r="A18" s="189"/>
      <c r="B18" s="183" t="s">
        <v>32</v>
      </c>
      <c r="C18" s="15">
        <f t="shared" ref="C18:K18" si="1">SUM(C12:C17)</f>
        <v>552</v>
      </c>
      <c r="D18" s="15">
        <f t="shared" si="1"/>
        <v>3154</v>
      </c>
      <c r="E18" s="15">
        <f t="shared" si="1"/>
        <v>11447</v>
      </c>
      <c r="F18" s="15">
        <f t="shared" si="1"/>
        <v>0</v>
      </c>
      <c r="G18" s="15">
        <f t="shared" si="1"/>
        <v>0</v>
      </c>
      <c r="H18" s="15">
        <f t="shared" si="1"/>
        <v>0</v>
      </c>
      <c r="I18" s="15">
        <f t="shared" si="1"/>
        <v>0</v>
      </c>
      <c r="J18" s="15">
        <f t="shared" si="1"/>
        <v>0</v>
      </c>
      <c r="K18" s="15">
        <f t="shared" si="1"/>
        <v>0</v>
      </c>
      <c r="L18" s="15">
        <f>SUM(L12:L17)</f>
        <v>0</v>
      </c>
      <c r="M18" s="15">
        <f>SUM(M12:M17)</f>
        <v>0</v>
      </c>
      <c r="N18" s="15">
        <f>SUM(N12:N17)</f>
        <v>0</v>
      </c>
      <c r="O18" s="15">
        <f t="shared" si="0"/>
        <v>15153</v>
      </c>
    </row>
    <row r="19" spans="1:15" ht="10.9" customHeight="1" x14ac:dyDescent="0.25">
      <c r="A19" s="14"/>
      <c r="B19" s="14"/>
      <c r="O19" s="7"/>
    </row>
    <row r="20" spans="1:15" ht="14.45" customHeight="1" x14ac:dyDescent="0.25">
      <c r="A20" s="189" t="s">
        <v>78</v>
      </c>
      <c r="B20" s="13" t="s">
        <v>0</v>
      </c>
      <c r="C20" s="12">
        <f t="shared" ref="C20:I20" si="2">C12/C18</f>
        <v>0.54347826086956519</v>
      </c>
      <c r="D20" s="12">
        <f t="shared" si="2"/>
        <v>1.077996195307546E-2</v>
      </c>
      <c r="E20" s="12">
        <f t="shared" si="2"/>
        <v>1.3103870009609504E-2</v>
      </c>
      <c r="F20" s="12" t="e">
        <f t="shared" si="2"/>
        <v>#DIV/0!</v>
      </c>
      <c r="G20" s="12" t="e">
        <f t="shared" si="2"/>
        <v>#DIV/0!</v>
      </c>
      <c r="H20" s="12" t="e">
        <f t="shared" si="2"/>
        <v>#DIV/0!</v>
      </c>
      <c r="I20" s="12" t="e">
        <f t="shared" si="2"/>
        <v>#DIV/0!</v>
      </c>
      <c r="J20" s="12" t="e">
        <f>J12/J18</f>
        <v>#DIV/0!</v>
      </c>
      <c r="K20" s="12" t="e">
        <f>K12/K18</f>
        <v>#DIV/0!</v>
      </c>
      <c r="L20" s="12" t="e">
        <f>L12/L18</f>
        <v>#DIV/0!</v>
      </c>
      <c r="M20" s="12" t="e">
        <f>M12/M18</f>
        <v>#DIV/0!</v>
      </c>
      <c r="N20" s="12" t="e">
        <f>N12/N18</f>
        <v>#DIV/0!</v>
      </c>
      <c r="O20" s="19" t="e">
        <f t="shared" ref="O20:O25" si="3">AVERAGE(C20:N20)</f>
        <v>#DIV/0!</v>
      </c>
    </row>
    <row r="21" spans="1:15" x14ac:dyDescent="0.25">
      <c r="A21" s="189"/>
      <c r="B21" s="13" t="s">
        <v>1</v>
      </c>
      <c r="C21" s="12">
        <f t="shared" ref="C21:I21" si="4">C13/C18</f>
        <v>0.17391304347826086</v>
      </c>
      <c r="D21" s="12">
        <f t="shared" si="4"/>
        <v>0.39315155358275206</v>
      </c>
      <c r="E21" s="12">
        <f t="shared" si="4"/>
        <v>0.66218223115226693</v>
      </c>
      <c r="F21" s="12" t="e">
        <f t="shared" si="4"/>
        <v>#DIV/0!</v>
      </c>
      <c r="G21" s="12" t="e">
        <f t="shared" si="4"/>
        <v>#DIV/0!</v>
      </c>
      <c r="H21" s="12" t="e">
        <f t="shared" si="4"/>
        <v>#DIV/0!</v>
      </c>
      <c r="I21" s="12" t="e">
        <f t="shared" si="4"/>
        <v>#DIV/0!</v>
      </c>
      <c r="J21" s="12" t="e">
        <f>J13/J18</f>
        <v>#DIV/0!</v>
      </c>
      <c r="K21" s="12" t="e">
        <f>K13/K18</f>
        <v>#DIV/0!</v>
      </c>
      <c r="L21" s="12" t="e">
        <f>L13/L18</f>
        <v>#DIV/0!</v>
      </c>
      <c r="M21" s="12" t="e">
        <f>M13/M18</f>
        <v>#DIV/0!</v>
      </c>
      <c r="N21" s="12" t="e">
        <f>N13/N18</f>
        <v>#DIV/0!</v>
      </c>
      <c r="O21" s="19" t="e">
        <f t="shared" si="3"/>
        <v>#DIV/0!</v>
      </c>
    </row>
    <row r="22" spans="1:15" x14ac:dyDescent="0.25">
      <c r="A22" s="189"/>
      <c r="B22" s="13" t="s">
        <v>2</v>
      </c>
      <c r="C22" s="12">
        <f t="shared" ref="C22:I22" si="5">C14/C18</f>
        <v>0.15217391304347827</v>
      </c>
      <c r="D22" s="12">
        <f t="shared" si="5"/>
        <v>0.31705770450221943</v>
      </c>
      <c r="E22" s="12">
        <f t="shared" si="5"/>
        <v>0.29702105355114877</v>
      </c>
      <c r="F22" s="12" t="e">
        <f t="shared" si="5"/>
        <v>#DIV/0!</v>
      </c>
      <c r="G22" s="12" t="e">
        <f t="shared" si="5"/>
        <v>#DIV/0!</v>
      </c>
      <c r="H22" s="12" t="e">
        <f t="shared" si="5"/>
        <v>#DIV/0!</v>
      </c>
      <c r="I22" s="12" t="e">
        <f t="shared" si="5"/>
        <v>#DIV/0!</v>
      </c>
      <c r="J22" s="12" t="e">
        <f>J14/J18</f>
        <v>#DIV/0!</v>
      </c>
      <c r="K22" s="12" t="e">
        <f>K14/K18</f>
        <v>#DIV/0!</v>
      </c>
      <c r="L22" s="12" t="e">
        <f>L14/L18</f>
        <v>#DIV/0!</v>
      </c>
      <c r="M22" s="12" t="e">
        <f>M14/M18</f>
        <v>#DIV/0!</v>
      </c>
      <c r="N22" s="12" t="e">
        <f>N14/N18</f>
        <v>#DIV/0!</v>
      </c>
      <c r="O22" s="19" t="e">
        <f t="shared" si="3"/>
        <v>#DIV/0!</v>
      </c>
    </row>
    <row r="23" spans="1:15" x14ac:dyDescent="0.25">
      <c r="A23" s="189"/>
      <c r="B23" s="13" t="s">
        <v>3</v>
      </c>
      <c r="C23" s="12">
        <f t="shared" ref="C23:I23" si="6">C15/C18</f>
        <v>2.8985507246376812E-2</v>
      </c>
      <c r="D23" s="12">
        <f t="shared" si="6"/>
        <v>0.2536461636017755</v>
      </c>
      <c r="E23" s="12">
        <f t="shared" si="6"/>
        <v>1.747182667947934E-2</v>
      </c>
      <c r="F23" s="12" t="e">
        <f t="shared" si="6"/>
        <v>#DIV/0!</v>
      </c>
      <c r="G23" s="12" t="e">
        <f t="shared" si="6"/>
        <v>#DIV/0!</v>
      </c>
      <c r="H23" s="12" t="e">
        <f t="shared" si="6"/>
        <v>#DIV/0!</v>
      </c>
      <c r="I23" s="12" t="e">
        <f t="shared" si="6"/>
        <v>#DIV/0!</v>
      </c>
      <c r="J23" s="12" t="e">
        <f>J15/J18</f>
        <v>#DIV/0!</v>
      </c>
      <c r="K23" s="12" t="e">
        <f>K15/K18</f>
        <v>#DIV/0!</v>
      </c>
      <c r="L23" s="12" t="e">
        <f>L15/L18</f>
        <v>#DIV/0!</v>
      </c>
      <c r="M23" s="12" t="e">
        <f>M15/M18</f>
        <v>#DIV/0!</v>
      </c>
      <c r="N23" s="12" t="e">
        <f>N15/N18</f>
        <v>#DIV/0!</v>
      </c>
      <c r="O23" s="19" t="e">
        <f t="shared" si="3"/>
        <v>#DIV/0!</v>
      </c>
    </row>
    <row r="24" spans="1:15" x14ac:dyDescent="0.25">
      <c r="A24" s="189"/>
      <c r="B24" s="13" t="s">
        <v>4</v>
      </c>
      <c r="C24" s="12">
        <f t="shared" ref="C24:I24" si="7">C16/C18</f>
        <v>4.5289855072463768E-2</v>
      </c>
      <c r="D24" s="12">
        <f t="shared" si="7"/>
        <v>1.8706404565630944E-2</v>
      </c>
      <c r="E24" s="12">
        <f t="shared" si="7"/>
        <v>8.2117585393552892E-3</v>
      </c>
      <c r="F24" s="12" t="e">
        <f t="shared" si="7"/>
        <v>#DIV/0!</v>
      </c>
      <c r="G24" s="12" t="e">
        <f t="shared" si="7"/>
        <v>#DIV/0!</v>
      </c>
      <c r="H24" s="12" t="e">
        <f t="shared" si="7"/>
        <v>#DIV/0!</v>
      </c>
      <c r="I24" s="12" t="e">
        <f t="shared" si="7"/>
        <v>#DIV/0!</v>
      </c>
      <c r="J24" s="12" t="e">
        <f>J16/J18</f>
        <v>#DIV/0!</v>
      </c>
      <c r="K24" s="12" t="e">
        <f>K16/K18</f>
        <v>#DIV/0!</v>
      </c>
      <c r="L24" s="12" t="e">
        <f>L16/L18</f>
        <v>#DIV/0!</v>
      </c>
      <c r="M24" s="12" t="e">
        <f>M16/M18</f>
        <v>#DIV/0!</v>
      </c>
      <c r="N24" s="12" t="e">
        <f>N16/N18</f>
        <v>#DIV/0!</v>
      </c>
      <c r="O24" s="19" t="e">
        <f t="shared" si="3"/>
        <v>#DIV/0!</v>
      </c>
    </row>
    <row r="25" spans="1:15" x14ac:dyDescent="0.25">
      <c r="A25" s="189"/>
      <c r="B25" s="13" t="s">
        <v>79</v>
      </c>
      <c r="C25" s="12">
        <f t="shared" ref="C25:I25" si="8">C17/C18</f>
        <v>5.6159420289855072E-2</v>
      </c>
      <c r="D25" s="12">
        <f t="shared" si="8"/>
        <v>6.6582117945466071E-3</v>
      </c>
      <c r="E25" s="12">
        <f t="shared" si="8"/>
        <v>2.0092600681401239E-3</v>
      </c>
      <c r="F25" s="12" t="e">
        <f t="shared" si="8"/>
        <v>#DIV/0!</v>
      </c>
      <c r="G25" s="12" t="e">
        <f t="shared" si="8"/>
        <v>#DIV/0!</v>
      </c>
      <c r="H25" s="12" t="e">
        <f t="shared" si="8"/>
        <v>#DIV/0!</v>
      </c>
      <c r="I25" s="12" t="e">
        <f t="shared" si="8"/>
        <v>#DIV/0!</v>
      </c>
      <c r="J25" s="12" t="e">
        <f>J17/J18</f>
        <v>#DIV/0!</v>
      </c>
      <c r="K25" s="12" t="e">
        <f>K17/K18</f>
        <v>#DIV/0!</v>
      </c>
      <c r="L25" s="12" t="e">
        <f>L17/L18</f>
        <v>#DIV/0!</v>
      </c>
      <c r="M25" s="12" t="e">
        <f>M17/M18</f>
        <v>#DIV/0!</v>
      </c>
      <c r="N25" s="12" t="e">
        <f>N17/N18</f>
        <v>#DIV/0!</v>
      </c>
      <c r="O25" s="19" t="e">
        <f t="shared" si="3"/>
        <v>#DIV/0!</v>
      </c>
    </row>
    <row r="26" spans="1:15" ht="10.9" customHeight="1" x14ac:dyDescent="0.25">
      <c r="A26" s="14"/>
      <c r="B26" s="14"/>
      <c r="O26" s="7"/>
    </row>
    <row r="27" spans="1:15" x14ac:dyDescent="0.25">
      <c r="A27" s="188"/>
      <c r="B27" s="188"/>
      <c r="C27" s="8" t="s">
        <v>337</v>
      </c>
      <c r="D27" s="8" t="s">
        <v>338</v>
      </c>
      <c r="E27" s="8" t="s">
        <v>339</v>
      </c>
      <c r="F27" s="8" t="s">
        <v>340</v>
      </c>
      <c r="G27" s="8" t="s">
        <v>341</v>
      </c>
      <c r="H27" s="8" t="s">
        <v>342</v>
      </c>
      <c r="I27" s="8" t="s">
        <v>343</v>
      </c>
      <c r="J27" s="8" t="s">
        <v>344</v>
      </c>
      <c r="K27" s="8" t="s">
        <v>345</v>
      </c>
      <c r="L27" s="8" t="s">
        <v>346</v>
      </c>
      <c r="M27" s="8" t="s">
        <v>347</v>
      </c>
      <c r="N27" s="8" t="s">
        <v>348</v>
      </c>
      <c r="O27" s="8" t="s">
        <v>5</v>
      </c>
    </row>
    <row r="28" spans="1:15" ht="39" customHeight="1" x14ac:dyDescent="0.25">
      <c r="A28" s="13" t="s">
        <v>104</v>
      </c>
      <c r="B28" s="13" t="s">
        <v>31</v>
      </c>
      <c r="C28" s="17">
        <v>6.2500000000000003E-3</v>
      </c>
      <c r="D28" s="17">
        <v>8.3333333333333332E-3</v>
      </c>
      <c r="E28" s="17">
        <v>7.6388888888888886E-3</v>
      </c>
      <c r="F28" s="17"/>
      <c r="G28" s="17"/>
      <c r="H28" s="17"/>
      <c r="I28" s="17"/>
      <c r="J28" s="17"/>
      <c r="K28" s="17"/>
      <c r="L28" s="17"/>
      <c r="M28" s="17"/>
      <c r="N28" s="17"/>
      <c r="O28" s="17">
        <f>AVERAGE(C28:N28)</f>
        <v>7.4074074074074077E-3</v>
      </c>
    </row>
    <row r="29" spans="1:15" s="175" customFormat="1" ht="13.5" customHeight="1" x14ac:dyDescent="0.25">
      <c r="A29" s="172" t="s">
        <v>11</v>
      </c>
      <c r="B29" s="172"/>
      <c r="C29" s="176">
        <v>6.9444444444444441E-3</v>
      </c>
      <c r="D29" s="176">
        <v>6.9444444444444441E-3</v>
      </c>
      <c r="E29" s="176">
        <v>6.9444444444444441E-3</v>
      </c>
      <c r="F29" s="176">
        <v>6.9444444444444441E-3</v>
      </c>
      <c r="G29" s="176">
        <v>6.9444444444444441E-3</v>
      </c>
      <c r="H29" s="176">
        <v>6.9444444444444441E-3</v>
      </c>
      <c r="I29" s="176">
        <v>6.9444444444444441E-3</v>
      </c>
      <c r="J29" s="176">
        <v>6.9444444444444441E-3</v>
      </c>
      <c r="K29" s="176">
        <v>6.9444444444444397E-3</v>
      </c>
      <c r="L29" s="176">
        <v>6.9444444444444397E-3</v>
      </c>
      <c r="M29" s="176">
        <v>6.9444444444444441E-3</v>
      </c>
      <c r="N29" s="176">
        <v>6.9444444444444441E-3</v>
      </c>
      <c r="O29" s="177"/>
    </row>
    <row r="30" spans="1:15" ht="10.9" customHeight="1" x14ac:dyDescent="0.25">
      <c r="A30" s="14"/>
      <c r="B30" s="14"/>
      <c r="O30" s="7"/>
    </row>
    <row r="31" spans="1:15" x14ac:dyDescent="0.25">
      <c r="A31" s="188"/>
      <c r="B31" s="188"/>
      <c r="C31" s="8" t="s">
        <v>337</v>
      </c>
      <c r="D31" s="8" t="s">
        <v>338</v>
      </c>
      <c r="E31" s="8" t="s">
        <v>339</v>
      </c>
      <c r="F31" s="8" t="s">
        <v>340</v>
      </c>
      <c r="G31" s="8" t="s">
        <v>341</v>
      </c>
      <c r="H31" s="8" t="s">
        <v>342</v>
      </c>
      <c r="I31" s="8" t="s">
        <v>343</v>
      </c>
      <c r="J31" s="8" t="s">
        <v>344</v>
      </c>
      <c r="K31" s="8" t="s">
        <v>345</v>
      </c>
      <c r="L31" s="8" t="s">
        <v>346</v>
      </c>
      <c r="M31" s="8" t="s">
        <v>347</v>
      </c>
      <c r="N31" s="8" t="s">
        <v>348</v>
      </c>
      <c r="O31" s="8" t="s">
        <v>5</v>
      </c>
    </row>
    <row r="32" spans="1:15" ht="47.25" customHeight="1" x14ac:dyDescent="0.25">
      <c r="A32" s="13" t="s">
        <v>105</v>
      </c>
      <c r="B32" s="13" t="s">
        <v>31</v>
      </c>
      <c r="C32" s="17">
        <v>4.0972222222222222E-2</v>
      </c>
      <c r="D32" s="17">
        <v>1.3888888888888888E-2</v>
      </c>
      <c r="E32" s="17">
        <v>9.0277777777777769E-3</v>
      </c>
      <c r="F32" s="154"/>
      <c r="G32" s="154"/>
      <c r="H32" s="154"/>
      <c r="I32" s="154"/>
      <c r="J32" s="154"/>
      <c r="K32" s="154"/>
      <c r="L32" s="154"/>
      <c r="M32" s="154"/>
      <c r="N32" s="154"/>
      <c r="O32" s="154">
        <f>AVERAGE(C32:N32)</f>
        <v>2.1296296296296296E-2</v>
      </c>
    </row>
    <row r="33" spans="1:15" ht="10.9" customHeight="1" x14ac:dyDescent="0.25">
      <c r="A33" s="14"/>
      <c r="B33" s="14"/>
      <c r="O33" s="7"/>
    </row>
    <row r="34" spans="1:15" x14ac:dyDescent="0.25">
      <c r="A34" s="188"/>
      <c r="B34" s="188"/>
      <c r="C34" s="8" t="s">
        <v>337</v>
      </c>
      <c r="D34" s="8" t="s">
        <v>338</v>
      </c>
      <c r="E34" s="8" t="s">
        <v>339</v>
      </c>
      <c r="F34" s="8" t="s">
        <v>340</v>
      </c>
      <c r="G34" s="8" t="s">
        <v>341</v>
      </c>
      <c r="H34" s="8" t="s">
        <v>342</v>
      </c>
      <c r="I34" s="8" t="s">
        <v>343</v>
      </c>
      <c r="J34" s="8" t="s">
        <v>344</v>
      </c>
      <c r="K34" s="8" t="s">
        <v>345</v>
      </c>
      <c r="L34" s="8" t="s">
        <v>346</v>
      </c>
      <c r="M34" s="8" t="s">
        <v>347</v>
      </c>
      <c r="N34" s="8" t="s">
        <v>348</v>
      </c>
      <c r="O34" s="8" t="s">
        <v>5</v>
      </c>
    </row>
    <row r="35" spans="1:15" ht="30" customHeight="1" x14ac:dyDescent="0.25">
      <c r="A35" s="13" t="s">
        <v>349</v>
      </c>
      <c r="B35" s="13" t="s">
        <v>83</v>
      </c>
      <c r="C35" s="17">
        <v>1.2084722222222222</v>
      </c>
      <c r="D35" s="17">
        <v>1.1854166666666666</v>
      </c>
      <c r="E35" s="17">
        <v>0.95833333333333337</v>
      </c>
      <c r="F35" s="17"/>
      <c r="G35" s="17"/>
      <c r="H35" s="17"/>
      <c r="I35" s="17"/>
      <c r="J35" s="17"/>
      <c r="K35" s="17"/>
      <c r="L35" s="17"/>
      <c r="M35" s="17"/>
      <c r="N35" s="17"/>
      <c r="O35" s="17">
        <f>AVERAGE(C35:N35)</f>
        <v>1.1174074074074074</v>
      </c>
    </row>
    <row r="36" spans="1:15" x14ac:dyDescent="0.25">
      <c r="A36" s="14"/>
      <c r="B36" s="14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</row>
    <row r="37" spans="1:15" x14ac:dyDescent="0.25">
      <c r="A37" s="188"/>
      <c r="B37" s="188"/>
      <c r="C37" s="8" t="s">
        <v>337</v>
      </c>
      <c r="D37" s="8" t="s">
        <v>338</v>
      </c>
      <c r="E37" s="8" t="s">
        <v>339</v>
      </c>
      <c r="F37" s="8" t="s">
        <v>340</v>
      </c>
      <c r="G37" s="8" t="s">
        <v>341</v>
      </c>
      <c r="H37" s="8" t="s">
        <v>342</v>
      </c>
      <c r="I37" s="8" t="s">
        <v>343</v>
      </c>
      <c r="J37" s="8" t="s">
        <v>344</v>
      </c>
      <c r="K37" s="8" t="s">
        <v>345</v>
      </c>
      <c r="L37" s="8" t="s">
        <v>346</v>
      </c>
      <c r="M37" s="8" t="s">
        <v>347</v>
      </c>
      <c r="N37" s="8" t="s">
        <v>348</v>
      </c>
      <c r="O37" s="8" t="s">
        <v>5</v>
      </c>
    </row>
    <row r="38" spans="1:15" ht="30" customHeight="1" x14ac:dyDescent="0.25">
      <c r="A38" s="13" t="s">
        <v>350</v>
      </c>
      <c r="B38" s="13" t="s">
        <v>354</v>
      </c>
      <c r="C38" s="17">
        <v>6.5972222222222224E-2</v>
      </c>
      <c r="D38" s="17">
        <v>8.611111111111111E-2</v>
      </c>
      <c r="E38" s="17">
        <v>0.12777777777777777</v>
      </c>
      <c r="F38" s="17"/>
      <c r="G38" s="17"/>
      <c r="H38" s="17"/>
      <c r="I38" s="17"/>
      <c r="J38" s="17"/>
      <c r="K38" s="17"/>
      <c r="L38" s="17"/>
      <c r="M38" s="17"/>
      <c r="N38" s="17"/>
      <c r="O38" s="17">
        <f>AVERAGE(C38:N38)</f>
        <v>9.3287037037037043E-2</v>
      </c>
    </row>
    <row r="39" spans="1:15" ht="10.9" customHeight="1" x14ac:dyDescent="0.25">
      <c r="A39" s="14"/>
      <c r="B39" s="14"/>
      <c r="O39" s="7"/>
    </row>
    <row r="40" spans="1:15" x14ac:dyDescent="0.25">
      <c r="A40" s="188"/>
      <c r="B40" s="188"/>
      <c r="C40" s="8" t="s">
        <v>337</v>
      </c>
      <c r="D40" s="8" t="s">
        <v>338</v>
      </c>
      <c r="E40" s="8" t="s">
        <v>339</v>
      </c>
      <c r="F40" s="8" t="s">
        <v>340</v>
      </c>
      <c r="G40" s="8" t="s">
        <v>341</v>
      </c>
      <c r="H40" s="8" t="s">
        <v>342</v>
      </c>
      <c r="I40" s="8" t="s">
        <v>343</v>
      </c>
      <c r="J40" s="8" t="s">
        <v>344</v>
      </c>
      <c r="K40" s="8" t="s">
        <v>345</v>
      </c>
      <c r="L40" s="8" t="s">
        <v>346</v>
      </c>
      <c r="M40" s="8" t="s">
        <v>347</v>
      </c>
      <c r="N40" s="8" t="s">
        <v>348</v>
      </c>
      <c r="O40" s="8" t="s">
        <v>5</v>
      </c>
    </row>
    <row r="41" spans="1:15" ht="30" x14ac:dyDescent="0.25">
      <c r="A41" s="171" t="s">
        <v>351</v>
      </c>
      <c r="B41" s="13" t="s">
        <v>352</v>
      </c>
      <c r="C41" s="10">
        <v>64</v>
      </c>
      <c r="D41" s="10">
        <v>12</v>
      </c>
      <c r="E41" s="10">
        <v>23</v>
      </c>
      <c r="F41" s="10"/>
      <c r="G41" s="10"/>
      <c r="H41" s="10"/>
      <c r="I41" s="10"/>
      <c r="J41" s="10"/>
      <c r="K41" s="10"/>
      <c r="L41" s="10"/>
      <c r="M41" s="10"/>
      <c r="N41" s="10"/>
      <c r="O41" s="15">
        <f>SUM(C41:N41)</f>
        <v>99</v>
      </c>
    </row>
    <row r="42" spans="1:15" ht="10.9" customHeight="1" x14ac:dyDescent="0.25">
      <c r="A42" s="14"/>
      <c r="B42" s="14"/>
      <c r="O42" s="7"/>
    </row>
    <row r="43" spans="1:15" x14ac:dyDescent="0.25">
      <c r="A43" s="188"/>
      <c r="B43" s="188"/>
      <c r="C43" s="8" t="s">
        <v>337</v>
      </c>
      <c r="D43" s="8" t="s">
        <v>338</v>
      </c>
      <c r="E43" s="8" t="s">
        <v>339</v>
      </c>
      <c r="F43" s="8" t="s">
        <v>340</v>
      </c>
      <c r="G43" s="8" t="s">
        <v>341</v>
      </c>
      <c r="H43" s="8" t="s">
        <v>342</v>
      </c>
      <c r="I43" s="8" t="s">
        <v>343</v>
      </c>
      <c r="J43" s="8" t="s">
        <v>344</v>
      </c>
      <c r="K43" s="8" t="s">
        <v>345</v>
      </c>
      <c r="L43" s="8" t="s">
        <v>346</v>
      </c>
      <c r="M43" s="8" t="s">
        <v>347</v>
      </c>
      <c r="N43" s="8" t="s">
        <v>348</v>
      </c>
      <c r="O43" s="8" t="s">
        <v>5</v>
      </c>
    </row>
    <row r="44" spans="1:15" x14ac:dyDescent="0.25">
      <c r="A44" s="189" t="s">
        <v>44</v>
      </c>
      <c r="B44" s="13" t="s">
        <v>6</v>
      </c>
      <c r="C44" s="9">
        <v>1200</v>
      </c>
      <c r="D44" s="9">
        <v>1350</v>
      </c>
      <c r="E44" s="9">
        <v>100</v>
      </c>
      <c r="F44" s="9"/>
      <c r="G44" s="9"/>
      <c r="H44" s="9"/>
      <c r="I44" s="9"/>
      <c r="J44" s="9"/>
      <c r="K44" s="9"/>
      <c r="L44" s="9"/>
      <c r="M44" s="9"/>
      <c r="N44" s="9"/>
      <c r="O44" s="15">
        <f>SUM(C44:N44)</f>
        <v>2650</v>
      </c>
    </row>
    <row r="45" spans="1:15" x14ac:dyDescent="0.25">
      <c r="A45" s="189"/>
      <c r="B45" s="13" t="s">
        <v>353</v>
      </c>
      <c r="C45" s="9">
        <v>340</v>
      </c>
      <c r="D45" s="9">
        <v>845</v>
      </c>
      <c r="E45" s="9">
        <v>201</v>
      </c>
      <c r="F45" s="9"/>
      <c r="G45" s="9"/>
      <c r="H45" s="9"/>
      <c r="I45" s="9"/>
      <c r="J45" s="9"/>
      <c r="K45" s="9"/>
      <c r="L45" s="9"/>
      <c r="M45" s="9"/>
      <c r="N45" s="9"/>
      <c r="O45" s="15">
        <f>SUM(C45:N45)</f>
        <v>1386</v>
      </c>
    </row>
    <row r="46" spans="1:15" x14ac:dyDescent="0.25">
      <c r="A46" s="189"/>
      <c r="B46" s="13" t="s">
        <v>7</v>
      </c>
      <c r="C46" s="9">
        <v>152</v>
      </c>
      <c r="D46" s="9">
        <v>94</v>
      </c>
      <c r="E46" s="9">
        <v>90</v>
      </c>
      <c r="F46" s="9"/>
      <c r="G46" s="9"/>
      <c r="H46" s="9"/>
      <c r="I46" s="9"/>
      <c r="J46" s="9"/>
      <c r="K46" s="9"/>
      <c r="L46" s="9"/>
      <c r="M46" s="9"/>
      <c r="N46" s="9"/>
      <c r="O46" s="15">
        <f>SUM(C46:N46)</f>
        <v>336</v>
      </c>
    </row>
    <row r="47" spans="1:15" x14ac:dyDescent="0.25">
      <c r="A47" s="189"/>
      <c r="B47" s="13" t="s">
        <v>5</v>
      </c>
      <c r="C47" s="15">
        <f t="shared" ref="C47:N47" si="9">SUM(C44:C46)</f>
        <v>1692</v>
      </c>
      <c r="D47" s="15">
        <f t="shared" si="9"/>
        <v>2289</v>
      </c>
      <c r="E47" s="15">
        <f t="shared" si="9"/>
        <v>391</v>
      </c>
      <c r="F47" s="15">
        <f t="shared" si="9"/>
        <v>0</v>
      </c>
      <c r="G47" s="15">
        <f t="shared" si="9"/>
        <v>0</v>
      </c>
      <c r="H47" s="15">
        <f t="shared" si="9"/>
        <v>0</v>
      </c>
      <c r="I47" s="15">
        <f t="shared" si="9"/>
        <v>0</v>
      </c>
      <c r="J47" s="15">
        <f t="shared" si="9"/>
        <v>0</v>
      </c>
      <c r="K47" s="15">
        <f t="shared" si="9"/>
        <v>0</v>
      </c>
      <c r="L47" s="15">
        <f t="shared" si="9"/>
        <v>0</v>
      </c>
      <c r="M47" s="15">
        <f t="shared" si="9"/>
        <v>0</v>
      </c>
      <c r="N47" s="15">
        <f t="shared" si="9"/>
        <v>0</v>
      </c>
      <c r="O47" s="15">
        <f>SUM(C47:N47)</f>
        <v>4372</v>
      </c>
    </row>
    <row r="48" spans="1:15" ht="10.9" customHeight="1" x14ac:dyDescent="0.25">
      <c r="A48" s="5"/>
    </row>
    <row r="49" spans="1:15" x14ac:dyDescent="0.25">
      <c r="A49" s="188"/>
      <c r="B49" s="188"/>
      <c r="C49" s="8" t="s">
        <v>337</v>
      </c>
      <c r="D49" s="8" t="s">
        <v>338</v>
      </c>
      <c r="E49" s="8" t="s">
        <v>339</v>
      </c>
      <c r="F49" s="8" t="s">
        <v>340</v>
      </c>
      <c r="G49" s="8" t="s">
        <v>341</v>
      </c>
      <c r="H49" s="8" t="s">
        <v>342</v>
      </c>
      <c r="I49" s="8" t="s">
        <v>343</v>
      </c>
      <c r="J49" s="8" t="s">
        <v>344</v>
      </c>
      <c r="K49" s="8" t="s">
        <v>345</v>
      </c>
      <c r="L49" s="8" t="s">
        <v>346</v>
      </c>
      <c r="M49" s="8" t="s">
        <v>347</v>
      </c>
      <c r="N49" s="8" t="s">
        <v>348</v>
      </c>
      <c r="O49" s="8" t="s">
        <v>5</v>
      </c>
    </row>
    <row r="50" spans="1:15" x14ac:dyDescent="0.25">
      <c r="A50" s="189" t="s">
        <v>355</v>
      </c>
      <c r="B50" s="29" t="s">
        <v>356</v>
      </c>
      <c r="C50" s="10">
        <v>245</v>
      </c>
      <c r="D50" s="10">
        <v>2626</v>
      </c>
      <c r="E50" s="10">
        <v>312</v>
      </c>
      <c r="F50" s="10"/>
      <c r="G50" s="10"/>
      <c r="H50" s="10"/>
      <c r="I50" s="10"/>
      <c r="J50" s="10"/>
      <c r="K50" s="10"/>
      <c r="L50" s="10"/>
      <c r="M50" s="10"/>
      <c r="N50" s="10"/>
      <c r="O50" s="18">
        <f>SUM(C50:N50)</f>
        <v>3183</v>
      </c>
    </row>
    <row r="51" spans="1:15" x14ac:dyDescent="0.25">
      <c r="A51" s="189"/>
      <c r="B51" s="29" t="s">
        <v>357</v>
      </c>
      <c r="C51" s="10">
        <v>84</v>
      </c>
      <c r="D51" s="10">
        <v>3434</v>
      </c>
      <c r="E51" s="10">
        <v>29</v>
      </c>
      <c r="F51" s="10"/>
      <c r="G51" s="10"/>
      <c r="H51" s="10"/>
      <c r="I51" s="10"/>
      <c r="J51" s="10"/>
      <c r="K51" s="10"/>
      <c r="L51" s="10"/>
      <c r="M51" s="10"/>
      <c r="N51" s="10"/>
      <c r="O51" s="18">
        <f t="shared" ref="O51:O58" si="10">SUM(C51:N51)</f>
        <v>3547</v>
      </c>
    </row>
    <row r="52" spans="1:15" x14ac:dyDescent="0.25">
      <c r="A52" s="189"/>
      <c r="B52" s="29" t="s">
        <v>358</v>
      </c>
      <c r="C52" s="10">
        <v>96</v>
      </c>
      <c r="D52" s="10">
        <v>4252</v>
      </c>
      <c r="E52" s="10">
        <v>31</v>
      </c>
      <c r="F52" s="10"/>
      <c r="G52" s="10"/>
      <c r="H52" s="10"/>
      <c r="I52" s="10"/>
      <c r="J52" s="10"/>
      <c r="K52" s="10"/>
      <c r="L52" s="10"/>
      <c r="M52" s="10"/>
      <c r="N52" s="10"/>
      <c r="O52" s="18">
        <f t="shared" si="10"/>
        <v>4379</v>
      </c>
    </row>
    <row r="53" spans="1:15" x14ac:dyDescent="0.25">
      <c r="A53" s="189"/>
      <c r="B53" s="29" t="s">
        <v>359</v>
      </c>
      <c r="C53" s="10">
        <v>1220</v>
      </c>
      <c r="D53" s="10">
        <v>102</v>
      </c>
      <c r="E53" s="10">
        <v>42</v>
      </c>
      <c r="F53" s="10"/>
      <c r="G53" s="10"/>
      <c r="H53" s="10"/>
      <c r="I53" s="10"/>
      <c r="J53" s="10"/>
      <c r="K53" s="10"/>
      <c r="L53" s="10"/>
      <c r="M53" s="10"/>
      <c r="N53" s="10"/>
      <c r="O53" s="18">
        <f t="shared" si="10"/>
        <v>1364</v>
      </c>
    </row>
    <row r="54" spans="1:15" x14ac:dyDescent="0.25">
      <c r="A54" s="189"/>
      <c r="B54" s="29" t="s">
        <v>360</v>
      </c>
      <c r="C54" s="10">
        <v>100</v>
      </c>
      <c r="D54" s="10">
        <v>999</v>
      </c>
      <c r="E54" s="10">
        <v>99</v>
      </c>
      <c r="F54" s="10"/>
      <c r="G54" s="10"/>
      <c r="H54" s="10"/>
      <c r="I54" s="10"/>
      <c r="J54" s="10"/>
      <c r="K54" s="10"/>
      <c r="L54" s="10"/>
      <c r="M54" s="10"/>
      <c r="N54" s="10"/>
      <c r="O54" s="18">
        <f t="shared" si="10"/>
        <v>1198</v>
      </c>
    </row>
    <row r="55" spans="1:15" x14ac:dyDescent="0.25">
      <c r="A55" s="189"/>
      <c r="B55" s="29" t="s">
        <v>361</v>
      </c>
      <c r="C55" s="10">
        <v>3000</v>
      </c>
      <c r="D55" s="10">
        <v>122</v>
      </c>
      <c r="E55" s="10">
        <v>4555</v>
      </c>
      <c r="F55" s="10"/>
      <c r="G55" s="10"/>
      <c r="H55" s="10"/>
      <c r="I55" s="10"/>
      <c r="J55" s="10"/>
      <c r="K55" s="10"/>
      <c r="L55" s="10"/>
      <c r="M55" s="10"/>
      <c r="N55" s="10"/>
      <c r="O55" s="18">
        <f t="shared" si="10"/>
        <v>7677</v>
      </c>
    </row>
    <row r="56" spans="1:15" x14ac:dyDescent="0.25">
      <c r="A56" s="189"/>
      <c r="B56" s="29" t="s">
        <v>362</v>
      </c>
      <c r="C56" s="10">
        <v>450</v>
      </c>
      <c r="D56" s="10">
        <v>354</v>
      </c>
      <c r="E56" s="10">
        <v>8444</v>
      </c>
      <c r="F56" s="10"/>
      <c r="G56" s="10"/>
      <c r="H56" s="10"/>
      <c r="I56" s="10"/>
      <c r="J56" s="10"/>
      <c r="K56" s="10"/>
      <c r="L56" s="10"/>
      <c r="M56" s="10"/>
      <c r="N56" s="10"/>
      <c r="O56" s="18">
        <f t="shared" si="10"/>
        <v>9248</v>
      </c>
    </row>
    <row r="57" spans="1:15" x14ac:dyDescent="0.25">
      <c r="A57" s="189"/>
      <c r="B57" s="29" t="s">
        <v>363</v>
      </c>
      <c r="C57" s="10">
        <v>99</v>
      </c>
      <c r="D57" s="10">
        <v>140</v>
      </c>
      <c r="E57" s="10">
        <v>2</v>
      </c>
      <c r="F57" s="10"/>
      <c r="G57" s="10"/>
      <c r="H57" s="10"/>
      <c r="I57" s="10"/>
      <c r="J57" s="10"/>
      <c r="K57" s="10"/>
      <c r="L57" s="10"/>
      <c r="M57" s="10"/>
      <c r="N57" s="10"/>
      <c r="O57" s="18">
        <f t="shared" si="10"/>
        <v>241</v>
      </c>
    </row>
    <row r="58" spans="1:15" x14ac:dyDescent="0.25">
      <c r="A58" s="189"/>
      <c r="B58" s="29" t="s">
        <v>364</v>
      </c>
      <c r="C58" s="10">
        <v>135</v>
      </c>
      <c r="D58" s="10">
        <v>92</v>
      </c>
      <c r="E58" s="10">
        <v>1</v>
      </c>
      <c r="F58" s="10"/>
      <c r="G58" s="10"/>
      <c r="H58" s="10"/>
      <c r="I58" s="10"/>
      <c r="J58" s="10"/>
      <c r="K58" s="10"/>
      <c r="L58" s="10"/>
      <c r="M58" s="10"/>
      <c r="N58" s="10"/>
      <c r="O58" s="18">
        <f t="shared" si="10"/>
        <v>228</v>
      </c>
    </row>
    <row r="59" spans="1:15" x14ac:dyDescent="0.25">
      <c r="A59" s="189"/>
      <c r="B59" s="29" t="s">
        <v>5</v>
      </c>
      <c r="C59" s="10">
        <f>SUM(C50:C58)</f>
        <v>5429</v>
      </c>
      <c r="D59" s="10">
        <f t="shared" ref="D59:N59" si="11">SUM(D50:D58)</f>
        <v>12121</v>
      </c>
      <c r="E59" s="10">
        <f t="shared" si="11"/>
        <v>13515</v>
      </c>
      <c r="F59" s="10">
        <f t="shared" si="11"/>
        <v>0</v>
      </c>
      <c r="G59" s="10">
        <f t="shared" si="11"/>
        <v>0</v>
      </c>
      <c r="H59" s="10">
        <f t="shared" si="11"/>
        <v>0</v>
      </c>
      <c r="I59" s="10">
        <f t="shared" si="11"/>
        <v>0</v>
      </c>
      <c r="J59" s="10">
        <f t="shared" si="11"/>
        <v>0</v>
      </c>
      <c r="K59" s="10">
        <f t="shared" si="11"/>
        <v>0</v>
      </c>
      <c r="L59" s="10">
        <f t="shared" si="11"/>
        <v>0</v>
      </c>
      <c r="M59" s="10">
        <f t="shared" si="11"/>
        <v>0</v>
      </c>
      <c r="N59" s="10">
        <f t="shared" si="11"/>
        <v>0</v>
      </c>
      <c r="O59" s="18">
        <f>SUM(C59:N59)</f>
        <v>31065</v>
      </c>
    </row>
    <row r="60" spans="1:15" ht="11.25" customHeight="1" x14ac:dyDescent="0.25">
      <c r="A60" s="5"/>
      <c r="B60" s="1"/>
    </row>
    <row r="61" spans="1:15" x14ac:dyDescent="0.25">
      <c r="A61" s="188"/>
      <c r="B61" s="188"/>
      <c r="C61" s="8" t="s">
        <v>337</v>
      </c>
      <c r="D61" s="8" t="s">
        <v>338</v>
      </c>
      <c r="E61" s="8" t="s">
        <v>339</v>
      </c>
      <c r="F61" s="8" t="s">
        <v>340</v>
      </c>
      <c r="G61" s="8" t="s">
        <v>341</v>
      </c>
      <c r="H61" s="8" t="s">
        <v>342</v>
      </c>
      <c r="I61" s="8" t="s">
        <v>343</v>
      </c>
      <c r="J61" s="8" t="s">
        <v>344</v>
      </c>
      <c r="K61" s="8" t="s">
        <v>345</v>
      </c>
      <c r="L61" s="8" t="s">
        <v>346</v>
      </c>
      <c r="M61" s="8" t="s">
        <v>347</v>
      </c>
      <c r="N61" s="8" t="s">
        <v>348</v>
      </c>
      <c r="O61" s="8" t="s">
        <v>5</v>
      </c>
    </row>
    <row r="62" spans="1:15" ht="14.45" customHeight="1" x14ac:dyDescent="0.25">
      <c r="A62" s="189" t="s">
        <v>367</v>
      </c>
      <c r="B62" s="29" t="s">
        <v>365</v>
      </c>
      <c r="C62" s="9">
        <v>4550</v>
      </c>
      <c r="D62" s="9">
        <v>4500</v>
      </c>
      <c r="E62" s="9">
        <v>7240</v>
      </c>
      <c r="F62" s="9"/>
      <c r="G62" s="9"/>
      <c r="H62" s="9"/>
      <c r="I62" s="9"/>
      <c r="J62" s="9"/>
      <c r="K62" s="9"/>
      <c r="L62" s="9"/>
      <c r="M62" s="9"/>
      <c r="N62" s="9"/>
      <c r="O62" s="15">
        <f>SUM(C62:N62)</f>
        <v>16290</v>
      </c>
    </row>
    <row r="63" spans="1:15" x14ac:dyDescent="0.25">
      <c r="A63" s="189"/>
      <c r="B63" s="29" t="s">
        <v>366</v>
      </c>
      <c r="C63" s="9">
        <v>1250</v>
      </c>
      <c r="D63" s="9">
        <v>1235</v>
      </c>
      <c r="E63" s="9">
        <v>3330</v>
      </c>
      <c r="F63" s="9"/>
      <c r="G63" s="9"/>
      <c r="H63" s="9"/>
      <c r="I63" s="9"/>
      <c r="J63" s="9"/>
      <c r="K63" s="9"/>
      <c r="L63" s="9"/>
      <c r="M63" s="9"/>
      <c r="N63" s="9"/>
      <c r="O63" s="15">
        <f>SUM(C63:N63)</f>
        <v>5815</v>
      </c>
    </row>
    <row r="64" spans="1:15" x14ac:dyDescent="0.25">
      <c r="A64" s="189"/>
      <c r="B64" s="29" t="s">
        <v>5</v>
      </c>
      <c r="C64" s="15">
        <f t="shared" ref="C64:N64" si="12">SUM(C62:C63)</f>
        <v>5800</v>
      </c>
      <c r="D64" s="15">
        <f t="shared" si="12"/>
        <v>5735</v>
      </c>
      <c r="E64" s="15">
        <f t="shared" si="12"/>
        <v>10570</v>
      </c>
      <c r="F64" s="15">
        <f t="shared" si="12"/>
        <v>0</v>
      </c>
      <c r="G64" s="15">
        <f t="shared" si="12"/>
        <v>0</v>
      </c>
      <c r="H64" s="15">
        <f t="shared" si="12"/>
        <v>0</v>
      </c>
      <c r="I64" s="15">
        <f t="shared" si="12"/>
        <v>0</v>
      </c>
      <c r="J64" s="15">
        <f t="shared" si="12"/>
        <v>0</v>
      </c>
      <c r="K64" s="15">
        <f t="shared" si="12"/>
        <v>0</v>
      </c>
      <c r="L64" s="15">
        <f t="shared" si="12"/>
        <v>0</v>
      </c>
      <c r="M64" s="15">
        <f t="shared" si="12"/>
        <v>0</v>
      </c>
      <c r="N64" s="15">
        <f t="shared" si="12"/>
        <v>0</v>
      </c>
      <c r="O64" s="15">
        <f>SUM(C64:N64)</f>
        <v>22105</v>
      </c>
    </row>
    <row r="65" spans="1:17" ht="10.9" customHeight="1" x14ac:dyDescent="0.25">
      <c r="A65" s="5"/>
      <c r="B65" s="1"/>
    </row>
    <row r="66" spans="1:17" x14ac:dyDescent="0.25">
      <c r="A66" s="188"/>
      <c r="B66" s="188"/>
      <c r="C66" s="8" t="s">
        <v>337</v>
      </c>
      <c r="D66" s="8" t="s">
        <v>338</v>
      </c>
      <c r="E66" s="8" t="s">
        <v>339</v>
      </c>
      <c r="F66" s="8" t="s">
        <v>340</v>
      </c>
      <c r="G66" s="8" t="s">
        <v>341</v>
      </c>
      <c r="H66" s="8" t="s">
        <v>342</v>
      </c>
      <c r="I66" s="8" t="s">
        <v>343</v>
      </c>
      <c r="J66" s="8" t="s">
        <v>344</v>
      </c>
      <c r="K66" s="8" t="s">
        <v>345</v>
      </c>
      <c r="L66" s="8" t="s">
        <v>346</v>
      </c>
      <c r="M66" s="8" t="s">
        <v>347</v>
      </c>
      <c r="N66" s="8" t="s">
        <v>348</v>
      </c>
      <c r="O66" s="8" t="s">
        <v>5</v>
      </c>
    </row>
    <row r="67" spans="1:17" x14ac:dyDescent="0.25">
      <c r="A67" s="13" t="s">
        <v>368</v>
      </c>
      <c r="B67" s="29" t="s">
        <v>5</v>
      </c>
      <c r="C67" s="18">
        <v>10</v>
      </c>
      <c r="D67" s="18">
        <v>12</v>
      </c>
      <c r="E67" s="18">
        <v>9</v>
      </c>
      <c r="F67" s="18">
        <v>5</v>
      </c>
      <c r="G67" s="18"/>
      <c r="H67" s="18"/>
      <c r="I67" s="18"/>
      <c r="J67" s="18"/>
      <c r="K67" s="18"/>
      <c r="L67" s="18"/>
      <c r="M67" s="18"/>
      <c r="N67" s="18"/>
      <c r="O67" s="15">
        <f>SUM(C67:N67)</f>
        <v>36</v>
      </c>
    </row>
    <row r="68" spans="1:17" ht="10.9" customHeight="1" x14ac:dyDescent="0.25">
      <c r="A68" s="185"/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</row>
    <row r="69" spans="1:17" ht="139.5" customHeight="1" x14ac:dyDescent="0.25">
      <c r="A69" s="187"/>
      <c r="B69" s="187"/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</row>
    <row r="70" spans="1:17" x14ac:dyDescent="0.25">
      <c r="A70" s="184" t="s">
        <v>370</v>
      </c>
      <c r="B70" s="184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7" x14ac:dyDescent="0.25">
      <c r="A71" s="188" t="s">
        <v>23</v>
      </c>
      <c r="B71" s="188"/>
      <c r="C71" s="8" t="s">
        <v>337</v>
      </c>
      <c r="D71" s="8" t="s">
        <v>338</v>
      </c>
      <c r="E71" s="8" t="s">
        <v>339</v>
      </c>
      <c r="F71" s="8" t="s">
        <v>340</v>
      </c>
      <c r="G71" s="8" t="s">
        <v>341</v>
      </c>
      <c r="H71" s="8" t="s">
        <v>342</v>
      </c>
      <c r="I71" s="8" t="s">
        <v>343</v>
      </c>
      <c r="J71" s="8" t="s">
        <v>344</v>
      </c>
      <c r="K71" s="8" t="s">
        <v>345</v>
      </c>
      <c r="L71" s="8" t="s">
        <v>346</v>
      </c>
      <c r="M71" s="8" t="s">
        <v>347</v>
      </c>
      <c r="N71" s="8" t="s">
        <v>348</v>
      </c>
      <c r="O71" s="8" t="s">
        <v>5</v>
      </c>
    </row>
    <row r="72" spans="1:17" x14ac:dyDescent="0.25">
      <c r="A72" s="189" t="s">
        <v>14</v>
      </c>
      <c r="B72" s="189"/>
      <c r="C72" s="9">
        <v>8880</v>
      </c>
      <c r="D72" s="9">
        <v>12340</v>
      </c>
      <c r="E72" s="9">
        <v>5400</v>
      </c>
      <c r="F72" s="9"/>
      <c r="G72" s="9"/>
      <c r="H72" s="9"/>
      <c r="I72" s="9"/>
      <c r="J72" s="9"/>
      <c r="K72" s="9"/>
      <c r="L72" s="9"/>
      <c r="M72" s="9"/>
      <c r="N72" s="9"/>
      <c r="O72" s="15">
        <f>SUM(C72:N72)</f>
        <v>26620</v>
      </c>
    </row>
    <row r="73" spans="1:17" x14ac:dyDescent="0.25">
      <c r="A73" s="13" t="s">
        <v>77</v>
      </c>
      <c r="B73" s="13"/>
      <c r="C73" s="9">
        <f>C72/31</f>
        <v>286.45161290322579</v>
      </c>
      <c r="D73" s="9">
        <f>D72/30</f>
        <v>411.33333333333331</v>
      </c>
      <c r="E73" s="9">
        <f>E72/31</f>
        <v>174.19354838709677</v>
      </c>
      <c r="F73" s="9">
        <f>F72/30</f>
        <v>0</v>
      </c>
      <c r="G73" s="9">
        <f>G72/31</f>
        <v>0</v>
      </c>
      <c r="H73" s="9">
        <f>H72/31</f>
        <v>0</v>
      </c>
      <c r="I73" s="9">
        <f>I72/30</f>
        <v>0</v>
      </c>
      <c r="J73" s="9">
        <f>J72/31</f>
        <v>0</v>
      </c>
      <c r="K73" s="9">
        <f>K72/30</f>
        <v>0</v>
      </c>
      <c r="L73" s="9">
        <f>L72/31</f>
        <v>0</v>
      </c>
      <c r="M73" s="9">
        <f>M72/31</f>
        <v>0</v>
      </c>
      <c r="N73" s="9">
        <f>N72/28</f>
        <v>0</v>
      </c>
      <c r="O73" s="15">
        <f>AVERAGE(C73:N73)</f>
        <v>72.664874551971323</v>
      </c>
    </row>
    <row r="74" spans="1:17" ht="10.9" customHeight="1" x14ac:dyDescent="0.25">
      <c r="A74" s="14"/>
      <c r="B74" s="14"/>
      <c r="H74" s="3"/>
      <c r="I74" s="3"/>
      <c r="J74" s="3"/>
      <c r="K74" s="3"/>
      <c r="L74" s="3"/>
      <c r="M74" s="3"/>
      <c r="N74" s="3"/>
      <c r="O74" s="7"/>
    </row>
    <row r="75" spans="1:17" x14ac:dyDescent="0.25">
      <c r="A75" s="188"/>
      <c r="B75" s="188"/>
      <c r="C75" s="8" t="s">
        <v>337</v>
      </c>
      <c r="D75" s="8" t="s">
        <v>338</v>
      </c>
      <c r="E75" s="8" t="s">
        <v>339</v>
      </c>
      <c r="F75" s="8" t="s">
        <v>340</v>
      </c>
      <c r="G75" s="8" t="s">
        <v>341</v>
      </c>
      <c r="H75" s="8" t="s">
        <v>342</v>
      </c>
      <c r="I75" s="8" t="s">
        <v>343</v>
      </c>
      <c r="J75" s="8" t="s">
        <v>344</v>
      </c>
      <c r="K75" s="8" t="s">
        <v>345</v>
      </c>
      <c r="L75" s="8" t="s">
        <v>346</v>
      </c>
      <c r="M75" s="8" t="s">
        <v>347</v>
      </c>
      <c r="N75" s="8" t="s">
        <v>348</v>
      </c>
      <c r="O75" s="8" t="s">
        <v>5</v>
      </c>
    </row>
    <row r="76" spans="1:17" x14ac:dyDescent="0.25">
      <c r="A76" s="189" t="s">
        <v>43</v>
      </c>
      <c r="B76" s="189"/>
      <c r="C76" s="9">
        <v>12000</v>
      </c>
      <c r="D76" s="9">
        <v>9400</v>
      </c>
      <c r="E76" s="9">
        <v>10500</v>
      </c>
      <c r="F76" s="9">
        <v>12800</v>
      </c>
      <c r="G76" s="9"/>
      <c r="H76" s="9"/>
      <c r="I76" s="9"/>
      <c r="J76" s="9"/>
      <c r="K76" s="9"/>
      <c r="L76" s="9"/>
      <c r="M76" s="9"/>
      <c r="N76" s="9"/>
      <c r="O76" s="15">
        <f>SUM(C76:N76)</f>
        <v>44700</v>
      </c>
    </row>
    <row r="77" spans="1:17" s="175" customFormat="1" x14ac:dyDescent="0.25">
      <c r="A77" s="190" t="s">
        <v>11</v>
      </c>
      <c r="B77" s="190"/>
      <c r="C77" s="173">
        <v>8000</v>
      </c>
      <c r="D77" s="173">
        <v>8000</v>
      </c>
      <c r="E77" s="173">
        <v>8000</v>
      </c>
      <c r="F77" s="173">
        <v>8000</v>
      </c>
      <c r="G77" s="173">
        <v>8000</v>
      </c>
      <c r="H77" s="173">
        <v>8000</v>
      </c>
      <c r="I77" s="173">
        <v>8000</v>
      </c>
      <c r="J77" s="173">
        <v>8000</v>
      </c>
      <c r="K77" s="173">
        <v>8000</v>
      </c>
      <c r="L77" s="173">
        <v>8000</v>
      </c>
      <c r="M77" s="173">
        <v>8000</v>
      </c>
      <c r="N77" s="173">
        <v>8000</v>
      </c>
      <c r="O77" s="174">
        <f>SUM(C77:N77)</f>
        <v>96000</v>
      </c>
      <c r="Q77" s="173"/>
    </row>
    <row r="78" spans="1:17" ht="10.9" customHeight="1" x14ac:dyDescent="0.25">
      <c r="A78" s="14"/>
      <c r="B78" s="14"/>
      <c r="O78" s="16"/>
    </row>
    <row r="79" spans="1:17" x14ac:dyDescent="0.25">
      <c r="A79" s="188"/>
      <c r="B79" s="188"/>
      <c r="C79" s="8" t="s">
        <v>337</v>
      </c>
      <c r="D79" s="8" t="s">
        <v>338</v>
      </c>
      <c r="E79" s="8" t="s">
        <v>339</v>
      </c>
      <c r="F79" s="8" t="s">
        <v>340</v>
      </c>
      <c r="G79" s="8" t="s">
        <v>341</v>
      </c>
      <c r="H79" s="8" t="s">
        <v>342</v>
      </c>
      <c r="I79" s="8" t="s">
        <v>343</v>
      </c>
      <c r="J79" s="8" t="s">
        <v>344</v>
      </c>
      <c r="K79" s="8" t="s">
        <v>345</v>
      </c>
      <c r="L79" s="8" t="s">
        <v>346</v>
      </c>
      <c r="M79" s="8" t="s">
        <v>347</v>
      </c>
      <c r="N79" s="8" t="s">
        <v>348</v>
      </c>
      <c r="O79" s="8" t="s">
        <v>5</v>
      </c>
    </row>
    <row r="80" spans="1:17" x14ac:dyDescent="0.25">
      <c r="A80" s="189" t="s">
        <v>12</v>
      </c>
      <c r="B80" s="178" t="s">
        <v>0</v>
      </c>
      <c r="C80" s="9">
        <v>300</v>
      </c>
      <c r="D80" s="9">
        <v>34</v>
      </c>
      <c r="E80" s="9">
        <v>150</v>
      </c>
      <c r="F80" s="9"/>
      <c r="G80" s="9"/>
      <c r="H80" s="9"/>
      <c r="I80" s="9"/>
      <c r="J80" s="9"/>
      <c r="K80" s="9"/>
      <c r="L80" s="9"/>
      <c r="M80" s="9"/>
      <c r="N80" s="9"/>
      <c r="O80" s="15">
        <f t="shared" ref="O80:O86" si="13">SUM(C80:N80)</f>
        <v>484</v>
      </c>
    </row>
    <row r="81" spans="1:15" x14ac:dyDescent="0.25">
      <c r="A81" s="189"/>
      <c r="B81" s="179" t="s">
        <v>1</v>
      </c>
      <c r="C81" s="9">
        <v>96</v>
      </c>
      <c r="D81" s="9">
        <v>1240</v>
      </c>
      <c r="E81" s="9">
        <v>7580</v>
      </c>
      <c r="F81" s="9"/>
      <c r="G81" s="9"/>
      <c r="H81" s="9"/>
      <c r="I81" s="9"/>
      <c r="J81" s="9"/>
      <c r="K81" s="9"/>
      <c r="L81" s="9"/>
      <c r="M81" s="9"/>
      <c r="N81" s="9"/>
      <c r="O81" s="15">
        <f t="shared" si="13"/>
        <v>8916</v>
      </c>
    </row>
    <row r="82" spans="1:15" x14ac:dyDescent="0.25">
      <c r="A82" s="189"/>
      <c r="B82" s="172" t="s">
        <v>2</v>
      </c>
      <c r="C82" s="9">
        <v>84</v>
      </c>
      <c r="D82" s="9">
        <v>1000</v>
      </c>
      <c r="E82" s="9">
        <v>3400</v>
      </c>
      <c r="F82" s="9"/>
      <c r="G82" s="9"/>
      <c r="H82" s="9"/>
      <c r="I82" s="9"/>
      <c r="J82" s="9"/>
      <c r="K82" s="9"/>
      <c r="L82" s="9"/>
      <c r="M82" s="9"/>
      <c r="N82" s="9"/>
      <c r="O82" s="15">
        <f t="shared" si="13"/>
        <v>4484</v>
      </c>
    </row>
    <row r="83" spans="1:15" x14ac:dyDescent="0.25">
      <c r="A83" s="189"/>
      <c r="B83" s="180" t="s">
        <v>3</v>
      </c>
      <c r="C83" s="9">
        <v>16</v>
      </c>
      <c r="D83" s="9">
        <v>800</v>
      </c>
      <c r="E83" s="9">
        <v>200</v>
      </c>
      <c r="F83" s="9"/>
      <c r="G83" s="9"/>
      <c r="H83" s="9"/>
      <c r="I83" s="9"/>
      <c r="J83" s="9"/>
      <c r="K83" s="9"/>
      <c r="L83" s="9"/>
      <c r="M83" s="9"/>
      <c r="N83" s="9"/>
      <c r="O83" s="15">
        <f t="shared" si="13"/>
        <v>1016</v>
      </c>
    </row>
    <row r="84" spans="1:15" x14ac:dyDescent="0.25">
      <c r="A84" s="189"/>
      <c r="B84" s="181" t="s">
        <v>4</v>
      </c>
      <c r="C84" s="9">
        <v>25</v>
      </c>
      <c r="D84" s="9">
        <v>59</v>
      </c>
      <c r="E84" s="9">
        <v>94</v>
      </c>
      <c r="F84" s="9"/>
      <c r="G84" s="9"/>
      <c r="H84" s="9"/>
      <c r="I84" s="9"/>
      <c r="J84" s="9"/>
      <c r="K84" s="9"/>
      <c r="L84" s="9"/>
      <c r="M84" s="9"/>
      <c r="N84" s="9"/>
      <c r="O84" s="15">
        <f t="shared" si="13"/>
        <v>178</v>
      </c>
    </row>
    <row r="85" spans="1:15" x14ac:dyDescent="0.25">
      <c r="A85" s="189"/>
      <c r="B85" s="182" t="s">
        <v>13</v>
      </c>
      <c r="C85" s="9">
        <v>31</v>
      </c>
      <c r="D85" s="9">
        <v>21</v>
      </c>
      <c r="E85" s="9">
        <v>23</v>
      </c>
      <c r="F85" s="9"/>
      <c r="G85" s="9"/>
      <c r="H85" s="9"/>
      <c r="I85" s="9"/>
      <c r="J85" s="9"/>
      <c r="K85" s="9"/>
      <c r="L85" s="9"/>
      <c r="M85" s="9"/>
      <c r="N85" s="9"/>
      <c r="O85" s="15">
        <f t="shared" si="13"/>
        <v>75</v>
      </c>
    </row>
    <row r="86" spans="1:15" x14ac:dyDescent="0.25">
      <c r="A86" s="189"/>
      <c r="B86" s="183" t="s">
        <v>32</v>
      </c>
      <c r="C86" s="15">
        <f t="shared" ref="C86:K86" si="14">SUM(C80:C85)</f>
        <v>552</v>
      </c>
      <c r="D86" s="15">
        <f t="shared" si="14"/>
        <v>3154</v>
      </c>
      <c r="E86" s="15">
        <f t="shared" si="14"/>
        <v>11447</v>
      </c>
      <c r="F86" s="15">
        <f t="shared" si="14"/>
        <v>0</v>
      </c>
      <c r="G86" s="15">
        <f t="shared" si="14"/>
        <v>0</v>
      </c>
      <c r="H86" s="15">
        <f t="shared" si="14"/>
        <v>0</v>
      </c>
      <c r="I86" s="15">
        <f t="shared" si="14"/>
        <v>0</v>
      </c>
      <c r="J86" s="15">
        <f t="shared" si="14"/>
        <v>0</v>
      </c>
      <c r="K86" s="15">
        <f t="shared" si="14"/>
        <v>0</v>
      </c>
      <c r="L86" s="15">
        <f>SUM(L80:L85)</f>
        <v>0</v>
      </c>
      <c r="M86" s="15">
        <f>SUM(M80:M85)</f>
        <v>0</v>
      </c>
      <c r="N86" s="15">
        <f>SUM(N80:N85)</f>
        <v>0</v>
      </c>
      <c r="O86" s="15">
        <f t="shared" si="13"/>
        <v>15153</v>
      </c>
    </row>
    <row r="87" spans="1:15" ht="10.9" customHeight="1" x14ac:dyDescent="0.25">
      <c r="A87" s="14"/>
      <c r="B87" s="14"/>
      <c r="O87" s="7"/>
    </row>
    <row r="88" spans="1:15" ht="14.45" customHeight="1" x14ac:dyDescent="0.25">
      <c r="A88" s="189" t="s">
        <v>78</v>
      </c>
      <c r="B88" s="13" t="s">
        <v>0</v>
      </c>
      <c r="C88" s="12">
        <f t="shared" ref="C88:I88" si="15">C80/C86</f>
        <v>0.54347826086956519</v>
      </c>
      <c r="D88" s="12">
        <f t="shared" si="15"/>
        <v>1.077996195307546E-2</v>
      </c>
      <c r="E88" s="12">
        <f t="shared" si="15"/>
        <v>1.3103870009609504E-2</v>
      </c>
      <c r="F88" s="12" t="e">
        <f t="shared" si="15"/>
        <v>#DIV/0!</v>
      </c>
      <c r="G88" s="12" t="e">
        <f t="shared" si="15"/>
        <v>#DIV/0!</v>
      </c>
      <c r="H88" s="12" t="e">
        <f t="shared" si="15"/>
        <v>#DIV/0!</v>
      </c>
      <c r="I88" s="12" t="e">
        <f t="shared" si="15"/>
        <v>#DIV/0!</v>
      </c>
      <c r="J88" s="12" t="e">
        <f>J80/J86</f>
        <v>#DIV/0!</v>
      </c>
      <c r="K88" s="12" t="e">
        <f>K80/K86</f>
        <v>#DIV/0!</v>
      </c>
      <c r="L88" s="12" t="e">
        <f>L80/L86</f>
        <v>#DIV/0!</v>
      </c>
      <c r="M88" s="12" t="e">
        <f>M80/M86</f>
        <v>#DIV/0!</v>
      </c>
      <c r="N88" s="12" t="e">
        <f>N80/N86</f>
        <v>#DIV/0!</v>
      </c>
      <c r="O88" s="19" t="e">
        <f t="shared" ref="O88:O93" si="16">AVERAGE(C88:N88)</f>
        <v>#DIV/0!</v>
      </c>
    </row>
    <row r="89" spans="1:15" x14ac:dyDescent="0.25">
      <c r="A89" s="189"/>
      <c r="B89" s="13" t="s">
        <v>1</v>
      </c>
      <c r="C89" s="12">
        <f t="shared" ref="C89:I89" si="17">C81/C86</f>
        <v>0.17391304347826086</v>
      </c>
      <c r="D89" s="12">
        <f t="shared" si="17"/>
        <v>0.39315155358275206</v>
      </c>
      <c r="E89" s="12">
        <f t="shared" si="17"/>
        <v>0.66218223115226693</v>
      </c>
      <c r="F89" s="12" t="e">
        <f t="shared" si="17"/>
        <v>#DIV/0!</v>
      </c>
      <c r="G89" s="12" t="e">
        <f t="shared" si="17"/>
        <v>#DIV/0!</v>
      </c>
      <c r="H89" s="12" t="e">
        <f t="shared" si="17"/>
        <v>#DIV/0!</v>
      </c>
      <c r="I89" s="12" t="e">
        <f t="shared" si="17"/>
        <v>#DIV/0!</v>
      </c>
      <c r="J89" s="12" t="e">
        <f>J81/J86</f>
        <v>#DIV/0!</v>
      </c>
      <c r="K89" s="12" t="e">
        <f>K81/K86</f>
        <v>#DIV/0!</v>
      </c>
      <c r="L89" s="12" t="e">
        <f>L81/L86</f>
        <v>#DIV/0!</v>
      </c>
      <c r="M89" s="12" t="e">
        <f>M81/M86</f>
        <v>#DIV/0!</v>
      </c>
      <c r="N89" s="12" t="e">
        <f>N81/N86</f>
        <v>#DIV/0!</v>
      </c>
      <c r="O89" s="19" t="e">
        <f t="shared" si="16"/>
        <v>#DIV/0!</v>
      </c>
    </row>
    <row r="90" spans="1:15" x14ac:dyDescent="0.25">
      <c r="A90" s="189"/>
      <c r="B90" s="13" t="s">
        <v>2</v>
      </c>
      <c r="C90" s="12">
        <f t="shared" ref="C90:I90" si="18">C82/C86</f>
        <v>0.15217391304347827</v>
      </c>
      <c r="D90" s="12">
        <f t="shared" si="18"/>
        <v>0.31705770450221943</v>
      </c>
      <c r="E90" s="12">
        <f t="shared" si="18"/>
        <v>0.29702105355114877</v>
      </c>
      <c r="F90" s="12" t="e">
        <f t="shared" si="18"/>
        <v>#DIV/0!</v>
      </c>
      <c r="G90" s="12" t="e">
        <f t="shared" si="18"/>
        <v>#DIV/0!</v>
      </c>
      <c r="H90" s="12" t="e">
        <f t="shared" si="18"/>
        <v>#DIV/0!</v>
      </c>
      <c r="I90" s="12" t="e">
        <f t="shared" si="18"/>
        <v>#DIV/0!</v>
      </c>
      <c r="J90" s="12" t="e">
        <f>J82/J86</f>
        <v>#DIV/0!</v>
      </c>
      <c r="K90" s="12" t="e">
        <f>K82/K86</f>
        <v>#DIV/0!</v>
      </c>
      <c r="L90" s="12" t="e">
        <f>L82/L86</f>
        <v>#DIV/0!</v>
      </c>
      <c r="M90" s="12" t="e">
        <f>M82/M86</f>
        <v>#DIV/0!</v>
      </c>
      <c r="N90" s="12" t="e">
        <f>N82/N86</f>
        <v>#DIV/0!</v>
      </c>
      <c r="O90" s="19" t="e">
        <f t="shared" si="16"/>
        <v>#DIV/0!</v>
      </c>
    </row>
    <row r="91" spans="1:15" x14ac:dyDescent="0.25">
      <c r="A91" s="189"/>
      <c r="B91" s="13" t="s">
        <v>3</v>
      </c>
      <c r="C91" s="12">
        <f t="shared" ref="C91:I91" si="19">C83/C86</f>
        <v>2.8985507246376812E-2</v>
      </c>
      <c r="D91" s="12">
        <f t="shared" si="19"/>
        <v>0.2536461636017755</v>
      </c>
      <c r="E91" s="12">
        <f t="shared" si="19"/>
        <v>1.747182667947934E-2</v>
      </c>
      <c r="F91" s="12" t="e">
        <f t="shared" si="19"/>
        <v>#DIV/0!</v>
      </c>
      <c r="G91" s="12" t="e">
        <f t="shared" si="19"/>
        <v>#DIV/0!</v>
      </c>
      <c r="H91" s="12" t="e">
        <f t="shared" si="19"/>
        <v>#DIV/0!</v>
      </c>
      <c r="I91" s="12" t="e">
        <f t="shared" si="19"/>
        <v>#DIV/0!</v>
      </c>
      <c r="J91" s="12" t="e">
        <f>J83/J86</f>
        <v>#DIV/0!</v>
      </c>
      <c r="K91" s="12" t="e">
        <f>K83/K86</f>
        <v>#DIV/0!</v>
      </c>
      <c r="L91" s="12" t="e">
        <f>L83/L86</f>
        <v>#DIV/0!</v>
      </c>
      <c r="M91" s="12" t="e">
        <f>M83/M86</f>
        <v>#DIV/0!</v>
      </c>
      <c r="N91" s="12" t="e">
        <f>N83/N86</f>
        <v>#DIV/0!</v>
      </c>
      <c r="O91" s="19" t="e">
        <f t="shared" si="16"/>
        <v>#DIV/0!</v>
      </c>
    </row>
    <row r="92" spans="1:15" x14ac:dyDescent="0.25">
      <c r="A92" s="189"/>
      <c r="B92" s="13" t="s">
        <v>4</v>
      </c>
      <c r="C92" s="12">
        <f t="shared" ref="C92:I92" si="20">C84/C86</f>
        <v>4.5289855072463768E-2</v>
      </c>
      <c r="D92" s="12">
        <f t="shared" si="20"/>
        <v>1.8706404565630944E-2</v>
      </c>
      <c r="E92" s="12">
        <f t="shared" si="20"/>
        <v>8.2117585393552892E-3</v>
      </c>
      <c r="F92" s="12" t="e">
        <f t="shared" si="20"/>
        <v>#DIV/0!</v>
      </c>
      <c r="G92" s="12" t="e">
        <f t="shared" si="20"/>
        <v>#DIV/0!</v>
      </c>
      <c r="H92" s="12" t="e">
        <f t="shared" si="20"/>
        <v>#DIV/0!</v>
      </c>
      <c r="I92" s="12" t="e">
        <f t="shared" si="20"/>
        <v>#DIV/0!</v>
      </c>
      <c r="J92" s="12" t="e">
        <f>J84/J86</f>
        <v>#DIV/0!</v>
      </c>
      <c r="K92" s="12" t="e">
        <f>K84/K86</f>
        <v>#DIV/0!</v>
      </c>
      <c r="L92" s="12" t="e">
        <f>L84/L86</f>
        <v>#DIV/0!</v>
      </c>
      <c r="M92" s="12" t="e">
        <f>M84/M86</f>
        <v>#DIV/0!</v>
      </c>
      <c r="N92" s="12" t="e">
        <f>N84/N86</f>
        <v>#DIV/0!</v>
      </c>
      <c r="O92" s="19" t="e">
        <f t="shared" si="16"/>
        <v>#DIV/0!</v>
      </c>
    </row>
    <row r="93" spans="1:15" x14ac:dyDescent="0.25">
      <c r="A93" s="189"/>
      <c r="B93" s="13" t="s">
        <v>79</v>
      </c>
      <c r="C93" s="12">
        <f t="shared" ref="C93:I93" si="21">C85/C86</f>
        <v>5.6159420289855072E-2</v>
      </c>
      <c r="D93" s="12">
        <f t="shared" si="21"/>
        <v>6.6582117945466071E-3</v>
      </c>
      <c r="E93" s="12">
        <f t="shared" si="21"/>
        <v>2.0092600681401239E-3</v>
      </c>
      <c r="F93" s="12" t="e">
        <f t="shared" si="21"/>
        <v>#DIV/0!</v>
      </c>
      <c r="G93" s="12" t="e">
        <f t="shared" si="21"/>
        <v>#DIV/0!</v>
      </c>
      <c r="H93" s="12" t="e">
        <f t="shared" si="21"/>
        <v>#DIV/0!</v>
      </c>
      <c r="I93" s="12" t="e">
        <f t="shared" si="21"/>
        <v>#DIV/0!</v>
      </c>
      <c r="J93" s="12" t="e">
        <f>J85/J86</f>
        <v>#DIV/0!</v>
      </c>
      <c r="K93" s="12" t="e">
        <f>K85/K86</f>
        <v>#DIV/0!</v>
      </c>
      <c r="L93" s="12" t="e">
        <f>L85/L86</f>
        <v>#DIV/0!</v>
      </c>
      <c r="M93" s="12" t="e">
        <f>M85/M86</f>
        <v>#DIV/0!</v>
      </c>
      <c r="N93" s="12" t="e">
        <f>N85/N86</f>
        <v>#DIV/0!</v>
      </c>
      <c r="O93" s="19" t="e">
        <f t="shared" si="16"/>
        <v>#DIV/0!</v>
      </c>
    </row>
    <row r="94" spans="1:15" ht="10.9" customHeight="1" x14ac:dyDescent="0.25">
      <c r="A94" s="14"/>
      <c r="B94" s="14"/>
      <c r="O94" s="7"/>
    </row>
    <row r="95" spans="1:15" x14ac:dyDescent="0.25">
      <c r="A95" s="188"/>
      <c r="B95" s="188"/>
      <c r="C95" s="8" t="s">
        <v>337</v>
      </c>
      <c r="D95" s="8" t="s">
        <v>338</v>
      </c>
      <c r="E95" s="8" t="s">
        <v>339</v>
      </c>
      <c r="F95" s="8" t="s">
        <v>340</v>
      </c>
      <c r="G95" s="8" t="s">
        <v>341</v>
      </c>
      <c r="H95" s="8" t="s">
        <v>342</v>
      </c>
      <c r="I95" s="8" t="s">
        <v>343</v>
      </c>
      <c r="J95" s="8" t="s">
        <v>344</v>
      </c>
      <c r="K95" s="8" t="s">
        <v>345</v>
      </c>
      <c r="L95" s="8" t="s">
        <v>346</v>
      </c>
      <c r="M95" s="8" t="s">
        <v>347</v>
      </c>
      <c r="N95" s="8" t="s">
        <v>348</v>
      </c>
      <c r="O95" s="8" t="s">
        <v>5</v>
      </c>
    </row>
    <row r="96" spans="1:15" ht="39" customHeight="1" x14ac:dyDescent="0.25">
      <c r="A96" s="13" t="s">
        <v>104</v>
      </c>
      <c r="B96" s="13" t="s">
        <v>31</v>
      </c>
      <c r="C96" s="17">
        <v>6.2500000000000003E-3</v>
      </c>
      <c r="D96" s="17">
        <v>8.3333333333333332E-3</v>
      </c>
      <c r="E96" s="17">
        <v>7.6388888888888886E-3</v>
      </c>
      <c r="F96" s="17"/>
      <c r="G96" s="17"/>
      <c r="H96" s="17"/>
      <c r="I96" s="17"/>
      <c r="J96" s="17"/>
      <c r="K96" s="17"/>
      <c r="L96" s="17"/>
      <c r="M96" s="17"/>
      <c r="N96" s="17"/>
      <c r="O96" s="17">
        <f>AVERAGE(C96:N96)</f>
        <v>7.4074074074074077E-3</v>
      </c>
    </row>
    <row r="97" spans="1:15" s="175" customFormat="1" ht="13.5" customHeight="1" x14ac:dyDescent="0.25">
      <c r="A97" s="172" t="s">
        <v>11</v>
      </c>
      <c r="B97" s="172"/>
      <c r="C97" s="176">
        <v>6.9444444444444441E-3</v>
      </c>
      <c r="D97" s="176">
        <v>6.9444444444444441E-3</v>
      </c>
      <c r="E97" s="176">
        <v>6.9444444444444441E-3</v>
      </c>
      <c r="F97" s="176">
        <v>6.9444444444444441E-3</v>
      </c>
      <c r="G97" s="176">
        <v>6.9444444444444441E-3</v>
      </c>
      <c r="H97" s="176">
        <v>6.9444444444444441E-3</v>
      </c>
      <c r="I97" s="176">
        <v>6.9444444444444441E-3</v>
      </c>
      <c r="J97" s="176">
        <v>6.9444444444444441E-3</v>
      </c>
      <c r="K97" s="176">
        <v>6.9444444444444397E-3</v>
      </c>
      <c r="L97" s="176">
        <v>6.9444444444444397E-3</v>
      </c>
      <c r="M97" s="176">
        <v>6.9444444444444441E-3</v>
      </c>
      <c r="N97" s="176">
        <v>6.9444444444444441E-3</v>
      </c>
      <c r="O97" s="177"/>
    </row>
    <row r="98" spans="1:15" ht="10.9" customHeight="1" x14ac:dyDescent="0.25">
      <c r="A98" s="14"/>
      <c r="B98" s="14"/>
      <c r="O98" s="7"/>
    </row>
    <row r="99" spans="1:15" x14ac:dyDescent="0.25">
      <c r="A99" s="188"/>
      <c r="B99" s="188"/>
      <c r="C99" s="8" t="s">
        <v>337</v>
      </c>
      <c r="D99" s="8" t="s">
        <v>338</v>
      </c>
      <c r="E99" s="8" t="s">
        <v>339</v>
      </c>
      <c r="F99" s="8" t="s">
        <v>340</v>
      </c>
      <c r="G99" s="8" t="s">
        <v>341</v>
      </c>
      <c r="H99" s="8" t="s">
        <v>342</v>
      </c>
      <c r="I99" s="8" t="s">
        <v>343</v>
      </c>
      <c r="J99" s="8" t="s">
        <v>344</v>
      </c>
      <c r="K99" s="8" t="s">
        <v>345</v>
      </c>
      <c r="L99" s="8" t="s">
        <v>346</v>
      </c>
      <c r="M99" s="8" t="s">
        <v>347</v>
      </c>
      <c r="N99" s="8" t="s">
        <v>348</v>
      </c>
      <c r="O99" s="8" t="s">
        <v>5</v>
      </c>
    </row>
    <row r="100" spans="1:15" ht="47.25" customHeight="1" x14ac:dyDescent="0.25">
      <c r="A100" s="13" t="s">
        <v>105</v>
      </c>
      <c r="B100" s="13" t="s">
        <v>31</v>
      </c>
      <c r="C100" s="17">
        <v>4.0972222222222222E-2</v>
      </c>
      <c r="D100" s="17">
        <v>1.3888888888888888E-2</v>
      </c>
      <c r="E100" s="17">
        <v>9.0277777777777769E-3</v>
      </c>
      <c r="F100" s="154"/>
      <c r="G100" s="154"/>
      <c r="H100" s="154"/>
      <c r="I100" s="154"/>
      <c r="J100" s="154"/>
      <c r="K100" s="154"/>
      <c r="L100" s="154"/>
      <c r="M100" s="154"/>
      <c r="N100" s="154"/>
      <c r="O100" s="154">
        <f>AVERAGE(C100:N100)</f>
        <v>2.1296296296296296E-2</v>
      </c>
    </row>
    <row r="101" spans="1:15" ht="10.9" customHeight="1" x14ac:dyDescent="0.25">
      <c r="A101" s="14"/>
      <c r="B101" s="14"/>
      <c r="O101" s="7"/>
    </row>
    <row r="102" spans="1:15" x14ac:dyDescent="0.25">
      <c r="A102" s="188"/>
      <c r="B102" s="188"/>
      <c r="C102" s="8" t="s">
        <v>337</v>
      </c>
      <c r="D102" s="8" t="s">
        <v>338</v>
      </c>
      <c r="E102" s="8" t="s">
        <v>339</v>
      </c>
      <c r="F102" s="8" t="s">
        <v>340</v>
      </c>
      <c r="G102" s="8" t="s">
        <v>341</v>
      </c>
      <c r="H102" s="8" t="s">
        <v>342</v>
      </c>
      <c r="I102" s="8" t="s">
        <v>343</v>
      </c>
      <c r="J102" s="8" t="s">
        <v>344</v>
      </c>
      <c r="K102" s="8" t="s">
        <v>345</v>
      </c>
      <c r="L102" s="8" t="s">
        <v>346</v>
      </c>
      <c r="M102" s="8" t="s">
        <v>347</v>
      </c>
      <c r="N102" s="8" t="s">
        <v>348</v>
      </c>
      <c r="O102" s="8" t="s">
        <v>5</v>
      </c>
    </row>
    <row r="103" spans="1:15" ht="30" customHeight="1" x14ac:dyDescent="0.25">
      <c r="A103" s="13" t="s">
        <v>349</v>
      </c>
      <c r="B103" s="13" t="s">
        <v>83</v>
      </c>
      <c r="C103" s="17">
        <v>1.2084722222222222</v>
      </c>
      <c r="D103" s="17">
        <v>1.1854166666666666</v>
      </c>
      <c r="E103" s="17">
        <v>0.95833333333333337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>
        <f>AVERAGE(C103:N103)</f>
        <v>1.1174074074074074</v>
      </c>
    </row>
    <row r="104" spans="1:15" x14ac:dyDescent="0.25">
      <c r="A104" s="14"/>
      <c r="B104" s="14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</row>
    <row r="105" spans="1:15" x14ac:dyDescent="0.25">
      <c r="A105" s="188"/>
      <c r="B105" s="188"/>
      <c r="C105" s="8" t="s">
        <v>337</v>
      </c>
      <c r="D105" s="8" t="s">
        <v>338</v>
      </c>
      <c r="E105" s="8" t="s">
        <v>339</v>
      </c>
      <c r="F105" s="8" t="s">
        <v>340</v>
      </c>
      <c r="G105" s="8" t="s">
        <v>341</v>
      </c>
      <c r="H105" s="8" t="s">
        <v>342</v>
      </c>
      <c r="I105" s="8" t="s">
        <v>343</v>
      </c>
      <c r="J105" s="8" t="s">
        <v>344</v>
      </c>
      <c r="K105" s="8" t="s">
        <v>345</v>
      </c>
      <c r="L105" s="8" t="s">
        <v>346</v>
      </c>
      <c r="M105" s="8" t="s">
        <v>347</v>
      </c>
      <c r="N105" s="8" t="s">
        <v>348</v>
      </c>
      <c r="O105" s="8" t="s">
        <v>5</v>
      </c>
    </row>
    <row r="106" spans="1:15" ht="30" customHeight="1" x14ac:dyDescent="0.25">
      <c r="A106" s="13" t="s">
        <v>350</v>
      </c>
      <c r="B106" s="13" t="s">
        <v>354</v>
      </c>
      <c r="C106" s="17">
        <v>6.5972222222222224E-2</v>
      </c>
      <c r="D106" s="17">
        <v>8.611111111111111E-2</v>
      </c>
      <c r="E106" s="17">
        <v>0.12777777777777777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>
        <f>AVERAGE(C106:N106)</f>
        <v>9.3287037037037043E-2</v>
      </c>
    </row>
    <row r="107" spans="1:15" ht="10.9" customHeight="1" x14ac:dyDescent="0.25">
      <c r="A107" s="14"/>
      <c r="B107" s="14"/>
      <c r="O107" s="7"/>
    </row>
    <row r="108" spans="1:15" x14ac:dyDescent="0.25">
      <c r="A108" s="188"/>
      <c r="B108" s="188"/>
      <c r="C108" s="8" t="s">
        <v>337</v>
      </c>
      <c r="D108" s="8" t="s">
        <v>338</v>
      </c>
      <c r="E108" s="8" t="s">
        <v>339</v>
      </c>
      <c r="F108" s="8" t="s">
        <v>340</v>
      </c>
      <c r="G108" s="8" t="s">
        <v>341</v>
      </c>
      <c r="H108" s="8" t="s">
        <v>342</v>
      </c>
      <c r="I108" s="8" t="s">
        <v>343</v>
      </c>
      <c r="J108" s="8" t="s">
        <v>344</v>
      </c>
      <c r="K108" s="8" t="s">
        <v>345</v>
      </c>
      <c r="L108" s="8" t="s">
        <v>346</v>
      </c>
      <c r="M108" s="8" t="s">
        <v>347</v>
      </c>
      <c r="N108" s="8" t="s">
        <v>348</v>
      </c>
      <c r="O108" s="8" t="s">
        <v>5</v>
      </c>
    </row>
    <row r="109" spans="1:15" ht="30" x14ac:dyDescent="0.25">
      <c r="A109" s="171" t="s">
        <v>351</v>
      </c>
      <c r="B109" s="13" t="s">
        <v>352</v>
      </c>
      <c r="C109" s="10">
        <v>64</v>
      </c>
      <c r="D109" s="10">
        <v>12</v>
      </c>
      <c r="E109" s="10">
        <v>23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5">
        <f>SUM(C109:N109)</f>
        <v>99</v>
      </c>
    </row>
    <row r="110" spans="1:15" ht="10.9" customHeight="1" x14ac:dyDescent="0.25">
      <c r="A110" s="14"/>
      <c r="B110" s="14"/>
      <c r="O110" s="7"/>
    </row>
    <row r="111" spans="1:15" x14ac:dyDescent="0.25">
      <c r="A111" s="188"/>
      <c r="B111" s="188"/>
      <c r="C111" s="8" t="s">
        <v>337</v>
      </c>
      <c r="D111" s="8" t="s">
        <v>338</v>
      </c>
      <c r="E111" s="8" t="s">
        <v>339</v>
      </c>
      <c r="F111" s="8" t="s">
        <v>340</v>
      </c>
      <c r="G111" s="8" t="s">
        <v>341</v>
      </c>
      <c r="H111" s="8" t="s">
        <v>342</v>
      </c>
      <c r="I111" s="8" t="s">
        <v>343</v>
      </c>
      <c r="J111" s="8" t="s">
        <v>344</v>
      </c>
      <c r="K111" s="8" t="s">
        <v>345</v>
      </c>
      <c r="L111" s="8" t="s">
        <v>346</v>
      </c>
      <c r="M111" s="8" t="s">
        <v>347</v>
      </c>
      <c r="N111" s="8" t="s">
        <v>348</v>
      </c>
      <c r="O111" s="8" t="s">
        <v>5</v>
      </c>
    </row>
    <row r="112" spans="1:15" x14ac:dyDescent="0.25">
      <c r="A112" s="189" t="s">
        <v>44</v>
      </c>
      <c r="B112" s="13" t="s">
        <v>6</v>
      </c>
      <c r="C112" s="9">
        <v>1200</v>
      </c>
      <c r="D112" s="9">
        <v>1350</v>
      </c>
      <c r="E112" s="9">
        <v>100</v>
      </c>
      <c r="F112" s="9"/>
      <c r="G112" s="9"/>
      <c r="H112" s="9"/>
      <c r="I112" s="9"/>
      <c r="J112" s="9"/>
      <c r="K112" s="9"/>
      <c r="L112" s="9"/>
      <c r="M112" s="9"/>
      <c r="N112" s="9"/>
      <c r="O112" s="15">
        <f>SUM(C112:N112)</f>
        <v>2650</v>
      </c>
    </row>
    <row r="113" spans="1:15" x14ac:dyDescent="0.25">
      <c r="A113" s="189"/>
      <c r="B113" s="13" t="s">
        <v>353</v>
      </c>
      <c r="C113" s="9">
        <v>340</v>
      </c>
      <c r="D113" s="9">
        <v>845</v>
      </c>
      <c r="E113" s="9">
        <v>201</v>
      </c>
      <c r="F113" s="9"/>
      <c r="G113" s="9"/>
      <c r="H113" s="9"/>
      <c r="I113" s="9"/>
      <c r="J113" s="9"/>
      <c r="K113" s="9"/>
      <c r="L113" s="9"/>
      <c r="M113" s="9"/>
      <c r="N113" s="9"/>
      <c r="O113" s="15">
        <f>SUM(C113:N113)</f>
        <v>1386</v>
      </c>
    </row>
    <row r="114" spans="1:15" x14ac:dyDescent="0.25">
      <c r="A114" s="189"/>
      <c r="B114" s="13" t="s">
        <v>7</v>
      </c>
      <c r="C114" s="9">
        <v>152</v>
      </c>
      <c r="D114" s="9">
        <v>94</v>
      </c>
      <c r="E114" s="9">
        <v>90</v>
      </c>
      <c r="F114" s="9"/>
      <c r="G114" s="9"/>
      <c r="H114" s="9"/>
      <c r="I114" s="9"/>
      <c r="J114" s="9"/>
      <c r="K114" s="9"/>
      <c r="L114" s="9"/>
      <c r="M114" s="9"/>
      <c r="N114" s="9"/>
      <c r="O114" s="15">
        <f>SUM(C114:N114)</f>
        <v>336</v>
      </c>
    </row>
    <row r="115" spans="1:15" x14ac:dyDescent="0.25">
      <c r="A115" s="189"/>
      <c r="B115" s="13" t="s">
        <v>5</v>
      </c>
      <c r="C115" s="15">
        <f t="shared" ref="C115:N115" si="22">SUM(C112:C114)</f>
        <v>1692</v>
      </c>
      <c r="D115" s="15">
        <f t="shared" si="22"/>
        <v>2289</v>
      </c>
      <c r="E115" s="15">
        <f t="shared" si="22"/>
        <v>391</v>
      </c>
      <c r="F115" s="15">
        <f t="shared" si="22"/>
        <v>0</v>
      </c>
      <c r="G115" s="15">
        <f t="shared" si="22"/>
        <v>0</v>
      </c>
      <c r="H115" s="15">
        <f t="shared" si="22"/>
        <v>0</v>
      </c>
      <c r="I115" s="15">
        <f t="shared" si="22"/>
        <v>0</v>
      </c>
      <c r="J115" s="15">
        <f t="shared" si="22"/>
        <v>0</v>
      </c>
      <c r="K115" s="15">
        <f t="shared" si="22"/>
        <v>0</v>
      </c>
      <c r="L115" s="15">
        <f t="shared" si="22"/>
        <v>0</v>
      </c>
      <c r="M115" s="15">
        <f t="shared" si="22"/>
        <v>0</v>
      </c>
      <c r="N115" s="15">
        <f t="shared" si="22"/>
        <v>0</v>
      </c>
      <c r="O115" s="15">
        <f>SUM(C115:N115)</f>
        <v>4372</v>
      </c>
    </row>
    <row r="116" spans="1:15" ht="10.9" customHeight="1" x14ac:dyDescent="0.25">
      <c r="A116" s="5"/>
    </row>
    <row r="117" spans="1:15" x14ac:dyDescent="0.25">
      <c r="A117" s="188"/>
      <c r="B117" s="188"/>
      <c r="C117" s="8" t="s">
        <v>337</v>
      </c>
      <c r="D117" s="8" t="s">
        <v>338</v>
      </c>
      <c r="E117" s="8" t="s">
        <v>339</v>
      </c>
      <c r="F117" s="8" t="s">
        <v>340</v>
      </c>
      <c r="G117" s="8" t="s">
        <v>341</v>
      </c>
      <c r="H117" s="8" t="s">
        <v>342</v>
      </c>
      <c r="I117" s="8" t="s">
        <v>343</v>
      </c>
      <c r="J117" s="8" t="s">
        <v>344</v>
      </c>
      <c r="K117" s="8" t="s">
        <v>345</v>
      </c>
      <c r="L117" s="8" t="s">
        <v>346</v>
      </c>
      <c r="M117" s="8" t="s">
        <v>347</v>
      </c>
      <c r="N117" s="8" t="s">
        <v>348</v>
      </c>
      <c r="O117" s="8" t="s">
        <v>5</v>
      </c>
    </row>
    <row r="118" spans="1:15" x14ac:dyDescent="0.25">
      <c r="A118" s="189" t="s">
        <v>355</v>
      </c>
      <c r="B118" s="29" t="s">
        <v>356</v>
      </c>
      <c r="C118" s="10">
        <v>245</v>
      </c>
      <c r="D118" s="10">
        <v>2626</v>
      </c>
      <c r="E118" s="10">
        <v>312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8">
        <f>SUM(C118:N118)</f>
        <v>3183</v>
      </c>
    </row>
    <row r="119" spans="1:15" x14ac:dyDescent="0.25">
      <c r="A119" s="189"/>
      <c r="B119" s="29" t="s">
        <v>357</v>
      </c>
      <c r="C119" s="10">
        <v>84</v>
      </c>
      <c r="D119" s="10">
        <v>3434</v>
      </c>
      <c r="E119" s="10">
        <v>29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8">
        <f t="shared" ref="O119:O126" si="23">SUM(C119:N119)</f>
        <v>3547</v>
      </c>
    </row>
    <row r="120" spans="1:15" x14ac:dyDescent="0.25">
      <c r="A120" s="189"/>
      <c r="B120" s="29" t="s">
        <v>358</v>
      </c>
      <c r="C120" s="10">
        <v>96</v>
      </c>
      <c r="D120" s="10">
        <v>4252</v>
      </c>
      <c r="E120" s="10">
        <v>31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8">
        <f t="shared" si="23"/>
        <v>4379</v>
      </c>
    </row>
    <row r="121" spans="1:15" x14ac:dyDescent="0.25">
      <c r="A121" s="189"/>
      <c r="B121" s="29" t="s">
        <v>359</v>
      </c>
      <c r="C121" s="10">
        <v>1220</v>
      </c>
      <c r="D121" s="10">
        <v>102</v>
      </c>
      <c r="E121" s="10">
        <v>42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8">
        <f t="shared" si="23"/>
        <v>1364</v>
      </c>
    </row>
    <row r="122" spans="1:15" x14ac:dyDescent="0.25">
      <c r="A122" s="189"/>
      <c r="B122" s="29" t="s">
        <v>360</v>
      </c>
      <c r="C122" s="10">
        <v>100</v>
      </c>
      <c r="D122" s="10">
        <v>999</v>
      </c>
      <c r="E122" s="10">
        <v>99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8">
        <f t="shared" si="23"/>
        <v>1198</v>
      </c>
    </row>
    <row r="123" spans="1:15" x14ac:dyDescent="0.25">
      <c r="A123" s="189"/>
      <c r="B123" s="29" t="s">
        <v>361</v>
      </c>
      <c r="C123" s="10">
        <v>3000</v>
      </c>
      <c r="D123" s="10">
        <v>122</v>
      </c>
      <c r="E123" s="10">
        <v>4555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8">
        <f t="shared" si="23"/>
        <v>7677</v>
      </c>
    </row>
    <row r="124" spans="1:15" x14ac:dyDescent="0.25">
      <c r="A124" s="189"/>
      <c r="B124" s="29" t="s">
        <v>362</v>
      </c>
      <c r="C124" s="10">
        <v>450</v>
      </c>
      <c r="D124" s="10">
        <v>354</v>
      </c>
      <c r="E124" s="10">
        <v>8444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8">
        <f t="shared" si="23"/>
        <v>9248</v>
      </c>
    </row>
    <row r="125" spans="1:15" x14ac:dyDescent="0.25">
      <c r="A125" s="189"/>
      <c r="B125" s="29" t="s">
        <v>363</v>
      </c>
      <c r="C125" s="10">
        <v>99</v>
      </c>
      <c r="D125" s="10">
        <v>140</v>
      </c>
      <c r="E125" s="10">
        <v>2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8">
        <f t="shared" si="23"/>
        <v>241</v>
      </c>
    </row>
    <row r="126" spans="1:15" x14ac:dyDescent="0.25">
      <c r="A126" s="189"/>
      <c r="B126" s="29" t="s">
        <v>364</v>
      </c>
      <c r="C126" s="10">
        <v>135</v>
      </c>
      <c r="D126" s="10">
        <v>92</v>
      </c>
      <c r="E126" s="10">
        <v>1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8">
        <f t="shared" si="23"/>
        <v>228</v>
      </c>
    </row>
    <row r="127" spans="1:15" x14ac:dyDescent="0.25">
      <c r="A127" s="189"/>
      <c r="B127" s="29" t="s">
        <v>5</v>
      </c>
      <c r="C127" s="10">
        <f>SUM(C118:C126)</f>
        <v>5429</v>
      </c>
      <c r="D127" s="10">
        <f t="shared" ref="D127:N127" si="24">SUM(D118:D126)</f>
        <v>12121</v>
      </c>
      <c r="E127" s="10">
        <f t="shared" si="24"/>
        <v>13515</v>
      </c>
      <c r="F127" s="10">
        <f t="shared" si="24"/>
        <v>0</v>
      </c>
      <c r="G127" s="10">
        <f t="shared" si="24"/>
        <v>0</v>
      </c>
      <c r="H127" s="10">
        <f t="shared" si="24"/>
        <v>0</v>
      </c>
      <c r="I127" s="10">
        <f t="shared" si="24"/>
        <v>0</v>
      </c>
      <c r="J127" s="10">
        <f t="shared" si="24"/>
        <v>0</v>
      </c>
      <c r="K127" s="10">
        <f t="shared" si="24"/>
        <v>0</v>
      </c>
      <c r="L127" s="10">
        <f t="shared" si="24"/>
        <v>0</v>
      </c>
      <c r="M127" s="10">
        <f t="shared" si="24"/>
        <v>0</v>
      </c>
      <c r="N127" s="10">
        <f t="shared" si="24"/>
        <v>0</v>
      </c>
      <c r="O127" s="18">
        <f>SUM(C127:N127)</f>
        <v>31065</v>
      </c>
    </row>
    <row r="128" spans="1:15" ht="11.25" customHeight="1" x14ac:dyDescent="0.25">
      <c r="A128" s="5"/>
      <c r="B128" s="1"/>
    </row>
    <row r="129" spans="1:15" x14ac:dyDescent="0.25">
      <c r="A129" s="188"/>
      <c r="B129" s="188"/>
      <c r="C129" s="8" t="s">
        <v>337</v>
      </c>
      <c r="D129" s="8" t="s">
        <v>338</v>
      </c>
      <c r="E129" s="8" t="s">
        <v>339</v>
      </c>
      <c r="F129" s="8" t="s">
        <v>340</v>
      </c>
      <c r="G129" s="8" t="s">
        <v>341</v>
      </c>
      <c r="H129" s="8" t="s">
        <v>342</v>
      </c>
      <c r="I129" s="8" t="s">
        <v>343</v>
      </c>
      <c r="J129" s="8" t="s">
        <v>344</v>
      </c>
      <c r="K129" s="8" t="s">
        <v>345</v>
      </c>
      <c r="L129" s="8" t="s">
        <v>346</v>
      </c>
      <c r="M129" s="8" t="s">
        <v>347</v>
      </c>
      <c r="N129" s="8" t="s">
        <v>348</v>
      </c>
      <c r="O129" s="8" t="s">
        <v>5</v>
      </c>
    </row>
    <row r="130" spans="1:15" ht="14.45" customHeight="1" x14ac:dyDescent="0.25">
      <c r="A130" s="189" t="s">
        <v>367</v>
      </c>
      <c r="B130" s="29" t="s">
        <v>365</v>
      </c>
      <c r="C130" s="9">
        <v>4550</v>
      </c>
      <c r="D130" s="9">
        <v>4500</v>
      </c>
      <c r="E130" s="9">
        <v>7240</v>
      </c>
      <c r="F130" s="9"/>
      <c r="G130" s="9"/>
      <c r="H130" s="9"/>
      <c r="I130" s="9"/>
      <c r="J130" s="9"/>
      <c r="K130" s="9"/>
      <c r="L130" s="9"/>
      <c r="M130" s="9"/>
      <c r="N130" s="9"/>
      <c r="O130" s="15">
        <f>SUM(C130:N130)</f>
        <v>16290</v>
      </c>
    </row>
    <row r="131" spans="1:15" x14ac:dyDescent="0.25">
      <c r="A131" s="189"/>
      <c r="B131" s="29" t="s">
        <v>366</v>
      </c>
      <c r="C131" s="9">
        <v>1250</v>
      </c>
      <c r="D131" s="9">
        <v>1235</v>
      </c>
      <c r="E131" s="9">
        <v>3330</v>
      </c>
      <c r="F131" s="9"/>
      <c r="G131" s="9"/>
      <c r="H131" s="9"/>
      <c r="I131" s="9"/>
      <c r="J131" s="9"/>
      <c r="K131" s="9"/>
      <c r="L131" s="9"/>
      <c r="M131" s="9"/>
      <c r="N131" s="9"/>
      <c r="O131" s="15">
        <f>SUM(C131:N131)</f>
        <v>5815</v>
      </c>
    </row>
    <row r="132" spans="1:15" x14ac:dyDescent="0.25">
      <c r="A132" s="189"/>
      <c r="B132" s="29" t="s">
        <v>5</v>
      </c>
      <c r="C132" s="15">
        <f t="shared" ref="C132:N132" si="25">SUM(C130:C131)</f>
        <v>5800</v>
      </c>
      <c r="D132" s="15">
        <f t="shared" si="25"/>
        <v>5735</v>
      </c>
      <c r="E132" s="15">
        <f t="shared" si="25"/>
        <v>10570</v>
      </c>
      <c r="F132" s="15">
        <f t="shared" si="25"/>
        <v>0</v>
      </c>
      <c r="G132" s="15">
        <f t="shared" si="25"/>
        <v>0</v>
      </c>
      <c r="H132" s="15">
        <f t="shared" si="25"/>
        <v>0</v>
      </c>
      <c r="I132" s="15">
        <f t="shared" si="25"/>
        <v>0</v>
      </c>
      <c r="J132" s="15">
        <f t="shared" si="25"/>
        <v>0</v>
      </c>
      <c r="K132" s="15">
        <f t="shared" si="25"/>
        <v>0</v>
      </c>
      <c r="L132" s="15">
        <f t="shared" si="25"/>
        <v>0</v>
      </c>
      <c r="M132" s="15">
        <f t="shared" si="25"/>
        <v>0</v>
      </c>
      <c r="N132" s="15">
        <f t="shared" si="25"/>
        <v>0</v>
      </c>
      <c r="O132" s="15">
        <f>SUM(C132:N132)</f>
        <v>22105</v>
      </c>
    </row>
    <row r="133" spans="1:15" ht="10.9" customHeight="1" x14ac:dyDescent="0.25">
      <c r="A133" s="5"/>
      <c r="B133" s="1"/>
    </row>
    <row r="134" spans="1:15" x14ac:dyDescent="0.25">
      <c r="A134" s="188"/>
      <c r="B134" s="188"/>
      <c r="C134" s="8" t="s">
        <v>337</v>
      </c>
      <c r="D134" s="8" t="s">
        <v>338</v>
      </c>
      <c r="E134" s="8" t="s">
        <v>339</v>
      </c>
      <c r="F134" s="8" t="s">
        <v>340</v>
      </c>
      <c r="G134" s="8" t="s">
        <v>341</v>
      </c>
      <c r="H134" s="8" t="s">
        <v>342</v>
      </c>
      <c r="I134" s="8" t="s">
        <v>343</v>
      </c>
      <c r="J134" s="8" t="s">
        <v>344</v>
      </c>
      <c r="K134" s="8" t="s">
        <v>345</v>
      </c>
      <c r="L134" s="8" t="s">
        <v>346</v>
      </c>
      <c r="M134" s="8" t="s">
        <v>347</v>
      </c>
      <c r="N134" s="8" t="s">
        <v>348</v>
      </c>
      <c r="O134" s="8" t="s">
        <v>5</v>
      </c>
    </row>
    <row r="135" spans="1:15" x14ac:dyDescent="0.25">
      <c r="A135" s="13" t="s">
        <v>368</v>
      </c>
      <c r="B135" s="29" t="s">
        <v>5</v>
      </c>
      <c r="C135" s="18">
        <v>10</v>
      </c>
      <c r="D135" s="18">
        <v>12</v>
      </c>
      <c r="E135" s="18">
        <v>9</v>
      </c>
      <c r="F135" s="18">
        <v>5</v>
      </c>
      <c r="G135" s="18"/>
      <c r="H135" s="18"/>
      <c r="I135" s="18"/>
      <c r="J135" s="18"/>
      <c r="K135" s="18"/>
      <c r="L135" s="18"/>
      <c r="M135" s="18"/>
      <c r="N135" s="18"/>
      <c r="O135" s="15">
        <f>SUM(C135:N135)</f>
        <v>36</v>
      </c>
    </row>
  </sheetData>
  <mergeCells count="41">
    <mergeCell ref="A66:B66"/>
    <mergeCell ref="A1:O1"/>
    <mergeCell ref="A44:A47"/>
    <mergeCell ref="A4:B4"/>
    <mergeCell ref="A8:B8"/>
    <mergeCell ref="A9:B9"/>
    <mergeCell ref="A12:A18"/>
    <mergeCell ref="A31:B31"/>
    <mergeCell ref="A34:B34"/>
    <mergeCell ref="A37:B37"/>
    <mergeCell ref="A27:B27"/>
    <mergeCell ref="A40:B40"/>
    <mergeCell ref="A43:B43"/>
    <mergeCell ref="A50:A59"/>
    <mergeCell ref="A62:A64"/>
    <mergeCell ref="A7:B7"/>
    <mergeCell ref="A11:B11"/>
    <mergeCell ref="A20:A25"/>
    <mergeCell ref="A49:B49"/>
    <mergeCell ref="A61:B61"/>
    <mergeCell ref="A130:A132"/>
    <mergeCell ref="A77:B77"/>
    <mergeCell ref="A75:B75"/>
    <mergeCell ref="A71:B71"/>
    <mergeCell ref="A72:B72"/>
    <mergeCell ref="A134:B134"/>
    <mergeCell ref="A3:B3"/>
    <mergeCell ref="A99:B99"/>
    <mergeCell ref="A102:B102"/>
    <mergeCell ref="A105:B105"/>
    <mergeCell ref="A108:B108"/>
    <mergeCell ref="A111:B111"/>
    <mergeCell ref="A76:B76"/>
    <mergeCell ref="A79:B79"/>
    <mergeCell ref="A80:A86"/>
    <mergeCell ref="A88:A93"/>
    <mergeCell ref="A95:B95"/>
    <mergeCell ref="A112:A115"/>
    <mergeCell ref="A117:B117"/>
    <mergeCell ref="A118:A127"/>
    <mergeCell ref="A129:B129"/>
  </mergeCells>
  <phoneticPr fontId="2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1650-A9F0-4E99-B886-715EDCB0A164}">
  <dimension ref="A1"/>
  <sheetViews>
    <sheetView tabSelected="1" zoomScale="70" zoomScaleNormal="70" workbookViewId="0">
      <selection activeCell="Q265" sqref="Q26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topLeftCell="A49" workbookViewId="0">
      <selection activeCell="K68" sqref="K68"/>
    </sheetView>
  </sheetViews>
  <sheetFormatPr defaultRowHeight="15" x14ac:dyDescent="0.25"/>
  <sheetData>
    <row r="1" spans="1:3" x14ac:dyDescent="0.25">
      <c r="A1" t="s">
        <v>289</v>
      </c>
    </row>
    <row r="2" spans="1:3" x14ac:dyDescent="0.25">
      <c r="A2" t="s">
        <v>293</v>
      </c>
      <c r="B2" t="s">
        <v>254</v>
      </c>
      <c r="C2" t="s">
        <v>207</v>
      </c>
    </row>
    <row r="3" spans="1:3" x14ac:dyDescent="0.25">
      <c r="A3" t="s">
        <v>290</v>
      </c>
      <c r="B3">
        <v>300</v>
      </c>
      <c r="C3">
        <v>241</v>
      </c>
    </row>
    <row r="4" spans="1:3" x14ac:dyDescent="0.25">
      <c r="A4" t="s">
        <v>291</v>
      </c>
      <c r="B4">
        <v>285</v>
      </c>
      <c r="C4">
        <v>241</v>
      </c>
    </row>
    <row r="5" spans="1:3" x14ac:dyDescent="0.25">
      <c r="A5" t="s">
        <v>292</v>
      </c>
      <c r="B5">
        <v>300</v>
      </c>
      <c r="C5">
        <v>241</v>
      </c>
    </row>
    <row r="10" spans="1:3" x14ac:dyDescent="0.25">
      <c r="A10" t="s">
        <v>294</v>
      </c>
      <c r="B10" s="76">
        <v>5.4999999999999997E-3</v>
      </c>
    </row>
    <row r="11" spans="1:3" x14ac:dyDescent="0.25">
      <c r="A11" t="s">
        <v>207</v>
      </c>
      <c r="B11" s="50">
        <v>0.05</v>
      </c>
    </row>
    <row r="24" spans="1:4" x14ac:dyDescent="0.25">
      <c r="A24" t="s">
        <v>296</v>
      </c>
      <c r="B24" t="s">
        <v>297</v>
      </c>
    </row>
    <row r="25" spans="1:4" x14ac:dyDescent="0.25">
      <c r="A25" t="s">
        <v>295</v>
      </c>
      <c r="B25" s="49">
        <v>36699</v>
      </c>
    </row>
    <row r="26" spans="1:4" x14ac:dyDescent="0.25">
      <c r="A26" t="s">
        <v>257</v>
      </c>
      <c r="B26" s="49">
        <v>24000</v>
      </c>
    </row>
    <row r="30" spans="1:4" x14ac:dyDescent="0.25">
      <c r="B30" t="s">
        <v>290</v>
      </c>
      <c r="C30" t="s">
        <v>291</v>
      </c>
      <c r="D30" t="s">
        <v>292</v>
      </c>
    </row>
    <row r="31" spans="1:4" x14ac:dyDescent="0.25">
      <c r="A31" t="s">
        <v>298</v>
      </c>
      <c r="B31">
        <v>378</v>
      </c>
      <c r="C31">
        <v>501</v>
      </c>
      <c r="D31">
        <v>445</v>
      </c>
    </row>
    <row r="33" spans="1:4" x14ac:dyDescent="0.25">
      <c r="B33" t="s">
        <v>290</v>
      </c>
      <c r="C33" t="s">
        <v>291</v>
      </c>
      <c r="D33" t="s">
        <v>292</v>
      </c>
    </row>
    <row r="34" spans="1:4" x14ac:dyDescent="0.25">
      <c r="A34" t="s">
        <v>299</v>
      </c>
      <c r="B34" s="153">
        <v>0.13125000000000001</v>
      </c>
      <c r="C34" s="153">
        <v>0.21074074074074073</v>
      </c>
      <c r="D34" s="153">
        <v>0.13873842592592592</v>
      </c>
    </row>
    <row r="35" spans="1:4" x14ac:dyDescent="0.25">
      <c r="A35" t="s">
        <v>207</v>
      </c>
      <c r="B35" s="155">
        <v>8.3333333333333329E-2</v>
      </c>
      <c r="C35" s="155">
        <v>8.3333333333333329E-2</v>
      </c>
      <c r="D35" s="155">
        <v>8.3333333333333329E-2</v>
      </c>
    </row>
    <row r="38" spans="1:4" x14ac:dyDescent="0.25">
      <c r="B38" t="s">
        <v>290</v>
      </c>
      <c r="C38" t="s">
        <v>291</v>
      </c>
      <c r="D38" t="s">
        <v>292</v>
      </c>
    </row>
    <row r="39" spans="1:4" x14ac:dyDescent="0.25">
      <c r="A39" t="s">
        <v>300</v>
      </c>
      <c r="B39" s="50">
        <v>0.88</v>
      </c>
      <c r="C39" s="50">
        <v>0.81</v>
      </c>
      <c r="D39" s="50">
        <v>0.96</v>
      </c>
    </row>
    <row r="40" spans="1:4" x14ac:dyDescent="0.25">
      <c r="A40" t="s">
        <v>207</v>
      </c>
      <c r="B40" s="50">
        <v>0.8</v>
      </c>
      <c r="C40" s="50">
        <v>0.8</v>
      </c>
      <c r="D40" s="50">
        <v>0.8</v>
      </c>
    </row>
    <row r="42" spans="1:4" x14ac:dyDescent="0.25">
      <c r="B42" t="s">
        <v>290</v>
      </c>
      <c r="C42" t="s">
        <v>291</v>
      </c>
      <c r="D42" t="s">
        <v>292</v>
      </c>
    </row>
    <row r="43" spans="1:4" x14ac:dyDescent="0.25">
      <c r="A43" t="s">
        <v>301</v>
      </c>
      <c r="B43" s="10">
        <v>455</v>
      </c>
      <c r="C43" s="10">
        <v>396</v>
      </c>
      <c r="D43" s="10">
        <v>320</v>
      </c>
    </row>
    <row r="44" spans="1:4" x14ac:dyDescent="0.25">
      <c r="A44" t="s">
        <v>302</v>
      </c>
      <c r="B44" s="11">
        <v>1</v>
      </c>
      <c r="C44" s="11">
        <v>1</v>
      </c>
      <c r="D44" s="11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6"/>
  <sheetViews>
    <sheetView topLeftCell="J1" workbookViewId="0">
      <selection activeCell="R103" sqref="R103"/>
    </sheetView>
  </sheetViews>
  <sheetFormatPr defaultRowHeight="15" x14ac:dyDescent="0.25"/>
  <cols>
    <col min="1" max="1" width="4.7109375" bestFit="1" customWidth="1"/>
    <col min="2" max="2" width="35.85546875" customWidth="1"/>
    <col min="3" max="3" width="10" customWidth="1"/>
    <col min="4" max="4" width="12.28515625" customWidth="1"/>
    <col min="5" max="5" width="9.85546875" bestFit="1" customWidth="1"/>
    <col min="6" max="6" width="12.42578125" bestFit="1" customWidth="1"/>
    <col min="7" max="7" width="8.7109375" bestFit="1" customWidth="1"/>
    <col min="8" max="8" width="17" customWidth="1"/>
    <col min="13" max="13" width="40.28515625" bestFit="1" customWidth="1"/>
    <col min="14" max="16" width="15.7109375" customWidth="1"/>
  </cols>
  <sheetData>
    <row r="1" spans="1:25" ht="29.45" customHeight="1" x14ac:dyDescent="0.25">
      <c r="A1" s="98" t="s">
        <v>253</v>
      </c>
      <c r="B1" s="98" t="s">
        <v>207</v>
      </c>
      <c r="C1" s="193" t="s">
        <v>208</v>
      </c>
      <c r="D1" s="193"/>
      <c r="E1" s="99" t="s">
        <v>209</v>
      </c>
      <c r="F1" s="98" t="s">
        <v>210</v>
      </c>
      <c r="G1" s="99" t="s">
        <v>211</v>
      </c>
      <c r="H1" s="100" t="s">
        <v>212</v>
      </c>
    </row>
    <row r="2" spans="1:25" x14ac:dyDescent="0.25">
      <c r="A2" s="192">
        <v>1</v>
      </c>
      <c r="B2" s="192" t="s">
        <v>255</v>
      </c>
      <c r="C2" s="112" t="s">
        <v>207</v>
      </c>
      <c r="D2" s="112" t="s">
        <v>213</v>
      </c>
      <c r="E2" s="113" t="e">
        <f>'INDICADORES UPAS'!#REF!</f>
        <v>#REF!</v>
      </c>
      <c r="F2" s="113" t="e">
        <f>'INDICADORES UPAS'!#REF!</f>
        <v>#REF!</v>
      </c>
      <c r="G2" s="113" t="e">
        <f>'INDICADORES UPAS'!#REF!</f>
        <v>#REF!</v>
      </c>
      <c r="H2" s="122" t="e">
        <f t="shared" ref="H2:H41" si="0">AVERAGE(E2:G2)</f>
        <v>#REF!</v>
      </c>
      <c r="I2" t="s">
        <v>256</v>
      </c>
      <c r="J2" s="49">
        <f>SUM(E30:G30)</f>
        <v>0</v>
      </c>
      <c r="T2" s="128">
        <v>8.3333333333333329E-2</v>
      </c>
      <c r="U2" s="128">
        <v>8.3333333333333329E-2</v>
      </c>
      <c r="V2" s="128">
        <v>8.3333333333333329E-2</v>
      </c>
      <c r="W2" s="50">
        <v>0.8</v>
      </c>
      <c r="X2" s="50">
        <v>0.8</v>
      </c>
      <c r="Y2" s="50">
        <v>0.8</v>
      </c>
    </row>
    <row r="3" spans="1:25" x14ac:dyDescent="0.25">
      <c r="A3" s="192"/>
      <c r="B3" s="192"/>
      <c r="C3" s="112" t="s">
        <v>214</v>
      </c>
      <c r="D3" s="112">
        <v>10</v>
      </c>
      <c r="E3" s="114">
        <v>10</v>
      </c>
      <c r="F3" s="114">
        <v>10</v>
      </c>
      <c r="G3" s="114">
        <v>10</v>
      </c>
      <c r="H3" s="123">
        <f t="shared" si="0"/>
        <v>10</v>
      </c>
      <c r="I3" t="s">
        <v>257</v>
      </c>
      <c r="J3" s="49">
        <f>8000*3</f>
        <v>24000</v>
      </c>
    </row>
    <row r="4" spans="1:25" ht="20.45" customHeight="1" x14ac:dyDescent="0.25">
      <c r="A4" s="194">
        <v>2</v>
      </c>
      <c r="B4" s="194" t="s">
        <v>215</v>
      </c>
      <c r="C4" s="101" t="s">
        <v>207</v>
      </c>
      <c r="D4" s="101" t="s">
        <v>216</v>
      </c>
      <c r="E4" s="104" t="e">
        <f>'INDICADORES UPAS'!#REF!</f>
        <v>#REF!</v>
      </c>
      <c r="F4" s="104" t="e">
        <f>'INDICADORES UPAS'!#REF!</f>
        <v>#REF!</v>
      </c>
      <c r="G4" s="104" t="e">
        <f>'INDICADORES UPAS'!#REF!</f>
        <v>#REF!</v>
      </c>
      <c r="H4" s="122" t="e">
        <f t="shared" si="0"/>
        <v>#REF!</v>
      </c>
    </row>
    <row r="5" spans="1:25" ht="20.45" customHeight="1" x14ac:dyDescent="0.25">
      <c r="A5" s="194"/>
      <c r="B5" s="194"/>
      <c r="C5" s="101" t="s">
        <v>214</v>
      </c>
      <c r="D5" s="101">
        <v>20</v>
      </c>
      <c r="E5" s="105">
        <v>20</v>
      </c>
      <c r="F5" s="105">
        <v>20</v>
      </c>
      <c r="G5" s="105">
        <v>20</v>
      </c>
      <c r="H5" s="123">
        <f t="shared" si="0"/>
        <v>20</v>
      </c>
    </row>
    <row r="6" spans="1:25" x14ac:dyDescent="0.25">
      <c r="A6" s="192">
        <v>3</v>
      </c>
      <c r="B6" s="192" t="s">
        <v>217</v>
      </c>
      <c r="C6" s="112" t="s">
        <v>207</v>
      </c>
      <c r="D6" s="112" t="s">
        <v>218</v>
      </c>
      <c r="E6" s="115" t="e">
        <f>'INDICADORES UPAS'!#REF!</f>
        <v>#REF!</v>
      </c>
      <c r="F6" s="115" t="e">
        <f>'INDICADORES UPAS'!#REF!</f>
        <v>#REF!</v>
      </c>
      <c r="G6" s="115" t="e">
        <f>'INDICADORES UPAS'!#REF!</f>
        <v>#REF!</v>
      </c>
      <c r="H6" s="124" t="e">
        <f t="shared" si="0"/>
        <v>#REF!</v>
      </c>
    </row>
    <row r="7" spans="1:25" x14ac:dyDescent="0.25">
      <c r="A7" s="192"/>
      <c r="B7" s="192"/>
      <c r="C7" s="112" t="s">
        <v>214</v>
      </c>
      <c r="D7" s="112">
        <v>20</v>
      </c>
      <c r="E7" s="116">
        <v>20</v>
      </c>
      <c r="F7" s="116">
        <v>20</v>
      </c>
      <c r="G7" s="116">
        <v>20</v>
      </c>
      <c r="H7" s="123">
        <f t="shared" si="0"/>
        <v>20</v>
      </c>
    </row>
    <row r="8" spans="1:25" ht="20.45" customHeight="1" x14ac:dyDescent="0.25">
      <c r="A8" s="194">
        <v>4</v>
      </c>
      <c r="B8" s="194" t="s">
        <v>219</v>
      </c>
      <c r="C8" s="101" t="s">
        <v>207</v>
      </c>
      <c r="D8" s="101" t="s">
        <v>220</v>
      </c>
      <c r="E8" s="102" t="e">
        <f>'INDICADORES UPAS'!#REF!</f>
        <v>#REF!</v>
      </c>
      <c r="F8" s="102" t="e">
        <f>'INDICADORES UPAS'!#REF!</f>
        <v>#REF!</v>
      </c>
      <c r="G8" s="102" t="e">
        <f>'INDICADORES UPAS'!#REF!</f>
        <v>#REF!</v>
      </c>
      <c r="H8" s="122" t="e">
        <f t="shared" si="0"/>
        <v>#REF!</v>
      </c>
    </row>
    <row r="9" spans="1:25" ht="20.45" customHeight="1" x14ac:dyDescent="0.25">
      <c r="A9" s="194"/>
      <c r="B9" s="194"/>
      <c r="C9" s="101" t="s">
        <v>214</v>
      </c>
      <c r="D9" s="101">
        <v>20</v>
      </c>
      <c r="E9" s="103">
        <v>20</v>
      </c>
      <c r="F9" s="103">
        <v>20</v>
      </c>
      <c r="G9" s="103">
        <v>20</v>
      </c>
      <c r="H9" s="123">
        <f t="shared" si="0"/>
        <v>20</v>
      </c>
    </row>
    <row r="10" spans="1:25" x14ac:dyDescent="0.25">
      <c r="A10" s="192">
        <v>5</v>
      </c>
      <c r="B10" s="192" t="s">
        <v>221</v>
      </c>
      <c r="C10" s="112" t="s">
        <v>207</v>
      </c>
      <c r="D10" s="112" t="s">
        <v>222</v>
      </c>
      <c r="E10" s="117" t="e">
        <f>'INDICADORES UPAS'!#REF!</f>
        <v>#REF!</v>
      </c>
      <c r="F10" s="117" t="e">
        <f>'INDICADORES UPAS'!#REF!</f>
        <v>#REF!</v>
      </c>
      <c r="G10" s="117" t="e">
        <f>'INDICADORES UPAS'!#REF!</f>
        <v>#REF!</v>
      </c>
      <c r="H10" s="124" t="e">
        <f t="shared" si="0"/>
        <v>#REF!</v>
      </c>
    </row>
    <row r="11" spans="1:25" x14ac:dyDescent="0.25">
      <c r="A11" s="192"/>
      <c r="B11" s="192"/>
      <c r="C11" s="112" t="s">
        <v>214</v>
      </c>
      <c r="D11" s="112">
        <v>20</v>
      </c>
      <c r="E11" s="114">
        <v>20</v>
      </c>
      <c r="F11" s="114">
        <v>20</v>
      </c>
      <c r="G11" s="114">
        <v>20</v>
      </c>
      <c r="H11" s="123">
        <f t="shared" si="0"/>
        <v>20</v>
      </c>
    </row>
    <row r="12" spans="1:25" ht="20.45" customHeight="1" x14ac:dyDescent="0.25">
      <c r="A12" s="194">
        <v>6</v>
      </c>
      <c r="B12" s="194" t="s">
        <v>223</v>
      </c>
      <c r="C12" s="101" t="s">
        <v>207</v>
      </c>
      <c r="D12" s="101" t="s">
        <v>224</v>
      </c>
      <c r="E12" s="102" t="e">
        <f>'INDICADORES UPAS'!#REF!</f>
        <v>#REF!</v>
      </c>
      <c r="F12" s="102" t="e">
        <f>'INDICADORES UPAS'!#REF!</f>
        <v>#REF!</v>
      </c>
      <c r="G12" s="102" t="e">
        <f>'INDICADORES UPAS'!#REF!</f>
        <v>#REF!</v>
      </c>
      <c r="H12" s="122" t="e">
        <f t="shared" si="0"/>
        <v>#REF!</v>
      </c>
    </row>
    <row r="13" spans="1:25" ht="20.45" customHeight="1" x14ac:dyDescent="0.25">
      <c r="A13" s="194"/>
      <c r="B13" s="194"/>
      <c r="C13" s="101" t="s">
        <v>214</v>
      </c>
      <c r="D13" s="101">
        <v>15</v>
      </c>
      <c r="E13" s="103">
        <v>15</v>
      </c>
      <c r="F13" s="103">
        <v>15</v>
      </c>
      <c r="G13" s="103">
        <v>15</v>
      </c>
      <c r="H13" s="123">
        <f t="shared" si="0"/>
        <v>15</v>
      </c>
    </row>
    <row r="14" spans="1:25" x14ac:dyDescent="0.25">
      <c r="A14" s="192">
        <v>7</v>
      </c>
      <c r="B14" s="192" t="s">
        <v>225</v>
      </c>
      <c r="C14" s="112" t="s">
        <v>207</v>
      </c>
      <c r="D14" s="112" t="s">
        <v>226</v>
      </c>
      <c r="E14" s="117" t="e">
        <f>'INDICADORES UPAS'!#REF!</f>
        <v>#REF!</v>
      </c>
      <c r="F14" s="117" t="e">
        <f>'INDICADORES UPAS'!#REF!</f>
        <v>#REF!</v>
      </c>
      <c r="G14" s="117" t="e">
        <f>'INDICADORES UPAS'!#REF!</f>
        <v>#REF!</v>
      </c>
      <c r="H14" s="124" t="e">
        <f t="shared" si="0"/>
        <v>#REF!</v>
      </c>
    </row>
    <row r="15" spans="1:25" x14ac:dyDescent="0.25">
      <c r="A15" s="192"/>
      <c r="B15" s="192"/>
      <c r="C15" s="112" t="s">
        <v>214</v>
      </c>
      <c r="D15" s="112">
        <v>15</v>
      </c>
      <c r="E15" s="114">
        <v>15</v>
      </c>
      <c r="F15" s="114">
        <v>15</v>
      </c>
      <c r="G15" s="114">
        <v>15</v>
      </c>
      <c r="H15" s="123">
        <f t="shared" si="0"/>
        <v>15</v>
      </c>
    </row>
    <row r="16" spans="1:25" ht="20.45" customHeight="1" x14ac:dyDescent="0.25">
      <c r="A16" s="194">
        <v>8</v>
      </c>
      <c r="B16" s="194" t="s">
        <v>227</v>
      </c>
      <c r="C16" s="101" t="s">
        <v>207</v>
      </c>
      <c r="D16" s="101" t="s">
        <v>213</v>
      </c>
      <c r="E16" s="102" t="e">
        <f>'INDICADORES UPAS'!#REF!</f>
        <v>#REF!</v>
      </c>
      <c r="F16" s="102" t="e">
        <f>'INDICADORES UPAS'!#REF!</f>
        <v>#REF!</v>
      </c>
      <c r="G16" s="102" t="e">
        <f>'INDICADORES UPAS'!#REF!</f>
        <v>#REF!</v>
      </c>
      <c r="H16" s="122" t="e">
        <f t="shared" si="0"/>
        <v>#REF!</v>
      </c>
    </row>
    <row r="17" spans="1:9" ht="20.45" customHeight="1" x14ac:dyDescent="0.25">
      <c r="A17" s="194"/>
      <c r="B17" s="194"/>
      <c r="C17" s="101" t="s">
        <v>214</v>
      </c>
      <c r="D17" s="101">
        <v>15</v>
      </c>
      <c r="E17" s="103">
        <v>15</v>
      </c>
      <c r="F17" s="103">
        <v>15</v>
      </c>
      <c r="G17" s="103">
        <v>15</v>
      </c>
      <c r="H17" s="123">
        <f t="shared" si="0"/>
        <v>15</v>
      </c>
    </row>
    <row r="18" spans="1:9" x14ac:dyDescent="0.25">
      <c r="A18" s="192">
        <v>9</v>
      </c>
      <c r="B18" s="192" t="s">
        <v>228</v>
      </c>
      <c r="C18" s="112" t="s">
        <v>207</v>
      </c>
      <c r="D18" s="112" t="s">
        <v>229</v>
      </c>
      <c r="E18" s="117" t="e">
        <f>'INDICADORES UPAS'!#REF!</f>
        <v>#REF!</v>
      </c>
      <c r="F18" s="117" t="e">
        <f>'INDICADORES UPAS'!#REF!</f>
        <v>#REF!</v>
      </c>
      <c r="G18" s="117" t="e">
        <f>'INDICADORES UPAS'!#REF!</f>
        <v>#REF!</v>
      </c>
      <c r="H18" s="124" t="e">
        <f t="shared" si="0"/>
        <v>#REF!</v>
      </c>
    </row>
    <row r="19" spans="1:9" x14ac:dyDescent="0.25">
      <c r="A19" s="192"/>
      <c r="B19" s="192"/>
      <c r="C19" s="112" t="s">
        <v>214</v>
      </c>
      <c r="D19" s="112">
        <v>15</v>
      </c>
      <c r="E19" s="114">
        <v>15</v>
      </c>
      <c r="F19" s="114">
        <v>15</v>
      </c>
      <c r="G19" s="114">
        <v>15</v>
      </c>
      <c r="H19" s="123">
        <f t="shared" si="0"/>
        <v>15</v>
      </c>
    </row>
    <row r="20" spans="1:9" ht="20.45" customHeight="1" x14ac:dyDescent="0.25">
      <c r="A20" s="194">
        <v>10</v>
      </c>
      <c r="B20" s="194" t="s">
        <v>230</v>
      </c>
      <c r="C20" s="101" t="s">
        <v>207</v>
      </c>
      <c r="D20" s="101" t="s">
        <v>213</v>
      </c>
      <c r="E20" s="102" t="e">
        <f>'INDICADORES UPAS'!#REF!</f>
        <v>#REF!</v>
      </c>
      <c r="F20" s="102" t="e">
        <f>'INDICADORES UPAS'!#REF!</f>
        <v>#REF!</v>
      </c>
      <c r="G20" s="102" t="e">
        <f>'INDICADORES UPAS'!#REF!</f>
        <v>#REF!</v>
      </c>
      <c r="H20" s="122" t="e">
        <f t="shared" si="0"/>
        <v>#REF!</v>
      </c>
    </row>
    <row r="21" spans="1:9" ht="20.45" customHeight="1" x14ac:dyDescent="0.25">
      <c r="A21" s="194"/>
      <c r="B21" s="194"/>
      <c r="C21" s="101" t="s">
        <v>214</v>
      </c>
      <c r="D21" s="101">
        <v>10</v>
      </c>
      <c r="E21" s="103">
        <v>10</v>
      </c>
      <c r="F21" s="103">
        <v>10</v>
      </c>
      <c r="G21" s="103">
        <v>10</v>
      </c>
      <c r="H21" s="123">
        <f t="shared" si="0"/>
        <v>10</v>
      </c>
    </row>
    <row r="22" spans="1:9" x14ac:dyDescent="0.25">
      <c r="A22" s="192">
        <v>11</v>
      </c>
      <c r="B22" s="192" t="s">
        <v>231</v>
      </c>
      <c r="C22" s="112" t="s">
        <v>207</v>
      </c>
      <c r="D22" s="112" t="s">
        <v>232</v>
      </c>
      <c r="E22" s="117" t="e">
        <f>'INDICADORES UPAS'!#REF!</f>
        <v>#REF!</v>
      </c>
      <c r="F22" s="117" t="e">
        <f>'INDICADORES UPAS'!#REF!</f>
        <v>#REF!</v>
      </c>
      <c r="G22" s="117" t="e">
        <f>'INDICADORES UPAS'!#REF!</f>
        <v>#REF!</v>
      </c>
      <c r="H22" s="124" t="e">
        <f t="shared" si="0"/>
        <v>#REF!</v>
      </c>
    </row>
    <row r="23" spans="1:9" x14ac:dyDescent="0.25">
      <c r="A23" s="192"/>
      <c r="B23" s="192"/>
      <c r="C23" s="112" t="s">
        <v>214</v>
      </c>
      <c r="D23" s="112">
        <v>10</v>
      </c>
      <c r="E23" s="114">
        <v>10</v>
      </c>
      <c r="F23" s="114">
        <v>10</v>
      </c>
      <c r="G23" s="114">
        <v>10</v>
      </c>
      <c r="H23" s="123">
        <f t="shared" si="0"/>
        <v>10</v>
      </c>
    </row>
    <row r="24" spans="1:9" ht="20.45" customHeight="1" x14ac:dyDescent="0.25">
      <c r="A24" s="194">
        <v>12</v>
      </c>
      <c r="B24" s="194" t="s">
        <v>233</v>
      </c>
      <c r="C24" s="101" t="s">
        <v>207</v>
      </c>
      <c r="D24" s="110">
        <f>100%</f>
        <v>1</v>
      </c>
      <c r="E24" s="102">
        <v>1</v>
      </c>
      <c r="F24" s="102">
        <v>1</v>
      </c>
      <c r="G24" s="102">
        <v>1</v>
      </c>
      <c r="H24" s="122">
        <f t="shared" si="0"/>
        <v>1</v>
      </c>
    </row>
    <row r="25" spans="1:9" ht="20.45" customHeight="1" x14ac:dyDescent="0.25">
      <c r="A25" s="194"/>
      <c r="B25" s="194"/>
      <c r="C25" s="101" t="s">
        <v>214</v>
      </c>
      <c r="D25" s="101">
        <v>15</v>
      </c>
      <c r="E25" s="103">
        <v>15</v>
      </c>
      <c r="F25" s="103">
        <v>15</v>
      </c>
      <c r="G25" s="103">
        <v>15</v>
      </c>
      <c r="H25" s="123">
        <f t="shared" si="0"/>
        <v>15</v>
      </c>
    </row>
    <row r="26" spans="1:9" x14ac:dyDescent="0.25">
      <c r="A26" s="192">
        <v>13</v>
      </c>
      <c r="B26" s="192" t="s">
        <v>234</v>
      </c>
      <c r="C26" s="112" t="s">
        <v>207</v>
      </c>
      <c r="D26" s="112" t="s">
        <v>222</v>
      </c>
      <c r="E26" s="117">
        <f>'INDICADORES UPAS'!I28</f>
        <v>0</v>
      </c>
      <c r="F26" s="117">
        <f>'INDICADORES UPAS'!J28</f>
        <v>0</v>
      </c>
      <c r="G26" s="117">
        <f>'INDICADORES UPAS'!K28</f>
        <v>0</v>
      </c>
      <c r="H26" s="124">
        <f t="shared" si="0"/>
        <v>0</v>
      </c>
    </row>
    <row r="27" spans="1:9" x14ac:dyDescent="0.25">
      <c r="A27" s="192"/>
      <c r="B27" s="192"/>
      <c r="C27" s="112" t="s">
        <v>214</v>
      </c>
      <c r="D27" s="112">
        <v>15</v>
      </c>
      <c r="E27" s="118">
        <v>15</v>
      </c>
      <c r="F27" s="118">
        <v>15</v>
      </c>
      <c r="G27" s="118">
        <v>15</v>
      </c>
      <c r="H27" s="123">
        <f t="shared" si="0"/>
        <v>15</v>
      </c>
    </row>
    <row r="28" spans="1:9" x14ac:dyDescent="0.25">
      <c r="A28" s="194">
        <v>14</v>
      </c>
      <c r="B28" s="194" t="s">
        <v>235</v>
      </c>
      <c r="C28" s="101" t="s">
        <v>207</v>
      </c>
      <c r="D28" s="101" t="s">
        <v>236</v>
      </c>
      <c r="E28" s="107" t="e">
        <f>'INDICADORES UPAS'!#REF!</f>
        <v>#REF!</v>
      </c>
      <c r="F28" s="107" t="e">
        <f>'INDICADORES UPAS'!#REF!</f>
        <v>#REF!</v>
      </c>
      <c r="G28" s="107" t="e">
        <f>'INDICADORES UPAS'!#REF!</f>
        <v>#REF!</v>
      </c>
      <c r="H28" s="125" t="e">
        <f t="shared" si="0"/>
        <v>#REF!</v>
      </c>
      <c r="I28" s="50">
        <v>0.05</v>
      </c>
    </row>
    <row r="29" spans="1:9" x14ac:dyDescent="0.25">
      <c r="A29" s="194"/>
      <c r="B29" s="194"/>
      <c r="C29" s="101" t="s">
        <v>214</v>
      </c>
      <c r="D29" s="101">
        <v>10</v>
      </c>
      <c r="E29" s="106">
        <v>10</v>
      </c>
      <c r="F29" s="106">
        <v>10</v>
      </c>
      <c r="G29" s="106">
        <v>10</v>
      </c>
      <c r="H29" s="123">
        <f t="shared" si="0"/>
        <v>10</v>
      </c>
    </row>
    <row r="30" spans="1:9" x14ac:dyDescent="0.25">
      <c r="A30" s="192">
        <v>15</v>
      </c>
      <c r="B30" s="192" t="s">
        <v>237</v>
      </c>
      <c r="C30" s="112" t="s">
        <v>207</v>
      </c>
      <c r="D30" s="112" t="s">
        <v>238</v>
      </c>
      <c r="E30" s="114">
        <f>'INDICADORES UPAS'!I8</f>
        <v>0</v>
      </c>
      <c r="F30" s="114">
        <f>'INDICADORES UPAS'!J8</f>
        <v>0</v>
      </c>
      <c r="G30" s="114">
        <f>'INDICADORES UPAS'!K8</f>
        <v>0</v>
      </c>
      <c r="H30" s="123">
        <f t="shared" si="0"/>
        <v>0</v>
      </c>
    </row>
    <row r="31" spans="1:9" x14ac:dyDescent="0.25">
      <c r="A31" s="192"/>
      <c r="B31" s="192"/>
      <c r="C31" s="112" t="s">
        <v>214</v>
      </c>
      <c r="D31" s="112">
        <v>10</v>
      </c>
      <c r="E31" s="118">
        <v>10</v>
      </c>
      <c r="F31" s="118">
        <v>10</v>
      </c>
      <c r="G31" s="118">
        <v>10</v>
      </c>
      <c r="H31" s="123">
        <f t="shared" si="0"/>
        <v>10</v>
      </c>
    </row>
    <row r="32" spans="1:9" x14ac:dyDescent="0.25">
      <c r="A32" s="194">
        <v>16</v>
      </c>
      <c r="B32" s="194" t="s">
        <v>239</v>
      </c>
      <c r="C32" s="101" t="s">
        <v>207</v>
      </c>
      <c r="D32" s="110">
        <v>1</v>
      </c>
      <c r="E32" s="102">
        <v>1</v>
      </c>
      <c r="F32" s="102">
        <v>1</v>
      </c>
      <c r="G32" s="102">
        <v>1</v>
      </c>
      <c r="H32" s="125">
        <f t="shared" si="0"/>
        <v>1</v>
      </c>
    </row>
    <row r="33" spans="1:15" x14ac:dyDescent="0.25">
      <c r="A33" s="194"/>
      <c r="B33" s="194"/>
      <c r="C33" s="101" t="s">
        <v>214</v>
      </c>
      <c r="D33" s="101">
        <v>5</v>
      </c>
      <c r="E33" s="106">
        <v>5</v>
      </c>
      <c r="F33" s="106">
        <v>5</v>
      </c>
      <c r="G33" s="106">
        <v>5</v>
      </c>
      <c r="H33" s="123">
        <f t="shared" si="0"/>
        <v>5</v>
      </c>
    </row>
    <row r="34" spans="1:15" x14ac:dyDescent="0.25">
      <c r="A34" s="192">
        <v>17</v>
      </c>
      <c r="B34" s="192" t="s">
        <v>240</v>
      </c>
      <c r="C34" s="112" t="s">
        <v>207</v>
      </c>
      <c r="D34" s="121">
        <v>1</v>
      </c>
      <c r="E34" s="119">
        <v>1</v>
      </c>
      <c r="F34" s="119">
        <v>1</v>
      </c>
      <c r="G34" s="119">
        <v>1</v>
      </c>
      <c r="H34" s="125">
        <f t="shared" si="0"/>
        <v>1</v>
      </c>
    </row>
    <row r="35" spans="1:15" x14ac:dyDescent="0.25">
      <c r="A35" s="192"/>
      <c r="B35" s="192"/>
      <c r="C35" s="112" t="s">
        <v>214</v>
      </c>
      <c r="D35" s="112">
        <v>10</v>
      </c>
      <c r="E35" s="120">
        <v>10</v>
      </c>
      <c r="F35" s="120">
        <v>10</v>
      </c>
      <c r="G35" s="120">
        <v>10</v>
      </c>
      <c r="H35" s="123">
        <f t="shared" si="0"/>
        <v>10</v>
      </c>
    </row>
    <row r="36" spans="1:15" x14ac:dyDescent="0.25">
      <c r="A36" s="194">
        <v>18</v>
      </c>
      <c r="B36" s="194" t="s">
        <v>241</v>
      </c>
      <c r="C36" s="101" t="s">
        <v>207</v>
      </c>
      <c r="D36" s="101" t="s">
        <v>242</v>
      </c>
      <c r="E36" s="109" t="e">
        <f>'INDICADORES UPAS'!#REF!</f>
        <v>#REF!</v>
      </c>
      <c r="F36" s="109" t="e">
        <f>'INDICADORES UPAS'!#REF!</f>
        <v>#REF!</v>
      </c>
      <c r="G36" s="109" t="e">
        <f>'INDICADORES UPAS'!#REF!</f>
        <v>#REF!</v>
      </c>
      <c r="H36" s="126" t="e">
        <f t="shared" si="0"/>
        <v>#REF!</v>
      </c>
    </row>
    <row r="37" spans="1:15" x14ac:dyDescent="0.25">
      <c r="A37" s="194"/>
      <c r="B37" s="194"/>
      <c r="C37" s="101" t="s">
        <v>214</v>
      </c>
      <c r="D37" s="101">
        <v>5</v>
      </c>
      <c r="E37" s="108">
        <v>5</v>
      </c>
      <c r="F37" s="108">
        <v>5</v>
      </c>
      <c r="G37" s="108">
        <v>5</v>
      </c>
      <c r="H37" s="123">
        <f t="shared" si="0"/>
        <v>5</v>
      </c>
    </row>
    <row r="38" spans="1:15" x14ac:dyDescent="0.25">
      <c r="A38" s="192">
        <v>19</v>
      </c>
      <c r="B38" s="192" t="s">
        <v>243</v>
      </c>
      <c r="C38" s="112" t="s">
        <v>207</v>
      </c>
      <c r="D38" s="112" t="s">
        <v>244</v>
      </c>
      <c r="E38" s="119" t="e">
        <f>'INDICADORES UPAS'!#REF!</f>
        <v>#REF!</v>
      </c>
      <c r="F38" s="119" t="e">
        <f>'INDICADORES UPAS'!#REF!</f>
        <v>#REF!</v>
      </c>
      <c r="G38" s="119" t="e">
        <f>'INDICADORES UPAS'!#REF!</f>
        <v>#REF!</v>
      </c>
      <c r="H38" s="122" t="e">
        <f t="shared" si="0"/>
        <v>#REF!</v>
      </c>
    </row>
    <row r="39" spans="1:15" x14ac:dyDescent="0.25">
      <c r="A39" s="192"/>
      <c r="B39" s="192"/>
      <c r="C39" s="112" t="s">
        <v>214</v>
      </c>
      <c r="D39" s="112">
        <v>5</v>
      </c>
      <c r="E39" s="120">
        <v>5</v>
      </c>
      <c r="F39" s="120">
        <v>5</v>
      </c>
      <c r="G39" s="118">
        <v>5</v>
      </c>
      <c r="H39" s="123">
        <f t="shared" si="0"/>
        <v>5</v>
      </c>
    </row>
    <row r="40" spans="1:15" x14ac:dyDescent="0.25">
      <c r="A40" s="194">
        <v>20</v>
      </c>
      <c r="B40" s="194" t="s">
        <v>245</v>
      </c>
      <c r="C40" s="101" t="s">
        <v>207</v>
      </c>
      <c r="D40" s="110">
        <v>1</v>
      </c>
      <c r="E40" s="104">
        <v>1</v>
      </c>
      <c r="F40" s="104">
        <v>1</v>
      </c>
      <c r="G40" s="104">
        <v>1</v>
      </c>
      <c r="H40" s="122">
        <f t="shared" si="0"/>
        <v>1</v>
      </c>
    </row>
    <row r="41" spans="1:15" x14ac:dyDescent="0.25">
      <c r="A41" s="194"/>
      <c r="B41" s="194"/>
      <c r="C41" s="101" t="s">
        <v>214</v>
      </c>
      <c r="D41" s="101">
        <v>10</v>
      </c>
      <c r="E41" s="108">
        <v>10</v>
      </c>
      <c r="F41" s="108">
        <v>10</v>
      </c>
      <c r="G41" s="108">
        <v>10</v>
      </c>
      <c r="H41" s="123">
        <f t="shared" si="0"/>
        <v>10</v>
      </c>
    </row>
    <row r="42" spans="1:15" ht="20.45" customHeight="1" x14ac:dyDescent="0.25">
      <c r="A42" s="192">
        <v>21</v>
      </c>
      <c r="B42" s="192" t="s">
        <v>246</v>
      </c>
      <c r="C42" s="112" t="s">
        <v>207</v>
      </c>
      <c r="D42" s="121" t="s">
        <v>247</v>
      </c>
      <c r="E42" s="120" t="s">
        <v>248</v>
      </c>
      <c r="F42" s="120" t="s">
        <v>248</v>
      </c>
      <c r="G42" s="120" t="s">
        <v>248</v>
      </c>
      <c r="H42" s="127" t="s">
        <v>248</v>
      </c>
    </row>
    <row r="43" spans="1:15" ht="20.45" customHeight="1" x14ac:dyDescent="0.25">
      <c r="A43" s="192"/>
      <c r="B43" s="192"/>
      <c r="C43" s="112" t="s">
        <v>214</v>
      </c>
      <c r="D43" s="112">
        <v>15</v>
      </c>
      <c r="E43" s="120">
        <v>15</v>
      </c>
      <c r="F43" s="120">
        <v>15</v>
      </c>
      <c r="G43" s="120">
        <v>15</v>
      </c>
      <c r="H43" s="127">
        <v>15</v>
      </c>
      <c r="L43" t="s">
        <v>209</v>
      </c>
      <c r="M43" t="s">
        <v>210</v>
      </c>
      <c r="N43" t="s">
        <v>211</v>
      </c>
      <c r="O43" t="s">
        <v>5</v>
      </c>
    </row>
    <row r="44" spans="1:15" ht="24" x14ac:dyDescent="0.25">
      <c r="A44" s="194">
        <v>22</v>
      </c>
      <c r="B44" s="194" t="s">
        <v>249</v>
      </c>
      <c r="C44" s="101" t="s">
        <v>207</v>
      </c>
      <c r="D44" s="110" t="s">
        <v>250</v>
      </c>
      <c r="E44" s="108" t="s">
        <v>248</v>
      </c>
      <c r="F44" s="108" t="s">
        <v>248</v>
      </c>
      <c r="G44" s="108" t="s">
        <v>248</v>
      </c>
      <c r="H44" s="127" t="s">
        <v>248</v>
      </c>
      <c r="K44" t="s">
        <v>240</v>
      </c>
      <c r="L44">
        <v>256</v>
      </c>
      <c r="M44">
        <v>338</v>
      </c>
      <c r="N44">
        <v>508</v>
      </c>
      <c r="O44">
        <f>SUM(L44:N44)</f>
        <v>1102</v>
      </c>
    </row>
    <row r="45" spans="1:15" x14ac:dyDescent="0.25">
      <c r="A45" s="194"/>
      <c r="B45" s="194"/>
      <c r="C45" s="101" t="s">
        <v>214</v>
      </c>
      <c r="D45" s="101">
        <v>15</v>
      </c>
      <c r="E45" s="108">
        <v>15</v>
      </c>
      <c r="F45" s="108">
        <v>15</v>
      </c>
      <c r="G45" s="108">
        <v>15</v>
      </c>
      <c r="H45" s="127">
        <v>15</v>
      </c>
    </row>
    <row r="46" spans="1:15" ht="20.45" customHeight="1" x14ac:dyDescent="0.25">
      <c r="A46" s="192">
        <v>23</v>
      </c>
      <c r="B46" s="192" t="s">
        <v>251</v>
      </c>
      <c r="C46" s="112" t="s">
        <v>207</v>
      </c>
      <c r="D46" s="112" t="s">
        <v>252</v>
      </c>
      <c r="E46" s="120" t="s">
        <v>248</v>
      </c>
      <c r="F46" s="120" t="s">
        <v>248</v>
      </c>
      <c r="G46" s="120" t="s">
        <v>248</v>
      </c>
      <c r="H46" s="111" t="s">
        <v>248</v>
      </c>
    </row>
    <row r="47" spans="1:15" ht="20.45" customHeight="1" x14ac:dyDescent="0.25">
      <c r="A47" s="192"/>
      <c r="B47" s="192"/>
      <c r="C47" s="112" t="s">
        <v>214</v>
      </c>
      <c r="D47" s="112">
        <v>15</v>
      </c>
      <c r="E47" s="120">
        <v>15</v>
      </c>
      <c r="F47" s="120">
        <v>15</v>
      </c>
      <c r="G47" s="120">
        <v>15</v>
      </c>
      <c r="H47" s="111">
        <v>15</v>
      </c>
    </row>
    <row r="48" spans="1:15" x14ac:dyDescent="0.25">
      <c r="A48" s="195" t="s">
        <v>102</v>
      </c>
      <c r="B48" s="195"/>
      <c r="C48" s="195"/>
      <c r="D48" s="111">
        <f>SUM(D3,D5,D7,D9,D11,D13,D15,D17,D19,D21,D23,D25,D27,D29,D31,D33,D35,D37,D39,D41,D43,D45,D47)</f>
        <v>300</v>
      </c>
      <c r="E48" s="111">
        <f>SUM(E3,E5,E7,E9,E11,E13,E15,E17,E19,E21,E23,E25,E27,E29,E31,E33,E35,E37,E39,E41,E43,E45,E47)</f>
        <v>300</v>
      </c>
      <c r="F48" s="111">
        <f>SUM(F3,F5,F7,F9,F11,F13,F15,F17,F19,F21,F23,F25,F27,F29,F31,F33,F35,F37,F39,F41,F43,F45,F47)</f>
        <v>300</v>
      </c>
      <c r="G48" s="111">
        <f>SUM(G3,G5,G7,G9,G11,G13,G15,G17,G19,G21,G23,G25,G27,G29,G31,G33,G35,G37,G39,G41,G43,G45,G47)</f>
        <v>300</v>
      </c>
      <c r="H48" s="111">
        <f>SUM(H3,H5,H7,H9,H11,H13,H15,H17,H19,H21,H23,H25,H27,H29,H31,H33,H35,H37,H39,H41,H43,H45,H47)</f>
        <v>300</v>
      </c>
    </row>
    <row r="49" spans="4:16" x14ac:dyDescent="0.25">
      <c r="E49" t="s">
        <v>209</v>
      </c>
      <c r="F49" t="s">
        <v>210</v>
      </c>
      <c r="G49" t="s">
        <v>211</v>
      </c>
    </row>
    <row r="50" spans="4:16" x14ac:dyDescent="0.25">
      <c r="D50" t="s">
        <v>207</v>
      </c>
      <c r="E50">
        <v>300</v>
      </c>
      <c r="F50">
        <v>300</v>
      </c>
      <c r="G50">
        <v>300</v>
      </c>
    </row>
    <row r="51" spans="4:16" x14ac:dyDescent="0.25">
      <c r="D51" t="s">
        <v>254</v>
      </c>
      <c r="E51">
        <v>300</v>
      </c>
      <c r="F51">
        <v>300</v>
      </c>
      <c r="G51">
        <v>300</v>
      </c>
    </row>
    <row r="56" spans="4:16" ht="15.75" thickBot="1" x14ac:dyDescent="0.3"/>
    <row r="57" spans="4:16" ht="30.75" thickBot="1" x14ac:dyDescent="0.3">
      <c r="M57" s="129" t="s">
        <v>258</v>
      </c>
      <c r="N57" s="130" t="s">
        <v>270</v>
      </c>
      <c r="O57" s="130" t="s">
        <v>271</v>
      </c>
      <c r="P57" s="130" t="s">
        <v>272</v>
      </c>
    </row>
    <row r="58" spans="4:16" x14ac:dyDescent="0.25">
      <c r="M58" s="131" t="s">
        <v>259</v>
      </c>
      <c r="N58" s="201"/>
      <c r="O58" s="199"/>
      <c r="P58" s="197"/>
    </row>
    <row r="59" spans="4:16" x14ac:dyDescent="0.25">
      <c r="M59" s="132" t="s">
        <v>260</v>
      </c>
      <c r="N59" s="202"/>
      <c r="O59" s="200"/>
      <c r="P59" s="198"/>
    </row>
    <row r="60" spans="4:16" x14ac:dyDescent="0.25">
      <c r="M60" s="131" t="s">
        <v>261</v>
      </c>
      <c r="N60" s="202"/>
      <c r="O60" s="200"/>
      <c r="P60" s="198"/>
    </row>
    <row r="61" spans="4:16" x14ac:dyDescent="0.25">
      <c r="M61" s="132" t="s">
        <v>262</v>
      </c>
      <c r="N61" s="202"/>
      <c r="O61" s="200"/>
      <c r="P61" s="198"/>
    </row>
    <row r="62" spans="4:16" x14ac:dyDescent="0.25">
      <c r="M62" s="131" t="s">
        <v>263</v>
      </c>
      <c r="N62" s="202"/>
      <c r="O62" s="200"/>
      <c r="P62" s="198"/>
    </row>
    <row r="63" spans="4:16" x14ac:dyDescent="0.25">
      <c r="M63" s="132" t="s">
        <v>264</v>
      </c>
      <c r="N63" s="202"/>
      <c r="O63" s="200"/>
      <c r="P63" s="198"/>
    </row>
    <row r="64" spans="4:16" x14ac:dyDescent="0.25">
      <c r="M64" s="131" t="s">
        <v>265</v>
      </c>
      <c r="N64" s="202"/>
      <c r="O64" s="200"/>
      <c r="P64" s="198"/>
    </row>
    <row r="65" spans="11:16" x14ac:dyDescent="0.25">
      <c r="M65" s="132" t="s">
        <v>266</v>
      </c>
      <c r="N65" s="202"/>
      <c r="O65" s="200"/>
      <c r="P65" s="198"/>
    </row>
    <row r="66" spans="11:16" x14ac:dyDescent="0.25">
      <c r="M66" s="131" t="s">
        <v>267</v>
      </c>
      <c r="N66" s="203" t="s">
        <v>268</v>
      </c>
      <c r="O66" s="203"/>
      <c r="P66" s="203"/>
    </row>
    <row r="67" spans="11:16" ht="15.75" thickBot="1" x14ac:dyDescent="0.3">
      <c r="M67" s="133" t="s">
        <v>269</v>
      </c>
      <c r="N67" s="204" t="s">
        <v>268</v>
      </c>
      <c r="O67" s="204"/>
      <c r="P67" s="204"/>
    </row>
    <row r="68" spans="11:16" x14ac:dyDescent="0.25">
      <c r="M68" s="196" t="s">
        <v>273</v>
      </c>
      <c r="N68" s="196"/>
      <c r="O68" s="196"/>
      <c r="P68" s="196"/>
    </row>
    <row r="80" spans="11:16" x14ac:dyDescent="0.25">
      <c r="K80" s="134" t="s">
        <v>274</v>
      </c>
      <c r="L80" s="134" t="s">
        <v>73</v>
      </c>
    </row>
    <row r="81" spans="11:12" x14ac:dyDescent="0.25">
      <c r="K81" s="135" t="s">
        <v>201</v>
      </c>
      <c r="L81" s="136">
        <v>1</v>
      </c>
    </row>
    <row r="82" spans="11:12" x14ac:dyDescent="0.25">
      <c r="K82" s="137" t="s">
        <v>275</v>
      </c>
      <c r="L82" s="138">
        <v>1</v>
      </c>
    </row>
    <row r="83" spans="11:12" x14ac:dyDescent="0.25">
      <c r="K83" s="87" t="s">
        <v>113</v>
      </c>
      <c r="L83" s="88">
        <v>1</v>
      </c>
    </row>
    <row r="84" spans="11:12" x14ac:dyDescent="0.25">
      <c r="K84" s="137" t="s">
        <v>276</v>
      </c>
      <c r="L84" s="138">
        <v>1</v>
      </c>
    </row>
    <row r="85" spans="11:12" x14ac:dyDescent="0.25">
      <c r="K85" s="137" t="s">
        <v>277</v>
      </c>
      <c r="L85" s="138">
        <v>1</v>
      </c>
    </row>
    <row r="86" spans="11:12" x14ac:dyDescent="0.25">
      <c r="K86" s="137" t="s">
        <v>202</v>
      </c>
      <c r="L86" s="138">
        <v>1</v>
      </c>
    </row>
    <row r="87" spans="11:12" x14ac:dyDescent="0.25">
      <c r="K87" s="137" t="s">
        <v>191</v>
      </c>
      <c r="L87" s="138">
        <v>2</v>
      </c>
    </row>
    <row r="88" spans="11:12" x14ac:dyDescent="0.25">
      <c r="K88" s="87" t="s">
        <v>278</v>
      </c>
      <c r="L88" s="88">
        <v>2</v>
      </c>
    </row>
    <row r="89" spans="11:12" x14ac:dyDescent="0.25">
      <c r="K89" s="137" t="s">
        <v>192</v>
      </c>
      <c r="L89" s="138">
        <v>3</v>
      </c>
    </row>
    <row r="90" spans="11:12" x14ac:dyDescent="0.25">
      <c r="K90" s="87" t="s">
        <v>203</v>
      </c>
      <c r="L90" s="88">
        <v>3</v>
      </c>
    </row>
    <row r="91" spans="11:12" x14ac:dyDescent="0.25">
      <c r="K91" s="137" t="s">
        <v>193</v>
      </c>
      <c r="L91" s="138">
        <v>4</v>
      </c>
    </row>
    <row r="92" spans="11:12" x14ac:dyDescent="0.25">
      <c r="K92" s="87" t="s">
        <v>112</v>
      </c>
      <c r="L92" s="88">
        <v>5</v>
      </c>
    </row>
    <row r="93" spans="11:12" x14ac:dyDescent="0.25">
      <c r="K93" s="137" t="s">
        <v>114</v>
      </c>
      <c r="L93" s="138">
        <v>6</v>
      </c>
    </row>
    <row r="94" spans="11:12" x14ac:dyDescent="0.25">
      <c r="K94" s="87" t="s">
        <v>124</v>
      </c>
      <c r="L94" s="88">
        <v>7</v>
      </c>
    </row>
    <row r="95" spans="11:12" x14ac:dyDescent="0.25">
      <c r="K95" s="137" t="s">
        <v>122</v>
      </c>
      <c r="L95" s="138">
        <v>8</v>
      </c>
    </row>
    <row r="96" spans="11:12" x14ac:dyDescent="0.25">
      <c r="K96" s="137" t="s">
        <v>117</v>
      </c>
      <c r="L96" s="138">
        <v>10</v>
      </c>
    </row>
    <row r="97" spans="11:12" x14ac:dyDescent="0.25">
      <c r="K97" s="87" t="s">
        <v>113</v>
      </c>
      <c r="L97" s="88">
        <v>14</v>
      </c>
    </row>
    <row r="98" spans="11:12" x14ac:dyDescent="0.25">
      <c r="K98" s="87" t="s">
        <v>115</v>
      </c>
      <c r="L98" s="88">
        <v>15</v>
      </c>
    </row>
    <row r="99" spans="11:12" x14ac:dyDescent="0.25">
      <c r="K99" s="87" t="s">
        <v>116</v>
      </c>
      <c r="L99" s="88">
        <v>16</v>
      </c>
    </row>
    <row r="100" spans="11:12" x14ac:dyDescent="0.25">
      <c r="K100" s="87" t="s">
        <v>123</v>
      </c>
      <c r="L100" s="88">
        <v>20</v>
      </c>
    </row>
    <row r="101" spans="11:12" x14ac:dyDescent="0.25">
      <c r="K101" s="137" t="s">
        <v>120</v>
      </c>
      <c r="L101" s="138">
        <v>28</v>
      </c>
    </row>
    <row r="102" spans="11:12" x14ac:dyDescent="0.25">
      <c r="K102" s="87" t="s">
        <v>118</v>
      </c>
      <c r="L102" s="88">
        <v>40</v>
      </c>
    </row>
    <row r="103" spans="11:12" x14ac:dyDescent="0.25">
      <c r="K103" s="137" t="s">
        <v>119</v>
      </c>
      <c r="L103" s="138">
        <v>47</v>
      </c>
    </row>
    <row r="104" spans="11:12" x14ac:dyDescent="0.25">
      <c r="K104" s="139" t="s">
        <v>114</v>
      </c>
      <c r="L104" s="140">
        <v>261</v>
      </c>
    </row>
    <row r="105" spans="11:12" x14ac:dyDescent="0.25">
      <c r="L105">
        <f>SUM(L81:L104)</f>
        <v>497</v>
      </c>
    </row>
    <row r="106" spans="11:12" x14ac:dyDescent="0.25">
      <c r="L106" s="76">
        <f>L104/L105</f>
        <v>0.52515090543259557</v>
      </c>
    </row>
  </sheetData>
  <mergeCells count="54">
    <mergeCell ref="M68:P68"/>
    <mergeCell ref="P58:P65"/>
    <mergeCell ref="O58:O65"/>
    <mergeCell ref="N58:N65"/>
    <mergeCell ref="N66:P66"/>
    <mergeCell ref="N67:P67"/>
    <mergeCell ref="A44:A45"/>
    <mergeCell ref="B44:B45"/>
    <mergeCell ref="A46:A47"/>
    <mergeCell ref="B46:B47"/>
    <mergeCell ref="A48:C48"/>
    <mergeCell ref="A38:A39"/>
    <mergeCell ref="B38:B39"/>
    <mergeCell ref="A40:A41"/>
    <mergeCell ref="B40:B41"/>
    <mergeCell ref="A42:A43"/>
    <mergeCell ref="B42:B43"/>
    <mergeCell ref="A32:A33"/>
    <mergeCell ref="B32:B33"/>
    <mergeCell ref="A34:A35"/>
    <mergeCell ref="B34:B35"/>
    <mergeCell ref="A36:A37"/>
    <mergeCell ref="B36:B37"/>
    <mergeCell ref="A26:A27"/>
    <mergeCell ref="B26:B27"/>
    <mergeCell ref="A28:A29"/>
    <mergeCell ref="B28:B29"/>
    <mergeCell ref="A30:A31"/>
    <mergeCell ref="B30:B3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A6:A7"/>
    <mergeCell ref="B6:B7"/>
    <mergeCell ref="C1:D1"/>
    <mergeCell ref="A2:A3"/>
    <mergeCell ref="B2:B3"/>
    <mergeCell ref="A4:A5"/>
    <mergeCell ref="B4:B5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4"/>
  <sheetViews>
    <sheetView showGridLines="0" topLeftCell="A81" zoomScale="70" zoomScaleNormal="70" workbookViewId="0">
      <selection activeCell="X15" sqref="X15"/>
    </sheetView>
  </sheetViews>
  <sheetFormatPr defaultRowHeight="15" x14ac:dyDescent="0.25"/>
  <sheetData>
    <row r="1" spans="1:16" ht="61.9" customHeight="1" x14ac:dyDescent="0.25">
      <c r="A1" s="44" t="s">
        <v>82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155" spans="1:4" x14ac:dyDescent="0.25">
      <c r="A155" s="79" t="s">
        <v>128</v>
      </c>
      <c r="B155" s="80" t="s">
        <v>129</v>
      </c>
      <c r="C155" s="80" t="s">
        <v>130</v>
      </c>
      <c r="D155" s="81" t="s">
        <v>131</v>
      </c>
    </row>
    <row r="156" spans="1:4" x14ac:dyDescent="0.25">
      <c r="A156" s="79" t="s">
        <v>132</v>
      </c>
      <c r="B156" s="49">
        <v>2623</v>
      </c>
      <c r="C156" s="49">
        <f t="shared" ref="C156:C164" si="0">B156/184</f>
        <v>14.255434782608695</v>
      </c>
      <c r="D156" s="78">
        <f>C156/3</f>
        <v>4.7518115942028984</v>
      </c>
    </row>
    <row r="157" spans="1:4" x14ac:dyDescent="0.25">
      <c r="A157" s="79" t="s">
        <v>133</v>
      </c>
      <c r="B157" s="49">
        <v>2646</v>
      </c>
      <c r="C157" s="49">
        <f t="shared" si="0"/>
        <v>14.380434782608695</v>
      </c>
      <c r="D157" s="78">
        <f t="shared" ref="D157:D164" si="1">C157/3</f>
        <v>4.7934782608695654</v>
      </c>
    </row>
    <row r="158" spans="1:4" x14ac:dyDescent="0.25">
      <c r="A158" s="79" t="s">
        <v>134</v>
      </c>
      <c r="B158" s="49">
        <v>9979</v>
      </c>
      <c r="C158" s="49">
        <f t="shared" si="0"/>
        <v>54.233695652173914</v>
      </c>
      <c r="D158" s="78">
        <f t="shared" si="1"/>
        <v>18.077898550724637</v>
      </c>
    </row>
    <row r="159" spans="1:4" x14ac:dyDescent="0.25">
      <c r="A159" s="79" t="s">
        <v>135</v>
      </c>
      <c r="B159" s="49">
        <v>11226</v>
      </c>
      <c r="C159" s="49">
        <f t="shared" si="0"/>
        <v>61.010869565217391</v>
      </c>
      <c r="D159" s="78">
        <f t="shared" si="1"/>
        <v>20.336956521739129</v>
      </c>
    </row>
    <row r="160" spans="1:4" x14ac:dyDescent="0.25">
      <c r="A160" s="79" t="s">
        <v>136</v>
      </c>
      <c r="B160" s="49">
        <v>10679</v>
      </c>
      <c r="C160" s="49">
        <f t="shared" si="0"/>
        <v>58.038043478260867</v>
      </c>
      <c r="D160" s="78">
        <f t="shared" si="1"/>
        <v>19.346014492753621</v>
      </c>
    </row>
    <row r="161" spans="1:4" x14ac:dyDescent="0.25">
      <c r="A161" s="79" t="s">
        <v>137</v>
      </c>
      <c r="B161" s="49">
        <v>8740</v>
      </c>
      <c r="C161" s="49">
        <f t="shared" si="0"/>
        <v>47.5</v>
      </c>
      <c r="D161" s="78">
        <f t="shared" si="1"/>
        <v>15.833333333333334</v>
      </c>
    </row>
    <row r="162" spans="1:4" x14ac:dyDescent="0.25">
      <c r="A162" s="79" t="s">
        <v>138</v>
      </c>
      <c r="B162" s="49">
        <v>9303</v>
      </c>
      <c r="C162" s="49">
        <f t="shared" si="0"/>
        <v>50.559782608695649</v>
      </c>
      <c r="D162" s="78">
        <f t="shared" si="1"/>
        <v>16.853260869565215</v>
      </c>
    </row>
    <row r="163" spans="1:4" x14ac:dyDescent="0.25">
      <c r="A163" s="79" t="s">
        <v>139</v>
      </c>
      <c r="B163" s="49">
        <v>6015</v>
      </c>
      <c r="C163" s="49">
        <f t="shared" si="0"/>
        <v>32.690217391304351</v>
      </c>
      <c r="D163" s="78">
        <f t="shared" si="1"/>
        <v>10.896739130434783</v>
      </c>
    </row>
    <row r="164" spans="1:4" x14ac:dyDescent="0.25">
      <c r="A164" s="79" t="s">
        <v>140</v>
      </c>
      <c r="B164" s="82">
        <f>SUM(B156:B163)</f>
        <v>61211</v>
      </c>
      <c r="C164" s="82">
        <f t="shared" si="0"/>
        <v>332.66847826086956</v>
      </c>
      <c r="D164" s="83">
        <f t="shared" si="1"/>
        <v>110.88949275362319</v>
      </c>
    </row>
  </sheetData>
  <conditionalFormatting sqref="C156:C16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56:D1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0"/>
  <sheetViews>
    <sheetView showGridLines="0" workbookViewId="0">
      <selection activeCell="C48" sqref="C48"/>
    </sheetView>
  </sheetViews>
  <sheetFormatPr defaultRowHeight="15" x14ac:dyDescent="0.25"/>
  <cols>
    <col min="1" max="1" width="2.28515625" style="1" customWidth="1"/>
    <col min="2" max="2" width="4.28515625" bestFit="1" customWidth="1"/>
    <col min="3" max="3" width="5.42578125" bestFit="1" customWidth="1"/>
    <col min="5" max="5" width="10" bestFit="1" customWidth="1"/>
    <col min="18" max="18" width="7.140625" customWidth="1"/>
    <col min="19" max="19" width="18" customWidth="1"/>
    <col min="20" max="22" width="16.7109375" customWidth="1"/>
  </cols>
  <sheetData>
    <row r="1" spans="1:22" ht="53.45" customHeight="1" x14ac:dyDescent="0.25">
      <c r="A1" s="205" t="s">
        <v>305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</row>
    <row r="2" spans="1:22" s="157" customFormat="1" ht="11.25" x14ac:dyDescent="0.2">
      <c r="A2" s="206" t="s">
        <v>306</v>
      </c>
      <c r="B2" s="206"/>
      <c r="C2" s="206"/>
      <c r="D2" s="206"/>
      <c r="E2" s="206"/>
    </row>
    <row r="3" spans="1:22" s="157" customFormat="1" ht="11.25" x14ac:dyDescent="0.2">
      <c r="A3" s="162" t="s">
        <v>308</v>
      </c>
      <c r="B3" s="162" t="s">
        <v>307</v>
      </c>
      <c r="C3" s="162" t="s">
        <v>73</v>
      </c>
      <c r="D3" s="162" t="s">
        <v>323</v>
      </c>
      <c r="E3" s="162" t="s">
        <v>322</v>
      </c>
      <c r="F3" s="157" t="s">
        <v>11</v>
      </c>
    </row>
    <row r="4" spans="1:22" s="157" customFormat="1" ht="11.25" x14ac:dyDescent="0.2">
      <c r="A4" s="163" t="s">
        <v>309</v>
      </c>
      <c r="B4" s="164">
        <v>1</v>
      </c>
      <c r="C4" s="164">
        <v>349</v>
      </c>
      <c r="D4" s="164">
        <v>0</v>
      </c>
      <c r="E4" s="166">
        <f t="shared" ref="E4:E13" si="0">(C4-D4)/C4</f>
        <v>1</v>
      </c>
      <c r="F4" s="161">
        <v>0.85</v>
      </c>
    </row>
    <row r="5" spans="1:22" s="157" customFormat="1" ht="11.25" x14ac:dyDescent="0.2">
      <c r="A5" s="163" t="s">
        <v>309</v>
      </c>
      <c r="B5" s="164">
        <v>2</v>
      </c>
      <c r="C5" s="164">
        <v>279</v>
      </c>
      <c r="D5" s="164">
        <v>0</v>
      </c>
      <c r="E5" s="166">
        <f t="shared" si="0"/>
        <v>1</v>
      </c>
      <c r="F5" s="161">
        <v>0.85</v>
      </c>
    </row>
    <row r="6" spans="1:22" s="157" customFormat="1" ht="11.25" x14ac:dyDescent="0.2">
      <c r="A6" s="163" t="s">
        <v>310</v>
      </c>
      <c r="B6" s="164">
        <v>3</v>
      </c>
      <c r="C6" s="164">
        <v>291</v>
      </c>
      <c r="D6" s="164">
        <v>0</v>
      </c>
      <c r="E6" s="166">
        <f t="shared" si="0"/>
        <v>1</v>
      </c>
      <c r="F6" s="161">
        <v>0.85</v>
      </c>
    </row>
    <row r="7" spans="1:22" s="157" customFormat="1" ht="11.25" x14ac:dyDescent="0.2">
      <c r="A7" s="163" t="s">
        <v>309</v>
      </c>
      <c r="B7" s="164">
        <v>4</v>
      </c>
      <c r="C7" s="164">
        <v>499</v>
      </c>
      <c r="D7" s="164">
        <v>0</v>
      </c>
      <c r="E7" s="166">
        <f t="shared" si="0"/>
        <v>1</v>
      </c>
      <c r="F7" s="161">
        <v>0.85</v>
      </c>
    </row>
    <row r="8" spans="1:22" s="157" customFormat="1" ht="11.25" x14ac:dyDescent="0.2">
      <c r="A8" s="163" t="s">
        <v>311</v>
      </c>
      <c r="B8" s="164">
        <v>5</v>
      </c>
      <c r="C8" s="164">
        <v>374</v>
      </c>
      <c r="D8" s="164">
        <v>0</v>
      </c>
      <c r="E8" s="166">
        <f t="shared" si="0"/>
        <v>1</v>
      </c>
      <c r="F8" s="161">
        <v>0.85</v>
      </c>
    </row>
    <row r="9" spans="1:22" s="157" customFormat="1" ht="11.25" x14ac:dyDescent="0.2">
      <c r="A9" s="163" t="s">
        <v>312</v>
      </c>
      <c r="B9" s="164">
        <v>6</v>
      </c>
      <c r="C9" s="164">
        <v>381</v>
      </c>
      <c r="D9" s="164">
        <v>0</v>
      </c>
      <c r="E9" s="166">
        <f t="shared" si="0"/>
        <v>1</v>
      </c>
      <c r="F9" s="161">
        <v>0.85</v>
      </c>
    </row>
    <row r="10" spans="1:22" s="157" customFormat="1" ht="11.25" x14ac:dyDescent="0.2">
      <c r="A10" s="163" t="s">
        <v>312</v>
      </c>
      <c r="B10" s="164">
        <v>7</v>
      </c>
      <c r="C10" s="164">
        <v>443</v>
      </c>
      <c r="D10" s="164">
        <v>0</v>
      </c>
      <c r="E10" s="166">
        <f t="shared" si="0"/>
        <v>1</v>
      </c>
      <c r="F10" s="161">
        <v>0.85</v>
      </c>
    </row>
    <row r="11" spans="1:22" s="157" customFormat="1" ht="11.25" x14ac:dyDescent="0.2">
      <c r="A11" s="163" t="s">
        <v>309</v>
      </c>
      <c r="B11" s="164">
        <v>8</v>
      </c>
      <c r="C11" s="164">
        <v>367</v>
      </c>
      <c r="D11" s="164">
        <v>0</v>
      </c>
      <c r="E11" s="166">
        <f t="shared" si="0"/>
        <v>1</v>
      </c>
      <c r="F11" s="161">
        <v>0.85</v>
      </c>
    </row>
    <row r="12" spans="1:22" s="157" customFormat="1" ht="11.25" x14ac:dyDescent="0.2">
      <c r="A12" s="163" t="s">
        <v>309</v>
      </c>
      <c r="B12" s="164">
        <v>9</v>
      </c>
      <c r="C12" s="164">
        <v>273</v>
      </c>
      <c r="D12" s="164">
        <v>0</v>
      </c>
      <c r="E12" s="166">
        <f t="shared" si="0"/>
        <v>1</v>
      </c>
      <c r="F12" s="161">
        <v>0.85</v>
      </c>
      <c r="S12" s="158"/>
      <c r="T12" s="159"/>
      <c r="U12" s="159"/>
    </row>
    <row r="13" spans="1:22" s="157" customFormat="1" ht="11.25" x14ac:dyDescent="0.2">
      <c r="A13" s="163" t="s">
        <v>310</v>
      </c>
      <c r="B13" s="164">
        <v>10</v>
      </c>
      <c r="C13" s="164">
        <v>233</v>
      </c>
      <c r="D13" s="164">
        <v>0</v>
      </c>
      <c r="E13" s="166">
        <f t="shared" si="0"/>
        <v>1</v>
      </c>
      <c r="F13" s="161">
        <v>0.85</v>
      </c>
    </row>
    <row r="14" spans="1:22" s="157" customFormat="1" ht="11.25" x14ac:dyDescent="0.2">
      <c r="A14" s="163" t="s">
        <v>309</v>
      </c>
      <c r="B14" s="164">
        <v>11</v>
      </c>
      <c r="C14" s="164">
        <v>508</v>
      </c>
      <c r="D14" s="164">
        <v>152</v>
      </c>
      <c r="E14" s="166">
        <f>(C14-D14)/C14</f>
        <v>0.70078740157480313</v>
      </c>
      <c r="F14" s="161">
        <v>0.85</v>
      </c>
    </row>
    <row r="15" spans="1:22" s="157" customFormat="1" ht="11.25" x14ac:dyDescent="0.2">
      <c r="A15" s="163" t="s">
        <v>311</v>
      </c>
      <c r="B15" s="164">
        <v>12</v>
      </c>
      <c r="C15" s="164">
        <v>472</v>
      </c>
      <c r="D15" s="164">
        <v>11</v>
      </c>
      <c r="E15" s="166">
        <f t="shared" ref="E15:E34" si="1">(C15-D15)/C15</f>
        <v>0.97669491525423724</v>
      </c>
      <c r="F15" s="161">
        <v>0.85</v>
      </c>
    </row>
    <row r="16" spans="1:22" s="157" customFormat="1" ht="11.25" x14ac:dyDescent="0.2">
      <c r="A16" s="163" t="s">
        <v>312</v>
      </c>
      <c r="B16" s="164">
        <v>13</v>
      </c>
      <c r="C16" s="164">
        <v>442</v>
      </c>
      <c r="D16" s="164">
        <v>14</v>
      </c>
      <c r="E16" s="166">
        <f t="shared" si="1"/>
        <v>0.96832579185520362</v>
      </c>
      <c r="F16" s="161">
        <v>0.85</v>
      </c>
    </row>
    <row r="17" spans="1:25" s="157" customFormat="1" ht="11.25" x14ac:dyDescent="0.2">
      <c r="A17" s="163" t="s">
        <v>312</v>
      </c>
      <c r="B17" s="164">
        <v>14</v>
      </c>
      <c r="C17" s="164">
        <v>435</v>
      </c>
      <c r="D17" s="164">
        <v>0</v>
      </c>
      <c r="E17" s="166">
        <f t="shared" si="1"/>
        <v>1</v>
      </c>
      <c r="F17" s="161">
        <v>0.85</v>
      </c>
    </row>
    <row r="18" spans="1:25" s="157" customFormat="1" ht="11.25" x14ac:dyDescent="0.2">
      <c r="A18" s="163" t="s">
        <v>309</v>
      </c>
      <c r="B18" s="164">
        <v>15</v>
      </c>
      <c r="C18" s="164">
        <v>402</v>
      </c>
      <c r="D18" s="164">
        <v>0</v>
      </c>
      <c r="E18" s="166">
        <f t="shared" si="1"/>
        <v>1</v>
      </c>
      <c r="F18" s="161">
        <v>0.85</v>
      </c>
    </row>
    <row r="19" spans="1:25" s="157" customFormat="1" ht="11.25" x14ac:dyDescent="0.2">
      <c r="A19" s="163" t="s">
        <v>309</v>
      </c>
      <c r="B19" s="164">
        <v>16</v>
      </c>
      <c r="C19" s="164">
        <v>332</v>
      </c>
      <c r="D19" s="164">
        <v>4</v>
      </c>
      <c r="E19" s="166">
        <f t="shared" si="1"/>
        <v>0.98795180722891562</v>
      </c>
      <c r="F19" s="161">
        <v>0.85</v>
      </c>
    </row>
    <row r="20" spans="1:25" s="157" customFormat="1" ht="11.25" x14ac:dyDescent="0.2">
      <c r="A20" s="163" t="s">
        <v>310</v>
      </c>
      <c r="B20" s="164">
        <v>17</v>
      </c>
      <c r="C20" s="164">
        <v>328</v>
      </c>
      <c r="D20" s="164">
        <v>0</v>
      </c>
      <c r="E20" s="166">
        <f t="shared" si="1"/>
        <v>1</v>
      </c>
      <c r="F20" s="161">
        <v>0.85</v>
      </c>
    </row>
    <row r="21" spans="1:25" s="157" customFormat="1" ht="11.25" x14ac:dyDescent="0.2">
      <c r="A21" s="163" t="s">
        <v>309</v>
      </c>
      <c r="B21" s="164">
        <v>18</v>
      </c>
      <c r="C21" s="164">
        <v>601</v>
      </c>
      <c r="D21" s="164">
        <v>91</v>
      </c>
      <c r="E21" s="166">
        <f t="shared" si="1"/>
        <v>0.84858569051580701</v>
      </c>
      <c r="F21" s="161">
        <v>0.85</v>
      </c>
    </row>
    <row r="22" spans="1:25" s="157" customFormat="1" ht="11.25" x14ac:dyDescent="0.2">
      <c r="A22" s="163" t="s">
        <v>311</v>
      </c>
      <c r="B22" s="164">
        <v>19</v>
      </c>
      <c r="C22" s="164">
        <v>510</v>
      </c>
      <c r="D22" s="164">
        <v>120</v>
      </c>
      <c r="E22" s="166">
        <f t="shared" si="1"/>
        <v>0.76470588235294112</v>
      </c>
      <c r="F22" s="161">
        <v>0.85</v>
      </c>
    </row>
    <row r="23" spans="1:25" s="157" customFormat="1" ht="11.25" x14ac:dyDescent="0.2">
      <c r="A23" s="163" t="s">
        <v>312</v>
      </c>
      <c r="B23" s="164">
        <v>20</v>
      </c>
      <c r="C23" s="164">
        <v>495</v>
      </c>
      <c r="D23" s="164">
        <v>63</v>
      </c>
      <c r="E23" s="166">
        <f t="shared" si="1"/>
        <v>0.87272727272727268</v>
      </c>
      <c r="F23" s="161">
        <v>0.85</v>
      </c>
    </row>
    <row r="24" spans="1:25" s="157" customFormat="1" ht="11.25" x14ac:dyDescent="0.2">
      <c r="A24" s="163" t="s">
        <v>312</v>
      </c>
      <c r="B24" s="164">
        <v>21</v>
      </c>
      <c r="C24" s="164">
        <v>472</v>
      </c>
      <c r="D24" s="164">
        <v>33</v>
      </c>
      <c r="E24" s="166">
        <f t="shared" si="1"/>
        <v>0.93008474576271183</v>
      </c>
      <c r="F24" s="161">
        <v>0.85</v>
      </c>
    </row>
    <row r="25" spans="1:25" s="157" customFormat="1" ht="11.25" x14ac:dyDescent="0.2">
      <c r="A25" s="163" t="s">
        <v>309</v>
      </c>
      <c r="B25" s="164">
        <v>22</v>
      </c>
      <c r="C25" s="164">
        <v>483</v>
      </c>
      <c r="D25" s="164">
        <v>64</v>
      </c>
      <c r="E25" s="166">
        <f t="shared" si="1"/>
        <v>0.86749482401656319</v>
      </c>
      <c r="F25" s="161">
        <v>0.85</v>
      </c>
    </row>
    <row r="26" spans="1:25" s="157" customFormat="1" ht="11.25" x14ac:dyDescent="0.2">
      <c r="A26" s="163" t="s">
        <v>309</v>
      </c>
      <c r="B26" s="164">
        <v>23</v>
      </c>
      <c r="C26" s="164">
        <v>370</v>
      </c>
      <c r="D26" s="164">
        <v>17</v>
      </c>
      <c r="E26" s="166">
        <f t="shared" si="1"/>
        <v>0.95405405405405408</v>
      </c>
      <c r="F26" s="161">
        <v>0.85</v>
      </c>
      <c r="T26" s="206" t="s">
        <v>306</v>
      </c>
      <c r="U26" s="206"/>
      <c r="V26" s="206"/>
      <c r="W26" s="160"/>
      <c r="X26" s="160"/>
      <c r="Y26" s="160"/>
    </row>
    <row r="27" spans="1:25" s="157" customFormat="1" ht="11.25" x14ac:dyDescent="0.2">
      <c r="A27" s="163" t="s">
        <v>310</v>
      </c>
      <c r="B27" s="164">
        <v>24</v>
      </c>
      <c r="C27" s="164">
        <v>345</v>
      </c>
      <c r="D27" s="164">
        <v>0</v>
      </c>
      <c r="E27" s="166">
        <f t="shared" si="1"/>
        <v>1</v>
      </c>
      <c r="F27" s="161">
        <v>0.85</v>
      </c>
      <c r="T27" s="162" t="s">
        <v>308</v>
      </c>
      <c r="U27" s="162" t="s">
        <v>101</v>
      </c>
      <c r="V27" s="162" t="s">
        <v>313</v>
      </c>
      <c r="W27" s="160"/>
      <c r="X27" s="160"/>
      <c r="Y27" s="160"/>
    </row>
    <row r="28" spans="1:25" s="157" customFormat="1" ht="11.25" x14ac:dyDescent="0.2">
      <c r="A28" s="163" t="s">
        <v>309</v>
      </c>
      <c r="B28" s="164">
        <v>25</v>
      </c>
      <c r="C28" s="164">
        <v>588</v>
      </c>
      <c r="D28" s="164">
        <v>177</v>
      </c>
      <c r="E28" s="166">
        <f t="shared" si="1"/>
        <v>0.69897959183673475</v>
      </c>
      <c r="F28" s="161">
        <v>0.85</v>
      </c>
      <c r="T28" s="163" t="s">
        <v>143</v>
      </c>
      <c r="U28" s="164">
        <f>SUM(C7,C14,C21,C28)</f>
        <v>2196</v>
      </c>
      <c r="V28" s="164">
        <f>AVERAGE(C7,C14,C21,C28)</f>
        <v>549</v>
      </c>
      <c r="W28" s="160"/>
      <c r="X28" s="160"/>
      <c r="Y28" s="160"/>
    </row>
    <row r="29" spans="1:25" s="157" customFormat="1" ht="11.25" x14ac:dyDescent="0.2">
      <c r="A29" s="163" t="s">
        <v>311</v>
      </c>
      <c r="B29" s="164">
        <v>26</v>
      </c>
      <c r="C29" s="164">
        <v>476</v>
      </c>
      <c r="D29" s="164">
        <v>1</v>
      </c>
      <c r="E29" s="166">
        <f t="shared" si="1"/>
        <v>0.99789915966386555</v>
      </c>
      <c r="F29" s="161">
        <v>0.85</v>
      </c>
      <c r="T29" s="163" t="s">
        <v>144</v>
      </c>
      <c r="U29" s="164">
        <f>SUM(C8,C15,C22,C29)</f>
        <v>1832</v>
      </c>
      <c r="V29" s="164">
        <f>AVERAGE(C8,C15,C22,C29)</f>
        <v>458</v>
      </c>
      <c r="W29" s="160"/>
      <c r="X29" s="160"/>
      <c r="Y29" s="160"/>
    </row>
    <row r="30" spans="1:25" s="157" customFormat="1" ht="11.25" x14ac:dyDescent="0.2">
      <c r="A30" s="163" t="s">
        <v>312</v>
      </c>
      <c r="B30" s="164">
        <v>27</v>
      </c>
      <c r="C30" s="164">
        <v>469</v>
      </c>
      <c r="D30" s="164">
        <v>4</v>
      </c>
      <c r="E30" s="166">
        <f t="shared" si="1"/>
        <v>0.99147121535181237</v>
      </c>
      <c r="F30" s="161">
        <v>0.85</v>
      </c>
      <c r="T30" s="163" t="s">
        <v>145</v>
      </c>
      <c r="U30" s="164">
        <f>SUM(C9,C16,C23,C30)</f>
        <v>1787</v>
      </c>
      <c r="V30" s="164">
        <f>AVERAGE(C9,C16,C23,C30)</f>
        <v>446.75</v>
      </c>
      <c r="W30" s="160"/>
      <c r="X30" s="160"/>
      <c r="Y30" s="160"/>
    </row>
    <row r="31" spans="1:25" s="157" customFormat="1" ht="11.25" x14ac:dyDescent="0.2">
      <c r="A31" s="163" t="s">
        <v>312</v>
      </c>
      <c r="B31" s="164">
        <v>28</v>
      </c>
      <c r="C31" s="164">
        <v>522</v>
      </c>
      <c r="D31" s="164">
        <v>43</v>
      </c>
      <c r="E31" s="166">
        <f t="shared" si="1"/>
        <v>0.91762452107279691</v>
      </c>
      <c r="F31" s="161">
        <v>0.85</v>
      </c>
      <c r="T31" s="163" t="s">
        <v>146</v>
      </c>
      <c r="U31" s="164">
        <f>SUM(C10,C17,C24,C31)</f>
        <v>1872</v>
      </c>
      <c r="V31" s="164">
        <f>AVERAGE(C10,C17,C24,C31)</f>
        <v>468</v>
      </c>
      <c r="W31" s="160"/>
      <c r="X31" s="160"/>
      <c r="Y31" s="160"/>
    </row>
    <row r="32" spans="1:25" s="157" customFormat="1" ht="11.25" x14ac:dyDescent="0.2">
      <c r="A32" s="163" t="s">
        <v>309</v>
      </c>
      <c r="B32" s="164">
        <v>29</v>
      </c>
      <c r="C32" s="164">
        <v>466</v>
      </c>
      <c r="D32" s="164">
        <v>79</v>
      </c>
      <c r="E32" s="166">
        <f t="shared" si="1"/>
        <v>0.83047210300429186</v>
      </c>
      <c r="F32" s="161">
        <v>0.85</v>
      </c>
      <c r="T32" s="163" t="s">
        <v>147</v>
      </c>
      <c r="U32" s="164">
        <f>SUM(C4,C11,C18,C25,C32)</f>
        <v>2067</v>
      </c>
      <c r="V32" s="164">
        <f>AVERAGE(C4,C11,C18,C25,C32)</f>
        <v>413.4</v>
      </c>
      <c r="W32" s="160"/>
      <c r="X32" s="160"/>
      <c r="Y32" s="160"/>
    </row>
    <row r="33" spans="1:25" s="157" customFormat="1" ht="11.25" x14ac:dyDescent="0.2">
      <c r="A33" s="163" t="s">
        <v>309</v>
      </c>
      <c r="B33" s="164">
        <v>30</v>
      </c>
      <c r="C33" s="164">
        <v>315</v>
      </c>
      <c r="D33" s="164">
        <v>0</v>
      </c>
      <c r="E33" s="166">
        <f t="shared" si="1"/>
        <v>1</v>
      </c>
      <c r="F33" s="161">
        <v>0.85</v>
      </c>
      <c r="T33" s="163" t="s">
        <v>148</v>
      </c>
      <c r="U33" s="164">
        <f>SUM(C5,C12,C19,C26,C33)</f>
        <v>1569</v>
      </c>
      <c r="V33" s="164">
        <f>AVERAGE(C5,C12,C19,C26,C33)</f>
        <v>313.8</v>
      </c>
      <c r="W33" s="160"/>
      <c r="X33" s="160"/>
      <c r="Y33" s="160"/>
    </row>
    <row r="34" spans="1:25" s="157" customFormat="1" ht="11.25" x14ac:dyDescent="0.2">
      <c r="A34" s="163" t="s">
        <v>310</v>
      </c>
      <c r="B34" s="164">
        <v>31</v>
      </c>
      <c r="C34" s="164">
        <v>335</v>
      </c>
      <c r="D34" s="164">
        <v>2</v>
      </c>
      <c r="E34" s="166">
        <f t="shared" si="1"/>
        <v>0.99402985074626871</v>
      </c>
      <c r="F34" s="161">
        <v>0.85</v>
      </c>
      <c r="T34" s="163" t="s">
        <v>149</v>
      </c>
      <c r="U34" s="164">
        <f>SUM(C6,C13,C20,C27,C34)</f>
        <v>1532</v>
      </c>
      <c r="V34" s="164">
        <f>AVERAGE(C6,C13,C20,C27,C34)</f>
        <v>306.39999999999998</v>
      </c>
      <c r="W34" s="160"/>
      <c r="X34" s="160"/>
      <c r="Y34" s="160"/>
    </row>
    <row r="35" spans="1:25" x14ac:dyDescent="0.25">
      <c r="A35" s="206" t="s">
        <v>102</v>
      </c>
      <c r="B35" s="206"/>
      <c r="C35" s="165">
        <f>SUM(C4:C34)</f>
        <v>12855</v>
      </c>
      <c r="D35" s="165">
        <f>SUM(D4:D34)</f>
        <v>875</v>
      </c>
      <c r="E35" s="167">
        <f>AVERAGE(E4:E34)</f>
        <v>0.94522222022639624</v>
      </c>
      <c r="F35" s="161"/>
      <c r="T35" s="162" t="s">
        <v>102</v>
      </c>
      <c r="U35" s="165">
        <f>SUM(U28:U34)</f>
        <v>12855</v>
      </c>
      <c r="V35" s="165">
        <f>AVERAGE(C4:C34)</f>
        <v>414.67741935483872</v>
      </c>
      <c r="W35" s="160"/>
      <c r="X35" s="160"/>
      <c r="Y35" s="160"/>
    </row>
    <row r="36" spans="1:25" x14ac:dyDescent="0.25">
      <c r="W36" s="160"/>
      <c r="X36" s="160"/>
      <c r="Y36" s="160"/>
    </row>
    <row r="38" spans="1:25" x14ac:dyDescent="0.25">
      <c r="A38" s="206" t="s">
        <v>325</v>
      </c>
      <c r="B38" s="206"/>
      <c r="C38" s="206"/>
      <c r="D38" s="206"/>
      <c r="E38" s="206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</row>
    <row r="39" spans="1:25" x14ac:dyDescent="0.25">
      <c r="A39" s="162" t="s">
        <v>308</v>
      </c>
      <c r="B39" s="162" t="s">
        <v>307</v>
      </c>
      <c r="C39" s="162" t="s">
        <v>73</v>
      </c>
      <c r="D39" s="162" t="s">
        <v>323</v>
      </c>
      <c r="E39" s="162" t="s">
        <v>322</v>
      </c>
      <c r="F39" s="157" t="s">
        <v>11</v>
      </c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</row>
    <row r="40" spans="1:25" x14ac:dyDescent="0.25">
      <c r="A40" s="163" t="s">
        <v>309</v>
      </c>
      <c r="B40" s="164">
        <v>1</v>
      </c>
      <c r="C40" s="164">
        <v>553</v>
      </c>
      <c r="D40" s="164">
        <v>87</v>
      </c>
      <c r="E40" s="166">
        <f t="shared" ref="E40:E67" si="2">(C40-D40)/C40</f>
        <v>0.84267631103074137</v>
      </c>
      <c r="F40" s="161">
        <v>0.85</v>
      </c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</row>
    <row r="41" spans="1:25" x14ac:dyDescent="0.25">
      <c r="A41" s="163" t="s">
        <v>311</v>
      </c>
      <c r="B41" s="164">
        <v>2</v>
      </c>
      <c r="C41" s="164">
        <v>511</v>
      </c>
      <c r="D41" s="164">
        <v>68</v>
      </c>
      <c r="E41" s="166">
        <f t="shared" si="2"/>
        <v>0.86692759295499022</v>
      </c>
      <c r="F41" s="161">
        <v>0.85</v>
      </c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</row>
    <row r="42" spans="1:25" x14ac:dyDescent="0.25">
      <c r="A42" s="163" t="s">
        <v>312</v>
      </c>
      <c r="B42" s="164">
        <v>3</v>
      </c>
      <c r="C42" s="164">
        <v>510</v>
      </c>
      <c r="D42" s="164">
        <v>15</v>
      </c>
      <c r="E42" s="166">
        <f t="shared" si="2"/>
        <v>0.97058823529411764</v>
      </c>
      <c r="F42" s="161">
        <v>0.85</v>
      </c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</row>
    <row r="43" spans="1:25" x14ac:dyDescent="0.25">
      <c r="A43" s="163" t="s">
        <v>312</v>
      </c>
      <c r="B43" s="164">
        <v>4</v>
      </c>
      <c r="C43" s="164">
        <v>459</v>
      </c>
      <c r="D43" s="164">
        <v>0</v>
      </c>
      <c r="E43" s="166">
        <f t="shared" si="2"/>
        <v>1</v>
      </c>
      <c r="F43" s="161">
        <v>0.85</v>
      </c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</row>
    <row r="44" spans="1:25" x14ac:dyDescent="0.25">
      <c r="A44" s="163" t="s">
        <v>309</v>
      </c>
      <c r="B44" s="164">
        <v>5</v>
      </c>
      <c r="C44" s="164">
        <v>431</v>
      </c>
      <c r="D44" s="164">
        <v>0</v>
      </c>
      <c r="E44" s="166">
        <f t="shared" si="2"/>
        <v>1</v>
      </c>
      <c r="F44" s="161">
        <v>0.85</v>
      </c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</row>
    <row r="45" spans="1:25" x14ac:dyDescent="0.25">
      <c r="A45" s="163" t="s">
        <v>309</v>
      </c>
      <c r="B45" s="164">
        <v>6</v>
      </c>
      <c r="C45" s="164">
        <v>332</v>
      </c>
      <c r="D45" s="164">
        <v>0</v>
      </c>
      <c r="E45" s="166">
        <f t="shared" si="2"/>
        <v>1</v>
      </c>
      <c r="F45" s="161">
        <v>0.85</v>
      </c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</row>
    <row r="46" spans="1:25" x14ac:dyDescent="0.25">
      <c r="A46" s="163" t="s">
        <v>310</v>
      </c>
      <c r="B46" s="164">
        <v>7</v>
      </c>
      <c r="C46" s="164">
        <v>288</v>
      </c>
      <c r="D46" s="164">
        <v>1</v>
      </c>
      <c r="E46" s="166">
        <f t="shared" si="2"/>
        <v>0.99652777777777779</v>
      </c>
      <c r="F46" s="161">
        <v>0.85</v>
      </c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</row>
    <row r="47" spans="1:25" x14ac:dyDescent="0.25">
      <c r="A47" s="163" t="s">
        <v>309</v>
      </c>
      <c r="B47" s="164">
        <v>8</v>
      </c>
      <c r="C47" s="164">
        <v>527</v>
      </c>
      <c r="D47" s="164">
        <v>133</v>
      </c>
      <c r="E47" s="166">
        <f t="shared" si="2"/>
        <v>0.74762808349146115</v>
      </c>
      <c r="F47" s="161">
        <v>0.85</v>
      </c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</row>
    <row r="48" spans="1:25" x14ac:dyDescent="0.25">
      <c r="A48" s="163" t="s">
        <v>311</v>
      </c>
      <c r="B48" s="164">
        <v>9</v>
      </c>
      <c r="C48" s="164">
        <v>514</v>
      </c>
      <c r="D48" s="164">
        <v>57</v>
      </c>
      <c r="E48" s="166">
        <f t="shared" si="2"/>
        <v>0.8891050583657587</v>
      </c>
      <c r="F48" s="161">
        <v>0.85</v>
      </c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8"/>
      <c r="T48" s="159"/>
      <c r="U48" s="159"/>
      <c r="V48" s="157"/>
    </row>
    <row r="49" spans="1:22" x14ac:dyDescent="0.25">
      <c r="A49" s="163" t="s">
        <v>312</v>
      </c>
      <c r="B49" s="164">
        <v>10</v>
      </c>
      <c r="C49" s="164">
        <v>490</v>
      </c>
      <c r="D49" s="164">
        <v>46</v>
      </c>
      <c r="E49" s="166">
        <f t="shared" si="2"/>
        <v>0.90612244897959182</v>
      </c>
      <c r="F49" s="161">
        <v>0.85</v>
      </c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</row>
    <row r="50" spans="1:22" x14ac:dyDescent="0.25">
      <c r="A50" s="163" t="s">
        <v>312</v>
      </c>
      <c r="B50" s="164">
        <v>11</v>
      </c>
      <c r="C50" s="170">
        <v>486</v>
      </c>
      <c r="D50" s="164">
        <v>25</v>
      </c>
      <c r="E50" s="166">
        <f t="shared" si="2"/>
        <v>0.94855967078189296</v>
      </c>
      <c r="F50" s="161">
        <v>0.85</v>
      </c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</row>
    <row r="51" spans="1:22" x14ac:dyDescent="0.25">
      <c r="A51" s="163" t="s">
        <v>309</v>
      </c>
      <c r="B51" s="164">
        <v>12</v>
      </c>
      <c r="C51" s="164">
        <v>453</v>
      </c>
      <c r="D51" s="164">
        <v>25</v>
      </c>
      <c r="E51" s="166">
        <f t="shared" si="2"/>
        <v>0.94481236203090513</v>
      </c>
      <c r="F51" s="161">
        <v>0.85</v>
      </c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</row>
    <row r="52" spans="1:22" x14ac:dyDescent="0.25">
      <c r="A52" s="163" t="s">
        <v>309</v>
      </c>
      <c r="B52" s="164">
        <v>13</v>
      </c>
      <c r="C52" s="164">
        <v>364</v>
      </c>
      <c r="D52" s="164">
        <v>1</v>
      </c>
      <c r="E52" s="166">
        <f t="shared" si="2"/>
        <v>0.99725274725274726</v>
      </c>
      <c r="F52" s="161">
        <v>0.85</v>
      </c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</row>
    <row r="53" spans="1:22" x14ac:dyDescent="0.25">
      <c r="A53" s="163" t="s">
        <v>310</v>
      </c>
      <c r="B53" s="164">
        <v>14</v>
      </c>
      <c r="C53" s="164">
        <v>352</v>
      </c>
      <c r="D53" s="164">
        <v>0</v>
      </c>
      <c r="E53" s="166">
        <f t="shared" si="2"/>
        <v>1</v>
      </c>
      <c r="F53" s="161">
        <v>0.85</v>
      </c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</row>
    <row r="54" spans="1:22" x14ac:dyDescent="0.25">
      <c r="A54" s="163" t="s">
        <v>309</v>
      </c>
      <c r="B54" s="164">
        <v>15</v>
      </c>
      <c r="C54" s="164">
        <v>570</v>
      </c>
      <c r="D54" s="164">
        <v>178</v>
      </c>
      <c r="E54" s="166">
        <f t="shared" si="2"/>
        <v>0.68771929824561406</v>
      </c>
      <c r="F54" s="161">
        <v>0.85</v>
      </c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</row>
    <row r="55" spans="1:22" x14ac:dyDescent="0.25">
      <c r="A55" s="163" t="s">
        <v>311</v>
      </c>
      <c r="B55" s="164">
        <v>16</v>
      </c>
      <c r="C55" s="164">
        <v>520</v>
      </c>
      <c r="D55" s="164">
        <v>110</v>
      </c>
      <c r="E55" s="166">
        <f t="shared" si="2"/>
        <v>0.78846153846153844</v>
      </c>
      <c r="F55" s="161">
        <v>0.85</v>
      </c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</row>
    <row r="56" spans="1:22" x14ac:dyDescent="0.25">
      <c r="A56" s="163" t="s">
        <v>312</v>
      </c>
      <c r="B56" s="164">
        <v>17</v>
      </c>
      <c r="C56" s="164">
        <v>495</v>
      </c>
      <c r="D56" s="164">
        <v>14</v>
      </c>
      <c r="E56" s="166">
        <f t="shared" si="2"/>
        <v>0.97171717171717176</v>
      </c>
      <c r="F56" s="161">
        <v>0.85</v>
      </c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</row>
    <row r="57" spans="1:22" x14ac:dyDescent="0.25">
      <c r="A57" s="163" t="s">
        <v>312</v>
      </c>
      <c r="B57" s="164">
        <v>18</v>
      </c>
      <c r="C57" s="164">
        <v>470</v>
      </c>
      <c r="D57" s="164">
        <v>2</v>
      </c>
      <c r="E57" s="166">
        <f t="shared" si="2"/>
        <v>0.99574468085106382</v>
      </c>
      <c r="F57" s="161">
        <v>0.85</v>
      </c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</row>
    <row r="58" spans="1:22" x14ac:dyDescent="0.25">
      <c r="A58" s="163" t="s">
        <v>309</v>
      </c>
      <c r="B58" s="164">
        <v>19</v>
      </c>
      <c r="C58" s="164">
        <v>473</v>
      </c>
      <c r="D58" s="164">
        <v>18</v>
      </c>
      <c r="E58" s="166">
        <f t="shared" si="2"/>
        <v>0.96194503171247359</v>
      </c>
      <c r="F58" s="161">
        <v>0.85</v>
      </c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</row>
    <row r="59" spans="1:22" x14ac:dyDescent="0.25">
      <c r="A59" s="163" t="s">
        <v>309</v>
      </c>
      <c r="B59" s="164">
        <v>20</v>
      </c>
      <c r="C59" s="164">
        <v>374</v>
      </c>
      <c r="D59" s="164">
        <v>1</v>
      </c>
      <c r="E59" s="166">
        <f t="shared" si="2"/>
        <v>0.99732620320855614</v>
      </c>
      <c r="F59" s="161">
        <v>0.85</v>
      </c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</row>
    <row r="60" spans="1:22" x14ac:dyDescent="0.25">
      <c r="A60" s="163" t="s">
        <v>310</v>
      </c>
      <c r="B60" s="164">
        <v>21</v>
      </c>
      <c r="C60" s="164">
        <v>357</v>
      </c>
      <c r="D60" s="164">
        <v>67</v>
      </c>
      <c r="E60" s="166">
        <f t="shared" si="2"/>
        <v>0.8123249299719888</v>
      </c>
      <c r="F60" s="161">
        <v>0.85</v>
      </c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</row>
    <row r="61" spans="1:22" x14ac:dyDescent="0.25">
      <c r="A61" s="163" t="s">
        <v>309</v>
      </c>
      <c r="B61" s="164">
        <v>22</v>
      </c>
      <c r="C61" s="164">
        <v>566</v>
      </c>
      <c r="D61" s="164">
        <v>239</v>
      </c>
      <c r="E61" s="166">
        <f t="shared" si="2"/>
        <v>0.57773851590106007</v>
      </c>
      <c r="F61" s="161">
        <v>0.85</v>
      </c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207" t="s">
        <v>306</v>
      </c>
      <c r="U61" s="208"/>
      <c r="V61" s="209"/>
    </row>
    <row r="62" spans="1:22" x14ac:dyDescent="0.25">
      <c r="A62" s="163" t="s">
        <v>311</v>
      </c>
      <c r="B62" s="164">
        <v>23</v>
      </c>
      <c r="C62" s="164">
        <v>513</v>
      </c>
      <c r="D62" s="164">
        <v>19</v>
      </c>
      <c r="E62" s="166">
        <f t="shared" si="2"/>
        <v>0.96296296296296291</v>
      </c>
      <c r="F62" s="161">
        <v>0.85</v>
      </c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62" t="s">
        <v>308</v>
      </c>
      <c r="U62" s="162" t="s">
        <v>101</v>
      </c>
      <c r="V62" s="162" t="s">
        <v>313</v>
      </c>
    </row>
    <row r="63" spans="1:22" x14ac:dyDescent="0.25">
      <c r="A63" s="163" t="s">
        <v>312</v>
      </c>
      <c r="B63" s="164">
        <v>24</v>
      </c>
      <c r="C63" s="164">
        <v>519</v>
      </c>
      <c r="D63" s="164">
        <v>86</v>
      </c>
      <c r="E63" s="166">
        <f t="shared" si="2"/>
        <v>0.83429672447013492</v>
      </c>
      <c r="F63" s="161">
        <v>0.85</v>
      </c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63" t="s">
        <v>143</v>
      </c>
      <c r="U63" s="164">
        <f>SUM(C40,C47,C54,C61,C68)</f>
        <v>2216</v>
      </c>
      <c r="V63" s="164">
        <f>U63/4</f>
        <v>554</v>
      </c>
    </row>
    <row r="64" spans="1:22" x14ac:dyDescent="0.25">
      <c r="A64" s="163" t="s">
        <v>312</v>
      </c>
      <c r="B64" s="164">
        <v>25</v>
      </c>
      <c r="C64" s="164">
        <v>465</v>
      </c>
      <c r="D64" s="164">
        <v>1</v>
      </c>
      <c r="E64" s="166">
        <f t="shared" si="2"/>
        <v>0.99784946236559136</v>
      </c>
      <c r="F64" s="161">
        <v>0.85</v>
      </c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63" t="s">
        <v>144</v>
      </c>
      <c r="U64" s="164">
        <f>SUM(C41,C48,C55,C62,C69)</f>
        <v>2058</v>
      </c>
      <c r="V64" s="164">
        <f t="shared" ref="V64:V69" si="3">U64/4</f>
        <v>514.5</v>
      </c>
    </row>
    <row r="65" spans="1:22" x14ac:dyDescent="0.25">
      <c r="A65" s="163" t="s">
        <v>309</v>
      </c>
      <c r="B65" s="164">
        <v>26</v>
      </c>
      <c r="C65" s="164">
        <v>453</v>
      </c>
      <c r="D65" s="164">
        <v>63</v>
      </c>
      <c r="E65" s="166">
        <f t="shared" si="2"/>
        <v>0.86092715231788075</v>
      </c>
      <c r="F65" s="161">
        <v>0.85</v>
      </c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63" t="s">
        <v>145</v>
      </c>
      <c r="U65" s="164">
        <f>SUM(C42,C49,C56,C63)</f>
        <v>2014</v>
      </c>
      <c r="V65" s="164">
        <f t="shared" si="3"/>
        <v>503.5</v>
      </c>
    </row>
    <row r="66" spans="1:22" x14ac:dyDescent="0.25">
      <c r="A66" s="163" t="s">
        <v>309</v>
      </c>
      <c r="B66" s="164">
        <v>27</v>
      </c>
      <c r="C66" s="164">
        <v>337</v>
      </c>
      <c r="D66" s="164">
        <v>1</v>
      </c>
      <c r="E66" s="166">
        <f t="shared" si="2"/>
        <v>0.9970326409495549</v>
      </c>
      <c r="F66" s="161">
        <v>0.85</v>
      </c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63" t="s">
        <v>146</v>
      </c>
      <c r="U66" s="164">
        <f>SUM(C43,C50,C57,C64)</f>
        <v>1880</v>
      </c>
      <c r="V66" s="164">
        <f t="shared" si="3"/>
        <v>470</v>
      </c>
    </row>
    <row r="67" spans="1:22" x14ac:dyDescent="0.25">
      <c r="A67" s="163" t="s">
        <v>310</v>
      </c>
      <c r="B67" s="164">
        <v>28</v>
      </c>
      <c r="C67" s="164">
        <v>328</v>
      </c>
      <c r="D67" s="164">
        <v>0</v>
      </c>
      <c r="E67" s="166">
        <f t="shared" si="2"/>
        <v>1</v>
      </c>
      <c r="F67" s="161">
        <v>0.85</v>
      </c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63" t="s">
        <v>147</v>
      </c>
      <c r="U67" s="164">
        <f>SUM(C44,C51,C58,C65)</f>
        <v>1810</v>
      </c>
      <c r="V67" s="164">
        <f t="shared" si="3"/>
        <v>452.5</v>
      </c>
    </row>
    <row r="68" spans="1:22" x14ac:dyDescent="0.25">
      <c r="A68" s="163" t="s">
        <v>309</v>
      </c>
      <c r="B68" s="164">
        <v>29</v>
      </c>
      <c r="C68" s="164"/>
      <c r="D68" s="164"/>
      <c r="E68" s="166"/>
      <c r="F68" s="161">
        <v>0.85</v>
      </c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63" t="s">
        <v>148</v>
      </c>
      <c r="U68" s="164">
        <f>SUM(C45,C52,C59,C66)</f>
        <v>1407</v>
      </c>
      <c r="V68" s="164">
        <f t="shared" si="3"/>
        <v>351.75</v>
      </c>
    </row>
    <row r="69" spans="1:22" x14ac:dyDescent="0.25">
      <c r="A69" s="163" t="s">
        <v>311</v>
      </c>
      <c r="B69" s="164">
        <v>30</v>
      </c>
      <c r="C69" s="164"/>
      <c r="D69" s="164"/>
      <c r="E69" s="166"/>
      <c r="F69" s="161">
        <v>0.85</v>
      </c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63" t="s">
        <v>149</v>
      </c>
      <c r="U69" s="164">
        <f>SUM(C46,C53,C60,C67)</f>
        <v>1325</v>
      </c>
      <c r="V69" s="164">
        <f t="shared" si="3"/>
        <v>331.25</v>
      </c>
    </row>
    <row r="70" spans="1:22" x14ac:dyDescent="0.25">
      <c r="A70" s="206" t="s">
        <v>102</v>
      </c>
      <c r="B70" s="206"/>
      <c r="C70" s="165">
        <f>SUM(C40:C69)</f>
        <v>12710</v>
      </c>
      <c r="D70" s="165">
        <f>SUM(D40:D69)</f>
        <v>1257</v>
      </c>
      <c r="E70" s="167">
        <f>AVERAGE(E40:E69)</f>
        <v>0.91272309289627063</v>
      </c>
      <c r="F70" s="161"/>
      <c r="T70" s="162" t="s">
        <v>102</v>
      </c>
      <c r="U70" s="165">
        <f>SUM(U63:U69)</f>
        <v>12710</v>
      </c>
      <c r="V70" s="165">
        <f>U70/28</f>
        <v>453.92857142857144</v>
      </c>
    </row>
  </sheetData>
  <mergeCells count="7">
    <mergeCell ref="A1:V1"/>
    <mergeCell ref="A38:E38"/>
    <mergeCell ref="A70:B70"/>
    <mergeCell ref="T61:V61"/>
    <mergeCell ref="A35:B35"/>
    <mergeCell ref="A2:E2"/>
    <mergeCell ref="T26:V26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2"/>
  <sheetViews>
    <sheetView showGridLines="0" zoomScaleNormal="100" workbookViewId="0">
      <selection activeCell="Y91" sqref="Y91"/>
    </sheetView>
  </sheetViews>
  <sheetFormatPr defaultRowHeight="15" x14ac:dyDescent="0.25"/>
  <sheetData>
    <row r="1" spans="1:16" ht="61.9" customHeight="1" x14ac:dyDescent="0.25">
      <c r="A1" s="44" t="s">
        <v>84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3" spans="12:13" x14ac:dyDescent="0.25">
      <c r="L23" s="168" t="s">
        <v>335</v>
      </c>
      <c r="M23" s="169">
        <v>1</v>
      </c>
    </row>
    <row r="24" spans="12:13" x14ac:dyDescent="0.25">
      <c r="L24" s="137" t="s">
        <v>113</v>
      </c>
      <c r="M24" s="138">
        <v>1</v>
      </c>
    </row>
    <row r="25" spans="12:13" x14ac:dyDescent="0.25">
      <c r="L25" s="87" t="s">
        <v>333</v>
      </c>
      <c r="M25" s="88">
        <v>1</v>
      </c>
    </row>
    <row r="26" spans="12:13" x14ac:dyDescent="0.25">
      <c r="L26" s="87" t="s">
        <v>334</v>
      </c>
      <c r="M26" s="88">
        <v>2</v>
      </c>
    </row>
    <row r="27" spans="12:13" x14ac:dyDescent="0.25">
      <c r="L27" s="87" t="s">
        <v>113</v>
      </c>
      <c r="M27" s="88">
        <v>2</v>
      </c>
    </row>
    <row r="28" spans="12:13" x14ac:dyDescent="0.25">
      <c r="L28" s="87" t="s">
        <v>112</v>
      </c>
      <c r="M28" s="88">
        <v>2</v>
      </c>
    </row>
    <row r="29" spans="12:13" x14ac:dyDescent="0.25">
      <c r="L29" s="137" t="s">
        <v>115</v>
      </c>
      <c r="M29" s="138">
        <v>2</v>
      </c>
    </row>
    <row r="30" spans="12:13" x14ac:dyDescent="0.25">
      <c r="L30" s="137" t="s">
        <v>336</v>
      </c>
      <c r="M30" s="138">
        <v>2</v>
      </c>
    </row>
    <row r="31" spans="12:13" x14ac:dyDescent="0.25">
      <c r="L31" s="137" t="s">
        <v>117</v>
      </c>
      <c r="M31" s="138">
        <v>3</v>
      </c>
    </row>
    <row r="32" spans="12:13" x14ac:dyDescent="0.25">
      <c r="L32" s="87" t="s">
        <v>114</v>
      </c>
      <c r="M32" s="88">
        <v>6</v>
      </c>
    </row>
    <row r="33" spans="12:13" x14ac:dyDescent="0.25">
      <c r="L33" s="87" t="s">
        <v>124</v>
      </c>
      <c r="M33" s="88">
        <v>7</v>
      </c>
    </row>
    <row r="34" spans="12:13" x14ac:dyDescent="0.25">
      <c r="L34" s="137" t="s">
        <v>116</v>
      </c>
      <c r="M34" s="138">
        <v>8</v>
      </c>
    </row>
    <row r="35" spans="12:13" x14ac:dyDescent="0.25">
      <c r="L35" s="137" t="s">
        <v>120</v>
      </c>
      <c r="M35" s="138">
        <v>9</v>
      </c>
    </row>
    <row r="36" spans="12:13" x14ac:dyDescent="0.25">
      <c r="L36" s="87" t="s">
        <v>118</v>
      </c>
      <c r="M36" s="88">
        <v>12</v>
      </c>
    </row>
    <row r="37" spans="12:13" x14ac:dyDescent="0.25">
      <c r="L37" s="137" t="s">
        <v>119</v>
      </c>
      <c r="M37" s="138">
        <v>13</v>
      </c>
    </row>
    <row r="38" spans="12:13" x14ac:dyDescent="0.25">
      <c r="L38" s="87" t="s">
        <v>114</v>
      </c>
      <c r="M38" s="88">
        <v>110</v>
      </c>
    </row>
    <row r="39" spans="12:13" x14ac:dyDescent="0.25">
      <c r="L39" s="87"/>
      <c r="M39" s="88"/>
    </row>
    <row r="40" spans="12:13" x14ac:dyDescent="0.25">
      <c r="L40" s="87"/>
      <c r="M40" s="88"/>
    </row>
    <row r="41" spans="12:13" x14ac:dyDescent="0.25">
      <c r="L41" s="87"/>
      <c r="M41" s="88"/>
    </row>
    <row r="42" spans="12:13" x14ac:dyDescent="0.25">
      <c r="L42" s="87"/>
      <c r="M42" s="88"/>
    </row>
  </sheetData>
  <sortState xmlns:xlrd2="http://schemas.microsoft.com/office/spreadsheetml/2017/richdata2" ref="L23:M37">
    <sortCondition ref="M23:M37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9"/>
  <sheetViews>
    <sheetView showGridLines="0" zoomScaleNormal="100" workbookViewId="0">
      <selection activeCell="X67" sqref="X67"/>
    </sheetView>
  </sheetViews>
  <sheetFormatPr defaultRowHeight="15" x14ac:dyDescent="0.25"/>
  <sheetData>
    <row r="1" spans="1:16" ht="61.9" customHeight="1" x14ac:dyDescent="0.25">
      <c r="A1" s="59" t="s">
        <v>89</v>
      </c>
      <c r="B1" s="59"/>
      <c r="C1" s="59"/>
      <c r="D1" s="59"/>
      <c r="E1" s="59"/>
      <c r="F1" s="59"/>
      <c r="G1" s="59"/>
      <c r="H1" s="59"/>
      <c r="I1" s="44"/>
      <c r="J1" s="44"/>
      <c r="K1" s="44"/>
      <c r="L1" s="44"/>
      <c r="M1" s="44"/>
      <c r="N1" s="44"/>
      <c r="O1" s="44"/>
      <c r="P1" s="44"/>
    </row>
    <row r="2" spans="1:16" ht="14.45" customHeight="1" x14ac:dyDescent="0.25">
      <c r="A2" s="59"/>
      <c r="B2" s="59"/>
      <c r="C2" s="59"/>
      <c r="D2" s="59"/>
      <c r="E2" s="59"/>
      <c r="F2" s="59"/>
      <c r="G2" s="59"/>
      <c r="H2" s="59"/>
      <c r="I2" s="44"/>
      <c r="J2" s="44"/>
      <c r="K2" s="44"/>
      <c r="L2" s="44"/>
      <c r="M2" s="44"/>
      <c r="N2" s="44"/>
      <c r="O2" s="44"/>
      <c r="P2" s="44"/>
    </row>
    <row r="3" spans="1:16" ht="14.45" customHeight="1" x14ac:dyDescent="0.25">
      <c r="A3" s="59"/>
      <c r="B3" s="59"/>
      <c r="C3" s="59"/>
      <c r="D3" s="59"/>
      <c r="E3" s="59"/>
      <c r="F3" s="59"/>
      <c r="G3" s="59"/>
      <c r="H3" s="59"/>
      <c r="I3" s="44"/>
      <c r="J3" s="44"/>
      <c r="K3" s="44"/>
      <c r="L3" s="44"/>
      <c r="M3" s="44"/>
      <c r="N3" s="44"/>
      <c r="O3" s="44"/>
      <c r="P3" s="44"/>
    </row>
    <row r="4" spans="1:16" ht="14.45" customHeight="1" x14ac:dyDescent="0.25">
      <c r="A4" s="59"/>
      <c r="B4" s="59"/>
      <c r="C4" s="59"/>
      <c r="D4" s="59"/>
      <c r="E4" s="59"/>
      <c r="F4" s="59"/>
      <c r="G4" s="59"/>
      <c r="H4" s="59"/>
      <c r="I4" s="44"/>
      <c r="J4" s="44"/>
      <c r="K4" s="44"/>
      <c r="L4" s="44"/>
      <c r="M4" s="44"/>
      <c r="N4" s="44"/>
      <c r="O4" s="44"/>
      <c r="P4" s="44"/>
    </row>
    <row r="5" spans="1:16" ht="14.45" customHeight="1" x14ac:dyDescent="0.25">
      <c r="A5" s="59"/>
      <c r="B5" s="59"/>
      <c r="C5" s="59"/>
      <c r="D5" s="59"/>
      <c r="E5" s="59"/>
      <c r="F5" s="59"/>
      <c r="G5" s="59"/>
      <c r="H5" s="59"/>
      <c r="I5" s="44"/>
      <c r="J5" s="44"/>
      <c r="K5" s="44"/>
      <c r="L5" s="44"/>
      <c r="M5" s="44"/>
      <c r="N5" s="44"/>
      <c r="O5" s="44"/>
      <c r="P5" s="44"/>
    </row>
    <row r="6" spans="1:16" ht="14.45" customHeight="1" x14ac:dyDescent="0.25">
      <c r="A6" s="59"/>
      <c r="B6" s="59"/>
      <c r="C6" s="59"/>
      <c r="D6" s="59"/>
      <c r="E6" s="59"/>
      <c r="F6" s="59"/>
      <c r="G6" s="59"/>
      <c r="H6" s="59"/>
      <c r="I6" s="44"/>
      <c r="J6" s="44"/>
      <c r="K6" s="44"/>
      <c r="L6" s="44"/>
      <c r="M6" s="44"/>
      <c r="N6" s="44"/>
      <c r="O6" s="44"/>
      <c r="P6" s="44"/>
    </row>
    <row r="7" spans="1:16" ht="14.45" customHeight="1" x14ac:dyDescent="0.25">
      <c r="A7" s="59"/>
      <c r="B7" s="59"/>
      <c r="C7" s="59"/>
      <c r="D7" s="59"/>
      <c r="E7" s="59"/>
      <c r="F7" s="59"/>
      <c r="G7" s="59"/>
      <c r="H7" s="59"/>
      <c r="I7" s="44"/>
      <c r="J7" s="44"/>
      <c r="K7" s="44"/>
      <c r="L7" s="44"/>
      <c r="M7" s="44"/>
      <c r="N7" s="44"/>
      <c r="O7" s="44"/>
      <c r="P7" s="44"/>
    </row>
    <row r="8" spans="1:16" ht="14.45" customHeight="1" x14ac:dyDescent="0.25">
      <c r="A8" s="59"/>
      <c r="B8" s="59"/>
      <c r="C8" s="59"/>
      <c r="D8" s="59"/>
      <c r="E8" s="59"/>
      <c r="F8" s="59"/>
      <c r="G8" s="59"/>
      <c r="H8" s="59"/>
      <c r="I8" s="44"/>
      <c r="J8" s="44"/>
      <c r="K8" s="44"/>
      <c r="L8" s="44"/>
      <c r="M8" s="44"/>
      <c r="N8" s="44"/>
      <c r="O8" s="44"/>
      <c r="P8" s="44"/>
    </row>
    <row r="9" spans="1:16" ht="14.45" customHeight="1" x14ac:dyDescent="0.25">
      <c r="A9" s="59"/>
      <c r="B9" s="59"/>
      <c r="C9" s="59"/>
      <c r="D9" s="59"/>
      <c r="E9" s="59"/>
      <c r="F9" s="59"/>
      <c r="G9" s="59"/>
      <c r="H9" s="59"/>
      <c r="I9" s="44"/>
      <c r="J9" s="44"/>
      <c r="K9" s="44"/>
      <c r="L9" s="44"/>
      <c r="M9" s="44"/>
      <c r="N9" s="44"/>
      <c r="O9" s="44"/>
      <c r="P9" s="44"/>
    </row>
    <row r="10" spans="1:16" ht="14.45" customHeight="1" x14ac:dyDescent="0.25">
      <c r="A10" s="59"/>
      <c r="B10" s="59"/>
      <c r="C10" s="59"/>
      <c r="D10" s="59"/>
      <c r="E10" s="59"/>
      <c r="F10" s="59"/>
      <c r="G10" s="59"/>
      <c r="H10" s="59"/>
      <c r="I10" s="44"/>
      <c r="J10" s="44"/>
      <c r="K10" s="44"/>
      <c r="L10" s="44"/>
      <c r="M10" s="44"/>
      <c r="N10" s="44"/>
      <c r="O10" s="44"/>
      <c r="P10" s="44"/>
    </row>
    <row r="11" spans="1:16" ht="14.45" customHeight="1" x14ac:dyDescent="0.25">
      <c r="A11" s="59"/>
      <c r="B11" s="59"/>
      <c r="C11" s="59"/>
      <c r="D11" s="59"/>
      <c r="E11" s="59"/>
      <c r="F11" s="59"/>
      <c r="G11" s="59"/>
      <c r="H11" s="59"/>
      <c r="I11" s="44"/>
      <c r="J11" s="44"/>
      <c r="K11" s="44"/>
      <c r="L11" s="44"/>
      <c r="M11" s="44"/>
      <c r="N11" s="44"/>
      <c r="O11" s="44"/>
      <c r="P11" s="44"/>
    </row>
    <row r="12" spans="1:16" ht="14.45" customHeight="1" x14ac:dyDescent="0.25">
      <c r="A12" s="59"/>
      <c r="B12" s="59"/>
      <c r="C12" s="59"/>
      <c r="D12" s="59"/>
      <c r="E12" s="59"/>
      <c r="F12" s="59"/>
      <c r="G12" s="59"/>
      <c r="H12" s="59"/>
      <c r="I12" s="44"/>
      <c r="J12" s="44"/>
      <c r="K12" s="44"/>
      <c r="L12" s="44"/>
      <c r="M12" s="44"/>
      <c r="N12" s="44"/>
      <c r="O12" s="44"/>
      <c r="P12" s="44"/>
    </row>
    <row r="13" spans="1:16" ht="14.45" customHeight="1" x14ac:dyDescent="0.25">
      <c r="A13" s="59"/>
      <c r="B13" s="59"/>
      <c r="C13" s="59"/>
      <c r="D13" s="59"/>
      <c r="E13" s="59"/>
      <c r="F13" s="59"/>
      <c r="G13" s="59"/>
      <c r="H13" s="59"/>
      <c r="I13" s="44"/>
      <c r="J13" s="44"/>
      <c r="K13" s="44"/>
      <c r="L13" s="44"/>
      <c r="M13" s="44"/>
      <c r="N13" s="44"/>
      <c r="O13" s="44"/>
      <c r="P13" s="44"/>
    </row>
    <row r="14" spans="1:16" ht="14.45" customHeight="1" x14ac:dyDescent="0.25">
      <c r="A14" s="59"/>
      <c r="B14" s="59"/>
      <c r="C14" s="59"/>
      <c r="D14" s="59"/>
      <c r="E14" s="59"/>
      <c r="F14" s="59"/>
      <c r="G14" s="59"/>
      <c r="H14" s="59"/>
      <c r="I14" s="44"/>
      <c r="J14" s="44"/>
      <c r="K14" s="44"/>
      <c r="L14" s="44"/>
      <c r="M14" s="44"/>
      <c r="N14" s="44"/>
      <c r="O14" s="44"/>
      <c r="P14" s="44"/>
    </row>
    <row r="15" spans="1:16" ht="14.45" customHeight="1" x14ac:dyDescent="0.25">
      <c r="A15" s="59"/>
      <c r="B15" s="59"/>
      <c r="C15" s="59"/>
      <c r="D15" s="59"/>
      <c r="E15" s="59"/>
      <c r="F15" s="59"/>
      <c r="G15" s="59"/>
      <c r="H15" s="59"/>
      <c r="I15" s="44"/>
      <c r="J15" s="44"/>
      <c r="K15" s="44"/>
      <c r="L15" s="44"/>
      <c r="M15" s="44"/>
      <c r="N15" s="44"/>
      <c r="O15" s="44"/>
      <c r="P15" s="44"/>
    </row>
    <row r="16" spans="1:16" ht="14.45" customHeight="1" x14ac:dyDescent="0.25">
      <c r="A16" s="59"/>
      <c r="B16" s="59"/>
      <c r="C16" s="59"/>
      <c r="D16" s="59"/>
      <c r="E16" s="59"/>
      <c r="F16" s="59"/>
      <c r="G16" s="59"/>
      <c r="H16" s="59"/>
      <c r="I16" s="44"/>
      <c r="J16" s="44"/>
      <c r="K16" s="44"/>
      <c r="L16" s="44"/>
      <c r="M16" s="44"/>
      <c r="N16" s="44"/>
      <c r="O16" s="44"/>
      <c r="P16" s="44"/>
    </row>
    <row r="17" spans="1:16" ht="14.45" customHeight="1" x14ac:dyDescent="0.25">
      <c r="A17" s="59"/>
      <c r="B17" s="59"/>
      <c r="C17" s="59"/>
      <c r="D17" s="59"/>
      <c r="E17" s="59"/>
      <c r="F17" s="59"/>
      <c r="G17" s="59"/>
      <c r="H17" s="59"/>
      <c r="I17" s="44"/>
      <c r="J17" s="44"/>
      <c r="K17" s="44"/>
      <c r="L17" s="44"/>
      <c r="M17" s="44"/>
      <c r="N17" s="44"/>
      <c r="O17" s="44"/>
      <c r="P17" s="44"/>
    </row>
    <row r="18" spans="1:16" ht="14.45" customHeight="1" x14ac:dyDescent="0.25">
      <c r="A18" s="59"/>
      <c r="B18" s="59"/>
      <c r="C18" s="59"/>
      <c r="D18" s="59"/>
      <c r="E18" s="59"/>
      <c r="F18" s="59"/>
      <c r="G18" s="59"/>
      <c r="H18" s="59"/>
      <c r="I18" s="44"/>
      <c r="J18" s="44"/>
      <c r="K18" s="44"/>
      <c r="L18" s="44"/>
      <c r="M18" s="44"/>
      <c r="N18" s="44"/>
      <c r="O18" s="44"/>
      <c r="P18" s="44"/>
    </row>
    <row r="19" spans="1:16" ht="14.45" customHeight="1" x14ac:dyDescent="0.25">
      <c r="A19" s="59"/>
      <c r="B19" s="59"/>
      <c r="C19" s="59"/>
      <c r="D19" s="59"/>
      <c r="E19" s="59"/>
      <c r="F19" s="59"/>
      <c r="G19" s="59"/>
      <c r="H19" s="59"/>
      <c r="I19" s="44"/>
      <c r="J19" s="44"/>
      <c r="K19" s="44"/>
      <c r="L19" s="44"/>
      <c r="M19" s="44"/>
      <c r="N19" s="44"/>
      <c r="O19" s="44"/>
      <c r="P19" s="44"/>
    </row>
    <row r="20" spans="1:16" ht="14.45" customHeight="1" x14ac:dyDescent="0.25">
      <c r="A20" s="59"/>
      <c r="B20" s="59"/>
      <c r="C20" s="59"/>
      <c r="D20" s="59"/>
      <c r="E20" s="59"/>
      <c r="F20" s="59"/>
      <c r="G20" s="59"/>
      <c r="H20" s="59"/>
      <c r="I20" s="44"/>
      <c r="J20" s="44"/>
      <c r="K20" s="44"/>
      <c r="L20" s="44"/>
      <c r="M20" s="44"/>
      <c r="N20" s="44"/>
      <c r="O20" s="44"/>
      <c r="P20" s="44"/>
    </row>
    <row r="21" spans="1:16" ht="14.45" customHeight="1" x14ac:dyDescent="0.25">
      <c r="A21" s="59"/>
      <c r="B21" s="59"/>
      <c r="C21" s="59"/>
      <c r="D21" s="59"/>
      <c r="E21" s="59"/>
      <c r="F21" s="59"/>
      <c r="G21" s="59"/>
      <c r="H21" s="59"/>
      <c r="I21" s="44"/>
      <c r="J21" s="44"/>
      <c r="K21" s="44"/>
      <c r="L21" s="44"/>
      <c r="M21" s="44"/>
      <c r="N21" s="44"/>
      <c r="O21" s="44"/>
      <c r="P21" s="44"/>
    </row>
    <row r="22" spans="1:16" ht="14.45" customHeight="1" x14ac:dyDescent="0.25">
      <c r="A22" s="59"/>
      <c r="B22" s="59"/>
      <c r="C22" s="59"/>
      <c r="D22" s="59"/>
      <c r="E22" s="59"/>
      <c r="F22" s="59"/>
      <c r="G22" s="59"/>
      <c r="H22" s="59"/>
      <c r="I22" s="44"/>
      <c r="J22" s="44"/>
      <c r="K22" s="44"/>
      <c r="L22" s="44"/>
      <c r="M22" s="44"/>
      <c r="N22" s="44"/>
      <c r="O22" s="44"/>
      <c r="P22" s="44"/>
    </row>
    <row r="23" spans="1:16" ht="14.45" customHeight="1" x14ac:dyDescent="0.25">
      <c r="A23" s="59"/>
      <c r="B23" s="59"/>
      <c r="C23" s="59"/>
      <c r="D23" s="59"/>
      <c r="E23" s="59"/>
      <c r="F23" s="59"/>
      <c r="G23" s="59"/>
      <c r="H23" s="59"/>
      <c r="I23" s="44"/>
      <c r="J23" s="44"/>
      <c r="K23" s="44"/>
      <c r="L23" s="44"/>
      <c r="M23" s="44"/>
      <c r="N23" s="44"/>
      <c r="O23" s="44"/>
      <c r="P23" s="44"/>
    </row>
    <row r="24" spans="1:16" ht="14.45" customHeight="1" x14ac:dyDescent="0.25">
      <c r="A24" s="59"/>
      <c r="B24" s="59"/>
      <c r="C24" s="59"/>
      <c r="D24" s="59"/>
      <c r="E24" s="59"/>
      <c r="F24" s="59"/>
      <c r="G24" s="59"/>
      <c r="H24" s="59"/>
      <c r="I24" s="44"/>
      <c r="J24" s="44"/>
      <c r="K24" s="44"/>
      <c r="L24" s="44"/>
      <c r="M24" s="44"/>
      <c r="N24" s="44"/>
      <c r="O24" s="44"/>
      <c r="P24" s="44"/>
    </row>
    <row r="25" spans="1:16" ht="14.45" customHeight="1" x14ac:dyDescent="0.25">
      <c r="A25" s="59"/>
      <c r="B25" s="59"/>
      <c r="C25" s="59"/>
      <c r="D25" s="59"/>
      <c r="E25" s="59"/>
      <c r="F25" s="59"/>
      <c r="G25" s="59"/>
      <c r="H25" s="59"/>
      <c r="I25" s="44"/>
      <c r="J25" s="44"/>
      <c r="K25" s="44"/>
      <c r="L25" s="44"/>
      <c r="M25" s="44"/>
      <c r="N25" s="44"/>
      <c r="O25" s="44"/>
      <c r="P25" s="44"/>
    </row>
    <row r="26" spans="1:16" ht="14.45" customHeight="1" x14ac:dyDescent="0.25">
      <c r="A26" s="59"/>
      <c r="B26" s="59"/>
      <c r="C26" s="59"/>
      <c r="D26" s="59"/>
      <c r="E26" s="59"/>
      <c r="F26" s="59"/>
      <c r="G26" s="59"/>
      <c r="H26" s="59"/>
      <c r="I26" s="44"/>
      <c r="J26" s="44"/>
      <c r="K26" s="44"/>
      <c r="L26" s="44"/>
      <c r="M26" s="44"/>
      <c r="N26" s="44"/>
      <c r="O26" s="44"/>
      <c r="P26" s="44"/>
    </row>
    <row r="27" spans="1:16" ht="14.45" customHeight="1" x14ac:dyDescent="0.25">
      <c r="A27" s="59"/>
      <c r="B27" s="59"/>
      <c r="C27" s="59"/>
      <c r="D27" s="59"/>
      <c r="E27" s="59"/>
      <c r="F27" s="59"/>
      <c r="G27" s="59"/>
      <c r="H27" s="59"/>
      <c r="I27" s="44"/>
      <c r="J27" s="44"/>
      <c r="K27" s="44"/>
      <c r="L27" s="44"/>
      <c r="M27" s="44"/>
      <c r="N27" s="44"/>
      <c r="O27" s="44"/>
      <c r="P27" s="44"/>
    </row>
    <row r="28" spans="1:16" ht="14.45" customHeight="1" x14ac:dyDescent="0.25">
      <c r="A28" s="59"/>
      <c r="B28" s="59"/>
      <c r="C28" s="59"/>
      <c r="D28" s="59"/>
      <c r="E28" s="59"/>
      <c r="F28" s="59"/>
      <c r="G28" s="59"/>
      <c r="H28" s="59"/>
      <c r="I28" s="44"/>
      <c r="J28" s="44"/>
      <c r="K28" s="44"/>
      <c r="L28" s="44"/>
      <c r="M28" s="44"/>
      <c r="N28" s="44"/>
      <c r="O28" s="44"/>
      <c r="P28" s="44"/>
    </row>
    <row r="29" spans="1:16" ht="14.45" customHeight="1" x14ac:dyDescent="0.25">
      <c r="A29" s="59"/>
      <c r="B29" s="59"/>
      <c r="C29" s="59"/>
      <c r="D29" s="59"/>
      <c r="E29" s="59"/>
      <c r="F29" s="59"/>
      <c r="G29" s="59"/>
      <c r="H29" s="59"/>
      <c r="I29" s="44"/>
      <c r="J29" s="44"/>
      <c r="K29" s="44"/>
      <c r="L29" s="44"/>
      <c r="M29" s="44"/>
      <c r="N29" s="44"/>
      <c r="O29" s="44"/>
      <c r="P29" s="44"/>
    </row>
    <row r="63" spans="1:2" x14ac:dyDescent="0.25">
      <c r="A63" s="1" t="s">
        <v>106</v>
      </c>
      <c r="B63" s="1" t="s">
        <v>73</v>
      </c>
    </row>
    <row r="64" spans="1:2" x14ac:dyDescent="0.25">
      <c r="A64" s="45" t="s">
        <v>328</v>
      </c>
      <c r="B64">
        <v>1</v>
      </c>
    </row>
    <row r="65" spans="1:2" x14ac:dyDescent="0.25">
      <c r="A65" s="45" t="s">
        <v>327</v>
      </c>
      <c r="B65">
        <v>1</v>
      </c>
    </row>
    <row r="66" spans="1:2" x14ac:dyDescent="0.25">
      <c r="A66" s="45" t="s">
        <v>282</v>
      </c>
      <c r="B66">
        <v>2</v>
      </c>
    </row>
    <row r="67" spans="1:2" x14ac:dyDescent="0.25">
      <c r="A67" s="45" t="s">
        <v>107</v>
      </c>
      <c r="B67">
        <v>6</v>
      </c>
    </row>
    <row r="68" spans="1:2" x14ac:dyDescent="0.25">
      <c r="A68" s="45" t="s">
        <v>108</v>
      </c>
      <c r="B68">
        <v>7</v>
      </c>
    </row>
    <row r="69" spans="1:2" x14ac:dyDescent="0.25">
      <c r="A69" s="45" t="s">
        <v>283</v>
      </c>
      <c r="B69">
        <v>18</v>
      </c>
    </row>
  </sheetData>
  <sortState xmlns:xlrd2="http://schemas.microsoft.com/office/spreadsheetml/2017/richdata2" ref="A64:B69">
    <sortCondition ref="B64:B69"/>
  </sortState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45"/>
  <sheetViews>
    <sheetView showGridLines="0" zoomScaleNormal="100" workbookViewId="0">
      <selection activeCell="R24" sqref="R24"/>
    </sheetView>
  </sheetViews>
  <sheetFormatPr defaultRowHeight="15" x14ac:dyDescent="0.25"/>
  <cols>
    <col min="1" max="1" width="19.7109375" style="2" bestFit="1" customWidth="1"/>
    <col min="2" max="5" width="17.42578125" style="1" customWidth="1"/>
  </cols>
  <sheetData>
    <row r="1" spans="1:16" ht="61.9" customHeight="1" x14ac:dyDescent="0.25">
      <c r="A1" s="210" t="s">
        <v>88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</row>
    <row r="2" spans="1:16" x14ac:dyDescent="0.25">
      <c r="A2" s="34" t="s">
        <v>72</v>
      </c>
      <c r="B2" s="34" t="s">
        <v>73</v>
      </c>
      <c r="C2" s="37"/>
      <c r="D2" s="37"/>
      <c r="E2" s="37"/>
    </row>
    <row r="3" spans="1:16" x14ac:dyDescent="0.25">
      <c r="A3" s="23" t="s">
        <v>35</v>
      </c>
      <c r="B3" s="36">
        <v>311</v>
      </c>
      <c r="C3" s="38"/>
      <c r="D3" s="39"/>
      <c r="E3" s="38"/>
    </row>
    <row r="4" spans="1:16" x14ac:dyDescent="0.25">
      <c r="A4" s="10" t="s">
        <v>36</v>
      </c>
      <c r="B4" s="9">
        <v>2120</v>
      </c>
      <c r="C4" s="38"/>
      <c r="D4" s="39"/>
      <c r="E4" s="38"/>
    </row>
    <row r="5" spans="1:16" x14ac:dyDescent="0.25">
      <c r="A5" s="31" t="s">
        <v>5</v>
      </c>
      <c r="B5" s="35">
        <f>SUM(B3:B4)</f>
        <v>2431</v>
      </c>
      <c r="C5" s="40"/>
      <c r="D5" s="41"/>
      <c r="E5" s="41"/>
    </row>
    <row r="15" spans="1:16" ht="17.45" customHeight="1" x14ac:dyDescent="0.25"/>
    <row r="16" spans="1:16" x14ac:dyDescent="0.25">
      <c r="A16" s="211" t="s">
        <v>45</v>
      </c>
      <c r="B16" s="211" t="s">
        <v>70</v>
      </c>
      <c r="C16" s="211"/>
      <c r="D16" s="211"/>
      <c r="E16" s="211" t="s">
        <v>49</v>
      </c>
    </row>
    <row r="17" spans="1:20" x14ac:dyDescent="0.25">
      <c r="A17" s="211"/>
      <c r="B17" s="31" t="s">
        <v>46</v>
      </c>
      <c r="C17" s="31" t="s">
        <v>47</v>
      </c>
      <c r="D17" s="31" t="s">
        <v>48</v>
      </c>
      <c r="E17" s="211"/>
    </row>
    <row r="18" spans="1:20" x14ac:dyDescent="0.25">
      <c r="A18" s="30" t="s">
        <v>126</v>
      </c>
      <c r="B18" s="10">
        <v>1</v>
      </c>
      <c r="C18" s="10"/>
      <c r="D18" s="10"/>
      <c r="E18" s="18">
        <v>1</v>
      </c>
    </row>
    <row r="19" spans="1:20" x14ac:dyDescent="0.25">
      <c r="A19" s="30" t="s">
        <v>50</v>
      </c>
      <c r="B19" s="10">
        <v>2</v>
      </c>
      <c r="C19" s="10"/>
      <c r="D19" s="10"/>
      <c r="E19" s="18">
        <v>2</v>
      </c>
    </row>
    <row r="20" spans="1:20" x14ac:dyDescent="0.25">
      <c r="A20" s="30" t="s">
        <v>287</v>
      </c>
      <c r="B20" s="10">
        <v>4</v>
      </c>
      <c r="C20" s="10"/>
      <c r="D20" s="10"/>
      <c r="E20" s="18">
        <v>4</v>
      </c>
    </row>
    <row r="21" spans="1:20" x14ac:dyDescent="0.25">
      <c r="A21" s="30" t="s">
        <v>58</v>
      </c>
      <c r="B21" s="10">
        <v>6</v>
      </c>
      <c r="C21" s="10"/>
      <c r="D21" s="10">
        <v>2</v>
      </c>
      <c r="E21" s="18">
        <v>8</v>
      </c>
    </row>
    <row r="22" spans="1:20" x14ac:dyDescent="0.25">
      <c r="A22" s="30" t="s">
        <v>286</v>
      </c>
      <c r="B22" s="10">
        <v>7</v>
      </c>
      <c r="C22" s="10"/>
      <c r="D22" s="10">
        <v>2</v>
      </c>
      <c r="E22" s="18">
        <v>9</v>
      </c>
    </row>
    <row r="23" spans="1:20" x14ac:dyDescent="0.25">
      <c r="A23" s="30" t="s">
        <v>51</v>
      </c>
      <c r="B23" s="10">
        <v>9</v>
      </c>
      <c r="C23" s="10"/>
      <c r="D23" s="10"/>
      <c r="E23" s="18">
        <v>9</v>
      </c>
    </row>
    <row r="24" spans="1:20" x14ac:dyDescent="0.25">
      <c r="A24" s="30" t="s">
        <v>52</v>
      </c>
      <c r="B24" s="10">
        <v>8</v>
      </c>
      <c r="C24" s="10"/>
      <c r="D24" s="10">
        <v>4</v>
      </c>
      <c r="E24" s="18">
        <v>12</v>
      </c>
    </row>
    <row r="25" spans="1:20" x14ac:dyDescent="0.25">
      <c r="A25" s="30" t="s">
        <v>55</v>
      </c>
      <c r="B25" s="10">
        <v>13</v>
      </c>
      <c r="C25" s="10"/>
      <c r="D25" s="10"/>
      <c r="E25" s="18">
        <v>13</v>
      </c>
    </row>
    <row r="26" spans="1:20" x14ac:dyDescent="0.25">
      <c r="A26" s="30" t="s">
        <v>53</v>
      </c>
      <c r="B26" s="10">
        <v>18</v>
      </c>
      <c r="C26" s="10"/>
      <c r="D26" s="10"/>
      <c r="E26" s="18">
        <v>18</v>
      </c>
      <c r="S26" t="s">
        <v>326</v>
      </c>
    </row>
    <row r="27" spans="1:20" x14ac:dyDescent="0.25">
      <c r="A27" s="30" t="s">
        <v>56</v>
      </c>
      <c r="B27" s="10">
        <v>14</v>
      </c>
      <c r="C27" s="10"/>
      <c r="D27" s="10">
        <v>5</v>
      </c>
      <c r="E27" s="18">
        <v>19</v>
      </c>
    </row>
    <row r="28" spans="1:20" x14ac:dyDescent="0.25">
      <c r="A28" s="30" t="s">
        <v>60</v>
      </c>
      <c r="B28" s="10">
        <v>20</v>
      </c>
      <c r="C28" s="10"/>
      <c r="D28" s="10"/>
      <c r="E28" s="18">
        <v>20</v>
      </c>
    </row>
    <row r="29" spans="1:20" x14ac:dyDescent="0.25">
      <c r="A29" s="30" t="s">
        <v>59</v>
      </c>
      <c r="B29" s="10">
        <v>20</v>
      </c>
      <c r="C29" s="10"/>
      <c r="D29" s="10">
        <v>1</v>
      </c>
      <c r="E29" s="18">
        <v>21</v>
      </c>
    </row>
    <row r="30" spans="1:20" x14ac:dyDescent="0.25">
      <c r="A30" s="30" t="s">
        <v>54</v>
      </c>
      <c r="B30" s="10">
        <v>19</v>
      </c>
      <c r="C30" s="10"/>
      <c r="D30" s="10">
        <v>2</v>
      </c>
      <c r="E30" s="18">
        <v>21</v>
      </c>
      <c r="T30" t="s">
        <v>326</v>
      </c>
    </row>
    <row r="31" spans="1:20" x14ac:dyDescent="0.25">
      <c r="A31" s="30" t="s">
        <v>61</v>
      </c>
      <c r="B31" s="10">
        <v>16</v>
      </c>
      <c r="C31" s="10">
        <v>4</v>
      </c>
      <c r="D31" s="10">
        <v>2</v>
      </c>
      <c r="E31" s="18">
        <v>22</v>
      </c>
    </row>
    <row r="32" spans="1:20" x14ac:dyDescent="0.25">
      <c r="A32" s="30" t="s">
        <v>57</v>
      </c>
      <c r="B32" s="10">
        <v>23</v>
      </c>
      <c r="C32" s="10"/>
      <c r="D32" s="10"/>
      <c r="E32" s="18">
        <v>23</v>
      </c>
    </row>
    <row r="33" spans="1:19" x14ac:dyDescent="0.25">
      <c r="A33" s="30" t="s">
        <v>62</v>
      </c>
      <c r="B33" s="10">
        <v>21</v>
      </c>
      <c r="C33" s="10"/>
      <c r="D33" s="10">
        <v>4</v>
      </c>
      <c r="E33" s="18">
        <v>25</v>
      </c>
      <c r="S33" t="s">
        <v>326</v>
      </c>
    </row>
    <row r="34" spans="1:19" x14ac:dyDescent="0.25">
      <c r="A34" s="30" t="s">
        <v>194</v>
      </c>
      <c r="B34" s="10">
        <v>27</v>
      </c>
      <c r="C34" s="10">
        <v>5</v>
      </c>
      <c r="D34" s="10">
        <v>23</v>
      </c>
      <c r="E34" s="18">
        <v>55</v>
      </c>
    </row>
    <row r="35" spans="1:19" x14ac:dyDescent="0.25">
      <c r="A35" s="30" t="s">
        <v>63</v>
      </c>
      <c r="B35" s="10">
        <v>27</v>
      </c>
      <c r="C35" s="10">
        <v>24</v>
      </c>
      <c r="D35" s="10">
        <v>11</v>
      </c>
      <c r="E35" s="18">
        <v>62</v>
      </c>
    </row>
    <row r="36" spans="1:19" x14ac:dyDescent="0.25">
      <c r="A36" s="30" t="s">
        <v>285</v>
      </c>
      <c r="B36" s="10">
        <v>51</v>
      </c>
      <c r="C36" s="10"/>
      <c r="D36" s="10">
        <v>12</v>
      </c>
      <c r="E36" s="18">
        <v>63</v>
      </c>
    </row>
    <row r="37" spans="1:19" x14ac:dyDescent="0.25">
      <c r="A37" s="30" t="s">
        <v>64</v>
      </c>
      <c r="B37" s="10">
        <v>29</v>
      </c>
      <c r="C37" s="10">
        <v>37</v>
      </c>
      <c r="D37" s="10">
        <v>9</v>
      </c>
      <c r="E37" s="18">
        <v>75</v>
      </c>
    </row>
    <row r="38" spans="1:19" x14ac:dyDescent="0.25">
      <c r="A38" s="30" t="s">
        <v>66</v>
      </c>
      <c r="B38" s="10">
        <v>53</v>
      </c>
      <c r="C38" s="10">
        <v>15</v>
      </c>
      <c r="D38" s="10">
        <v>34</v>
      </c>
      <c r="E38" s="18">
        <v>102</v>
      </c>
    </row>
    <row r="39" spans="1:19" x14ac:dyDescent="0.25">
      <c r="A39" s="30" t="s">
        <v>67</v>
      </c>
      <c r="B39" s="10">
        <v>111</v>
      </c>
      <c r="C39" s="10"/>
      <c r="D39" s="10"/>
      <c r="E39" s="18">
        <v>111</v>
      </c>
    </row>
    <row r="40" spans="1:19" x14ac:dyDescent="0.25">
      <c r="A40" s="30" t="s">
        <v>65</v>
      </c>
      <c r="B40" s="10">
        <v>60</v>
      </c>
      <c r="C40" s="10">
        <v>72</v>
      </c>
      <c r="D40" s="10">
        <v>14</v>
      </c>
      <c r="E40" s="18">
        <v>146</v>
      </c>
    </row>
    <row r="41" spans="1:19" x14ac:dyDescent="0.25">
      <c r="A41" s="30" t="s">
        <v>68</v>
      </c>
      <c r="B41" s="10">
        <v>58</v>
      </c>
      <c r="C41" s="10">
        <v>77</v>
      </c>
      <c r="D41" s="10">
        <v>13</v>
      </c>
      <c r="E41" s="18">
        <v>148</v>
      </c>
    </row>
    <row r="42" spans="1:19" x14ac:dyDescent="0.25">
      <c r="A42" s="30" t="s">
        <v>69</v>
      </c>
      <c r="B42" s="10">
        <v>33</v>
      </c>
      <c r="C42" s="10">
        <v>290</v>
      </c>
      <c r="D42" s="10">
        <v>33</v>
      </c>
      <c r="E42" s="18">
        <v>356</v>
      </c>
    </row>
    <row r="43" spans="1:19" x14ac:dyDescent="0.25">
      <c r="A43" s="30" t="s">
        <v>284</v>
      </c>
      <c r="B43" s="10">
        <v>47</v>
      </c>
      <c r="C43" s="10">
        <v>326</v>
      </c>
      <c r="D43" s="10">
        <v>46</v>
      </c>
      <c r="E43" s="18">
        <v>419</v>
      </c>
    </row>
    <row r="44" spans="1:19" x14ac:dyDescent="0.25">
      <c r="A44" s="32" t="s">
        <v>49</v>
      </c>
      <c r="B44" s="35">
        <f>SUM(B18:B43)</f>
        <v>697</v>
      </c>
      <c r="C44" s="35">
        <f>SUM(C18:C43)</f>
        <v>850</v>
      </c>
      <c r="D44" s="35">
        <f>SUM(D18:D43)</f>
        <v>217</v>
      </c>
      <c r="E44" s="35">
        <f>SUM(E18:E43)</f>
        <v>1764</v>
      </c>
    </row>
    <row r="45" spans="1:19" x14ac:dyDescent="0.25">
      <c r="A45" s="32" t="s">
        <v>71</v>
      </c>
      <c r="B45" s="33">
        <f>B44/E44</f>
        <v>0.39512471655328796</v>
      </c>
      <c r="C45" s="33">
        <f>C44/E44</f>
        <v>0.48185941043083902</v>
      </c>
      <c r="D45" s="33">
        <f>D44/E44</f>
        <v>0.12301587301587301</v>
      </c>
      <c r="E45" s="33"/>
    </row>
  </sheetData>
  <sortState xmlns:xlrd2="http://schemas.microsoft.com/office/spreadsheetml/2017/richdata2" ref="A18:E43">
    <sortCondition ref="E18:E43"/>
  </sortState>
  <mergeCells count="4">
    <mergeCell ref="A1:P1"/>
    <mergeCell ref="A16:A17"/>
    <mergeCell ref="B16:D16"/>
    <mergeCell ref="E16:E17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77"/>
  <sheetViews>
    <sheetView showGridLines="0" zoomScaleNormal="100" workbookViewId="0">
      <selection activeCell="O98" sqref="O98"/>
    </sheetView>
  </sheetViews>
  <sheetFormatPr defaultRowHeight="15" x14ac:dyDescent="0.25"/>
  <cols>
    <col min="3" max="3" width="10.28515625" bestFit="1" customWidth="1"/>
    <col min="12" max="12" width="9.140625" customWidth="1"/>
    <col min="25" max="25" width="15" bestFit="1" customWidth="1"/>
    <col min="26" max="26" width="3" bestFit="1" customWidth="1"/>
    <col min="27" max="27" width="15" bestFit="1" customWidth="1"/>
    <col min="28" max="28" width="4" bestFit="1" customWidth="1"/>
    <col min="29" max="29" width="15" bestFit="1" customWidth="1"/>
    <col min="30" max="30" width="4" bestFit="1" customWidth="1"/>
  </cols>
  <sheetData>
    <row r="1" spans="1:31" ht="61.9" customHeight="1" x14ac:dyDescent="0.25">
      <c r="A1" s="210" t="s">
        <v>86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AB1" s="46"/>
      <c r="AC1" s="47"/>
      <c r="AD1" s="47"/>
      <c r="AE1" s="47"/>
    </row>
    <row r="2" spans="1:31" x14ac:dyDescent="0.25">
      <c r="AB2" s="48"/>
    </row>
    <row r="6" spans="1:31" x14ac:dyDescent="0.25">
      <c r="Y6" s="95" t="s">
        <v>37</v>
      </c>
      <c r="Z6" s="96"/>
      <c r="AA6" s="95" t="s">
        <v>38</v>
      </c>
      <c r="AB6" s="96"/>
      <c r="AC6" s="95" t="s">
        <v>39</v>
      </c>
      <c r="AD6" s="96"/>
    </row>
    <row r="7" spans="1:31" x14ac:dyDescent="0.25">
      <c r="Y7" t="s">
        <v>74</v>
      </c>
      <c r="Z7">
        <v>30</v>
      </c>
      <c r="AA7" t="s">
        <v>74</v>
      </c>
      <c r="AB7">
        <v>31</v>
      </c>
      <c r="AC7" t="s">
        <v>74</v>
      </c>
      <c r="AD7">
        <v>33</v>
      </c>
    </row>
    <row r="8" spans="1:31" x14ac:dyDescent="0.25">
      <c r="Y8" t="s">
        <v>75</v>
      </c>
      <c r="Z8">
        <v>0</v>
      </c>
      <c r="AA8" t="s">
        <v>75</v>
      </c>
      <c r="AB8">
        <v>0</v>
      </c>
      <c r="AC8" t="s">
        <v>75</v>
      </c>
      <c r="AD8">
        <v>3</v>
      </c>
    </row>
    <row r="9" spans="1:31" x14ac:dyDescent="0.25">
      <c r="Y9" s="95" t="s">
        <v>103</v>
      </c>
      <c r="Z9" s="96"/>
      <c r="AA9" s="95" t="s">
        <v>42</v>
      </c>
      <c r="AB9" s="96"/>
      <c r="AC9" s="97" t="s">
        <v>195</v>
      </c>
      <c r="AD9" s="96"/>
    </row>
    <row r="10" spans="1:31" x14ac:dyDescent="0.25">
      <c r="Y10" t="s">
        <v>74</v>
      </c>
      <c r="Z10">
        <v>31</v>
      </c>
      <c r="AA10" t="s">
        <v>74</v>
      </c>
      <c r="AB10">
        <v>15</v>
      </c>
      <c r="AC10" t="s">
        <v>74</v>
      </c>
      <c r="AD10">
        <v>105</v>
      </c>
    </row>
    <row r="11" spans="1:31" x14ac:dyDescent="0.25">
      <c r="Y11" t="s">
        <v>75</v>
      </c>
      <c r="Z11">
        <v>4</v>
      </c>
      <c r="AA11" t="s">
        <v>75</v>
      </c>
      <c r="AB11">
        <v>1</v>
      </c>
      <c r="AC11" t="s">
        <v>75</v>
      </c>
      <c r="AD11">
        <v>10</v>
      </c>
    </row>
    <row r="22" ht="2.4500000000000002" customHeight="1" x14ac:dyDescent="0.25"/>
    <row r="42" spans="1:7" x14ac:dyDescent="0.25">
      <c r="A42" t="s">
        <v>127</v>
      </c>
    </row>
    <row r="43" spans="1:7" x14ac:dyDescent="0.25">
      <c r="A43" t="s">
        <v>100</v>
      </c>
      <c r="B43" t="s">
        <v>101</v>
      </c>
    </row>
    <row r="44" spans="1:7" x14ac:dyDescent="0.25">
      <c r="A44" s="57" t="s">
        <v>92</v>
      </c>
      <c r="B44" s="58">
        <v>1</v>
      </c>
    </row>
    <row r="45" spans="1:7" x14ac:dyDescent="0.25">
      <c r="A45" s="57" t="s">
        <v>330</v>
      </c>
      <c r="B45" s="58">
        <v>1</v>
      </c>
    </row>
    <row r="46" spans="1:7" x14ac:dyDescent="0.25">
      <c r="A46" s="57" t="s">
        <v>332</v>
      </c>
      <c r="B46" s="58">
        <v>1</v>
      </c>
    </row>
    <row r="47" spans="1:7" x14ac:dyDescent="0.25">
      <c r="A47" s="57" t="s">
        <v>329</v>
      </c>
      <c r="B47" s="58">
        <v>2</v>
      </c>
      <c r="C47" s="43"/>
      <c r="D47" s="43"/>
      <c r="E47" s="43"/>
      <c r="F47" s="43"/>
      <c r="G47" s="43"/>
    </row>
    <row r="48" spans="1:7" x14ac:dyDescent="0.25">
      <c r="A48" s="57" t="s">
        <v>316</v>
      </c>
      <c r="B48" s="58">
        <v>3</v>
      </c>
      <c r="C48" s="1"/>
      <c r="D48" s="1"/>
      <c r="E48" s="1"/>
      <c r="F48" s="1"/>
    </row>
    <row r="49" spans="1:6" x14ac:dyDescent="0.25">
      <c r="A49" s="57" t="s">
        <v>98</v>
      </c>
      <c r="B49" s="58">
        <v>3</v>
      </c>
      <c r="C49" s="3"/>
      <c r="D49" s="89"/>
      <c r="E49" s="90"/>
      <c r="F49" s="91"/>
    </row>
    <row r="50" spans="1:6" x14ac:dyDescent="0.25">
      <c r="A50" s="57" t="s">
        <v>331</v>
      </c>
      <c r="B50" s="58">
        <v>4</v>
      </c>
      <c r="C50" s="3"/>
      <c r="D50" s="92"/>
      <c r="E50" s="93"/>
      <c r="F50" s="94"/>
    </row>
    <row r="51" spans="1:6" x14ac:dyDescent="0.25">
      <c r="A51" s="57" t="s">
        <v>94</v>
      </c>
      <c r="B51" s="58">
        <v>5</v>
      </c>
      <c r="C51" s="3"/>
      <c r="D51" s="92"/>
      <c r="E51" s="93"/>
      <c r="F51" s="94"/>
    </row>
    <row r="52" spans="1:6" x14ac:dyDescent="0.25">
      <c r="A52" s="57" t="s">
        <v>99</v>
      </c>
      <c r="B52" s="58">
        <v>6</v>
      </c>
      <c r="C52" s="3"/>
      <c r="D52" s="92"/>
      <c r="E52" s="93"/>
      <c r="F52" s="94"/>
    </row>
    <row r="53" spans="1:6" x14ac:dyDescent="0.25">
      <c r="A53" s="57" t="s">
        <v>280</v>
      </c>
      <c r="B53" s="58">
        <v>7</v>
      </c>
      <c r="C53" s="3"/>
      <c r="D53" s="92"/>
      <c r="E53" s="93"/>
      <c r="F53" s="94"/>
    </row>
    <row r="54" spans="1:6" x14ac:dyDescent="0.25">
      <c r="A54" s="57" t="s">
        <v>95</v>
      </c>
      <c r="B54" s="58">
        <v>11</v>
      </c>
      <c r="C54" s="3"/>
      <c r="D54" s="92"/>
      <c r="E54" s="93"/>
      <c r="F54" s="94"/>
    </row>
    <row r="55" spans="1:6" x14ac:dyDescent="0.25">
      <c r="A55" s="57" t="s">
        <v>195</v>
      </c>
      <c r="B55" s="58">
        <v>12</v>
      </c>
      <c r="C55" s="3"/>
      <c r="D55" s="92"/>
      <c r="E55" s="93"/>
      <c r="F55" s="94"/>
    </row>
    <row r="56" spans="1:6" x14ac:dyDescent="0.25">
      <c r="A56" s="57" t="s">
        <v>96</v>
      </c>
      <c r="B56" s="58">
        <v>19</v>
      </c>
      <c r="C56" s="3"/>
      <c r="D56" s="92"/>
      <c r="E56" s="93"/>
      <c r="F56" s="94"/>
    </row>
    <row r="57" spans="1:6" x14ac:dyDescent="0.25">
      <c r="A57" s="57" t="s">
        <v>97</v>
      </c>
      <c r="B57" s="58">
        <v>29</v>
      </c>
      <c r="C57" s="3"/>
      <c r="D57" s="92"/>
      <c r="E57" s="93"/>
      <c r="F57" s="94"/>
    </row>
    <row r="58" spans="1:6" x14ac:dyDescent="0.25">
      <c r="A58" s="57" t="s">
        <v>314</v>
      </c>
      <c r="B58" s="58">
        <v>44</v>
      </c>
      <c r="C58" s="3"/>
      <c r="D58" s="92"/>
      <c r="E58" s="93"/>
      <c r="F58" s="94"/>
    </row>
    <row r="59" spans="1:6" x14ac:dyDescent="0.25">
      <c r="A59" s="57" t="s">
        <v>93</v>
      </c>
      <c r="B59" s="58">
        <v>53</v>
      </c>
      <c r="C59" s="3"/>
      <c r="D59" s="92"/>
      <c r="E59" s="93"/>
      <c r="F59" s="94"/>
    </row>
    <row r="60" spans="1:6" x14ac:dyDescent="0.25">
      <c r="A60" s="57" t="s">
        <v>90</v>
      </c>
      <c r="B60" s="58">
        <v>58</v>
      </c>
      <c r="C60" s="3"/>
      <c r="D60" s="92"/>
      <c r="E60" s="93"/>
      <c r="F60" s="94"/>
    </row>
    <row r="61" spans="1:6" x14ac:dyDescent="0.25">
      <c r="A61" s="57" t="s">
        <v>315</v>
      </c>
      <c r="B61" s="58">
        <v>62</v>
      </c>
      <c r="C61" s="3"/>
      <c r="D61" s="92"/>
      <c r="E61" s="93"/>
      <c r="F61" s="94"/>
    </row>
    <row r="62" spans="1:6" x14ac:dyDescent="0.25">
      <c r="A62" s="57" t="s">
        <v>91</v>
      </c>
      <c r="B62" s="58">
        <v>71</v>
      </c>
      <c r="C62" s="3"/>
      <c r="D62" s="92"/>
      <c r="E62" s="93"/>
      <c r="F62" s="94"/>
    </row>
    <row r="63" spans="1:6" x14ac:dyDescent="0.25">
      <c r="A63" s="57"/>
      <c r="B63" s="58"/>
      <c r="C63" s="1"/>
      <c r="D63" s="92"/>
      <c r="E63" s="93"/>
      <c r="F63" s="94"/>
    </row>
    <row r="64" spans="1:6" x14ac:dyDescent="0.25">
      <c r="A64" s="57"/>
      <c r="B64" s="58"/>
      <c r="C64" s="3"/>
      <c r="D64" s="92"/>
      <c r="E64" s="93"/>
      <c r="F64" s="94"/>
    </row>
    <row r="65" spans="1:6" x14ac:dyDescent="0.25">
      <c r="A65" s="57"/>
      <c r="B65" s="58"/>
      <c r="C65" s="3"/>
      <c r="D65" s="92"/>
      <c r="E65" s="93"/>
      <c r="F65" s="94"/>
    </row>
    <row r="66" spans="1:6" x14ac:dyDescent="0.25">
      <c r="A66" s="57"/>
      <c r="B66" s="58"/>
      <c r="C66" s="3"/>
      <c r="D66" s="92"/>
      <c r="E66" s="93"/>
      <c r="F66" s="94"/>
    </row>
    <row r="67" spans="1:6" x14ac:dyDescent="0.25">
      <c r="A67" s="57"/>
      <c r="B67" s="58"/>
      <c r="C67" s="3"/>
      <c r="D67" s="92"/>
      <c r="E67" s="93"/>
      <c r="F67" s="94"/>
    </row>
    <row r="68" spans="1:6" x14ac:dyDescent="0.25">
      <c r="A68" s="57"/>
      <c r="B68" s="58"/>
      <c r="C68" s="3"/>
      <c r="D68" s="92"/>
      <c r="E68" s="93"/>
      <c r="F68" s="94"/>
    </row>
    <row r="69" spans="1:6" x14ac:dyDescent="0.25">
      <c r="A69" s="57"/>
      <c r="B69" s="58"/>
      <c r="C69" s="3"/>
      <c r="D69" s="92"/>
      <c r="E69" s="93"/>
      <c r="F69" s="94"/>
    </row>
    <row r="70" spans="1:6" x14ac:dyDescent="0.25">
      <c r="A70" s="57"/>
      <c r="B70" s="58"/>
      <c r="C70" s="3"/>
      <c r="D70" s="92"/>
      <c r="E70" s="93"/>
      <c r="F70" s="94"/>
    </row>
    <row r="71" spans="1:6" x14ac:dyDescent="0.25">
      <c r="A71" s="57"/>
      <c r="B71" s="58"/>
      <c r="C71" s="3"/>
      <c r="D71" s="92"/>
      <c r="E71" s="93"/>
      <c r="F71" s="94"/>
    </row>
    <row r="72" spans="1:6" x14ac:dyDescent="0.25">
      <c r="A72" s="45" t="s">
        <v>102</v>
      </c>
      <c r="B72">
        <f>SUM(B44:B71)</f>
        <v>392</v>
      </c>
      <c r="C72" s="3"/>
      <c r="D72" s="92"/>
      <c r="E72" s="93"/>
      <c r="F72" s="94"/>
    </row>
    <row r="73" spans="1:6" x14ac:dyDescent="0.25">
      <c r="C73" s="3"/>
      <c r="D73" s="92"/>
      <c r="E73" s="93"/>
      <c r="F73" s="94"/>
    </row>
    <row r="74" spans="1:6" x14ac:dyDescent="0.25">
      <c r="C74" s="3"/>
      <c r="D74" s="92"/>
      <c r="E74" s="93"/>
      <c r="F74" s="94"/>
    </row>
    <row r="75" spans="1:6" x14ac:dyDescent="0.25">
      <c r="C75" s="3"/>
      <c r="D75" s="92"/>
      <c r="E75" s="93"/>
      <c r="F75" s="94"/>
    </row>
    <row r="76" spans="1:6" x14ac:dyDescent="0.25">
      <c r="C76" s="3"/>
      <c r="D76" s="92"/>
      <c r="E76" s="93"/>
      <c r="F76" s="94"/>
    </row>
    <row r="77" spans="1:6" x14ac:dyDescent="0.25">
      <c r="C77" s="3"/>
      <c r="D77" s="92"/>
      <c r="E77" s="93"/>
      <c r="F77" s="94"/>
    </row>
    <row r="78" spans="1:6" x14ac:dyDescent="0.25">
      <c r="C78" s="3"/>
      <c r="D78" s="92"/>
      <c r="E78" s="93"/>
      <c r="F78" s="94"/>
    </row>
    <row r="79" spans="1:6" x14ac:dyDescent="0.25">
      <c r="C79" s="3"/>
      <c r="D79" s="1"/>
      <c r="E79" s="1"/>
      <c r="F79" s="1"/>
    </row>
    <row r="94" spans="1:19" x14ac:dyDescent="0.25">
      <c r="B94" t="s">
        <v>8</v>
      </c>
      <c r="C94" t="s">
        <v>9</v>
      </c>
      <c r="D94" t="s">
        <v>10</v>
      </c>
      <c r="E94" t="s">
        <v>187</v>
      </c>
      <c r="F94" t="s">
        <v>188</v>
      </c>
      <c r="G94" t="s">
        <v>189</v>
      </c>
      <c r="H94" t="s">
        <v>190</v>
      </c>
      <c r="I94" t="s">
        <v>199</v>
      </c>
      <c r="J94" t="s">
        <v>206</v>
      </c>
      <c r="K94" t="s">
        <v>279</v>
      </c>
      <c r="L94" t="s">
        <v>281</v>
      </c>
      <c r="M94" t="s">
        <v>288</v>
      </c>
      <c r="N94" t="s">
        <v>303</v>
      </c>
      <c r="O94" t="s">
        <v>317</v>
      </c>
      <c r="P94" t="s">
        <v>318</v>
      </c>
      <c r="Q94" t="s">
        <v>319</v>
      </c>
      <c r="R94" t="s">
        <v>320</v>
      </c>
      <c r="S94" t="s">
        <v>321</v>
      </c>
    </row>
    <row r="95" spans="1:19" x14ac:dyDescent="0.25">
      <c r="A95" t="s">
        <v>37</v>
      </c>
      <c r="B95" s="50">
        <f>0/7%</f>
        <v>0</v>
      </c>
      <c r="C95" s="50">
        <f>0/18</f>
        <v>0</v>
      </c>
      <c r="D95" s="50">
        <f>0/24</f>
        <v>0</v>
      </c>
      <c r="E95" s="50">
        <f>0/39</f>
        <v>0</v>
      </c>
      <c r="F95" s="50">
        <f>0/26</f>
        <v>0</v>
      </c>
      <c r="G95" s="50">
        <f>0/16</f>
        <v>0</v>
      </c>
      <c r="H95" s="50">
        <f>0/30</f>
        <v>0</v>
      </c>
      <c r="I95" s="50">
        <f>0/28</f>
        <v>0</v>
      </c>
      <c r="J95" s="50">
        <f>0/19</f>
        <v>0</v>
      </c>
      <c r="K95" s="50">
        <f>1/25</f>
        <v>0.04</v>
      </c>
      <c r="L95" s="50">
        <f>0/32</f>
        <v>0</v>
      </c>
      <c r="M95" s="50">
        <v>0</v>
      </c>
      <c r="N95" s="50">
        <v>0</v>
      </c>
      <c r="O95" s="50">
        <v>0</v>
      </c>
      <c r="P95" s="50"/>
      <c r="Q95" s="50"/>
      <c r="R95" s="50"/>
      <c r="S95" s="50"/>
    </row>
    <row r="96" spans="1:19" x14ac:dyDescent="0.25">
      <c r="A96" t="s">
        <v>38</v>
      </c>
      <c r="B96" s="50">
        <f>0/4</f>
        <v>0</v>
      </c>
      <c r="C96" s="50">
        <f>0/17</f>
        <v>0</v>
      </c>
      <c r="D96" s="50">
        <f>0/24</f>
        <v>0</v>
      </c>
      <c r="E96" s="50">
        <f>1/40</f>
        <v>2.5000000000000001E-2</v>
      </c>
      <c r="F96" s="50">
        <f>1/22</f>
        <v>4.5454545454545456E-2</v>
      </c>
      <c r="G96" s="50">
        <f>0/1</f>
        <v>0</v>
      </c>
      <c r="H96" s="50">
        <f>0/1</f>
        <v>0</v>
      </c>
      <c r="I96" s="50">
        <f>0/1</f>
        <v>0</v>
      </c>
      <c r="J96" s="50">
        <f>0/18</f>
        <v>0</v>
      </c>
      <c r="K96" s="50">
        <f>0/25</f>
        <v>0</v>
      </c>
      <c r="L96" s="50">
        <f>1/29</f>
        <v>3.4482758620689655E-2</v>
      </c>
      <c r="M96" s="50">
        <v>0.04</v>
      </c>
      <c r="N96" s="50">
        <v>0</v>
      </c>
      <c r="O96" s="50">
        <v>0</v>
      </c>
      <c r="P96" s="50"/>
      <c r="Q96" s="50"/>
      <c r="R96" s="50"/>
      <c r="S96" s="50"/>
    </row>
    <row r="97" spans="1:19" x14ac:dyDescent="0.25">
      <c r="A97" t="s">
        <v>39</v>
      </c>
      <c r="B97" s="50">
        <f>0/7</f>
        <v>0</v>
      </c>
      <c r="C97" s="50">
        <f>0/21%</f>
        <v>0</v>
      </c>
      <c r="D97" s="50">
        <f>2/27</f>
        <v>7.407407407407407E-2</v>
      </c>
      <c r="E97" s="50">
        <f>2/71</f>
        <v>2.8169014084507043E-2</v>
      </c>
      <c r="F97" s="50">
        <f>1/34</f>
        <v>2.9411764705882353E-2</v>
      </c>
      <c r="G97" s="50">
        <f>1/24</f>
        <v>4.1666666666666664E-2</v>
      </c>
      <c r="H97" s="50">
        <v>5.7142857142857136E-4</v>
      </c>
      <c r="I97" s="50">
        <f>0/29</f>
        <v>0</v>
      </c>
      <c r="J97" s="50">
        <f>1/34</f>
        <v>2.9411764705882353E-2</v>
      </c>
      <c r="K97" s="50">
        <f>4/28</f>
        <v>0.14285714285714285</v>
      </c>
      <c r="L97" s="50">
        <f>0/33</f>
        <v>0</v>
      </c>
      <c r="M97" s="50">
        <v>0</v>
      </c>
      <c r="N97" s="50">
        <v>0</v>
      </c>
      <c r="O97" s="50">
        <f>3/36</f>
        <v>8.3333333333333329E-2</v>
      </c>
      <c r="P97" s="50"/>
      <c r="Q97" s="50"/>
      <c r="R97" s="50"/>
      <c r="S97" s="50"/>
    </row>
    <row r="98" spans="1:19" x14ac:dyDescent="0.25">
      <c r="A98" t="s">
        <v>40</v>
      </c>
      <c r="B98" s="50">
        <f>1/7</f>
        <v>0.14285714285714285</v>
      </c>
      <c r="C98" s="50">
        <f>2/17</f>
        <v>0.11764705882352941</v>
      </c>
      <c r="D98" s="50">
        <f>0/26</f>
        <v>0</v>
      </c>
      <c r="E98" s="50">
        <f>2/75</f>
        <v>2.6666666666666668E-2</v>
      </c>
      <c r="F98" s="50">
        <f>0/30</f>
        <v>0</v>
      </c>
      <c r="G98" s="50">
        <f>1/16</f>
        <v>6.25E-2</v>
      </c>
      <c r="H98" s="50">
        <f>9/31</f>
        <v>0.29032258064516131</v>
      </c>
      <c r="I98" s="50">
        <f>5/28</f>
        <v>0.17857142857142858</v>
      </c>
      <c r="J98" s="50">
        <f>6/23</f>
        <v>0.2608695652173913</v>
      </c>
      <c r="K98" s="50">
        <f>2/30</f>
        <v>6.6666666666666666E-2</v>
      </c>
      <c r="L98" s="50">
        <f>3/25</f>
        <v>0.12</v>
      </c>
      <c r="M98" s="50">
        <v>0.03</v>
      </c>
      <c r="N98" s="50">
        <v>0.08</v>
      </c>
      <c r="O98" s="50">
        <f>4/35</f>
        <v>0.11428571428571428</v>
      </c>
      <c r="P98" s="50"/>
      <c r="Q98" s="50"/>
      <c r="R98" s="50"/>
      <c r="S98" s="50"/>
    </row>
    <row r="99" spans="1:19" x14ac:dyDescent="0.25">
      <c r="A99" t="s">
        <v>42</v>
      </c>
      <c r="B99" s="50">
        <f>0/39</f>
        <v>0</v>
      </c>
      <c r="C99" s="50">
        <f>3/61</f>
        <v>4.9180327868852458E-2</v>
      </c>
      <c r="D99" s="50">
        <f>0/46</f>
        <v>0</v>
      </c>
      <c r="E99" s="50">
        <f>3/184</f>
        <v>1.6304347826086956E-2</v>
      </c>
      <c r="F99" s="50">
        <f>1/69</f>
        <v>1.4492753623188406E-2</v>
      </c>
      <c r="G99" s="50">
        <f>1/125</f>
        <v>8.0000000000000002E-3</v>
      </c>
      <c r="H99" s="50">
        <f>4/317</f>
        <v>1.2618296529968454E-2</v>
      </c>
      <c r="I99" s="50">
        <f>9/253</f>
        <v>3.5573122529644272E-2</v>
      </c>
      <c r="J99" s="50">
        <f>3/191</f>
        <v>1.5706806282722512E-2</v>
      </c>
      <c r="K99" s="50">
        <f>3/155</f>
        <v>1.935483870967742E-2</v>
      </c>
      <c r="L99" s="50">
        <f>1/111</f>
        <v>9.0090090090090089E-3</v>
      </c>
      <c r="M99" s="50">
        <v>0</v>
      </c>
      <c r="N99" s="50">
        <v>0</v>
      </c>
      <c r="O99" s="50">
        <f>1/16</f>
        <v>6.25E-2</v>
      </c>
      <c r="P99" s="50"/>
      <c r="Q99" s="50"/>
      <c r="R99" s="50"/>
      <c r="S99" s="50"/>
    </row>
    <row r="100" spans="1:19" hidden="1" x14ac:dyDescent="0.25">
      <c r="A100" t="s">
        <v>76</v>
      </c>
      <c r="B100" s="50">
        <v>0</v>
      </c>
      <c r="C100" s="50">
        <f>3/68</f>
        <v>4.4117647058823532E-2</v>
      </c>
      <c r="D100" s="50">
        <f>22/133</f>
        <v>0.16541353383458646</v>
      </c>
      <c r="E100" s="50">
        <f>5/34</f>
        <v>0.14705882352941177</v>
      </c>
      <c r="F100" s="50">
        <f>1/33</f>
        <v>3.0303030303030304E-2</v>
      </c>
      <c r="G100" s="50">
        <f>1/33</f>
        <v>3.0303030303030304E-2</v>
      </c>
      <c r="H100" s="50">
        <f>1/33</f>
        <v>3.0303030303030304E-2</v>
      </c>
      <c r="I100" s="50"/>
      <c r="J100" s="50"/>
      <c r="K100" s="50"/>
      <c r="L100" s="50"/>
      <c r="M100" s="50"/>
      <c r="N100" s="50"/>
      <c r="O100" s="50"/>
      <c r="P100" s="50">
        <v>7</v>
      </c>
      <c r="Q100" s="50">
        <v>8</v>
      </c>
      <c r="R100" s="50">
        <v>9</v>
      </c>
      <c r="S100" s="50">
        <v>10</v>
      </c>
    </row>
    <row r="101" spans="1:19" x14ac:dyDescent="0.25">
      <c r="A101" t="s">
        <v>41</v>
      </c>
      <c r="B101" s="50">
        <f>0/32</f>
        <v>0</v>
      </c>
      <c r="C101" s="50">
        <f>37/219</f>
        <v>0.16894977168949771</v>
      </c>
      <c r="D101" s="50">
        <f>6/107</f>
        <v>5.6074766355140186E-2</v>
      </c>
      <c r="E101" s="50">
        <f>33/251</f>
        <v>0.13147410358565736</v>
      </c>
      <c r="F101" s="50">
        <f>37/230</f>
        <v>0.16086956521739129</v>
      </c>
      <c r="G101" s="50">
        <f>43/250</f>
        <v>0.17199999999999999</v>
      </c>
      <c r="H101" s="50">
        <f>40/203</f>
        <v>0.19704433497536947</v>
      </c>
      <c r="I101" s="50">
        <f>98/310</f>
        <v>0.31612903225806449</v>
      </c>
      <c r="J101" s="50">
        <f>37/340</f>
        <v>0.10882352941176471</v>
      </c>
      <c r="K101" s="50">
        <f>3/196</f>
        <v>1.5306122448979591E-2</v>
      </c>
      <c r="L101" s="50">
        <f>1/235</f>
        <v>4.2553191489361703E-3</v>
      </c>
      <c r="M101" s="50">
        <v>0.01</v>
      </c>
      <c r="N101" s="50">
        <v>0.02</v>
      </c>
      <c r="O101" s="50">
        <f>10/115</f>
        <v>8.6956521739130432E-2</v>
      </c>
      <c r="P101" s="50"/>
      <c r="Q101" s="50"/>
      <c r="R101" s="50"/>
      <c r="S101" s="50"/>
    </row>
    <row r="128" spans="3:3" x14ac:dyDescent="0.25">
      <c r="C128">
        <f>15+11+1+12+12+12+8+7+10+6+6+13+6+4+6+9+12+4+7+14+8+8+13+7+16+13+16+5+3+2</f>
        <v>266</v>
      </c>
    </row>
    <row r="145" spans="1:5" x14ac:dyDescent="0.25">
      <c r="A145" t="s">
        <v>204</v>
      </c>
      <c r="B145" t="s">
        <v>80</v>
      </c>
      <c r="C145" t="s">
        <v>81</v>
      </c>
      <c r="D145" t="s">
        <v>49</v>
      </c>
    </row>
    <row r="146" spans="1:5" x14ac:dyDescent="0.25">
      <c r="A146">
        <v>1</v>
      </c>
      <c r="B146">
        <v>8</v>
      </c>
      <c r="D146">
        <f>B146+C146</f>
        <v>8</v>
      </c>
      <c r="E146" s="150"/>
    </row>
    <row r="147" spans="1:5" x14ac:dyDescent="0.25">
      <c r="A147">
        <v>2</v>
      </c>
      <c r="B147">
        <v>2</v>
      </c>
      <c r="D147">
        <f t="shared" ref="D147:D153" si="0">B147+C147</f>
        <v>2</v>
      </c>
      <c r="E147" s="150"/>
    </row>
    <row r="148" spans="1:5" x14ac:dyDescent="0.25">
      <c r="A148">
        <v>3</v>
      </c>
      <c r="B148">
        <v>2</v>
      </c>
      <c r="C148">
        <v>1</v>
      </c>
      <c r="D148">
        <f t="shared" si="0"/>
        <v>3</v>
      </c>
      <c r="E148" s="150"/>
    </row>
    <row r="149" spans="1:5" x14ac:dyDescent="0.25">
      <c r="A149">
        <v>4</v>
      </c>
      <c r="B149">
        <v>3</v>
      </c>
      <c r="D149">
        <f t="shared" si="0"/>
        <v>3</v>
      </c>
      <c r="E149" s="150"/>
    </row>
    <row r="150" spans="1:5" x14ac:dyDescent="0.25">
      <c r="A150">
        <v>5</v>
      </c>
      <c r="D150">
        <f t="shared" si="0"/>
        <v>0</v>
      </c>
      <c r="E150" s="150"/>
    </row>
    <row r="151" spans="1:5" x14ac:dyDescent="0.25">
      <c r="A151">
        <v>6</v>
      </c>
      <c r="B151">
        <v>10</v>
      </c>
      <c r="D151">
        <f t="shared" si="0"/>
        <v>10</v>
      </c>
      <c r="E151" s="150"/>
    </row>
    <row r="152" spans="1:5" x14ac:dyDescent="0.25">
      <c r="A152">
        <v>7</v>
      </c>
      <c r="B152">
        <v>3</v>
      </c>
      <c r="D152">
        <f t="shared" si="0"/>
        <v>3</v>
      </c>
      <c r="E152" s="150"/>
    </row>
    <row r="153" spans="1:5" x14ac:dyDescent="0.25">
      <c r="A153">
        <v>8</v>
      </c>
      <c r="D153">
        <f t="shared" si="0"/>
        <v>0</v>
      </c>
      <c r="E153" s="150"/>
    </row>
    <row r="154" spans="1:5" x14ac:dyDescent="0.25">
      <c r="A154">
        <v>9</v>
      </c>
      <c r="B154">
        <v>4</v>
      </c>
      <c r="D154">
        <f t="shared" ref="D154:D176" si="1">B154+C154</f>
        <v>4</v>
      </c>
      <c r="E154" s="150"/>
    </row>
    <row r="155" spans="1:5" x14ac:dyDescent="0.25">
      <c r="A155">
        <v>10</v>
      </c>
      <c r="B155">
        <v>2</v>
      </c>
      <c r="D155">
        <f t="shared" si="1"/>
        <v>2</v>
      </c>
      <c r="E155" s="150"/>
    </row>
    <row r="156" spans="1:5" x14ac:dyDescent="0.25">
      <c r="A156">
        <v>11</v>
      </c>
      <c r="D156">
        <f t="shared" si="1"/>
        <v>0</v>
      </c>
      <c r="E156" s="150"/>
    </row>
    <row r="157" spans="1:5" x14ac:dyDescent="0.25">
      <c r="A157">
        <v>12</v>
      </c>
      <c r="B157">
        <v>6</v>
      </c>
      <c r="D157">
        <f t="shared" si="1"/>
        <v>6</v>
      </c>
      <c r="E157" s="150"/>
    </row>
    <row r="158" spans="1:5" x14ac:dyDescent="0.25">
      <c r="A158">
        <v>13</v>
      </c>
      <c r="B158">
        <v>3</v>
      </c>
      <c r="D158">
        <f t="shared" si="1"/>
        <v>3</v>
      </c>
      <c r="E158" s="150"/>
    </row>
    <row r="159" spans="1:5" x14ac:dyDescent="0.25">
      <c r="A159">
        <v>14</v>
      </c>
      <c r="B159">
        <v>4</v>
      </c>
      <c r="D159">
        <f t="shared" si="1"/>
        <v>4</v>
      </c>
      <c r="E159" s="150"/>
    </row>
    <row r="160" spans="1:5" x14ac:dyDescent="0.25">
      <c r="A160">
        <v>15</v>
      </c>
      <c r="B160">
        <v>3</v>
      </c>
      <c r="D160">
        <f t="shared" si="1"/>
        <v>3</v>
      </c>
      <c r="E160" s="150"/>
    </row>
    <row r="161" spans="1:5" x14ac:dyDescent="0.25">
      <c r="A161">
        <v>16</v>
      </c>
      <c r="B161">
        <v>7</v>
      </c>
      <c r="D161">
        <f t="shared" si="1"/>
        <v>7</v>
      </c>
      <c r="E161" s="150"/>
    </row>
    <row r="162" spans="1:5" x14ac:dyDescent="0.25">
      <c r="A162">
        <v>17</v>
      </c>
      <c r="D162">
        <f t="shared" si="1"/>
        <v>0</v>
      </c>
      <c r="E162" s="150"/>
    </row>
    <row r="163" spans="1:5" x14ac:dyDescent="0.25">
      <c r="A163">
        <v>18</v>
      </c>
      <c r="D163">
        <f t="shared" si="1"/>
        <v>0</v>
      </c>
      <c r="E163" s="150"/>
    </row>
    <row r="164" spans="1:5" x14ac:dyDescent="0.25">
      <c r="A164">
        <v>19</v>
      </c>
      <c r="B164">
        <v>5</v>
      </c>
      <c r="D164">
        <f t="shared" si="1"/>
        <v>5</v>
      </c>
      <c r="E164" s="150"/>
    </row>
    <row r="165" spans="1:5" x14ac:dyDescent="0.25">
      <c r="A165">
        <v>20</v>
      </c>
      <c r="B165">
        <v>2</v>
      </c>
      <c r="D165">
        <f t="shared" si="1"/>
        <v>2</v>
      </c>
      <c r="E165" s="150"/>
    </row>
    <row r="166" spans="1:5" x14ac:dyDescent="0.25">
      <c r="A166">
        <v>21</v>
      </c>
      <c r="B166">
        <v>8</v>
      </c>
      <c r="D166">
        <f t="shared" si="1"/>
        <v>8</v>
      </c>
      <c r="E166" s="150"/>
    </row>
    <row r="167" spans="1:5" x14ac:dyDescent="0.25">
      <c r="A167">
        <v>22</v>
      </c>
      <c r="B167">
        <v>5</v>
      </c>
      <c r="C167">
        <v>1</v>
      </c>
      <c r="D167">
        <f t="shared" si="1"/>
        <v>6</v>
      </c>
      <c r="E167" s="150"/>
    </row>
    <row r="168" spans="1:5" x14ac:dyDescent="0.25">
      <c r="A168">
        <v>23</v>
      </c>
      <c r="B168">
        <v>1</v>
      </c>
      <c r="D168">
        <f t="shared" si="1"/>
        <v>1</v>
      </c>
      <c r="E168" s="150"/>
    </row>
    <row r="169" spans="1:5" x14ac:dyDescent="0.25">
      <c r="A169">
        <v>24</v>
      </c>
      <c r="B169">
        <v>3</v>
      </c>
      <c r="C169">
        <v>2</v>
      </c>
      <c r="D169">
        <f t="shared" si="1"/>
        <v>5</v>
      </c>
      <c r="E169" s="150"/>
    </row>
    <row r="170" spans="1:5" x14ac:dyDescent="0.25">
      <c r="A170">
        <v>25</v>
      </c>
      <c r="B170">
        <v>2</v>
      </c>
      <c r="D170">
        <f t="shared" si="1"/>
        <v>2</v>
      </c>
      <c r="E170" s="150"/>
    </row>
    <row r="171" spans="1:5" x14ac:dyDescent="0.25">
      <c r="A171">
        <v>26</v>
      </c>
      <c r="B171">
        <v>4</v>
      </c>
      <c r="C171">
        <v>1</v>
      </c>
      <c r="D171">
        <f t="shared" si="1"/>
        <v>5</v>
      </c>
      <c r="E171" s="150"/>
    </row>
    <row r="172" spans="1:5" x14ac:dyDescent="0.25">
      <c r="A172">
        <v>27</v>
      </c>
      <c r="B172">
        <v>1</v>
      </c>
      <c r="D172">
        <f t="shared" si="1"/>
        <v>1</v>
      </c>
      <c r="E172" s="150"/>
    </row>
    <row r="173" spans="1:5" x14ac:dyDescent="0.25">
      <c r="A173">
        <v>28</v>
      </c>
      <c r="B173">
        <v>10</v>
      </c>
      <c r="C173">
        <v>2</v>
      </c>
      <c r="D173">
        <f t="shared" si="1"/>
        <v>12</v>
      </c>
      <c r="E173" s="150"/>
    </row>
    <row r="174" spans="1:5" x14ac:dyDescent="0.25">
      <c r="A174">
        <v>29</v>
      </c>
      <c r="D174">
        <f t="shared" si="1"/>
        <v>0</v>
      </c>
      <c r="E174" s="150"/>
    </row>
    <row r="175" spans="1:5" x14ac:dyDescent="0.25">
      <c r="A175">
        <v>30</v>
      </c>
      <c r="B175">
        <v>7</v>
      </c>
      <c r="C175">
        <v>3</v>
      </c>
      <c r="D175">
        <f t="shared" si="1"/>
        <v>10</v>
      </c>
      <c r="E175" s="150"/>
    </row>
    <row r="176" spans="1:5" x14ac:dyDescent="0.25">
      <c r="A176">
        <v>31</v>
      </c>
      <c r="D176">
        <f t="shared" si="1"/>
        <v>0</v>
      </c>
      <c r="E176" s="150"/>
    </row>
    <row r="177" spans="1:4" x14ac:dyDescent="0.25">
      <c r="A177" t="s">
        <v>49</v>
      </c>
      <c r="B177" s="151">
        <f>SUM(B146:B176)</f>
        <v>105</v>
      </c>
      <c r="C177" s="151">
        <f>SUM(C146:C176)</f>
        <v>10</v>
      </c>
      <c r="D177" s="152">
        <f>SUM(D146:D176)</f>
        <v>115</v>
      </c>
    </row>
  </sheetData>
  <sortState xmlns:xlrd2="http://schemas.microsoft.com/office/spreadsheetml/2017/richdata2" ref="A44:B63">
    <sortCondition ref="B44:B63"/>
  </sortState>
  <mergeCells count="1">
    <mergeCell ref="A1:X1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"/>
  <sheetViews>
    <sheetView showGridLines="0" topLeftCell="B1" zoomScaleNormal="100" workbookViewId="0">
      <selection activeCell="Z90" sqref="Z90"/>
    </sheetView>
  </sheetViews>
  <sheetFormatPr defaultRowHeight="15" x14ac:dyDescent="0.25"/>
  <cols>
    <col min="13" max="13" width="1.28515625" customWidth="1"/>
  </cols>
  <sheetData>
    <row r="1" spans="1:25" ht="61.9" customHeight="1" x14ac:dyDescent="0.25">
      <c r="A1" s="210" t="s">
        <v>87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</row>
  </sheetData>
  <mergeCells count="1">
    <mergeCell ref="A1:Y1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60"/>
  <sheetViews>
    <sheetView showGridLines="0" topLeftCell="A13" zoomScaleNormal="100" workbookViewId="0">
      <selection activeCell="W35" sqref="W35"/>
    </sheetView>
  </sheetViews>
  <sheetFormatPr defaultRowHeight="15" x14ac:dyDescent="0.25"/>
  <cols>
    <col min="13" max="13" width="9" bestFit="1" customWidth="1"/>
    <col min="14" max="14" width="10.140625" bestFit="1" customWidth="1"/>
  </cols>
  <sheetData>
    <row r="1" spans="1:25" ht="61.9" customHeight="1" x14ac:dyDescent="0.25">
      <c r="A1" s="42" t="s">
        <v>85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59"/>
      <c r="M1" s="59"/>
      <c r="N1" s="59"/>
      <c r="O1" s="59"/>
      <c r="P1" s="59"/>
      <c r="Q1" s="44"/>
      <c r="R1" s="44"/>
      <c r="S1" s="44"/>
      <c r="T1" s="44"/>
      <c r="U1" s="44"/>
      <c r="V1" s="44"/>
      <c r="W1" s="44"/>
      <c r="X1" s="44"/>
      <c r="Y1" s="44"/>
    </row>
    <row r="20" spans="12:25" x14ac:dyDescent="0.25">
      <c r="L20" s="60"/>
      <c r="M20" s="56"/>
      <c r="N20" s="56"/>
      <c r="O20" s="60"/>
      <c r="P20" s="60"/>
      <c r="X20">
        <v>1</v>
      </c>
      <c r="Y20">
        <v>111</v>
      </c>
    </row>
    <row r="21" spans="12:25" x14ac:dyDescent="0.25">
      <c r="L21" s="60"/>
      <c r="M21" s="56"/>
      <c r="N21" s="56"/>
      <c r="O21" s="60"/>
      <c r="P21" s="60"/>
      <c r="X21">
        <v>2</v>
      </c>
      <c r="Y21">
        <v>124.2</v>
      </c>
    </row>
    <row r="22" spans="12:25" ht="15" customHeight="1" x14ac:dyDescent="0.25">
      <c r="L22" s="60"/>
      <c r="M22" s="52" t="s">
        <v>109</v>
      </c>
      <c r="N22" s="53" t="s">
        <v>110</v>
      </c>
      <c r="O22" s="60"/>
      <c r="P22" s="60"/>
      <c r="X22">
        <v>3</v>
      </c>
      <c r="Y22">
        <v>142.80000000000001</v>
      </c>
    </row>
    <row r="23" spans="12:25" x14ac:dyDescent="0.25">
      <c r="L23" s="60"/>
      <c r="M23" s="142">
        <v>45658</v>
      </c>
      <c r="N23" s="55">
        <v>65.8</v>
      </c>
      <c r="O23" s="77"/>
      <c r="P23" s="60"/>
      <c r="X23">
        <v>4</v>
      </c>
      <c r="Y23">
        <v>108</v>
      </c>
    </row>
    <row r="24" spans="12:25" x14ac:dyDescent="0.25">
      <c r="L24" s="60"/>
      <c r="M24" s="142">
        <v>45659</v>
      </c>
      <c r="N24" s="55">
        <v>71</v>
      </c>
      <c r="O24" s="77"/>
      <c r="P24" s="60"/>
      <c r="X24">
        <v>5</v>
      </c>
      <c r="Y24">
        <v>71.3</v>
      </c>
    </row>
    <row r="25" spans="12:25" x14ac:dyDescent="0.25">
      <c r="L25" s="60"/>
      <c r="M25" s="142">
        <v>45660</v>
      </c>
      <c r="N25" s="55">
        <v>40.4</v>
      </c>
      <c r="O25" s="77"/>
      <c r="P25" s="60"/>
      <c r="X25">
        <v>6</v>
      </c>
      <c r="Y25">
        <v>113</v>
      </c>
    </row>
    <row r="26" spans="12:25" x14ac:dyDescent="0.25">
      <c r="L26" s="60"/>
      <c r="M26" s="142">
        <v>45661</v>
      </c>
      <c r="N26" s="55">
        <v>103.19</v>
      </c>
      <c r="O26" s="77"/>
      <c r="P26" s="60"/>
      <c r="X26">
        <v>7</v>
      </c>
      <c r="Y26">
        <v>127</v>
      </c>
    </row>
    <row r="27" spans="12:25" x14ac:dyDescent="0.25">
      <c r="L27" s="60"/>
      <c r="M27" s="142">
        <v>45662</v>
      </c>
      <c r="N27" s="55">
        <v>88.6</v>
      </c>
      <c r="O27" s="77"/>
      <c r="P27" s="60"/>
      <c r="X27">
        <v>8</v>
      </c>
      <c r="Y27">
        <v>165</v>
      </c>
    </row>
    <row r="28" spans="12:25" x14ac:dyDescent="0.25">
      <c r="L28" s="60"/>
      <c r="M28" s="142">
        <v>45663</v>
      </c>
      <c r="N28" s="55">
        <v>98</v>
      </c>
      <c r="O28" s="77"/>
      <c r="P28" s="60"/>
      <c r="X28">
        <v>9</v>
      </c>
      <c r="Y28">
        <v>73</v>
      </c>
    </row>
    <row r="29" spans="12:25" x14ac:dyDescent="0.25">
      <c r="L29" s="60"/>
      <c r="M29" s="142">
        <v>45664</v>
      </c>
      <c r="N29" s="55">
        <v>92.5</v>
      </c>
      <c r="O29" s="77"/>
      <c r="P29" s="60"/>
      <c r="X29">
        <v>10</v>
      </c>
      <c r="Y29">
        <v>100</v>
      </c>
    </row>
    <row r="30" spans="12:25" x14ac:dyDescent="0.25">
      <c r="L30" s="60"/>
      <c r="M30" s="142">
        <v>45665</v>
      </c>
      <c r="N30" s="55"/>
      <c r="O30" s="77"/>
      <c r="P30" s="60"/>
      <c r="X30">
        <v>11</v>
      </c>
      <c r="Y30">
        <v>95</v>
      </c>
    </row>
    <row r="31" spans="12:25" x14ac:dyDescent="0.25">
      <c r="L31" s="60"/>
      <c r="M31" s="142">
        <v>45666</v>
      </c>
      <c r="N31" s="55">
        <v>102.3</v>
      </c>
      <c r="O31" s="77"/>
      <c r="P31" s="60"/>
      <c r="X31">
        <v>12</v>
      </c>
      <c r="Y31">
        <v>85</v>
      </c>
    </row>
    <row r="32" spans="12:25" x14ac:dyDescent="0.25">
      <c r="L32" s="60"/>
      <c r="M32" s="142">
        <v>45667</v>
      </c>
      <c r="N32" s="55">
        <v>101.8</v>
      </c>
      <c r="O32" s="77"/>
      <c r="P32" s="60"/>
      <c r="X32">
        <v>13</v>
      </c>
      <c r="Y32">
        <v>97.7</v>
      </c>
    </row>
    <row r="33" spans="1:25" x14ac:dyDescent="0.25">
      <c r="L33" s="60"/>
      <c r="M33" s="142">
        <v>45668</v>
      </c>
      <c r="N33" s="55"/>
      <c r="O33" s="77"/>
      <c r="P33" s="60"/>
      <c r="X33">
        <v>14</v>
      </c>
      <c r="Y33">
        <v>98.3</v>
      </c>
    </row>
    <row r="34" spans="1:25" x14ac:dyDescent="0.25">
      <c r="L34" s="60"/>
      <c r="M34" s="142">
        <v>45669</v>
      </c>
      <c r="N34" s="55">
        <v>42.1</v>
      </c>
      <c r="O34" s="77"/>
      <c r="P34" s="60"/>
      <c r="X34">
        <v>15</v>
      </c>
      <c r="Y34">
        <v>112</v>
      </c>
    </row>
    <row r="35" spans="1:25" x14ac:dyDescent="0.25">
      <c r="L35" s="60"/>
      <c r="M35" s="142">
        <v>45670</v>
      </c>
      <c r="N35" s="55">
        <v>118.5</v>
      </c>
      <c r="O35" s="77"/>
      <c r="P35" s="60"/>
      <c r="X35">
        <v>16</v>
      </c>
      <c r="Y35">
        <v>69.900000000000006</v>
      </c>
    </row>
    <row r="36" spans="1:25" x14ac:dyDescent="0.25">
      <c r="L36" s="60"/>
      <c r="M36" s="142">
        <v>45671</v>
      </c>
      <c r="N36" s="55">
        <v>91.4</v>
      </c>
      <c r="O36" s="77"/>
      <c r="P36" s="60"/>
      <c r="X36">
        <v>17</v>
      </c>
      <c r="Y36">
        <v>78.2</v>
      </c>
    </row>
    <row r="37" spans="1:25" x14ac:dyDescent="0.25">
      <c r="L37" s="60"/>
      <c r="M37" s="142">
        <v>45672</v>
      </c>
      <c r="N37" s="55">
        <v>71.400000000000006</v>
      </c>
      <c r="O37" s="77"/>
      <c r="P37" s="60"/>
      <c r="X37">
        <v>18</v>
      </c>
      <c r="Y37">
        <v>110.6</v>
      </c>
    </row>
    <row r="38" spans="1:25" x14ac:dyDescent="0.25">
      <c r="L38" s="60"/>
      <c r="M38" s="142">
        <v>45673</v>
      </c>
      <c r="N38" s="55">
        <v>77.599999999999994</v>
      </c>
      <c r="O38" s="77"/>
      <c r="P38" s="60"/>
      <c r="X38">
        <v>19</v>
      </c>
      <c r="Y38">
        <v>109.7</v>
      </c>
    </row>
    <row r="39" spans="1:25" x14ac:dyDescent="0.25">
      <c r="A39" s="212"/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60"/>
      <c r="M39" s="142">
        <v>45674</v>
      </c>
      <c r="N39" s="55">
        <v>62.9</v>
      </c>
      <c r="O39" s="77"/>
      <c r="P39" s="60"/>
      <c r="X39">
        <v>20</v>
      </c>
      <c r="Y39">
        <v>86.6</v>
      </c>
    </row>
    <row r="40" spans="1:25" x14ac:dyDescent="0.25">
      <c r="L40" s="60"/>
      <c r="M40" s="142">
        <v>45675</v>
      </c>
      <c r="N40" s="55">
        <v>87.1</v>
      </c>
      <c r="O40" s="77"/>
      <c r="P40" s="60"/>
      <c r="X40">
        <v>21</v>
      </c>
      <c r="Y40">
        <v>70</v>
      </c>
    </row>
    <row r="41" spans="1:25" x14ac:dyDescent="0.25">
      <c r="L41" s="60"/>
      <c r="M41" s="142">
        <v>45676</v>
      </c>
      <c r="N41" s="55">
        <v>61.03</v>
      </c>
      <c r="O41" s="77"/>
      <c r="P41" s="60"/>
      <c r="X41">
        <v>22</v>
      </c>
      <c r="Y41">
        <v>98</v>
      </c>
    </row>
    <row r="42" spans="1:25" x14ac:dyDescent="0.25">
      <c r="L42" s="60"/>
      <c r="M42" s="142">
        <v>45677</v>
      </c>
      <c r="N42" s="55"/>
      <c r="O42" s="77"/>
      <c r="P42" s="60"/>
      <c r="X42">
        <v>23</v>
      </c>
      <c r="Y42">
        <v>119.1</v>
      </c>
    </row>
    <row r="43" spans="1:25" x14ac:dyDescent="0.25">
      <c r="L43" s="60"/>
      <c r="M43" s="142">
        <v>45678</v>
      </c>
      <c r="N43" s="55"/>
      <c r="O43" s="77"/>
      <c r="P43" s="60"/>
      <c r="X43">
        <v>24</v>
      </c>
      <c r="Y43">
        <v>75</v>
      </c>
    </row>
    <row r="44" spans="1:25" x14ac:dyDescent="0.25">
      <c r="L44" s="60"/>
      <c r="M44" s="142">
        <v>45679</v>
      </c>
      <c r="N44" s="55">
        <v>123.7</v>
      </c>
      <c r="O44" s="77"/>
      <c r="P44" s="60"/>
      <c r="X44">
        <v>25</v>
      </c>
      <c r="Y44">
        <v>98.6</v>
      </c>
    </row>
    <row r="45" spans="1:25" x14ac:dyDescent="0.25">
      <c r="L45" s="60"/>
      <c r="M45" s="142">
        <v>45680</v>
      </c>
      <c r="N45" s="55">
        <v>58.7</v>
      </c>
      <c r="O45" s="77"/>
      <c r="P45" s="60"/>
      <c r="X45">
        <v>26</v>
      </c>
      <c r="Y45">
        <v>70</v>
      </c>
    </row>
    <row r="46" spans="1:25" x14ac:dyDescent="0.25">
      <c r="L46" s="60"/>
      <c r="M46" s="142">
        <v>45681</v>
      </c>
      <c r="N46" s="55">
        <v>48.7</v>
      </c>
      <c r="O46" s="77"/>
      <c r="P46" s="60"/>
      <c r="X46">
        <v>27</v>
      </c>
      <c r="Y46">
        <v>141.19999999999999</v>
      </c>
    </row>
    <row r="47" spans="1:25" x14ac:dyDescent="0.25">
      <c r="L47" s="60"/>
      <c r="M47" s="142">
        <v>45682</v>
      </c>
      <c r="N47" s="55"/>
      <c r="O47" s="77"/>
      <c r="P47" s="60"/>
      <c r="X47">
        <v>28</v>
      </c>
      <c r="Y47">
        <v>62</v>
      </c>
    </row>
    <row r="48" spans="1:25" x14ac:dyDescent="0.25">
      <c r="L48" s="60"/>
      <c r="M48" s="142">
        <v>45683</v>
      </c>
      <c r="N48" s="55">
        <v>44.2</v>
      </c>
      <c r="O48" s="77"/>
      <c r="P48" s="60"/>
      <c r="X48">
        <v>29</v>
      </c>
      <c r="Y48">
        <v>68.5</v>
      </c>
    </row>
    <row r="49" spans="12:25" x14ac:dyDescent="0.25">
      <c r="L49" s="60"/>
      <c r="M49" s="142">
        <v>45684</v>
      </c>
      <c r="N49" s="55">
        <v>70.599999999999994</v>
      </c>
      <c r="O49" s="77"/>
      <c r="P49" s="60"/>
      <c r="X49">
        <v>30</v>
      </c>
      <c r="Y49">
        <v>127.5</v>
      </c>
    </row>
    <row r="50" spans="12:25" x14ac:dyDescent="0.25">
      <c r="L50" s="60"/>
      <c r="M50" s="142">
        <v>45685</v>
      </c>
      <c r="N50" s="55">
        <v>73.099999999999994</v>
      </c>
      <c r="O50" s="77"/>
      <c r="P50" s="60"/>
      <c r="X50">
        <v>31</v>
      </c>
      <c r="Y50">
        <v>111.7</v>
      </c>
    </row>
    <row r="51" spans="12:25" x14ac:dyDescent="0.25">
      <c r="L51" s="60"/>
      <c r="M51" s="142">
        <v>45686</v>
      </c>
      <c r="N51" s="55">
        <v>95.5</v>
      </c>
      <c r="O51" s="77"/>
      <c r="P51" s="60"/>
      <c r="Y51" s="156">
        <f>SUM(Y20:Y50)</f>
        <v>3119.8999999999996</v>
      </c>
    </row>
    <row r="52" spans="12:25" x14ac:dyDescent="0.25">
      <c r="L52" s="60"/>
      <c r="M52" s="142">
        <v>45687</v>
      </c>
      <c r="N52" s="55">
        <v>126.3</v>
      </c>
      <c r="O52" s="77"/>
      <c r="P52" s="60"/>
    </row>
    <row r="53" spans="12:25" x14ac:dyDescent="0.25">
      <c r="L53" s="60"/>
      <c r="M53" s="142">
        <v>45688</v>
      </c>
      <c r="N53" s="55">
        <v>71.7</v>
      </c>
      <c r="O53" s="60"/>
      <c r="P53" s="60"/>
    </row>
    <row r="54" spans="12:25" x14ac:dyDescent="0.25">
      <c r="L54" s="60"/>
      <c r="M54" s="56" t="s">
        <v>5</v>
      </c>
      <c r="N54" s="143">
        <v>87</v>
      </c>
      <c r="O54" s="60"/>
      <c r="P54" s="60"/>
    </row>
    <row r="55" spans="12:25" x14ac:dyDescent="0.25">
      <c r="L55" s="60"/>
      <c r="M55" s="56"/>
      <c r="N55" s="56">
        <v>87.8</v>
      </c>
      <c r="O55" s="60"/>
      <c r="P55" s="60"/>
    </row>
    <row r="56" spans="12:25" x14ac:dyDescent="0.25">
      <c r="M56" s="43"/>
      <c r="N56" s="43"/>
    </row>
    <row r="57" spans="12:25" x14ac:dyDescent="0.25">
      <c r="M57" s="43"/>
      <c r="N57" s="144">
        <v>55.9</v>
      </c>
    </row>
    <row r="58" spans="12:25" x14ac:dyDescent="0.25">
      <c r="M58" s="43"/>
      <c r="N58" s="144">
        <v>114</v>
      </c>
    </row>
    <row r="59" spans="12:25" x14ac:dyDescent="0.25">
      <c r="M59" s="43"/>
      <c r="N59" s="43"/>
    </row>
    <row r="60" spans="12:25" x14ac:dyDescent="0.25">
      <c r="M60" s="43"/>
      <c r="N60" s="43">
        <v>113.5</v>
      </c>
    </row>
  </sheetData>
  <mergeCells count="1">
    <mergeCell ref="A39:K3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55"/>
  <sheetViews>
    <sheetView showGridLines="0" topLeftCell="C1" zoomScaleNormal="100" workbookViewId="0">
      <selection activeCell="X32" sqref="X32"/>
    </sheetView>
  </sheetViews>
  <sheetFormatPr defaultRowHeight="15" x14ac:dyDescent="0.25"/>
  <sheetData>
    <row r="1" spans="1:25" ht="61.9" customHeight="1" x14ac:dyDescent="0.25">
      <c r="A1" s="42" t="s">
        <v>121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0" spans="12:16" x14ac:dyDescent="0.25">
      <c r="L20" s="56"/>
      <c r="M20" s="56"/>
      <c r="N20" s="56"/>
      <c r="O20" s="56"/>
      <c r="P20" s="56"/>
    </row>
    <row r="21" spans="12:16" x14ac:dyDescent="0.25">
      <c r="L21" s="56"/>
      <c r="M21" s="56"/>
      <c r="N21" s="56"/>
      <c r="O21" s="56"/>
      <c r="P21" s="56"/>
    </row>
    <row r="22" spans="12:16" ht="15" customHeight="1" x14ac:dyDescent="0.25">
      <c r="M22" s="52" t="s">
        <v>109</v>
      </c>
      <c r="N22" s="53" t="s">
        <v>110</v>
      </c>
      <c r="O22" s="56"/>
      <c r="P22" s="56"/>
    </row>
    <row r="23" spans="12:16" x14ac:dyDescent="0.25">
      <c r="L23" s="56"/>
      <c r="M23" s="54">
        <v>45566</v>
      </c>
      <c r="N23" s="55">
        <v>67.900000000000006</v>
      </c>
      <c r="O23" s="56"/>
      <c r="P23" s="56"/>
    </row>
    <row r="24" spans="12:16" x14ac:dyDescent="0.25">
      <c r="L24" s="56"/>
      <c r="M24" s="54">
        <v>45567</v>
      </c>
      <c r="N24" s="55">
        <v>81.7</v>
      </c>
      <c r="O24" s="56"/>
      <c r="P24" s="56"/>
    </row>
    <row r="25" spans="12:16" x14ac:dyDescent="0.25">
      <c r="L25" s="56"/>
      <c r="M25" s="54">
        <v>45568</v>
      </c>
      <c r="N25" s="55">
        <v>83.6</v>
      </c>
      <c r="O25" s="56"/>
      <c r="P25" s="56"/>
    </row>
    <row r="26" spans="12:16" x14ac:dyDescent="0.25">
      <c r="L26" s="56"/>
      <c r="M26" s="54">
        <v>45569</v>
      </c>
      <c r="N26" s="55">
        <v>110.9</v>
      </c>
      <c r="O26" s="56"/>
      <c r="P26" s="56"/>
    </row>
    <row r="27" spans="12:16" x14ac:dyDescent="0.25">
      <c r="L27" s="56"/>
      <c r="M27" s="54">
        <v>45570</v>
      </c>
      <c r="N27" s="55">
        <v>92.5</v>
      </c>
      <c r="O27" s="56"/>
      <c r="P27" s="56"/>
    </row>
    <row r="28" spans="12:16" x14ac:dyDescent="0.25">
      <c r="L28" s="56"/>
      <c r="M28" s="54">
        <v>45571</v>
      </c>
      <c r="N28" s="55">
        <v>44.7</v>
      </c>
      <c r="O28" s="56"/>
      <c r="P28" s="56"/>
    </row>
    <row r="29" spans="12:16" x14ac:dyDescent="0.25">
      <c r="L29" s="56"/>
      <c r="M29" s="54">
        <v>45572</v>
      </c>
      <c r="N29" s="55">
        <v>57.1</v>
      </c>
      <c r="O29" s="56"/>
      <c r="P29" s="56"/>
    </row>
    <row r="30" spans="12:16" x14ac:dyDescent="0.25">
      <c r="L30" s="56"/>
      <c r="M30" s="54">
        <v>45573</v>
      </c>
      <c r="N30" s="55">
        <v>79.8</v>
      </c>
      <c r="O30" s="56"/>
      <c r="P30" s="56"/>
    </row>
    <row r="31" spans="12:16" x14ac:dyDescent="0.25">
      <c r="L31" s="56"/>
      <c r="M31" s="54">
        <v>45574</v>
      </c>
      <c r="N31" s="55">
        <v>68</v>
      </c>
      <c r="O31" s="56"/>
      <c r="P31" s="56"/>
    </row>
    <row r="32" spans="12:16" x14ac:dyDescent="0.25">
      <c r="L32" s="56"/>
      <c r="M32" s="54">
        <v>45575</v>
      </c>
      <c r="N32" s="55">
        <v>73.400000000000006</v>
      </c>
      <c r="O32" s="56"/>
      <c r="P32" s="56"/>
    </row>
    <row r="33" spans="12:16" x14ac:dyDescent="0.25">
      <c r="L33" s="56"/>
      <c r="M33" s="54">
        <v>45576</v>
      </c>
      <c r="N33" s="55">
        <v>57.3</v>
      </c>
      <c r="O33" s="56"/>
      <c r="P33" s="56"/>
    </row>
    <row r="34" spans="12:16" x14ac:dyDescent="0.25">
      <c r="L34" s="56"/>
      <c r="M34" s="54">
        <v>45577</v>
      </c>
      <c r="N34" s="55">
        <v>111.5</v>
      </c>
      <c r="O34" s="56"/>
      <c r="P34" s="56"/>
    </row>
    <row r="35" spans="12:16" x14ac:dyDescent="0.25">
      <c r="L35" s="56"/>
      <c r="M35" s="54">
        <v>45578</v>
      </c>
      <c r="N35" s="55">
        <v>89</v>
      </c>
      <c r="O35" s="56"/>
      <c r="P35" s="56"/>
    </row>
    <row r="36" spans="12:16" x14ac:dyDescent="0.25">
      <c r="L36" s="56"/>
      <c r="M36" s="54">
        <v>45579</v>
      </c>
      <c r="N36" s="55">
        <v>77.7</v>
      </c>
      <c r="O36" s="56"/>
      <c r="P36" s="56"/>
    </row>
    <row r="37" spans="12:16" x14ac:dyDescent="0.25">
      <c r="L37" s="56"/>
      <c r="M37" s="54">
        <v>45580</v>
      </c>
      <c r="N37" s="55">
        <v>86</v>
      </c>
      <c r="O37" s="56"/>
      <c r="P37" s="56"/>
    </row>
    <row r="38" spans="12:16" x14ac:dyDescent="0.25">
      <c r="L38" s="56"/>
      <c r="M38" s="54">
        <v>45581</v>
      </c>
      <c r="N38" s="55">
        <v>67.5</v>
      </c>
      <c r="O38" s="56"/>
      <c r="P38" s="56"/>
    </row>
    <row r="39" spans="12:16" x14ac:dyDescent="0.25">
      <c r="L39" s="56"/>
      <c r="M39" s="54">
        <v>45583</v>
      </c>
      <c r="N39" s="55">
        <v>82.6</v>
      </c>
      <c r="O39" s="56"/>
      <c r="P39" s="56"/>
    </row>
    <row r="40" spans="12:16" x14ac:dyDescent="0.25">
      <c r="L40" s="56"/>
      <c r="M40" s="54">
        <v>45584</v>
      </c>
      <c r="N40" s="55">
        <v>72.5</v>
      </c>
      <c r="O40" s="56"/>
      <c r="P40" s="56"/>
    </row>
    <row r="41" spans="12:16" x14ac:dyDescent="0.25">
      <c r="L41" s="56"/>
      <c r="M41" s="54">
        <v>45585</v>
      </c>
      <c r="N41" s="55">
        <v>42</v>
      </c>
      <c r="O41" s="56"/>
      <c r="P41" s="56"/>
    </row>
    <row r="42" spans="12:16" x14ac:dyDescent="0.25">
      <c r="L42" s="56"/>
      <c r="M42" s="54">
        <v>45586</v>
      </c>
      <c r="N42" s="55">
        <v>75.599999999999994</v>
      </c>
      <c r="O42" s="56"/>
      <c r="P42" s="56"/>
    </row>
    <row r="43" spans="12:16" x14ac:dyDescent="0.25">
      <c r="L43" s="56"/>
      <c r="M43" s="54">
        <v>45587</v>
      </c>
      <c r="N43" s="55">
        <v>90</v>
      </c>
      <c r="O43" s="56"/>
      <c r="P43" s="56"/>
    </row>
    <row r="44" spans="12:16" x14ac:dyDescent="0.25">
      <c r="L44" s="56"/>
      <c r="M44" s="54">
        <v>45588</v>
      </c>
      <c r="N44" s="55">
        <v>76.2</v>
      </c>
      <c r="O44" s="56"/>
      <c r="P44" s="56"/>
    </row>
    <row r="45" spans="12:16" x14ac:dyDescent="0.25">
      <c r="L45" s="56"/>
      <c r="M45" s="54">
        <v>45589</v>
      </c>
      <c r="N45" s="55">
        <v>83.5</v>
      </c>
      <c r="O45" s="56"/>
      <c r="P45" s="56"/>
    </row>
    <row r="46" spans="12:16" x14ac:dyDescent="0.25">
      <c r="L46" s="56"/>
      <c r="M46" s="54">
        <v>45590</v>
      </c>
      <c r="N46" s="55">
        <v>67.3</v>
      </c>
      <c r="O46" s="56"/>
      <c r="P46" s="56"/>
    </row>
    <row r="47" spans="12:16" x14ac:dyDescent="0.25">
      <c r="L47" s="56"/>
      <c r="M47" s="54">
        <v>45591</v>
      </c>
      <c r="N47" s="55">
        <v>89</v>
      </c>
      <c r="O47" s="56"/>
      <c r="P47" s="56"/>
    </row>
    <row r="48" spans="12:16" x14ac:dyDescent="0.25">
      <c r="L48" s="56"/>
      <c r="M48" s="54">
        <v>45592</v>
      </c>
      <c r="N48" s="55">
        <v>78</v>
      </c>
      <c r="O48" s="56"/>
      <c r="P48" s="56"/>
    </row>
    <row r="49" spans="12:16" x14ac:dyDescent="0.25">
      <c r="L49" s="56"/>
      <c r="M49" s="54">
        <v>45593</v>
      </c>
      <c r="N49" s="55">
        <v>76.5</v>
      </c>
      <c r="O49" s="56"/>
      <c r="P49" s="56"/>
    </row>
    <row r="50" spans="12:16" x14ac:dyDescent="0.25">
      <c r="L50" s="56"/>
      <c r="M50" s="54">
        <v>45594</v>
      </c>
      <c r="N50" s="55">
        <v>101</v>
      </c>
      <c r="O50" s="56"/>
      <c r="P50" s="56"/>
    </row>
    <row r="51" spans="12:16" x14ac:dyDescent="0.25">
      <c r="L51" s="56"/>
      <c r="M51" s="54">
        <v>45595</v>
      </c>
      <c r="N51" s="55">
        <v>75</v>
      </c>
      <c r="O51" s="56"/>
      <c r="P51" s="56"/>
    </row>
    <row r="52" spans="12:16" x14ac:dyDescent="0.25">
      <c r="L52" s="56"/>
      <c r="M52" s="54">
        <v>45596</v>
      </c>
      <c r="N52" s="55">
        <v>91</v>
      </c>
      <c r="O52" s="56"/>
      <c r="P52" s="56"/>
    </row>
    <row r="53" spans="12:16" x14ac:dyDescent="0.25">
      <c r="L53" s="56"/>
      <c r="M53" s="56" t="s">
        <v>5</v>
      </c>
      <c r="N53" s="51"/>
      <c r="O53" s="56"/>
      <c r="P53" s="56"/>
    </row>
    <row r="54" spans="12:16" x14ac:dyDescent="0.25">
      <c r="L54" s="56"/>
      <c r="M54" s="56"/>
      <c r="N54" s="56"/>
      <c r="O54" s="56"/>
      <c r="P54" s="56"/>
    </row>
    <row r="55" spans="12:16" x14ac:dyDescent="0.25">
      <c r="L55" s="56"/>
      <c r="M55" s="56"/>
      <c r="N55" s="56"/>
      <c r="O55" s="56"/>
      <c r="P55" s="56"/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87"/>
  <sheetViews>
    <sheetView showGridLines="0" zoomScale="82" zoomScaleNormal="82" workbookViewId="0">
      <selection activeCell="S97" sqref="S97"/>
    </sheetView>
  </sheetViews>
  <sheetFormatPr defaultColWidth="8.85546875" defaultRowHeight="15" x14ac:dyDescent="0.25"/>
  <cols>
    <col min="1" max="1" width="64.7109375" style="2" bestFit="1" customWidth="1"/>
    <col min="2" max="2" width="27.140625" style="2" customWidth="1"/>
    <col min="3" max="3" width="11.28515625" style="1" bestFit="1" customWidth="1"/>
    <col min="4" max="4" width="10.85546875" style="1" bestFit="1" customWidth="1"/>
    <col min="5" max="10" width="13.85546875" style="1" hidden="1" customWidth="1"/>
    <col min="11" max="18" width="13.85546875" style="1" customWidth="1"/>
    <col min="19" max="19" width="17.28515625" style="1" customWidth="1"/>
    <col min="20" max="20" width="8.85546875" style="4"/>
    <col min="21" max="16384" width="8.85546875" style="1"/>
  </cols>
  <sheetData>
    <row r="1" spans="1:19" ht="61.9" customHeight="1" x14ac:dyDescent="0.25">
      <c r="A1" s="215" t="s">
        <v>24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</row>
    <row r="2" spans="1:19" x14ac:dyDescent="0.25">
      <c r="A2" s="20" t="s">
        <v>23</v>
      </c>
      <c r="B2" s="222" t="s">
        <v>33</v>
      </c>
      <c r="C2" s="222"/>
      <c r="D2" s="20" t="s">
        <v>30</v>
      </c>
      <c r="E2" s="20" t="s">
        <v>196</v>
      </c>
      <c r="F2" s="20" t="s">
        <v>197</v>
      </c>
      <c r="G2" s="20" t="s">
        <v>198</v>
      </c>
      <c r="H2" s="20" t="s">
        <v>187</v>
      </c>
      <c r="I2" s="20" t="s">
        <v>188</v>
      </c>
      <c r="J2" s="20" t="s">
        <v>189</v>
      </c>
      <c r="K2" s="20" t="s">
        <v>190</v>
      </c>
      <c r="L2" s="20" t="s">
        <v>199</v>
      </c>
      <c r="M2" s="20" t="s">
        <v>206</v>
      </c>
      <c r="N2" s="20" t="s">
        <v>279</v>
      </c>
      <c r="O2" s="20" t="s">
        <v>281</v>
      </c>
      <c r="P2" s="20" t="s">
        <v>288</v>
      </c>
      <c r="Q2" s="20" t="s">
        <v>303</v>
      </c>
      <c r="R2" s="20" t="s">
        <v>317</v>
      </c>
      <c r="S2" s="20" t="s">
        <v>31</v>
      </c>
    </row>
    <row r="3" spans="1:19" ht="10.9" customHeight="1" x14ac:dyDescent="0.25">
      <c r="A3" s="213" t="s">
        <v>15</v>
      </c>
      <c r="B3" s="25"/>
      <c r="C3" s="216">
        <f>S48</f>
        <v>0.94447500000000018</v>
      </c>
      <c r="D3" s="27" t="s">
        <v>25</v>
      </c>
      <c r="E3" s="22">
        <v>0.89880000000000004</v>
      </c>
      <c r="F3" s="22">
        <v>0.78680000000000005</v>
      </c>
      <c r="G3" s="22">
        <v>0.7167</v>
      </c>
      <c r="H3" s="22">
        <v>0.74839999999999995</v>
      </c>
      <c r="I3" s="24">
        <v>0.78769999999999996</v>
      </c>
      <c r="J3" s="24">
        <v>0.75609999999999999</v>
      </c>
      <c r="K3" s="24">
        <v>0.84470000000000001</v>
      </c>
      <c r="L3" s="24">
        <v>0.94810000000000005</v>
      </c>
      <c r="M3" s="24">
        <v>0.86599999999999999</v>
      </c>
      <c r="N3" s="24">
        <v>0.83409999999999995</v>
      </c>
      <c r="O3" s="24">
        <v>0.79769999999999996</v>
      </c>
      <c r="P3" s="24">
        <v>0.86529999999999996</v>
      </c>
      <c r="Q3" s="24">
        <v>0.82569999999999999</v>
      </c>
      <c r="R3" s="24">
        <v>0.94589999999999996</v>
      </c>
      <c r="S3" s="62">
        <f t="shared" ref="S3:S42" si="0">AVERAGE(K3:R3)</f>
        <v>0.86593750000000014</v>
      </c>
    </row>
    <row r="4" spans="1:19" ht="10.9" customHeight="1" x14ac:dyDescent="0.25">
      <c r="A4" s="213"/>
      <c r="B4" s="25"/>
      <c r="C4" s="217"/>
      <c r="D4" s="27" t="s">
        <v>26</v>
      </c>
      <c r="E4" s="22">
        <v>6.3500000000000001E-2</v>
      </c>
      <c r="F4" s="22">
        <v>0.1482</v>
      </c>
      <c r="G4" s="22">
        <v>0.1845</v>
      </c>
      <c r="H4" s="22">
        <v>0.1711</v>
      </c>
      <c r="I4" s="24">
        <v>0.18229999999999999</v>
      </c>
      <c r="J4" s="24">
        <v>0.13969999999999999</v>
      </c>
      <c r="K4" s="24">
        <v>6.3100000000000003E-2</v>
      </c>
      <c r="L4" s="24">
        <v>7.9000000000000008E-3</v>
      </c>
      <c r="M4" s="24">
        <v>5.5599999999999997E-2</v>
      </c>
      <c r="N4" s="24">
        <v>0.11119999999999999</v>
      </c>
      <c r="O4" s="24">
        <v>0.10879999999999999</v>
      </c>
      <c r="P4" s="24">
        <v>0.1026</v>
      </c>
      <c r="Q4" s="24">
        <v>0.1384</v>
      </c>
      <c r="R4" s="24">
        <v>4.07E-2</v>
      </c>
      <c r="S4" s="62">
        <f t="shared" si="0"/>
        <v>7.8537499999999982E-2</v>
      </c>
    </row>
    <row r="5" spans="1:19" ht="10.9" customHeight="1" x14ac:dyDescent="0.25">
      <c r="A5" s="213"/>
      <c r="B5" s="25"/>
      <c r="C5" s="217"/>
      <c r="D5" s="27" t="s">
        <v>27</v>
      </c>
      <c r="E5" s="22">
        <v>1.5900000000000001E-2</v>
      </c>
      <c r="F5" s="22">
        <v>1.9400000000000001E-2</v>
      </c>
      <c r="G5" s="22">
        <v>2.1399999999999999E-2</v>
      </c>
      <c r="H5" s="22">
        <v>5.0299999999999997E-2</v>
      </c>
      <c r="I5" s="24">
        <v>4.3E-3</v>
      </c>
      <c r="J5" s="24">
        <v>3.5400000000000001E-2</v>
      </c>
      <c r="K5" s="24">
        <v>2.4299999999999999E-2</v>
      </c>
      <c r="L5" s="24">
        <v>1.67E-2</v>
      </c>
      <c r="M5" s="24">
        <v>1.9E-2</v>
      </c>
      <c r="N5" s="24">
        <v>1.67E-2</v>
      </c>
      <c r="O5" s="24">
        <v>4.1000000000000002E-2</v>
      </c>
      <c r="P5" s="24">
        <v>1.2800000000000001E-2</v>
      </c>
      <c r="Q5" s="24">
        <v>0.03</v>
      </c>
      <c r="R5" s="24">
        <v>2.7000000000000001E-3</v>
      </c>
      <c r="S5" s="62">
        <f t="shared" si="0"/>
        <v>2.0400000000000001E-2</v>
      </c>
    </row>
    <row r="6" spans="1:19" ht="10.9" customHeight="1" x14ac:dyDescent="0.25">
      <c r="A6" s="213"/>
      <c r="B6" s="25"/>
      <c r="C6" s="217"/>
      <c r="D6" s="27" t="s">
        <v>28</v>
      </c>
      <c r="E6" s="22">
        <v>4.0000000000000001E-3</v>
      </c>
      <c r="F6" s="22">
        <v>1.8200000000000001E-2</v>
      </c>
      <c r="G6" s="22">
        <v>2.3999999999999998E-3</v>
      </c>
      <c r="H6" s="22">
        <v>3.8E-3</v>
      </c>
      <c r="I6" s="24">
        <v>1.14E-2</v>
      </c>
      <c r="J6" s="24">
        <v>2.23E-2</v>
      </c>
      <c r="K6" s="24">
        <v>1.46E-2</v>
      </c>
      <c r="L6" s="24">
        <v>1.23E-2</v>
      </c>
      <c r="M6" s="24">
        <v>1.0699999999999999E-2</v>
      </c>
      <c r="N6" s="24">
        <v>5.5999999999999999E-3</v>
      </c>
      <c r="O6" s="24">
        <v>1.15E-2</v>
      </c>
      <c r="P6" s="24">
        <v>9.2999999999999992E-3</v>
      </c>
      <c r="Q6" s="24">
        <v>0</v>
      </c>
      <c r="R6" s="24">
        <v>2.7000000000000001E-3</v>
      </c>
      <c r="S6" s="62">
        <f t="shared" si="0"/>
        <v>8.3374999999999994E-3</v>
      </c>
    </row>
    <row r="7" spans="1:19" ht="10.9" customHeight="1" x14ac:dyDescent="0.25">
      <c r="A7" s="213"/>
      <c r="B7" s="25"/>
      <c r="C7" s="217"/>
      <c r="D7" s="27" t="s">
        <v>29</v>
      </c>
      <c r="E7" s="22">
        <v>1.7899999999999999E-2</v>
      </c>
      <c r="F7" s="22">
        <v>2.7400000000000001E-2</v>
      </c>
      <c r="G7" s="22">
        <v>7.4999999999999997E-2</v>
      </c>
      <c r="H7" s="22">
        <v>2.64E-2</v>
      </c>
      <c r="I7" s="24">
        <v>1.4200000000000001E-2</v>
      </c>
      <c r="J7" s="24">
        <v>4.6600000000000003E-2</v>
      </c>
      <c r="K7" s="24">
        <v>5.3400000000000003E-2</v>
      </c>
      <c r="L7" s="24">
        <v>1.4999999999999999E-2</v>
      </c>
      <c r="M7" s="24">
        <v>4.87E-2</v>
      </c>
      <c r="N7" s="24">
        <v>3.2399999999999998E-2</v>
      </c>
      <c r="O7" s="24">
        <v>4.1000000000000002E-2</v>
      </c>
      <c r="P7" s="24">
        <v>0.01</v>
      </c>
      <c r="Q7" s="24">
        <v>5.8999999999999999E-3</v>
      </c>
      <c r="R7" s="24">
        <v>8.0000000000000002E-3</v>
      </c>
      <c r="S7" s="62">
        <f t="shared" si="0"/>
        <v>2.6800000000000004E-2</v>
      </c>
    </row>
    <row r="8" spans="1:19" ht="10.9" customHeight="1" x14ac:dyDescent="0.25">
      <c r="A8" s="214" t="s">
        <v>16</v>
      </c>
      <c r="B8" s="26"/>
      <c r="C8" s="218">
        <f>S49</f>
        <v>0.93963750000000001</v>
      </c>
      <c r="D8" s="28" t="s">
        <v>25</v>
      </c>
      <c r="E8" s="21">
        <v>0.86899999999999999</v>
      </c>
      <c r="F8" s="21">
        <v>0.78220000000000001</v>
      </c>
      <c r="G8" s="21">
        <v>0.71189999999999998</v>
      </c>
      <c r="H8" s="21">
        <v>0.75219999999999998</v>
      </c>
      <c r="I8" s="12">
        <v>0.78349999999999997</v>
      </c>
      <c r="J8" s="12">
        <v>0.75419999999999998</v>
      </c>
      <c r="K8" s="12">
        <v>0.8155</v>
      </c>
      <c r="L8" s="12">
        <v>0.93130000000000002</v>
      </c>
      <c r="M8" s="12">
        <v>0.84460000000000002</v>
      </c>
      <c r="N8" s="12">
        <v>0.81279999999999997</v>
      </c>
      <c r="O8" s="12">
        <v>0.76949999999999996</v>
      </c>
      <c r="P8" s="12">
        <v>0.8589</v>
      </c>
      <c r="Q8" s="12">
        <v>0.82630000000000003</v>
      </c>
      <c r="R8" s="12">
        <v>0.9446</v>
      </c>
      <c r="S8" s="19">
        <f t="shared" si="0"/>
        <v>0.85043750000000007</v>
      </c>
    </row>
    <row r="9" spans="1:19" ht="10.9" customHeight="1" x14ac:dyDescent="0.25">
      <c r="A9" s="214"/>
      <c r="B9" s="26"/>
      <c r="C9" s="219"/>
      <c r="D9" s="28" t="s">
        <v>26</v>
      </c>
      <c r="E9" s="21">
        <v>9.7199999999999995E-2</v>
      </c>
      <c r="F9" s="21">
        <v>0.14940000000000001</v>
      </c>
      <c r="G9" s="21">
        <v>0.1893</v>
      </c>
      <c r="H9" s="21">
        <v>0.1686</v>
      </c>
      <c r="I9" s="12">
        <v>0.18090000000000001</v>
      </c>
      <c r="J9" s="12">
        <v>0.15459999999999999</v>
      </c>
      <c r="K9" s="12">
        <v>8.2500000000000004E-2</v>
      </c>
      <c r="L9" s="12">
        <v>2.64E-2</v>
      </c>
      <c r="M9" s="12">
        <v>5.8599999999999999E-2</v>
      </c>
      <c r="N9" s="12">
        <v>0.12509999999999999</v>
      </c>
      <c r="O9" s="12">
        <v>0.13569999999999999</v>
      </c>
      <c r="P9" s="12">
        <v>0.1026</v>
      </c>
      <c r="Q9" s="12">
        <v>0.14130000000000001</v>
      </c>
      <c r="R9" s="12">
        <v>4.1399999999999999E-2</v>
      </c>
      <c r="S9" s="19">
        <f t="shared" si="0"/>
        <v>8.9199999999999988E-2</v>
      </c>
    </row>
    <row r="10" spans="1:19" ht="10.9" customHeight="1" x14ac:dyDescent="0.25">
      <c r="A10" s="214"/>
      <c r="B10" s="26"/>
      <c r="C10" s="219"/>
      <c r="D10" s="28" t="s">
        <v>27</v>
      </c>
      <c r="E10" s="21">
        <v>9.9000000000000008E-3</v>
      </c>
      <c r="F10" s="21">
        <v>2.5100000000000001E-2</v>
      </c>
      <c r="G10" s="21">
        <v>1.7899999999999999E-2</v>
      </c>
      <c r="H10" s="21">
        <v>4.65E-2</v>
      </c>
      <c r="I10" s="12">
        <v>0.01</v>
      </c>
      <c r="J10" s="12">
        <v>2.6100000000000002E-2</v>
      </c>
      <c r="K10" s="12">
        <v>4.3700000000000003E-2</v>
      </c>
      <c r="L10" s="12">
        <v>1.8499999999999999E-2</v>
      </c>
      <c r="M10" s="12">
        <v>3.27E-2</v>
      </c>
      <c r="N10" s="12">
        <v>2.5899999999999999E-2</v>
      </c>
      <c r="O10" s="12">
        <v>4.7399999999999998E-2</v>
      </c>
      <c r="P10" s="12">
        <v>2.07E-2</v>
      </c>
      <c r="Q10" s="12">
        <v>2.7699999999999999E-2</v>
      </c>
      <c r="R10" s="12">
        <v>4.7000000000000002E-3</v>
      </c>
      <c r="S10" s="19">
        <f t="shared" si="0"/>
        <v>2.7662500000000003E-2</v>
      </c>
    </row>
    <row r="11" spans="1:19" ht="10.9" customHeight="1" x14ac:dyDescent="0.25">
      <c r="A11" s="214"/>
      <c r="B11" s="26"/>
      <c r="C11" s="219"/>
      <c r="D11" s="28" t="s">
        <v>28</v>
      </c>
      <c r="E11" s="21">
        <v>7.9000000000000008E-3</v>
      </c>
      <c r="F11" s="21">
        <v>1.7100000000000001E-2</v>
      </c>
      <c r="G11" s="21">
        <v>8.3000000000000001E-3</v>
      </c>
      <c r="H11" s="21">
        <v>5.0000000000000001E-3</v>
      </c>
      <c r="I11" s="12">
        <v>8.5000000000000006E-3</v>
      </c>
      <c r="J11" s="12">
        <v>1.8599999999999998E-2</v>
      </c>
      <c r="K11" s="12">
        <v>9.7000000000000003E-3</v>
      </c>
      <c r="L11" s="12">
        <v>3.5000000000000001E-3</v>
      </c>
      <c r="M11" s="12">
        <v>1.4500000000000001E-2</v>
      </c>
      <c r="N11" s="12">
        <v>6.4999999999999997E-3</v>
      </c>
      <c r="O11" s="12">
        <v>2.0500000000000001E-2</v>
      </c>
      <c r="P11" s="12">
        <v>7.7999999999999996E-3</v>
      </c>
      <c r="Q11" s="12">
        <v>5.9999999999999995E-4</v>
      </c>
      <c r="R11" s="12">
        <v>1.2999999999999999E-3</v>
      </c>
      <c r="S11" s="19">
        <f t="shared" si="0"/>
        <v>8.0499999999999999E-3</v>
      </c>
    </row>
    <row r="12" spans="1:19" ht="10.9" customHeight="1" x14ac:dyDescent="0.25">
      <c r="A12" s="214"/>
      <c r="B12" s="26"/>
      <c r="C12" s="219"/>
      <c r="D12" s="28" t="s">
        <v>29</v>
      </c>
      <c r="E12" s="21">
        <v>1.5900000000000001E-2</v>
      </c>
      <c r="F12" s="21">
        <v>2.6200000000000001E-2</v>
      </c>
      <c r="G12" s="21">
        <v>7.2599999999999998E-2</v>
      </c>
      <c r="H12" s="21">
        <v>2.7699999999999999E-2</v>
      </c>
      <c r="I12" s="12">
        <v>1.7100000000000001E-2</v>
      </c>
      <c r="J12" s="12">
        <v>4.6600000000000003E-2</v>
      </c>
      <c r="K12" s="12">
        <v>4.8500000000000001E-2</v>
      </c>
      <c r="L12" s="12">
        <v>2.0199999999999999E-2</v>
      </c>
      <c r="M12" s="12">
        <v>4.9500000000000002E-2</v>
      </c>
      <c r="N12" s="12">
        <v>2.9700000000000001E-2</v>
      </c>
      <c r="O12" s="12">
        <v>2.69E-2</v>
      </c>
      <c r="P12" s="12">
        <v>0.01</v>
      </c>
      <c r="Q12" s="12">
        <v>4.1000000000000003E-3</v>
      </c>
      <c r="R12" s="12">
        <v>8.0000000000000002E-3</v>
      </c>
      <c r="S12" s="19">
        <f t="shared" si="0"/>
        <v>2.4612500000000002E-2</v>
      </c>
    </row>
    <row r="13" spans="1:19" ht="10.9" customHeight="1" x14ac:dyDescent="0.25">
      <c r="A13" s="213" t="s">
        <v>17</v>
      </c>
      <c r="B13" s="25"/>
      <c r="C13" s="216">
        <f>S50</f>
        <v>0.92346250000000007</v>
      </c>
      <c r="D13" s="27" t="s">
        <v>25</v>
      </c>
      <c r="E13" s="22">
        <v>0.8155</v>
      </c>
      <c r="F13" s="22">
        <v>0.78110000000000002</v>
      </c>
      <c r="G13" s="22">
        <v>0.78690000000000004</v>
      </c>
      <c r="H13" s="22">
        <v>0.82640000000000002</v>
      </c>
      <c r="I13" s="24">
        <v>0.82479999999999998</v>
      </c>
      <c r="J13" s="24">
        <v>0.75049999999999994</v>
      </c>
      <c r="K13" s="24">
        <v>0.76700000000000002</v>
      </c>
      <c r="L13" s="24">
        <v>0.91990000000000005</v>
      </c>
      <c r="M13" s="24">
        <v>0.81040000000000001</v>
      </c>
      <c r="N13" s="24">
        <v>0.8054</v>
      </c>
      <c r="O13" s="24">
        <v>0.70289999999999997</v>
      </c>
      <c r="P13" s="24">
        <v>0.84030000000000005</v>
      </c>
      <c r="Q13" s="24">
        <v>0.81330000000000002</v>
      </c>
      <c r="R13" s="24">
        <v>0.93520000000000003</v>
      </c>
      <c r="S13" s="62">
        <f t="shared" si="0"/>
        <v>0.82430000000000003</v>
      </c>
    </row>
    <row r="14" spans="1:19" ht="10.9" customHeight="1" x14ac:dyDescent="0.25">
      <c r="A14" s="213"/>
      <c r="B14" s="25"/>
      <c r="C14" s="217"/>
      <c r="D14" s="27" t="s">
        <v>26</v>
      </c>
      <c r="E14" s="22">
        <v>0.1052</v>
      </c>
      <c r="F14" s="22">
        <v>0.1368</v>
      </c>
      <c r="G14" s="22">
        <v>0.1202</v>
      </c>
      <c r="H14" s="22">
        <v>0.122</v>
      </c>
      <c r="I14" s="24">
        <v>0.1467</v>
      </c>
      <c r="J14" s="24">
        <v>0.13589999999999999</v>
      </c>
      <c r="K14" s="24">
        <v>6.8000000000000005E-2</v>
      </c>
      <c r="L14" s="24">
        <v>4.0500000000000001E-2</v>
      </c>
      <c r="M14" s="24">
        <v>9.9000000000000005E-2</v>
      </c>
      <c r="N14" s="24">
        <v>0.1075</v>
      </c>
      <c r="O14" s="24">
        <v>0.1613</v>
      </c>
      <c r="P14" s="24">
        <v>0.11550000000000001</v>
      </c>
      <c r="Q14" s="24">
        <v>0.15609999999999999</v>
      </c>
      <c r="R14" s="24">
        <v>4.5400000000000003E-2</v>
      </c>
      <c r="S14" s="62">
        <f t="shared" si="0"/>
        <v>9.9162500000000001E-2</v>
      </c>
    </row>
    <row r="15" spans="1:19" ht="10.9" customHeight="1" x14ac:dyDescent="0.25">
      <c r="A15" s="213"/>
      <c r="B15" s="25"/>
      <c r="C15" s="217"/>
      <c r="D15" s="27" t="s">
        <v>27</v>
      </c>
      <c r="E15" s="22">
        <v>3.9699999999999999E-2</v>
      </c>
      <c r="F15" s="22">
        <v>2.9600000000000001E-2</v>
      </c>
      <c r="G15" s="22">
        <v>1.3100000000000001E-2</v>
      </c>
      <c r="H15" s="22">
        <v>1.89E-2</v>
      </c>
      <c r="I15" s="24">
        <v>5.7000000000000002E-3</v>
      </c>
      <c r="J15" s="24">
        <v>2.98E-2</v>
      </c>
      <c r="K15" s="24">
        <v>6.8000000000000005E-2</v>
      </c>
      <c r="L15" s="24">
        <v>2.8199999999999999E-2</v>
      </c>
      <c r="M15" s="24">
        <v>2.5899999999999999E-2</v>
      </c>
      <c r="N15" s="24">
        <v>3.9899999999999998E-2</v>
      </c>
      <c r="O15" s="24">
        <v>6.0199999999999997E-2</v>
      </c>
      <c r="P15" s="24">
        <v>2.5700000000000001E-2</v>
      </c>
      <c r="Q15" s="24">
        <v>2.5899999999999999E-2</v>
      </c>
      <c r="R15" s="24">
        <v>8.6999999999999994E-3</v>
      </c>
      <c r="S15" s="62">
        <f t="shared" si="0"/>
        <v>3.5312499999999997E-2</v>
      </c>
    </row>
    <row r="16" spans="1:19" ht="10.9" customHeight="1" x14ac:dyDescent="0.25">
      <c r="A16" s="213"/>
      <c r="B16" s="25"/>
      <c r="C16" s="217"/>
      <c r="D16" s="27" t="s">
        <v>28</v>
      </c>
      <c r="E16" s="22">
        <v>1.1900000000000001E-2</v>
      </c>
      <c r="F16" s="22">
        <v>1.2500000000000001E-2</v>
      </c>
      <c r="G16" s="22">
        <v>4.7999999999999996E-3</v>
      </c>
      <c r="H16" s="22">
        <v>5.0000000000000001E-3</v>
      </c>
      <c r="I16" s="24">
        <v>4.3E-3</v>
      </c>
      <c r="J16" s="24">
        <v>1.6799999999999999E-2</v>
      </c>
      <c r="K16" s="24">
        <v>4.8999999999999998E-3</v>
      </c>
      <c r="L16" s="24">
        <v>1.8E-3</v>
      </c>
      <c r="M16" s="24">
        <v>1.83E-2</v>
      </c>
      <c r="N16" s="24">
        <v>1.4800000000000001E-2</v>
      </c>
      <c r="O16" s="24">
        <v>2.5600000000000001E-2</v>
      </c>
      <c r="P16" s="24">
        <v>6.4000000000000003E-3</v>
      </c>
      <c r="Q16" s="24">
        <v>1.8E-3</v>
      </c>
      <c r="R16" s="24">
        <v>1.2999999999999999E-3</v>
      </c>
      <c r="S16" s="62">
        <f t="shared" si="0"/>
        <v>9.3624999999999993E-3</v>
      </c>
    </row>
    <row r="17" spans="1:19" ht="10.9" customHeight="1" x14ac:dyDescent="0.25">
      <c r="A17" s="213"/>
      <c r="B17" s="25"/>
      <c r="C17" s="217"/>
      <c r="D17" s="27" t="s">
        <v>29</v>
      </c>
      <c r="E17" s="22">
        <v>2.7799999999999998E-2</v>
      </c>
      <c r="F17" s="22">
        <v>3.9899999999999998E-2</v>
      </c>
      <c r="G17" s="22">
        <v>7.4999999999999997E-2</v>
      </c>
      <c r="H17" s="22">
        <v>2.7699999999999999E-2</v>
      </c>
      <c r="I17" s="24">
        <v>1.8499999999999999E-2</v>
      </c>
      <c r="J17" s="24">
        <v>6.7000000000000004E-2</v>
      </c>
      <c r="K17" s="24">
        <v>9.2200000000000004E-2</v>
      </c>
      <c r="L17" s="24">
        <v>9.7000000000000003E-3</v>
      </c>
      <c r="M17" s="24">
        <v>4.65E-2</v>
      </c>
      <c r="N17" s="24">
        <v>3.2399999999999998E-2</v>
      </c>
      <c r="O17" s="24">
        <v>4.99E-2</v>
      </c>
      <c r="P17" s="24">
        <v>1.21E-2</v>
      </c>
      <c r="Q17" s="24">
        <v>2.8999999999999998E-3</v>
      </c>
      <c r="R17" s="24">
        <v>9.2999999999999992E-3</v>
      </c>
      <c r="S17" s="62">
        <f t="shared" si="0"/>
        <v>3.1875000000000001E-2</v>
      </c>
    </row>
    <row r="18" spans="1:19" ht="10.9" customHeight="1" x14ac:dyDescent="0.25">
      <c r="A18" s="214" t="s">
        <v>18</v>
      </c>
      <c r="B18" s="26"/>
      <c r="C18" s="218">
        <f>S51</f>
        <v>0.83260000000000001</v>
      </c>
      <c r="D18" s="28" t="s">
        <v>25</v>
      </c>
      <c r="E18" s="21">
        <v>0.71630000000000005</v>
      </c>
      <c r="F18" s="21">
        <v>0.626</v>
      </c>
      <c r="G18" s="21">
        <v>0.65</v>
      </c>
      <c r="H18" s="21">
        <v>0.71319999999999995</v>
      </c>
      <c r="I18" s="12">
        <v>0.7621</v>
      </c>
      <c r="J18" s="12">
        <v>0.6704</v>
      </c>
      <c r="K18" s="12">
        <v>0.75239999999999996</v>
      </c>
      <c r="L18" s="12">
        <v>0.60829999999999995</v>
      </c>
      <c r="M18" s="12">
        <v>0.64049999999999996</v>
      </c>
      <c r="N18" s="12">
        <v>0.72850000000000004</v>
      </c>
      <c r="O18" s="12">
        <v>0.64400000000000002</v>
      </c>
      <c r="P18" s="12">
        <v>0.81899999999999995</v>
      </c>
      <c r="Q18" s="12">
        <v>0.79149999999999998</v>
      </c>
      <c r="R18" s="12">
        <v>0.86719999999999997</v>
      </c>
      <c r="S18" s="19">
        <f t="shared" si="0"/>
        <v>0.73142499999999999</v>
      </c>
    </row>
    <row r="19" spans="1:19" ht="10.9" customHeight="1" x14ac:dyDescent="0.25">
      <c r="A19" s="214"/>
      <c r="B19" s="26"/>
      <c r="C19" s="219"/>
      <c r="D19" s="28" t="s">
        <v>26</v>
      </c>
      <c r="E19" s="21">
        <v>0.1052</v>
      </c>
      <c r="F19" s="21">
        <v>0.12770000000000001</v>
      </c>
      <c r="G19" s="21">
        <v>0.12379999999999999</v>
      </c>
      <c r="H19" s="21">
        <v>0.1421</v>
      </c>
      <c r="I19" s="12">
        <v>0.1681</v>
      </c>
      <c r="J19" s="12">
        <v>0.13780000000000001</v>
      </c>
      <c r="K19" s="12">
        <v>4.8500000000000001E-2</v>
      </c>
      <c r="L19" s="12">
        <v>9.3299999999999994E-2</v>
      </c>
      <c r="M19" s="12">
        <v>0.1089</v>
      </c>
      <c r="N19" s="12">
        <v>0.1288</v>
      </c>
      <c r="O19" s="12">
        <v>0.114</v>
      </c>
      <c r="P19" s="12">
        <v>0.1133</v>
      </c>
      <c r="Q19" s="12">
        <v>0.1525</v>
      </c>
      <c r="R19" s="12">
        <v>5.0099999999999999E-2</v>
      </c>
      <c r="S19" s="19">
        <f t="shared" si="0"/>
        <v>0.10117499999999999</v>
      </c>
    </row>
    <row r="20" spans="1:19" ht="10.9" customHeight="1" x14ac:dyDescent="0.25">
      <c r="A20" s="214"/>
      <c r="B20" s="26"/>
      <c r="C20" s="219"/>
      <c r="D20" s="28" t="s">
        <v>27</v>
      </c>
      <c r="E20" s="21">
        <v>7.5399999999999995E-2</v>
      </c>
      <c r="F20" s="21">
        <v>0.1072</v>
      </c>
      <c r="G20" s="21">
        <v>9.5200000000000007E-2</v>
      </c>
      <c r="H20" s="21">
        <v>7.0400000000000004E-2</v>
      </c>
      <c r="I20" s="12">
        <v>2.9899999999999999E-2</v>
      </c>
      <c r="J20" s="12">
        <v>0.1043</v>
      </c>
      <c r="K20" s="12">
        <v>6.3100000000000003E-2</v>
      </c>
      <c r="L20" s="12">
        <v>0.1356</v>
      </c>
      <c r="M20" s="12">
        <v>7.3899999999999993E-2</v>
      </c>
      <c r="N20" s="12">
        <v>6.6699999999999995E-2</v>
      </c>
      <c r="O20" s="12">
        <v>9.8599999999999993E-2</v>
      </c>
      <c r="P20" s="12">
        <v>3.4200000000000001E-2</v>
      </c>
      <c r="Q20" s="12">
        <v>3.4200000000000001E-2</v>
      </c>
      <c r="R20" s="12">
        <v>1.67E-2</v>
      </c>
      <c r="S20" s="19">
        <f t="shared" si="0"/>
        <v>6.5375000000000003E-2</v>
      </c>
    </row>
    <row r="21" spans="1:19" ht="10.9" customHeight="1" x14ac:dyDescent="0.25">
      <c r="A21" s="214"/>
      <c r="B21" s="26"/>
      <c r="C21" s="219"/>
      <c r="D21" s="28" t="s">
        <v>28</v>
      </c>
      <c r="E21" s="21">
        <v>3.9699999999999999E-2</v>
      </c>
      <c r="F21" s="21">
        <v>4.4499999999999998E-2</v>
      </c>
      <c r="G21" s="21">
        <v>3.2099999999999997E-2</v>
      </c>
      <c r="H21" s="21">
        <v>3.27E-2</v>
      </c>
      <c r="I21" s="12">
        <v>7.1000000000000004E-3</v>
      </c>
      <c r="J21" s="12">
        <v>1.6799999999999999E-2</v>
      </c>
      <c r="K21" s="12">
        <v>5.3400000000000003E-2</v>
      </c>
      <c r="L21" s="12">
        <v>4.0500000000000001E-2</v>
      </c>
      <c r="M21" s="12">
        <v>3.27E-2</v>
      </c>
      <c r="N21" s="12">
        <v>2.2200000000000001E-2</v>
      </c>
      <c r="O21" s="12">
        <v>4.3499999999999997E-2</v>
      </c>
      <c r="P21" s="12">
        <v>1.35E-2</v>
      </c>
      <c r="Q21" s="12">
        <v>1.35E-2</v>
      </c>
      <c r="R21" s="12">
        <v>1.34E-2</v>
      </c>
      <c r="S21" s="19">
        <f t="shared" si="0"/>
        <v>2.9087500000000006E-2</v>
      </c>
    </row>
    <row r="22" spans="1:19" ht="10.9" customHeight="1" x14ac:dyDescent="0.25">
      <c r="A22" s="214"/>
      <c r="B22" s="26"/>
      <c r="C22" s="219"/>
      <c r="D22" s="28" t="s">
        <v>29</v>
      </c>
      <c r="E22" s="21">
        <v>6.3500000000000001E-2</v>
      </c>
      <c r="F22" s="21">
        <v>9.4600000000000004E-2</v>
      </c>
      <c r="G22" s="21">
        <v>9.8799999999999999E-2</v>
      </c>
      <c r="H22" s="21">
        <v>4.1500000000000002E-2</v>
      </c>
      <c r="I22" s="12">
        <v>3.2800000000000003E-2</v>
      </c>
      <c r="J22" s="12">
        <v>7.0800000000000002E-2</v>
      </c>
      <c r="K22" s="12">
        <v>8.2500000000000004E-2</v>
      </c>
      <c r="L22" s="12">
        <v>0.12239999999999999</v>
      </c>
      <c r="M22" s="12">
        <v>0.1439</v>
      </c>
      <c r="N22" s="12">
        <v>5.3800000000000001E-2</v>
      </c>
      <c r="O22" s="12">
        <v>9.9900000000000003E-2</v>
      </c>
      <c r="P22" s="12">
        <v>0.02</v>
      </c>
      <c r="Q22" s="12">
        <v>8.2000000000000007E-3</v>
      </c>
      <c r="R22" s="12">
        <v>5.2699999999999997E-2</v>
      </c>
      <c r="S22" s="19">
        <f t="shared" si="0"/>
        <v>7.2925000000000004E-2</v>
      </c>
    </row>
    <row r="23" spans="1:19" ht="10.9" customHeight="1" x14ac:dyDescent="0.25">
      <c r="A23" s="213" t="s">
        <v>19</v>
      </c>
      <c r="B23" s="25"/>
      <c r="C23" s="216">
        <f>S52</f>
        <v>0.88721249999999996</v>
      </c>
      <c r="D23" s="27" t="s">
        <v>25</v>
      </c>
      <c r="E23" s="22">
        <v>0.69840000000000002</v>
      </c>
      <c r="F23" s="22">
        <v>0.61229999999999996</v>
      </c>
      <c r="G23" s="22">
        <v>0.50119999999999998</v>
      </c>
      <c r="H23" s="22">
        <v>0.58489999999999998</v>
      </c>
      <c r="I23" s="24">
        <v>0.73080000000000001</v>
      </c>
      <c r="J23" s="24">
        <v>0.68899999999999995</v>
      </c>
      <c r="K23" s="24">
        <v>0.77669999999999995</v>
      </c>
      <c r="L23" s="24">
        <v>0.78520000000000001</v>
      </c>
      <c r="M23" s="24">
        <v>0.73419999999999996</v>
      </c>
      <c r="N23" s="24">
        <v>0.73960000000000004</v>
      </c>
      <c r="O23" s="24">
        <v>0.70169999999999999</v>
      </c>
      <c r="P23" s="24">
        <v>0.80110000000000003</v>
      </c>
      <c r="Q23" s="24">
        <v>0.76500000000000001</v>
      </c>
      <c r="R23" s="24">
        <v>0.85109999999999997</v>
      </c>
      <c r="S23" s="62">
        <f t="shared" si="0"/>
        <v>0.76932499999999993</v>
      </c>
    </row>
    <row r="24" spans="1:19" ht="10.9" customHeight="1" x14ac:dyDescent="0.25">
      <c r="A24" s="213"/>
      <c r="B24" s="25"/>
      <c r="C24" s="217"/>
      <c r="D24" s="27" t="s">
        <v>26</v>
      </c>
      <c r="E24" s="22">
        <v>0.1845</v>
      </c>
      <c r="F24" s="22">
        <v>0.2109</v>
      </c>
      <c r="G24" s="22">
        <v>0.33329999999999999</v>
      </c>
      <c r="H24" s="22">
        <v>0.3044</v>
      </c>
      <c r="I24" s="24">
        <v>0.21510000000000001</v>
      </c>
      <c r="J24" s="24">
        <v>0.16200000000000001</v>
      </c>
      <c r="K24" s="24">
        <v>0.11650000000000001</v>
      </c>
      <c r="L24" s="24">
        <v>3.5200000000000002E-2</v>
      </c>
      <c r="M24" s="24">
        <v>0.1386</v>
      </c>
      <c r="N24" s="24">
        <v>0.15379999999999999</v>
      </c>
      <c r="O24" s="24">
        <v>0.14849999999999999</v>
      </c>
      <c r="P24" s="24">
        <v>0.1361</v>
      </c>
      <c r="Q24" s="24">
        <v>0.16370000000000001</v>
      </c>
      <c r="R24" s="24">
        <v>5.0700000000000002E-2</v>
      </c>
      <c r="S24" s="62">
        <f t="shared" si="0"/>
        <v>0.11788750000000001</v>
      </c>
    </row>
    <row r="25" spans="1:19" ht="10.9" customHeight="1" x14ac:dyDescent="0.25">
      <c r="A25" s="213"/>
      <c r="B25" s="25"/>
      <c r="C25" s="217"/>
      <c r="D25" s="27" t="s">
        <v>27</v>
      </c>
      <c r="E25" s="22">
        <v>7.7399999999999997E-2</v>
      </c>
      <c r="F25" s="22">
        <v>9.9199999999999997E-2</v>
      </c>
      <c r="G25" s="22">
        <v>7.3800000000000004E-2</v>
      </c>
      <c r="H25" s="22">
        <v>6.1600000000000002E-2</v>
      </c>
      <c r="I25" s="24">
        <v>2.8500000000000001E-2</v>
      </c>
      <c r="J25" s="24">
        <v>9.3100000000000002E-2</v>
      </c>
      <c r="K25" s="24">
        <v>5.8299999999999998E-2</v>
      </c>
      <c r="L25" s="24">
        <v>0.10829999999999999</v>
      </c>
      <c r="M25" s="24">
        <v>7.2400000000000006E-2</v>
      </c>
      <c r="N25" s="24">
        <v>6.5799999999999997E-2</v>
      </c>
      <c r="O25" s="24">
        <v>8.3199999999999996E-2</v>
      </c>
      <c r="P25" s="24">
        <v>3.1399999999999997E-2</v>
      </c>
      <c r="Q25" s="24">
        <v>4.4200000000000003E-2</v>
      </c>
      <c r="R25" s="24">
        <v>1.4E-2</v>
      </c>
      <c r="S25" s="62">
        <f t="shared" si="0"/>
        <v>5.9699999999999996E-2</v>
      </c>
    </row>
    <row r="26" spans="1:19" ht="10.9" customHeight="1" x14ac:dyDescent="0.25">
      <c r="A26" s="213"/>
      <c r="B26" s="25"/>
      <c r="C26" s="217"/>
      <c r="D26" s="27" t="s">
        <v>28</v>
      </c>
      <c r="E26" s="22">
        <v>1.7899999999999999E-2</v>
      </c>
      <c r="F26" s="22">
        <v>3.6499999999999998E-2</v>
      </c>
      <c r="G26" s="22">
        <v>1.67E-2</v>
      </c>
      <c r="H26" s="22">
        <v>6.3E-3</v>
      </c>
      <c r="I26" s="24">
        <v>8.5000000000000006E-3</v>
      </c>
      <c r="J26" s="24">
        <v>7.4000000000000003E-3</v>
      </c>
      <c r="K26" s="24">
        <v>1.46E-2</v>
      </c>
      <c r="L26" s="24">
        <v>3.9600000000000003E-2</v>
      </c>
      <c r="M26" s="24">
        <v>1.6E-2</v>
      </c>
      <c r="N26" s="24">
        <v>9.2999999999999992E-3</v>
      </c>
      <c r="O26" s="24">
        <v>2.18E-2</v>
      </c>
      <c r="P26" s="24">
        <v>1.78E-2</v>
      </c>
      <c r="Q26" s="24">
        <v>1.12E-2</v>
      </c>
      <c r="R26" s="24">
        <v>2.9399999999999999E-2</v>
      </c>
      <c r="S26" s="62">
        <f t="shared" si="0"/>
        <v>1.9962500000000001E-2</v>
      </c>
    </row>
    <row r="27" spans="1:19" ht="10.9" customHeight="1" x14ac:dyDescent="0.25">
      <c r="A27" s="213"/>
      <c r="B27" s="25"/>
      <c r="C27" s="217"/>
      <c r="D27" s="27" t="s">
        <v>29</v>
      </c>
      <c r="E27" s="22">
        <v>2.18E-2</v>
      </c>
      <c r="F27" s="22">
        <v>4.1000000000000002E-2</v>
      </c>
      <c r="G27" s="22">
        <v>7.4999999999999997E-2</v>
      </c>
      <c r="H27" s="22">
        <v>4.2799999999999998E-2</v>
      </c>
      <c r="I27" s="24">
        <v>1.7100000000000001E-2</v>
      </c>
      <c r="J27" s="24">
        <v>4.8399999999999999E-2</v>
      </c>
      <c r="K27" s="24">
        <v>3.4000000000000002E-2</v>
      </c>
      <c r="L27" s="24">
        <v>3.1699999999999999E-2</v>
      </c>
      <c r="M27" s="24">
        <v>3.8800000000000001E-2</v>
      </c>
      <c r="N27" s="24">
        <v>3.15E-2</v>
      </c>
      <c r="O27" s="24">
        <v>4.48E-2</v>
      </c>
      <c r="P27" s="24">
        <v>1.35E-2</v>
      </c>
      <c r="Q27" s="24">
        <v>1.5900000000000001E-2</v>
      </c>
      <c r="R27" s="24">
        <v>5.4699999999999999E-2</v>
      </c>
      <c r="S27" s="62">
        <f t="shared" si="0"/>
        <v>3.3112500000000003E-2</v>
      </c>
    </row>
    <row r="28" spans="1:19" ht="10.9" customHeight="1" x14ac:dyDescent="0.25">
      <c r="A28" s="214" t="s">
        <v>20</v>
      </c>
      <c r="B28" s="26"/>
      <c r="C28" s="218">
        <f>S53</f>
        <v>0.90517500000000006</v>
      </c>
      <c r="D28" s="28" t="s">
        <v>25</v>
      </c>
      <c r="E28" s="21">
        <v>0.82940000000000003</v>
      </c>
      <c r="F28" s="21">
        <v>0.70469999999999999</v>
      </c>
      <c r="G28" s="21">
        <v>0.6905</v>
      </c>
      <c r="H28" s="21">
        <v>0.76600000000000001</v>
      </c>
      <c r="I28" s="12">
        <v>0.78920000000000001</v>
      </c>
      <c r="J28" s="12">
        <v>0.74670000000000003</v>
      </c>
      <c r="K28" s="12">
        <v>0.77180000000000004</v>
      </c>
      <c r="L28" s="12">
        <v>0.88560000000000005</v>
      </c>
      <c r="M28" s="12">
        <v>0.78069999999999995</v>
      </c>
      <c r="N28" s="12">
        <v>0.8054</v>
      </c>
      <c r="O28" s="12">
        <v>0.70809999999999995</v>
      </c>
      <c r="P28" s="12">
        <v>0.83540000000000003</v>
      </c>
      <c r="Q28" s="12">
        <v>0.80510000000000004</v>
      </c>
      <c r="R28" s="12">
        <v>0.87719999999999998</v>
      </c>
      <c r="S28" s="19">
        <f t="shared" si="0"/>
        <v>0.80866250000000006</v>
      </c>
    </row>
    <row r="29" spans="1:19" ht="10.9" customHeight="1" x14ac:dyDescent="0.25">
      <c r="A29" s="214"/>
      <c r="B29" s="26"/>
      <c r="C29" s="219"/>
      <c r="D29" s="28" t="s">
        <v>26</v>
      </c>
      <c r="E29" s="21">
        <v>9.5200000000000007E-2</v>
      </c>
      <c r="F29" s="21">
        <v>0.17560000000000001</v>
      </c>
      <c r="G29" s="21">
        <v>0.17979999999999999</v>
      </c>
      <c r="H29" s="21">
        <v>0.1447</v>
      </c>
      <c r="I29" s="12">
        <v>0.1638</v>
      </c>
      <c r="J29" s="12">
        <v>0.14710000000000001</v>
      </c>
      <c r="K29" s="12">
        <v>6.8000000000000005E-2</v>
      </c>
      <c r="L29" s="12">
        <v>1.7600000000000001E-2</v>
      </c>
      <c r="M29" s="12">
        <v>9.8199999999999996E-2</v>
      </c>
      <c r="N29" s="12">
        <v>0.1196</v>
      </c>
      <c r="O29" s="12">
        <v>0.1255</v>
      </c>
      <c r="P29" s="12">
        <v>0.12759999999999999</v>
      </c>
      <c r="Q29" s="12">
        <v>0.15079999999999999</v>
      </c>
      <c r="R29" s="12">
        <v>6.4799999999999996E-2</v>
      </c>
      <c r="S29" s="19">
        <f t="shared" si="0"/>
        <v>9.6512500000000001E-2</v>
      </c>
    </row>
    <row r="30" spans="1:19" ht="10.9" customHeight="1" x14ac:dyDescent="0.25">
      <c r="A30" s="214"/>
      <c r="B30" s="26"/>
      <c r="C30" s="219"/>
      <c r="D30" s="28" t="s">
        <v>27</v>
      </c>
      <c r="E30" s="21">
        <v>2.98E-2</v>
      </c>
      <c r="F30" s="21">
        <v>4.6800000000000001E-2</v>
      </c>
      <c r="G30" s="21">
        <v>3.6900000000000002E-2</v>
      </c>
      <c r="H30" s="21">
        <v>2.7699999999999999E-2</v>
      </c>
      <c r="I30" s="12">
        <v>1.4200000000000001E-2</v>
      </c>
      <c r="J30" s="12">
        <v>3.5400000000000001E-2</v>
      </c>
      <c r="K30" s="12">
        <v>7.7700000000000005E-2</v>
      </c>
      <c r="L30" s="12">
        <v>3.1699999999999999E-2</v>
      </c>
      <c r="M30" s="12">
        <v>3.2000000000000001E-2</v>
      </c>
      <c r="N30" s="12">
        <v>2.5000000000000001E-2</v>
      </c>
      <c r="O30" s="12">
        <v>6.7900000000000002E-2</v>
      </c>
      <c r="P30" s="12">
        <v>1.4999999999999999E-2</v>
      </c>
      <c r="Q30" s="12">
        <v>3.6499999999999998E-2</v>
      </c>
      <c r="R30" s="12">
        <v>3.4000000000000002E-2</v>
      </c>
      <c r="S30" s="19">
        <f t="shared" si="0"/>
        <v>3.9974999999999997E-2</v>
      </c>
    </row>
    <row r="31" spans="1:19" ht="10.9" customHeight="1" x14ac:dyDescent="0.25">
      <c r="A31" s="214"/>
      <c r="B31" s="26"/>
      <c r="C31" s="219"/>
      <c r="D31" s="28" t="s">
        <v>28</v>
      </c>
      <c r="E31" s="21">
        <v>6.0000000000000001E-3</v>
      </c>
      <c r="F31" s="21">
        <v>1.6E-2</v>
      </c>
      <c r="G31" s="21">
        <v>9.4999999999999998E-3</v>
      </c>
      <c r="H31" s="21">
        <v>5.0000000000000001E-3</v>
      </c>
      <c r="I31" s="12">
        <v>1.14E-2</v>
      </c>
      <c r="J31" s="12">
        <v>1.6799999999999999E-2</v>
      </c>
      <c r="K31" s="12">
        <v>1.46E-2</v>
      </c>
      <c r="L31" s="12">
        <v>3.5000000000000001E-3</v>
      </c>
      <c r="M31" s="12">
        <v>1.9E-2</v>
      </c>
      <c r="N31" s="12">
        <v>9.2999999999999992E-3</v>
      </c>
      <c r="O31" s="12">
        <v>3.8399999999999997E-2</v>
      </c>
      <c r="P31" s="12">
        <v>7.7999999999999996E-3</v>
      </c>
      <c r="Q31" s="12">
        <v>2.8999999999999998E-3</v>
      </c>
      <c r="R31" s="12">
        <v>1.0699999999999999E-2</v>
      </c>
      <c r="S31" s="19">
        <f t="shared" si="0"/>
        <v>1.3274999999999999E-2</v>
      </c>
    </row>
    <row r="32" spans="1:19" ht="10.9" customHeight="1" x14ac:dyDescent="0.25">
      <c r="A32" s="214"/>
      <c r="B32" s="26"/>
      <c r="C32" s="219"/>
      <c r="D32" s="28" t="s">
        <v>29</v>
      </c>
      <c r="E32" s="21">
        <v>3.9699999999999999E-2</v>
      </c>
      <c r="F32" s="21">
        <v>5.7000000000000002E-2</v>
      </c>
      <c r="G32" s="21">
        <v>8.3299999999999999E-2</v>
      </c>
      <c r="H32" s="21">
        <v>5.6599999999999998E-2</v>
      </c>
      <c r="I32" s="12">
        <v>2.1399999999999999E-2</v>
      </c>
      <c r="J32" s="12">
        <v>5.3999999999999999E-2</v>
      </c>
      <c r="K32" s="12">
        <v>6.8000000000000005E-2</v>
      </c>
      <c r="L32" s="12">
        <v>6.1600000000000002E-2</v>
      </c>
      <c r="M32" s="12">
        <v>7.0099999999999996E-2</v>
      </c>
      <c r="N32" s="12">
        <v>4.0800000000000003E-2</v>
      </c>
      <c r="O32" s="12">
        <v>6.0199999999999997E-2</v>
      </c>
      <c r="P32" s="12">
        <v>1.43E-2</v>
      </c>
      <c r="Q32" s="12">
        <v>4.7000000000000002E-3</v>
      </c>
      <c r="R32" s="12">
        <v>1.34E-2</v>
      </c>
      <c r="S32" s="19">
        <f t="shared" si="0"/>
        <v>4.1637499999999994E-2</v>
      </c>
    </row>
    <row r="33" spans="1:19" ht="10.9" customHeight="1" x14ac:dyDescent="0.25">
      <c r="A33" s="213" t="s">
        <v>21</v>
      </c>
      <c r="B33" s="25"/>
      <c r="C33" s="216">
        <f>S54</f>
        <v>0.92693749999999997</v>
      </c>
      <c r="D33" s="27" t="s">
        <v>25</v>
      </c>
      <c r="E33" s="22">
        <v>0.83330000000000004</v>
      </c>
      <c r="F33" s="22">
        <v>0.69779999999999998</v>
      </c>
      <c r="G33" s="22">
        <v>0.70120000000000005</v>
      </c>
      <c r="H33" s="22">
        <v>0.79249999999999998</v>
      </c>
      <c r="I33" s="24">
        <v>0.80059999999999998</v>
      </c>
      <c r="J33" s="24">
        <v>0.76719999999999999</v>
      </c>
      <c r="K33" s="24">
        <v>0.78639999999999999</v>
      </c>
      <c r="L33" s="24">
        <v>0.93130000000000002</v>
      </c>
      <c r="M33" s="24">
        <v>0.8599</v>
      </c>
      <c r="N33" s="24">
        <v>0.83130000000000004</v>
      </c>
      <c r="O33" s="24">
        <v>0.74260000000000004</v>
      </c>
      <c r="P33" s="24">
        <v>0.86460000000000004</v>
      </c>
      <c r="Q33" s="24">
        <v>0.81859999999999999</v>
      </c>
      <c r="R33" s="24">
        <v>0.88319999999999999</v>
      </c>
      <c r="S33" s="62">
        <f t="shared" si="0"/>
        <v>0.83973750000000003</v>
      </c>
    </row>
    <row r="34" spans="1:19" ht="10.9" customHeight="1" x14ac:dyDescent="0.25">
      <c r="A34" s="213"/>
      <c r="B34" s="25"/>
      <c r="C34" s="217"/>
      <c r="D34" s="27" t="s">
        <v>26</v>
      </c>
      <c r="E34" s="22">
        <v>9.5200000000000007E-2</v>
      </c>
      <c r="F34" s="22">
        <v>0.1847</v>
      </c>
      <c r="G34" s="22">
        <v>0.18329999999999999</v>
      </c>
      <c r="H34" s="22">
        <v>0.1245</v>
      </c>
      <c r="I34" s="24">
        <v>0.15670000000000001</v>
      </c>
      <c r="J34" s="24">
        <v>0.1341</v>
      </c>
      <c r="K34" s="24">
        <v>5.3400000000000003E-2</v>
      </c>
      <c r="L34" s="24">
        <v>1.9400000000000001E-2</v>
      </c>
      <c r="M34" s="24">
        <v>5.0999999999999997E-2</v>
      </c>
      <c r="N34" s="24">
        <v>0.1057</v>
      </c>
      <c r="O34" s="24">
        <v>0.13320000000000001</v>
      </c>
      <c r="P34" s="24">
        <v>0.1041</v>
      </c>
      <c r="Q34" s="24">
        <v>0.14130000000000001</v>
      </c>
      <c r="R34" s="24">
        <v>8.9499999999999996E-2</v>
      </c>
      <c r="S34" s="62">
        <f t="shared" si="0"/>
        <v>8.72E-2</v>
      </c>
    </row>
    <row r="35" spans="1:19" ht="10.9" customHeight="1" x14ac:dyDescent="0.25">
      <c r="A35" s="213"/>
      <c r="B35" s="25"/>
      <c r="C35" s="217"/>
      <c r="D35" s="27" t="s">
        <v>27</v>
      </c>
      <c r="E35" s="22">
        <v>2.58E-2</v>
      </c>
      <c r="F35" s="22">
        <v>4.5600000000000002E-2</v>
      </c>
      <c r="G35" s="22">
        <v>3.1E-2</v>
      </c>
      <c r="H35" s="22">
        <v>3.0200000000000001E-2</v>
      </c>
      <c r="I35" s="24">
        <v>1.7100000000000001E-2</v>
      </c>
      <c r="J35" s="24">
        <v>2.98E-2</v>
      </c>
      <c r="K35" s="24">
        <v>8.2500000000000004E-2</v>
      </c>
      <c r="L35" s="24">
        <v>7.0000000000000001E-3</v>
      </c>
      <c r="M35" s="24">
        <v>2.5899999999999999E-2</v>
      </c>
      <c r="N35" s="24">
        <v>2.9700000000000001E-2</v>
      </c>
      <c r="O35" s="24">
        <v>4.2299999999999997E-2</v>
      </c>
      <c r="P35" s="24">
        <v>1.2800000000000001E-2</v>
      </c>
      <c r="Q35" s="24">
        <v>3.1800000000000002E-2</v>
      </c>
      <c r="R35" s="24">
        <v>1.54E-2</v>
      </c>
      <c r="S35" s="62">
        <f t="shared" si="0"/>
        <v>3.0925000000000001E-2</v>
      </c>
    </row>
    <row r="36" spans="1:19" ht="10.9" customHeight="1" x14ac:dyDescent="0.25">
      <c r="A36" s="213"/>
      <c r="B36" s="25"/>
      <c r="C36" s="217"/>
      <c r="D36" s="27" t="s">
        <v>28</v>
      </c>
      <c r="E36" s="22">
        <v>9.9000000000000008E-3</v>
      </c>
      <c r="F36" s="22">
        <v>2.1700000000000001E-2</v>
      </c>
      <c r="G36" s="22">
        <v>6.0000000000000001E-3</v>
      </c>
      <c r="H36" s="22">
        <v>3.8E-3</v>
      </c>
      <c r="I36" s="24">
        <v>8.5000000000000006E-3</v>
      </c>
      <c r="J36" s="24">
        <v>1.8599999999999998E-2</v>
      </c>
      <c r="K36" s="24">
        <v>4.8999999999999998E-3</v>
      </c>
      <c r="L36" s="24">
        <v>6.1999999999999998E-3</v>
      </c>
      <c r="M36" s="24">
        <v>1.6E-2</v>
      </c>
      <c r="N36" s="24">
        <v>5.5999999999999999E-3</v>
      </c>
      <c r="O36" s="24">
        <v>3.8399999999999997E-2</v>
      </c>
      <c r="P36" s="24">
        <v>9.2999999999999992E-3</v>
      </c>
      <c r="Q36" s="24">
        <v>2.8999999999999998E-3</v>
      </c>
      <c r="R36" s="24">
        <v>2E-3</v>
      </c>
      <c r="S36" s="62">
        <f t="shared" si="0"/>
        <v>1.06625E-2</v>
      </c>
    </row>
    <row r="37" spans="1:19" ht="10.9" customHeight="1" x14ac:dyDescent="0.25">
      <c r="A37" s="213"/>
      <c r="B37" s="25"/>
      <c r="C37" s="217"/>
      <c r="D37" s="27" t="s">
        <v>29</v>
      </c>
      <c r="E37" s="22">
        <v>3.5700000000000003E-2</v>
      </c>
      <c r="F37" s="22">
        <v>5.0200000000000002E-2</v>
      </c>
      <c r="G37" s="22">
        <v>7.8600000000000003E-2</v>
      </c>
      <c r="H37" s="22">
        <v>4.9099999999999998E-2</v>
      </c>
      <c r="I37" s="24">
        <v>1.7100000000000001E-2</v>
      </c>
      <c r="J37" s="24">
        <v>5.0299999999999997E-2</v>
      </c>
      <c r="K37" s="24">
        <v>7.2800000000000004E-2</v>
      </c>
      <c r="L37" s="24">
        <v>3.61E-2</v>
      </c>
      <c r="M37" s="24">
        <v>4.7199999999999999E-2</v>
      </c>
      <c r="N37" s="24">
        <v>2.7799999999999998E-2</v>
      </c>
      <c r="O37" s="24">
        <v>4.3499999999999997E-2</v>
      </c>
      <c r="P37" s="24">
        <v>9.2999999999999992E-3</v>
      </c>
      <c r="Q37" s="24">
        <v>5.3E-3</v>
      </c>
      <c r="R37" s="24">
        <v>0.01</v>
      </c>
      <c r="S37" s="62">
        <f t="shared" si="0"/>
        <v>3.15E-2</v>
      </c>
    </row>
    <row r="38" spans="1:19" ht="10.9" customHeight="1" x14ac:dyDescent="0.25">
      <c r="A38" s="214" t="s">
        <v>22</v>
      </c>
      <c r="B38" s="26"/>
      <c r="C38" s="218">
        <f>S55</f>
        <v>0.93533749999999993</v>
      </c>
      <c r="D38" s="28" t="s">
        <v>25</v>
      </c>
      <c r="E38" s="21">
        <v>0.84130000000000005</v>
      </c>
      <c r="F38" s="21">
        <v>0.77769999999999995</v>
      </c>
      <c r="G38" s="21">
        <v>0.75239999999999996</v>
      </c>
      <c r="H38" s="21">
        <v>0.83650000000000002</v>
      </c>
      <c r="I38" s="12">
        <v>0.81200000000000006</v>
      </c>
      <c r="J38" s="12">
        <v>0.77839999999999998</v>
      </c>
      <c r="K38" s="12">
        <v>0.80100000000000005</v>
      </c>
      <c r="L38" s="12">
        <v>0.9375</v>
      </c>
      <c r="M38" s="12">
        <v>0.86060000000000003</v>
      </c>
      <c r="N38" s="12">
        <v>0.83320000000000005</v>
      </c>
      <c r="O38" s="12">
        <v>0.73750000000000004</v>
      </c>
      <c r="P38" s="12">
        <v>0.85029999999999994</v>
      </c>
      <c r="Q38" s="12">
        <v>0.81569999999999998</v>
      </c>
      <c r="R38" s="12">
        <v>0.92659999999999998</v>
      </c>
      <c r="S38" s="19">
        <f t="shared" si="0"/>
        <v>0.84529999999999994</v>
      </c>
    </row>
    <row r="39" spans="1:19" ht="10.9" customHeight="1" x14ac:dyDescent="0.25">
      <c r="A39" s="214"/>
      <c r="B39" s="26"/>
      <c r="C39" s="219"/>
      <c r="D39" s="28" t="s">
        <v>26</v>
      </c>
      <c r="E39" s="21">
        <v>0.1032</v>
      </c>
      <c r="F39" s="21">
        <v>0.13</v>
      </c>
      <c r="G39" s="21">
        <v>0.12620000000000001</v>
      </c>
      <c r="H39" s="21">
        <v>0.1094</v>
      </c>
      <c r="I39" s="12">
        <v>0.15529999999999999</v>
      </c>
      <c r="J39" s="12">
        <v>0.14149999999999999</v>
      </c>
      <c r="K39" s="12">
        <v>5.8299999999999998E-2</v>
      </c>
      <c r="L39" s="12">
        <v>2.9000000000000001E-2</v>
      </c>
      <c r="M39" s="12">
        <v>8.2299999999999998E-2</v>
      </c>
      <c r="N39" s="12">
        <v>0.1047</v>
      </c>
      <c r="O39" s="12">
        <v>0.1293</v>
      </c>
      <c r="P39" s="12">
        <v>0.11550000000000001</v>
      </c>
      <c r="Q39" s="12">
        <v>0.14779999999999999</v>
      </c>
      <c r="R39" s="12">
        <v>5.3400000000000003E-2</v>
      </c>
      <c r="S39" s="19">
        <f t="shared" si="0"/>
        <v>9.0037500000000006E-2</v>
      </c>
    </row>
    <row r="40" spans="1:19" ht="10.9" customHeight="1" x14ac:dyDescent="0.25">
      <c r="A40" s="214"/>
      <c r="B40" s="26"/>
      <c r="C40" s="219"/>
      <c r="D40" s="28" t="s">
        <v>27</v>
      </c>
      <c r="E40" s="21">
        <v>2.58E-2</v>
      </c>
      <c r="F40" s="21">
        <v>3.4200000000000001E-2</v>
      </c>
      <c r="G40" s="21">
        <v>3.6900000000000002E-2</v>
      </c>
      <c r="H40" s="21">
        <v>2.1399999999999999E-2</v>
      </c>
      <c r="I40" s="12">
        <v>4.3E-3</v>
      </c>
      <c r="J40" s="12">
        <v>1.2999999999999999E-2</v>
      </c>
      <c r="K40" s="12">
        <v>5.3400000000000003E-2</v>
      </c>
      <c r="L40" s="12">
        <v>8.8000000000000005E-3</v>
      </c>
      <c r="M40" s="12">
        <v>1.83E-2</v>
      </c>
      <c r="N40" s="12">
        <v>2.87E-2</v>
      </c>
      <c r="O40" s="12">
        <v>6.2700000000000006E-2</v>
      </c>
      <c r="P40" s="12">
        <v>1.78E-2</v>
      </c>
      <c r="Q40" s="12">
        <v>0.03</v>
      </c>
      <c r="R40" s="12">
        <v>2.7000000000000001E-3</v>
      </c>
      <c r="S40" s="19">
        <f t="shared" si="0"/>
        <v>2.7800000000000002E-2</v>
      </c>
    </row>
    <row r="41" spans="1:19" ht="10.9" customHeight="1" x14ac:dyDescent="0.25">
      <c r="A41" s="214"/>
      <c r="B41" s="26"/>
      <c r="C41" s="219"/>
      <c r="D41" s="28" t="s">
        <v>28</v>
      </c>
      <c r="E41" s="21">
        <v>9.9000000000000008E-3</v>
      </c>
      <c r="F41" s="21">
        <v>1.8200000000000001E-2</v>
      </c>
      <c r="G41" s="21">
        <v>1.1900000000000001E-2</v>
      </c>
      <c r="H41" s="21">
        <v>3.8E-3</v>
      </c>
      <c r="I41" s="12">
        <v>4.3E-3</v>
      </c>
      <c r="J41" s="12">
        <v>1.6799999999999999E-2</v>
      </c>
      <c r="K41" s="12">
        <v>1.9400000000000001E-2</v>
      </c>
      <c r="L41" s="12">
        <v>1.7600000000000001E-2</v>
      </c>
      <c r="M41" s="12">
        <v>9.9000000000000008E-3</v>
      </c>
      <c r="N41" s="12">
        <v>3.7000000000000002E-3</v>
      </c>
      <c r="O41" s="12">
        <v>1.66E-2</v>
      </c>
      <c r="P41" s="12">
        <v>6.4000000000000003E-3</v>
      </c>
      <c r="Q41" s="12">
        <v>2.3999999999999998E-3</v>
      </c>
      <c r="R41" s="12">
        <v>4.7000000000000002E-3</v>
      </c>
      <c r="S41" s="19">
        <f t="shared" si="0"/>
        <v>1.0087500000000001E-2</v>
      </c>
    </row>
    <row r="42" spans="1:19" ht="10.9" customHeight="1" x14ac:dyDescent="0.25">
      <c r="A42" s="214"/>
      <c r="B42" s="26"/>
      <c r="C42" s="219"/>
      <c r="D42" s="28" t="s">
        <v>29</v>
      </c>
      <c r="E42" s="21">
        <v>1.9800000000000002E-2</v>
      </c>
      <c r="F42" s="21">
        <v>3.9899999999999998E-2</v>
      </c>
      <c r="G42" s="21">
        <v>7.2599999999999998E-2</v>
      </c>
      <c r="H42" s="21">
        <v>2.8899999999999999E-2</v>
      </c>
      <c r="I42" s="12">
        <v>2.4199999999999999E-2</v>
      </c>
      <c r="J42" s="12">
        <v>5.0299999999999997E-2</v>
      </c>
      <c r="K42" s="12">
        <v>6.8000000000000005E-2</v>
      </c>
      <c r="L42" s="12">
        <v>7.0000000000000001E-3</v>
      </c>
      <c r="M42" s="12">
        <v>2.8899999999999999E-2</v>
      </c>
      <c r="N42" s="12">
        <v>2.9700000000000001E-2</v>
      </c>
      <c r="O42" s="12">
        <v>5.3800000000000001E-2</v>
      </c>
      <c r="P42" s="12">
        <v>0.01</v>
      </c>
      <c r="Q42" s="12">
        <v>4.1000000000000003E-3</v>
      </c>
      <c r="R42" s="12">
        <v>1.2699999999999999E-2</v>
      </c>
      <c r="S42" s="19">
        <f t="shared" si="0"/>
        <v>2.6775E-2</v>
      </c>
    </row>
    <row r="43" spans="1:19" x14ac:dyDescent="0.25">
      <c r="A43" s="72"/>
      <c r="B43" s="72"/>
      <c r="C43" s="20"/>
      <c r="D43" s="73" t="s">
        <v>111</v>
      </c>
      <c r="E43" s="74">
        <f t="shared" ref="E43:S43" si="1">SUM(E3:E4,E8:E9,E13:E14,E18:E19,E23:E24,E28:E29,E33:E34,E38:E39)/8</f>
        <v>0.91890000000000016</v>
      </c>
      <c r="F43" s="74">
        <f t="shared" si="1"/>
        <v>0.87898750000000003</v>
      </c>
      <c r="G43" s="74">
        <f t="shared" si="1"/>
        <v>0.86890000000000001</v>
      </c>
      <c r="H43" s="74">
        <f t="shared" si="1"/>
        <v>0.91336250000000019</v>
      </c>
      <c r="I43" s="74">
        <f t="shared" si="1"/>
        <v>0.95745000000000013</v>
      </c>
      <c r="J43" s="74">
        <f t="shared" si="1"/>
        <v>0.88314999999999977</v>
      </c>
      <c r="K43" s="74">
        <f t="shared" ref="K43:R43" si="2">SUM(K3:K4,K8:K9,K13:K14,K18:K19,K23:K24,K28:K29,K33:K34,K38:K39)/8</f>
        <v>0.85922500000000002</v>
      </c>
      <c r="L43" s="74">
        <f t="shared" si="2"/>
        <v>0.90206249999999999</v>
      </c>
      <c r="M43" s="74">
        <f t="shared" si="2"/>
        <v>0.88613750000000002</v>
      </c>
      <c r="N43" s="74">
        <f t="shared" si="2"/>
        <v>0.91833749999999992</v>
      </c>
      <c r="O43" s="74">
        <f t="shared" si="2"/>
        <v>0.85753749999999995</v>
      </c>
      <c r="P43" s="74">
        <f t="shared" si="2"/>
        <v>0.95652500000000007</v>
      </c>
      <c r="Q43" s="74">
        <f t="shared" si="2"/>
        <v>0.95663750000000014</v>
      </c>
      <c r="R43" s="74">
        <f t="shared" si="2"/>
        <v>0.95837499999999998</v>
      </c>
      <c r="S43" s="74">
        <f t="shared" si="1"/>
        <v>0.91185468750000009</v>
      </c>
    </row>
    <row r="44" spans="1:19" x14ac:dyDescent="0.25">
      <c r="A44" s="72"/>
      <c r="B44" s="72"/>
      <c r="C44" s="20"/>
      <c r="D44" s="20" t="s">
        <v>11</v>
      </c>
      <c r="E44" s="75">
        <v>0.8</v>
      </c>
      <c r="F44" s="75">
        <v>0.8</v>
      </c>
      <c r="G44" s="75">
        <v>0.8</v>
      </c>
      <c r="H44" s="75">
        <v>0.8</v>
      </c>
      <c r="I44" s="75">
        <v>0.8</v>
      </c>
      <c r="J44" s="75">
        <v>0.8</v>
      </c>
      <c r="K44" s="75">
        <v>0.8</v>
      </c>
      <c r="L44" s="75">
        <v>0.8</v>
      </c>
      <c r="M44" s="75">
        <v>0.8</v>
      </c>
      <c r="N44" s="75">
        <v>0.8</v>
      </c>
      <c r="O44" s="75">
        <v>0.8</v>
      </c>
      <c r="P44" s="75">
        <v>0.8</v>
      </c>
      <c r="Q44" s="75">
        <v>0.8</v>
      </c>
      <c r="R44" s="75">
        <v>0.8</v>
      </c>
      <c r="S44" s="75">
        <v>0.8</v>
      </c>
    </row>
    <row r="46" spans="1:19" x14ac:dyDescent="0.25">
      <c r="B46" s="222" t="s">
        <v>34</v>
      </c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</row>
    <row r="47" spans="1:19" x14ac:dyDescent="0.25">
      <c r="B47" s="222" t="s">
        <v>23</v>
      </c>
      <c r="C47" s="222"/>
      <c r="D47" s="222"/>
      <c r="E47" s="20" t="s">
        <v>196</v>
      </c>
      <c r="F47" s="20" t="s">
        <v>197</v>
      </c>
      <c r="G47" s="20" t="s">
        <v>198</v>
      </c>
      <c r="H47" s="20" t="s">
        <v>187</v>
      </c>
      <c r="I47" s="20" t="s">
        <v>188</v>
      </c>
      <c r="J47" s="20" t="s">
        <v>189</v>
      </c>
      <c r="K47" s="20" t="s">
        <v>190</v>
      </c>
      <c r="L47" s="20" t="s">
        <v>199</v>
      </c>
      <c r="M47" s="20" t="s">
        <v>206</v>
      </c>
      <c r="N47" s="20" t="s">
        <v>279</v>
      </c>
      <c r="O47" s="20" t="s">
        <v>281</v>
      </c>
      <c r="P47" s="20" t="s">
        <v>288</v>
      </c>
      <c r="Q47" s="20" t="s">
        <v>303</v>
      </c>
      <c r="R47" s="20" t="s">
        <v>317</v>
      </c>
      <c r="S47" s="20" t="s">
        <v>31</v>
      </c>
    </row>
    <row r="48" spans="1:19" x14ac:dyDescent="0.25">
      <c r="B48" s="221" t="s">
        <v>15</v>
      </c>
      <c r="C48" s="221"/>
      <c r="D48" s="221"/>
      <c r="E48" s="24">
        <f t="shared" ref="E48:S48" si="3">SUM(E3:E4)</f>
        <v>0.96230000000000004</v>
      </c>
      <c r="F48" s="24">
        <f t="shared" si="3"/>
        <v>0.93500000000000005</v>
      </c>
      <c r="G48" s="24">
        <f t="shared" si="3"/>
        <v>0.9012</v>
      </c>
      <c r="H48" s="24">
        <f t="shared" si="3"/>
        <v>0.91949999999999998</v>
      </c>
      <c r="I48" s="24">
        <f t="shared" si="3"/>
        <v>0.97</v>
      </c>
      <c r="J48" s="24">
        <f t="shared" si="3"/>
        <v>0.89579999999999993</v>
      </c>
      <c r="K48" s="24">
        <f t="shared" ref="K48:R48" si="4">SUM(K3:K4)</f>
        <v>0.90780000000000005</v>
      </c>
      <c r="L48" s="24">
        <f t="shared" si="4"/>
        <v>0.95600000000000007</v>
      </c>
      <c r="M48" s="24">
        <f t="shared" si="4"/>
        <v>0.92159999999999997</v>
      </c>
      <c r="N48" s="24">
        <f t="shared" si="4"/>
        <v>0.94529999999999992</v>
      </c>
      <c r="O48" s="24">
        <f t="shared" si="4"/>
        <v>0.90649999999999997</v>
      </c>
      <c r="P48" s="24">
        <f t="shared" si="4"/>
        <v>0.96789999999999998</v>
      </c>
      <c r="Q48" s="24">
        <f t="shared" si="4"/>
        <v>0.96409999999999996</v>
      </c>
      <c r="R48" s="24">
        <f t="shared" si="4"/>
        <v>0.98659999999999992</v>
      </c>
      <c r="S48" s="62">
        <f t="shared" si="3"/>
        <v>0.94447500000000018</v>
      </c>
    </row>
    <row r="49" spans="1:20" x14ac:dyDescent="0.25">
      <c r="B49" s="220" t="s">
        <v>16</v>
      </c>
      <c r="C49" s="220"/>
      <c r="D49" s="220"/>
      <c r="E49" s="12">
        <f t="shared" ref="E49:S49" si="5">SUM(E8:E9)</f>
        <v>0.96619999999999995</v>
      </c>
      <c r="F49" s="12">
        <f t="shared" si="5"/>
        <v>0.93159999999999998</v>
      </c>
      <c r="G49" s="12">
        <f t="shared" si="5"/>
        <v>0.9012</v>
      </c>
      <c r="H49" s="12">
        <f t="shared" si="5"/>
        <v>0.92079999999999995</v>
      </c>
      <c r="I49" s="12">
        <f t="shared" si="5"/>
        <v>0.96439999999999992</v>
      </c>
      <c r="J49" s="12">
        <f t="shared" si="5"/>
        <v>0.90879999999999994</v>
      </c>
      <c r="K49" s="12">
        <f t="shared" ref="K49:R49" si="6">SUM(K8:K9)</f>
        <v>0.89800000000000002</v>
      </c>
      <c r="L49" s="12">
        <f t="shared" si="6"/>
        <v>0.9577</v>
      </c>
      <c r="M49" s="12">
        <f t="shared" si="6"/>
        <v>0.9032</v>
      </c>
      <c r="N49" s="12">
        <f t="shared" si="6"/>
        <v>0.93789999999999996</v>
      </c>
      <c r="O49" s="12">
        <f t="shared" si="6"/>
        <v>0.9052</v>
      </c>
      <c r="P49" s="12">
        <f t="shared" si="6"/>
        <v>0.96150000000000002</v>
      </c>
      <c r="Q49" s="12">
        <f t="shared" si="6"/>
        <v>0.96760000000000002</v>
      </c>
      <c r="R49" s="12">
        <f t="shared" si="6"/>
        <v>0.98599999999999999</v>
      </c>
      <c r="S49" s="19">
        <f t="shared" si="5"/>
        <v>0.93963750000000001</v>
      </c>
    </row>
    <row r="50" spans="1:20" x14ac:dyDescent="0.25">
      <c r="B50" s="221" t="s">
        <v>17</v>
      </c>
      <c r="C50" s="221"/>
      <c r="D50" s="221"/>
      <c r="E50" s="24">
        <f t="shared" ref="E50:S50" si="7">SUM(E13:E14)</f>
        <v>0.92069999999999996</v>
      </c>
      <c r="F50" s="24">
        <f t="shared" si="7"/>
        <v>0.91790000000000005</v>
      </c>
      <c r="G50" s="24">
        <f t="shared" si="7"/>
        <v>0.90710000000000002</v>
      </c>
      <c r="H50" s="24">
        <f t="shared" si="7"/>
        <v>0.94840000000000002</v>
      </c>
      <c r="I50" s="24">
        <f t="shared" si="7"/>
        <v>0.97150000000000003</v>
      </c>
      <c r="J50" s="24">
        <f t="shared" si="7"/>
        <v>0.88639999999999997</v>
      </c>
      <c r="K50" s="24">
        <f t="shared" ref="K50:R50" si="8">SUM(K13:K14)</f>
        <v>0.83499999999999996</v>
      </c>
      <c r="L50" s="24">
        <f t="shared" si="8"/>
        <v>0.96040000000000003</v>
      </c>
      <c r="M50" s="24">
        <f t="shared" si="8"/>
        <v>0.90939999999999999</v>
      </c>
      <c r="N50" s="24">
        <f t="shared" si="8"/>
        <v>0.91290000000000004</v>
      </c>
      <c r="O50" s="24">
        <f t="shared" si="8"/>
        <v>0.86419999999999997</v>
      </c>
      <c r="P50" s="24">
        <f t="shared" si="8"/>
        <v>0.95580000000000009</v>
      </c>
      <c r="Q50" s="24">
        <f t="shared" si="8"/>
        <v>0.96940000000000004</v>
      </c>
      <c r="R50" s="24">
        <f t="shared" si="8"/>
        <v>0.98060000000000003</v>
      </c>
      <c r="S50" s="62">
        <f t="shared" si="7"/>
        <v>0.92346250000000007</v>
      </c>
    </row>
    <row r="51" spans="1:20" x14ac:dyDescent="0.25">
      <c r="B51" s="220" t="s">
        <v>18</v>
      </c>
      <c r="C51" s="220"/>
      <c r="D51" s="220"/>
      <c r="E51" s="12">
        <f t="shared" ref="E51:S51" si="9">SUM(E18:E19)</f>
        <v>0.82150000000000001</v>
      </c>
      <c r="F51" s="12">
        <f t="shared" si="9"/>
        <v>0.75370000000000004</v>
      </c>
      <c r="G51" s="12">
        <f t="shared" si="9"/>
        <v>0.77380000000000004</v>
      </c>
      <c r="H51" s="12">
        <f t="shared" si="9"/>
        <v>0.85529999999999995</v>
      </c>
      <c r="I51" s="12">
        <f t="shared" si="9"/>
        <v>0.93020000000000003</v>
      </c>
      <c r="J51" s="12">
        <f t="shared" si="9"/>
        <v>0.80820000000000003</v>
      </c>
      <c r="K51" s="12">
        <f t="shared" ref="K51:R51" si="10">SUM(K18:K19)</f>
        <v>0.80089999999999995</v>
      </c>
      <c r="L51" s="12">
        <f t="shared" si="10"/>
        <v>0.7016</v>
      </c>
      <c r="M51" s="12">
        <f t="shared" si="10"/>
        <v>0.74939999999999996</v>
      </c>
      <c r="N51" s="12">
        <f t="shared" si="10"/>
        <v>0.85730000000000006</v>
      </c>
      <c r="O51" s="12">
        <f t="shared" si="10"/>
        <v>0.75800000000000001</v>
      </c>
      <c r="P51" s="12">
        <f t="shared" si="10"/>
        <v>0.93229999999999991</v>
      </c>
      <c r="Q51" s="12">
        <f t="shared" si="10"/>
        <v>0.94399999999999995</v>
      </c>
      <c r="R51" s="12">
        <f t="shared" si="10"/>
        <v>0.9173</v>
      </c>
      <c r="S51" s="19">
        <f t="shared" si="9"/>
        <v>0.83260000000000001</v>
      </c>
    </row>
    <row r="52" spans="1:20" x14ac:dyDescent="0.25">
      <c r="B52" s="221" t="s">
        <v>19</v>
      </c>
      <c r="C52" s="221"/>
      <c r="D52" s="221"/>
      <c r="E52" s="24">
        <f t="shared" ref="E52:S52" si="11">SUM(E23:E24)</f>
        <v>0.88290000000000002</v>
      </c>
      <c r="F52" s="24">
        <f t="shared" si="11"/>
        <v>0.82319999999999993</v>
      </c>
      <c r="G52" s="24">
        <f t="shared" si="11"/>
        <v>0.83450000000000002</v>
      </c>
      <c r="H52" s="24">
        <f t="shared" si="11"/>
        <v>0.88929999999999998</v>
      </c>
      <c r="I52" s="24">
        <f t="shared" si="11"/>
        <v>0.94589999999999996</v>
      </c>
      <c r="J52" s="24">
        <f t="shared" si="11"/>
        <v>0.85099999999999998</v>
      </c>
      <c r="K52" s="24">
        <f t="shared" ref="K52:R52" si="12">SUM(K23:K24)</f>
        <v>0.89319999999999999</v>
      </c>
      <c r="L52" s="24">
        <f t="shared" si="12"/>
        <v>0.82040000000000002</v>
      </c>
      <c r="M52" s="24">
        <f t="shared" si="12"/>
        <v>0.87280000000000002</v>
      </c>
      <c r="N52" s="24">
        <f t="shared" si="12"/>
        <v>0.89339999999999997</v>
      </c>
      <c r="O52" s="24">
        <f t="shared" si="12"/>
        <v>0.85019999999999996</v>
      </c>
      <c r="P52" s="24">
        <f t="shared" si="12"/>
        <v>0.93720000000000003</v>
      </c>
      <c r="Q52" s="24">
        <f t="shared" si="12"/>
        <v>0.92870000000000008</v>
      </c>
      <c r="R52" s="24">
        <f t="shared" si="12"/>
        <v>0.90179999999999993</v>
      </c>
      <c r="S52" s="62">
        <f t="shared" si="11"/>
        <v>0.88721249999999996</v>
      </c>
    </row>
    <row r="53" spans="1:20" x14ac:dyDescent="0.25">
      <c r="B53" s="220" t="s">
        <v>20</v>
      </c>
      <c r="C53" s="220"/>
      <c r="D53" s="220"/>
      <c r="E53" s="12">
        <f t="shared" ref="E53:S53" si="13">SUM(E28:E29)</f>
        <v>0.92460000000000009</v>
      </c>
      <c r="F53" s="12">
        <f t="shared" si="13"/>
        <v>0.88029999999999997</v>
      </c>
      <c r="G53" s="12">
        <f t="shared" si="13"/>
        <v>0.87029999999999996</v>
      </c>
      <c r="H53" s="12">
        <f t="shared" si="13"/>
        <v>0.91070000000000007</v>
      </c>
      <c r="I53" s="12">
        <f t="shared" si="13"/>
        <v>0.95300000000000007</v>
      </c>
      <c r="J53" s="12">
        <f t="shared" si="13"/>
        <v>0.89380000000000004</v>
      </c>
      <c r="K53" s="12">
        <f t="shared" ref="K53:R53" si="14">SUM(K28:K29)</f>
        <v>0.8398000000000001</v>
      </c>
      <c r="L53" s="12">
        <f t="shared" si="14"/>
        <v>0.9032</v>
      </c>
      <c r="M53" s="12">
        <f t="shared" si="14"/>
        <v>0.8788999999999999</v>
      </c>
      <c r="N53" s="12">
        <f t="shared" si="14"/>
        <v>0.92500000000000004</v>
      </c>
      <c r="O53" s="12">
        <f t="shared" si="14"/>
        <v>0.8335999999999999</v>
      </c>
      <c r="P53" s="12">
        <f t="shared" si="14"/>
        <v>0.96300000000000008</v>
      </c>
      <c r="Q53" s="12">
        <f t="shared" si="14"/>
        <v>0.95589999999999997</v>
      </c>
      <c r="R53" s="12">
        <f t="shared" si="14"/>
        <v>0.94199999999999995</v>
      </c>
      <c r="S53" s="19">
        <f t="shared" si="13"/>
        <v>0.90517500000000006</v>
      </c>
    </row>
    <row r="54" spans="1:20" x14ac:dyDescent="0.25">
      <c r="B54" s="221" t="s">
        <v>21</v>
      </c>
      <c r="C54" s="221"/>
      <c r="D54" s="221"/>
      <c r="E54" s="24">
        <f t="shared" ref="E54:S54" si="15">SUM(E33:E34)</f>
        <v>0.9285000000000001</v>
      </c>
      <c r="F54" s="24">
        <f t="shared" si="15"/>
        <v>0.88249999999999995</v>
      </c>
      <c r="G54" s="24">
        <f t="shared" si="15"/>
        <v>0.88450000000000006</v>
      </c>
      <c r="H54" s="24">
        <f t="shared" si="15"/>
        <v>0.91700000000000004</v>
      </c>
      <c r="I54" s="24">
        <f t="shared" si="15"/>
        <v>0.95730000000000004</v>
      </c>
      <c r="J54" s="24">
        <f t="shared" si="15"/>
        <v>0.90129999999999999</v>
      </c>
      <c r="K54" s="24">
        <f t="shared" ref="K54:R54" si="16">SUM(K33:K34)</f>
        <v>0.83979999999999999</v>
      </c>
      <c r="L54" s="24">
        <f t="shared" si="16"/>
        <v>0.95069999999999999</v>
      </c>
      <c r="M54" s="24">
        <f t="shared" si="16"/>
        <v>0.91090000000000004</v>
      </c>
      <c r="N54" s="24">
        <f t="shared" si="16"/>
        <v>0.93700000000000006</v>
      </c>
      <c r="O54" s="24">
        <f t="shared" si="16"/>
        <v>0.87580000000000002</v>
      </c>
      <c r="P54" s="24">
        <f t="shared" si="16"/>
        <v>0.96870000000000001</v>
      </c>
      <c r="Q54" s="24">
        <f t="shared" si="16"/>
        <v>0.95989999999999998</v>
      </c>
      <c r="R54" s="24">
        <f t="shared" si="16"/>
        <v>0.97270000000000001</v>
      </c>
      <c r="S54" s="62">
        <f t="shared" si="15"/>
        <v>0.92693749999999997</v>
      </c>
    </row>
    <row r="55" spans="1:20" x14ac:dyDescent="0.25">
      <c r="B55" s="220" t="s">
        <v>22</v>
      </c>
      <c r="C55" s="220"/>
      <c r="D55" s="220"/>
      <c r="E55" s="12">
        <f t="shared" ref="E55:S55" si="17">SUM(E38:E39)</f>
        <v>0.94450000000000001</v>
      </c>
      <c r="F55" s="12">
        <f t="shared" si="17"/>
        <v>0.90769999999999995</v>
      </c>
      <c r="G55" s="12">
        <f t="shared" si="17"/>
        <v>0.87859999999999994</v>
      </c>
      <c r="H55" s="12">
        <f t="shared" si="17"/>
        <v>0.94589999999999996</v>
      </c>
      <c r="I55" s="12">
        <f t="shared" si="17"/>
        <v>0.96730000000000005</v>
      </c>
      <c r="J55" s="12">
        <f t="shared" si="17"/>
        <v>0.91989999999999994</v>
      </c>
      <c r="K55" s="12">
        <f t="shared" ref="K55:R55" si="18">SUM(K38:K39)</f>
        <v>0.85930000000000006</v>
      </c>
      <c r="L55" s="12">
        <f t="shared" si="18"/>
        <v>0.96650000000000003</v>
      </c>
      <c r="M55" s="12">
        <f t="shared" si="18"/>
        <v>0.94290000000000007</v>
      </c>
      <c r="N55" s="12">
        <f t="shared" si="18"/>
        <v>0.93790000000000007</v>
      </c>
      <c r="O55" s="12">
        <f t="shared" si="18"/>
        <v>0.86680000000000001</v>
      </c>
      <c r="P55" s="12">
        <f t="shared" si="18"/>
        <v>0.96579999999999999</v>
      </c>
      <c r="Q55" s="12">
        <f t="shared" si="18"/>
        <v>0.96350000000000002</v>
      </c>
      <c r="R55" s="12">
        <f t="shared" si="18"/>
        <v>0.98</v>
      </c>
      <c r="S55" s="19">
        <f t="shared" si="17"/>
        <v>0.93533749999999993</v>
      </c>
    </row>
    <row r="56" spans="1:20" x14ac:dyDescent="0.25">
      <c r="E56" s="61">
        <f t="shared" ref="E56:S56" si="19">SUM(E48:E55)/8</f>
        <v>0.91890000000000005</v>
      </c>
      <c r="F56" s="61">
        <f t="shared" si="19"/>
        <v>0.87898750000000003</v>
      </c>
      <c r="G56" s="61">
        <f t="shared" si="19"/>
        <v>0.86890000000000001</v>
      </c>
      <c r="H56" s="61">
        <f t="shared" si="19"/>
        <v>0.91336250000000008</v>
      </c>
      <c r="I56" s="61">
        <f t="shared" si="19"/>
        <v>0.95745000000000002</v>
      </c>
      <c r="J56" s="61">
        <f t="shared" si="19"/>
        <v>0.88314999999999999</v>
      </c>
      <c r="K56" s="61">
        <f t="shared" ref="K56:R56" si="20">SUM(K48:K55)/8</f>
        <v>0.85922500000000013</v>
      </c>
      <c r="L56" s="61">
        <f t="shared" si="20"/>
        <v>0.90206249999999999</v>
      </c>
      <c r="M56" s="61">
        <f t="shared" si="20"/>
        <v>0.88613749999999991</v>
      </c>
      <c r="N56" s="61">
        <f t="shared" si="20"/>
        <v>0.91833750000000003</v>
      </c>
      <c r="O56" s="61">
        <f t="shared" si="20"/>
        <v>0.85753749999999984</v>
      </c>
      <c r="P56" s="61">
        <f t="shared" si="20"/>
        <v>0.95652499999999996</v>
      </c>
      <c r="Q56" s="61">
        <f t="shared" si="20"/>
        <v>0.95663749999999992</v>
      </c>
      <c r="R56" s="61">
        <f t="shared" si="20"/>
        <v>0.95837499999999998</v>
      </c>
      <c r="S56" s="61">
        <f t="shared" si="19"/>
        <v>0.91185468749999998</v>
      </c>
    </row>
    <row r="57" spans="1:20" s="64" customFormat="1" x14ac:dyDescent="0.25">
      <c r="A57" s="63"/>
      <c r="B57" s="63"/>
      <c r="E57" s="65"/>
      <c r="F57" s="65"/>
      <c r="G57" s="65"/>
      <c r="H57" s="65"/>
      <c r="I57" s="65"/>
      <c r="T57" s="66"/>
    </row>
    <row r="58" spans="1:20" s="64" customFormat="1" x14ac:dyDescent="0.25">
      <c r="A58" s="63"/>
      <c r="B58" s="222" t="s">
        <v>125</v>
      </c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66"/>
    </row>
    <row r="59" spans="1:20" s="64" customFormat="1" x14ac:dyDescent="0.25">
      <c r="A59" s="63"/>
      <c r="B59" s="222" t="s">
        <v>30</v>
      </c>
      <c r="C59" s="222"/>
      <c r="D59" s="222"/>
      <c r="E59" s="20" t="s">
        <v>196</v>
      </c>
      <c r="F59" s="20" t="s">
        <v>197</v>
      </c>
      <c r="G59" s="20" t="s">
        <v>198</v>
      </c>
      <c r="H59" s="20" t="s">
        <v>187</v>
      </c>
      <c r="I59" s="20" t="s">
        <v>188</v>
      </c>
      <c r="J59" s="20" t="s">
        <v>189</v>
      </c>
      <c r="K59" s="20" t="s">
        <v>190</v>
      </c>
      <c r="L59" s="20" t="s">
        <v>199</v>
      </c>
      <c r="M59" s="20" t="s">
        <v>206</v>
      </c>
      <c r="N59" s="20" t="s">
        <v>279</v>
      </c>
      <c r="O59" s="20" t="s">
        <v>281</v>
      </c>
      <c r="P59" s="20" t="s">
        <v>281</v>
      </c>
      <c r="Q59" s="20" t="s">
        <v>303</v>
      </c>
      <c r="R59" s="20" t="s">
        <v>317</v>
      </c>
      <c r="S59" s="20" t="s">
        <v>31</v>
      </c>
      <c r="T59" s="66"/>
    </row>
    <row r="60" spans="1:20" s="64" customFormat="1" x14ac:dyDescent="0.25">
      <c r="A60" s="63"/>
      <c r="B60" s="224" t="s">
        <v>25</v>
      </c>
      <c r="C60" s="224"/>
      <c r="D60" s="224"/>
      <c r="E60" s="70">
        <f t="shared" ref="E60:S60" si="21">SUM(E3,E8,E13,E18,E23,E28,E33,E38)/8</f>
        <v>0.81275000000000008</v>
      </c>
      <c r="F60" s="70">
        <f t="shared" si="21"/>
        <v>0.72107500000000002</v>
      </c>
      <c r="G60" s="70">
        <f t="shared" si="21"/>
        <v>0.68884999999999996</v>
      </c>
      <c r="H60" s="70">
        <f t="shared" si="21"/>
        <v>0.75251250000000003</v>
      </c>
      <c r="I60" s="70">
        <f t="shared" si="21"/>
        <v>0.78633750000000002</v>
      </c>
      <c r="J60" s="70">
        <f t="shared" si="21"/>
        <v>0.73906249999999996</v>
      </c>
      <c r="K60" s="70">
        <f t="shared" si="21"/>
        <v>0.78943750000000001</v>
      </c>
      <c r="L60" s="70">
        <f t="shared" si="21"/>
        <v>0.86840000000000006</v>
      </c>
      <c r="M60" s="70">
        <f t="shared" si="21"/>
        <v>0.79961249999999984</v>
      </c>
      <c r="N60" s="70">
        <f t="shared" si="21"/>
        <v>0.79878749999999987</v>
      </c>
      <c r="O60" s="70">
        <f t="shared" si="21"/>
        <v>0.72550000000000003</v>
      </c>
      <c r="P60" s="70">
        <f t="shared" si="21"/>
        <v>0.84186249999999996</v>
      </c>
      <c r="Q60" s="70">
        <f t="shared" si="21"/>
        <v>0.80764999999999998</v>
      </c>
      <c r="R60" s="70">
        <f t="shared" si="21"/>
        <v>0.90387499999999987</v>
      </c>
      <c r="S60" s="145">
        <f t="shared" si="21"/>
        <v>0.81689062500000009</v>
      </c>
      <c r="T60" s="66"/>
    </row>
    <row r="61" spans="1:20" s="64" customFormat="1" x14ac:dyDescent="0.25">
      <c r="A61" s="63"/>
      <c r="B61" s="225" t="s">
        <v>26</v>
      </c>
      <c r="C61" s="225"/>
      <c r="D61" s="225"/>
      <c r="E61" s="71">
        <f t="shared" ref="E61:S61" si="22">SUM(E4,E9,E14,E19,E24,E29,E34,E39)/8</f>
        <v>0.10614999999999999</v>
      </c>
      <c r="F61" s="71">
        <f t="shared" si="22"/>
        <v>0.15791250000000001</v>
      </c>
      <c r="G61" s="71">
        <f t="shared" si="22"/>
        <v>0.18005000000000002</v>
      </c>
      <c r="H61" s="71">
        <f t="shared" si="22"/>
        <v>0.16084999999999999</v>
      </c>
      <c r="I61" s="71">
        <f t="shared" si="22"/>
        <v>0.1711125</v>
      </c>
      <c r="J61" s="71">
        <f t="shared" si="22"/>
        <v>0.14408750000000001</v>
      </c>
      <c r="K61" s="71">
        <f t="shared" si="22"/>
        <v>6.9787500000000002E-2</v>
      </c>
      <c r="L61" s="71">
        <f t="shared" si="22"/>
        <v>3.3662500000000005E-2</v>
      </c>
      <c r="M61" s="71">
        <f t="shared" si="22"/>
        <v>8.6525000000000005E-2</v>
      </c>
      <c r="N61" s="71">
        <f t="shared" si="22"/>
        <v>0.11955000000000002</v>
      </c>
      <c r="O61" s="71">
        <f t="shared" si="22"/>
        <v>0.1320375</v>
      </c>
      <c r="P61" s="71">
        <f t="shared" si="22"/>
        <v>0.1146625</v>
      </c>
      <c r="Q61" s="71">
        <f t="shared" si="22"/>
        <v>0.14898749999999999</v>
      </c>
      <c r="R61" s="71">
        <f t="shared" si="22"/>
        <v>5.4500000000000007E-2</v>
      </c>
      <c r="S61" s="146">
        <f t="shared" si="22"/>
        <v>9.4964062500000002E-2</v>
      </c>
      <c r="T61" s="66"/>
    </row>
    <row r="62" spans="1:20" s="64" customFormat="1" x14ac:dyDescent="0.25">
      <c r="A62" s="63"/>
      <c r="B62" s="226" t="s">
        <v>27</v>
      </c>
      <c r="C62" s="226"/>
      <c r="D62" s="226"/>
      <c r="E62" s="69">
        <f t="shared" ref="E62:S62" si="23">SUM(E5,E10,E15,E20,E25,E30,E35,E40)/8</f>
        <v>3.7462499999999996E-2</v>
      </c>
      <c r="F62" s="69">
        <f t="shared" si="23"/>
        <v>5.0887500000000002E-2</v>
      </c>
      <c r="G62" s="69">
        <f t="shared" si="23"/>
        <v>4.0774999999999999E-2</v>
      </c>
      <c r="H62" s="69">
        <f t="shared" si="23"/>
        <v>4.0874999999999995E-2</v>
      </c>
      <c r="I62" s="69">
        <f t="shared" si="23"/>
        <v>1.4250000000000001E-2</v>
      </c>
      <c r="J62" s="69">
        <f t="shared" si="23"/>
        <v>4.58625E-2</v>
      </c>
      <c r="K62" s="69">
        <f t="shared" si="23"/>
        <v>5.8875000000000004E-2</v>
      </c>
      <c r="L62" s="69">
        <f t="shared" si="23"/>
        <v>4.4350000000000001E-2</v>
      </c>
      <c r="M62" s="69">
        <f t="shared" si="23"/>
        <v>3.7512499999999997E-2</v>
      </c>
      <c r="N62" s="69">
        <f t="shared" si="23"/>
        <v>3.73E-2</v>
      </c>
      <c r="O62" s="69">
        <f t="shared" si="23"/>
        <v>6.291250000000001E-2</v>
      </c>
      <c r="P62" s="69">
        <f t="shared" si="23"/>
        <v>2.1300000000000003E-2</v>
      </c>
      <c r="Q62" s="69">
        <f t="shared" si="23"/>
        <v>3.2537500000000004E-2</v>
      </c>
      <c r="R62" s="69">
        <f t="shared" si="23"/>
        <v>1.2362499999999998E-2</v>
      </c>
      <c r="S62" s="147">
        <f t="shared" si="23"/>
        <v>3.8393749999999997E-2</v>
      </c>
      <c r="T62" s="66"/>
    </row>
    <row r="63" spans="1:20" s="64" customFormat="1" x14ac:dyDescent="0.25">
      <c r="A63" s="63"/>
      <c r="B63" s="227" t="s">
        <v>28</v>
      </c>
      <c r="C63" s="227"/>
      <c r="D63" s="227"/>
      <c r="E63" s="68">
        <f t="shared" ref="E63:S63" si="24">SUM(E6,E11,E16,E21,E26,E31,E36,E41)/8</f>
        <v>1.3400000000000002E-2</v>
      </c>
      <c r="F63" s="68">
        <f t="shared" si="24"/>
        <v>2.3087499999999997E-2</v>
      </c>
      <c r="G63" s="68">
        <f t="shared" si="24"/>
        <v>1.14625E-2</v>
      </c>
      <c r="H63" s="68">
        <f t="shared" si="24"/>
        <v>8.175E-3</v>
      </c>
      <c r="I63" s="68">
        <f t="shared" si="24"/>
        <v>8.0000000000000002E-3</v>
      </c>
      <c r="J63" s="68">
        <f t="shared" si="24"/>
        <v>1.67625E-2</v>
      </c>
      <c r="K63" s="68">
        <f t="shared" si="24"/>
        <v>1.70125E-2</v>
      </c>
      <c r="L63" s="68">
        <f t="shared" si="24"/>
        <v>1.5625E-2</v>
      </c>
      <c r="M63" s="68">
        <f t="shared" si="24"/>
        <v>1.7137499999999996E-2</v>
      </c>
      <c r="N63" s="68">
        <f t="shared" si="24"/>
        <v>9.6249999999999999E-3</v>
      </c>
      <c r="O63" s="68">
        <f t="shared" si="24"/>
        <v>2.7037499999999999E-2</v>
      </c>
      <c r="P63" s="68">
        <f t="shared" si="24"/>
        <v>9.7875000000000011E-3</v>
      </c>
      <c r="Q63" s="68">
        <f t="shared" si="24"/>
        <v>4.4124999999999998E-3</v>
      </c>
      <c r="R63" s="68">
        <f t="shared" si="24"/>
        <v>8.1875000000000003E-3</v>
      </c>
      <c r="S63" s="148">
        <f t="shared" si="24"/>
        <v>1.3603125000000001E-2</v>
      </c>
      <c r="T63" s="66"/>
    </row>
    <row r="64" spans="1:20" s="64" customFormat="1" x14ac:dyDescent="0.25">
      <c r="A64" s="63"/>
      <c r="B64" s="223" t="s">
        <v>29</v>
      </c>
      <c r="C64" s="223"/>
      <c r="D64" s="223"/>
      <c r="E64" s="67">
        <f t="shared" ref="E64:S64" si="25">SUM(E7,E12,E17,E22,E27,E32,E37,E42)/8</f>
        <v>3.0262500000000001E-2</v>
      </c>
      <c r="F64" s="67">
        <f t="shared" si="25"/>
        <v>4.7025000000000004E-2</v>
      </c>
      <c r="G64" s="67">
        <f t="shared" si="25"/>
        <v>7.8862500000000002E-2</v>
      </c>
      <c r="H64" s="67">
        <f t="shared" si="25"/>
        <v>3.7587499999999996E-2</v>
      </c>
      <c r="I64" s="67">
        <f t="shared" si="25"/>
        <v>2.0300000000000002E-2</v>
      </c>
      <c r="J64" s="67">
        <f t="shared" si="25"/>
        <v>5.425E-2</v>
      </c>
      <c r="K64" s="67">
        <f t="shared" si="25"/>
        <v>6.492500000000001E-2</v>
      </c>
      <c r="L64" s="67">
        <f t="shared" si="25"/>
        <v>3.7962500000000003E-2</v>
      </c>
      <c r="M64" s="67">
        <f t="shared" si="25"/>
        <v>5.9199999999999996E-2</v>
      </c>
      <c r="N64" s="67">
        <f t="shared" si="25"/>
        <v>3.4762499999999995E-2</v>
      </c>
      <c r="O64" s="67">
        <f t="shared" si="25"/>
        <v>5.2499999999999998E-2</v>
      </c>
      <c r="P64" s="67">
        <f t="shared" si="25"/>
        <v>1.24E-2</v>
      </c>
      <c r="Q64" s="67">
        <f t="shared" si="25"/>
        <v>6.3875000000000008E-3</v>
      </c>
      <c r="R64" s="67">
        <f t="shared" si="25"/>
        <v>2.1099999999999997E-2</v>
      </c>
      <c r="S64" s="149">
        <f t="shared" si="25"/>
        <v>3.6154687500000005E-2</v>
      </c>
      <c r="T64" s="66"/>
    </row>
    <row r="65" spans="1:20" s="64" customFormat="1" x14ac:dyDescent="0.25">
      <c r="A65" s="63"/>
      <c r="B65" s="63"/>
      <c r="E65" s="65"/>
      <c r="F65" s="65"/>
      <c r="G65" s="65"/>
      <c r="H65" s="65"/>
      <c r="I65" s="65"/>
      <c r="T65" s="66"/>
    </row>
    <row r="66" spans="1:20" x14ac:dyDescent="0.25">
      <c r="E66" s="4"/>
    </row>
    <row r="67" spans="1:20" x14ac:dyDescent="0.25">
      <c r="E67" s="4"/>
    </row>
    <row r="69" spans="1:20" x14ac:dyDescent="0.25">
      <c r="E69" s="4"/>
    </row>
    <row r="70" spans="1:20" x14ac:dyDescent="0.25">
      <c r="E70" s="4"/>
    </row>
    <row r="71" spans="1:20" x14ac:dyDescent="0.25">
      <c r="E71" s="4"/>
    </row>
    <row r="72" spans="1:20" x14ac:dyDescent="0.25">
      <c r="E72" s="4"/>
    </row>
    <row r="74" spans="1:20" x14ac:dyDescent="0.25">
      <c r="E74" s="4"/>
    </row>
    <row r="75" spans="1:20" x14ac:dyDescent="0.25">
      <c r="E75" s="4"/>
    </row>
    <row r="76" spans="1:20" x14ac:dyDescent="0.25">
      <c r="E76" s="4"/>
    </row>
    <row r="77" spans="1:20" x14ac:dyDescent="0.25">
      <c r="E77" s="4"/>
    </row>
    <row r="81" spans="5:5" x14ac:dyDescent="0.25">
      <c r="E81" s="4"/>
    </row>
    <row r="82" spans="5:5" x14ac:dyDescent="0.25">
      <c r="E82" s="4"/>
    </row>
    <row r="84" spans="5:5" x14ac:dyDescent="0.25">
      <c r="E84" s="4"/>
    </row>
    <row r="85" spans="5:5" x14ac:dyDescent="0.25">
      <c r="E85" s="4"/>
    </row>
    <row r="86" spans="5:5" x14ac:dyDescent="0.25">
      <c r="E86" s="4"/>
    </row>
    <row r="87" spans="5:5" x14ac:dyDescent="0.25">
      <c r="E87" s="4"/>
    </row>
  </sheetData>
  <mergeCells count="35">
    <mergeCell ref="B64:D64"/>
    <mergeCell ref="B58:S58"/>
    <mergeCell ref="B60:D60"/>
    <mergeCell ref="B61:D61"/>
    <mergeCell ref="B62:D62"/>
    <mergeCell ref="B63:D63"/>
    <mergeCell ref="B59:D59"/>
    <mergeCell ref="B50:D50"/>
    <mergeCell ref="B2:C2"/>
    <mergeCell ref="C28:C32"/>
    <mergeCell ref="C33:C37"/>
    <mergeCell ref="C38:C42"/>
    <mergeCell ref="B48:D48"/>
    <mergeCell ref="B49:D49"/>
    <mergeCell ref="C23:C27"/>
    <mergeCell ref="B46:S46"/>
    <mergeCell ref="B47:D47"/>
    <mergeCell ref="B55:D55"/>
    <mergeCell ref="B54:D54"/>
    <mergeCell ref="B53:D53"/>
    <mergeCell ref="B51:D51"/>
    <mergeCell ref="B52:D52"/>
    <mergeCell ref="A1:S1"/>
    <mergeCell ref="C3:C7"/>
    <mergeCell ref="C8:C12"/>
    <mergeCell ref="C13:C17"/>
    <mergeCell ref="C18:C22"/>
    <mergeCell ref="A33:A37"/>
    <mergeCell ref="A38:A42"/>
    <mergeCell ref="A3:A7"/>
    <mergeCell ref="A8:A12"/>
    <mergeCell ref="A13:A17"/>
    <mergeCell ref="A18:A22"/>
    <mergeCell ref="A23:A27"/>
    <mergeCell ref="A28:A32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08"/>
  <sheetViews>
    <sheetView showGridLines="0" topLeftCell="A180" zoomScaleNormal="100" workbookViewId="0">
      <selection activeCell="J12" sqref="J12"/>
    </sheetView>
  </sheetViews>
  <sheetFormatPr defaultRowHeight="15" x14ac:dyDescent="0.25"/>
  <cols>
    <col min="1" max="8" width="22.7109375" customWidth="1"/>
  </cols>
  <sheetData>
    <row r="1" spans="1:25" ht="61.9" customHeight="1" x14ac:dyDescent="0.25">
      <c r="A1" s="210" t="s">
        <v>141</v>
      </c>
      <c r="B1" s="210"/>
      <c r="C1" s="210"/>
      <c r="D1" s="210"/>
      <c r="E1" s="210"/>
      <c r="F1" s="210"/>
      <c r="G1" s="210"/>
      <c r="H1" s="210"/>
      <c r="I1" s="44"/>
      <c r="J1" s="44"/>
      <c r="K1" s="44"/>
      <c r="L1" s="59"/>
      <c r="M1" s="59"/>
      <c r="N1" s="59"/>
      <c r="O1" s="59"/>
      <c r="P1" s="59"/>
      <c r="Q1" s="44"/>
      <c r="R1" s="44"/>
      <c r="S1" s="44"/>
      <c r="T1" s="44"/>
      <c r="U1" s="44"/>
      <c r="V1" s="44"/>
      <c r="W1" s="44"/>
      <c r="X1" s="44"/>
      <c r="Y1" s="44"/>
    </row>
    <row r="2" spans="1:25" ht="21" x14ac:dyDescent="0.25">
      <c r="A2" s="228" t="s">
        <v>174</v>
      </c>
      <c r="B2" s="228"/>
      <c r="C2" s="228"/>
      <c r="D2" s="228"/>
      <c r="E2" s="228"/>
      <c r="F2" s="228"/>
      <c r="G2" s="228"/>
      <c r="H2" s="228"/>
      <c r="I2" s="44"/>
      <c r="J2" s="44"/>
      <c r="K2" s="44"/>
      <c r="L2" s="59"/>
      <c r="M2" s="59"/>
      <c r="N2" s="59"/>
      <c r="O2" s="59"/>
      <c r="P2" s="59"/>
      <c r="Q2" s="44"/>
      <c r="R2" s="44"/>
      <c r="S2" s="44"/>
      <c r="T2" s="44"/>
      <c r="U2" s="44"/>
      <c r="V2" s="44"/>
      <c r="W2" s="44"/>
      <c r="X2" s="44"/>
      <c r="Y2" s="44"/>
    </row>
    <row r="3" spans="1:25" x14ac:dyDescent="0.25">
      <c r="A3" s="85" t="s">
        <v>142</v>
      </c>
      <c r="B3" s="85" t="s">
        <v>143</v>
      </c>
      <c r="C3" s="85" t="s">
        <v>144</v>
      </c>
      <c r="D3" s="85" t="s">
        <v>145</v>
      </c>
      <c r="E3" s="85" t="s">
        <v>146</v>
      </c>
      <c r="F3" s="85" t="s">
        <v>147</v>
      </c>
      <c r="G3" s="85" t="s">
        <v>148</v>
      </c>
      <c r="H3" s="85" t="s">
        <v>149</v>
      </c>
    </row>
    <row r="4" spans="1:25" x14ac:dyDescent="0.25">
      <c r="A4" s="85" t="s">
        <v>150</v>
      </c>
      <c r="B4" s="84">
        <v>4</v>
      </c>
      <c r="C4" s="84">
        <v>6.2</v>
      </c>
      <c r="D4" s="84">
        <v>5.4</v>
      </c>
      <c r="E4" s="84">
        <v>5.75</v>
      </c>
      <c r="F4" s="84">
        <v>6.25</v>
      </c>
      <c r="G4" s="84">
        <v>5.25</v>
      </c>
      <c r="H4" s="84">
        <v>4</v>
      </c>
    </row>
    <row r="5" spans="1:25" x14ac:dyDescent="0.25">
      <c r="A5" s="85" t="s">
        <v>151</v>
      </c>
      <c r="B5" s="84">
        <v>2.2000000000000002</v>
      </c>
      <c r="C5" s="84">
        <v>2.2000000000000002</v>
      </c>
      <c r="D5" s="84">
        <v>2.2000000000000002</v>
      </c>
      <c r="E5" s="84">
        <v>4</v>
      </c>
      <c r="F5" s="84">
        <v>3.25</v>
      </c>
      <c r="G5" s="84">
        <v>4.25</v>
      </c>
      <c r="H5" s="84">
        <v>4</v>
      </c>
    </row>
    <row r="6" spans="1:25" x14ac:dyDescent="0.25">
      <c r="A6" s="85" t="s">
        <v>152</v>
      </c>
      <c r="B6" s="84">
        <v>2.2000000000000002</v>
      </c>
      <c r="C6" s="84">
        <v>1.6</v>
      </c>
      <c r="D6" s="84">
        <v>1.8</v>
      </c>
      <c r="E6" s="84">
        <v>3.25</v>
      </c>
      <c r="F6" s="84">
        <v>3.5</v>
      </c>
      <c r="G6" s="84">
        <v>3.5</v>
      </c>
      <c r="H6" s="84">
        <v>2.25</v>
      </c>
    </row>
    <row r="7" spans="1:25" x14ac:dyDescent="0.25">
      <c r="A7" s="85" t="s">
        <v>153</v>
      </c>
      <c r="B7" s="84">
        <v>2.8</v>
      </c>
      <c r="C7" s="84">
        <v>2</v>
      </c>
      <c r="D7" s="84">
        <v>2.2000000000000002</v>
      </c>
      <c r="E7" s="84">
        <v>3</v>
      </c>
      <c r="F7" s="84">
        <v>2.5</v>
      </c>
      <c r="G7" s="84">
        <v>3.75</v>
      </c>
      <c r="H7" s="84">
        <v>1.75</v>
      </c>
    </row>
    <row r="8" spans="1:25" x14ac:dyDescent="0.25">
      <c r="A8" s="85" t="s">
        <v>154</v>
      </c>
      <c r="B8" s="84">
        <v>2.8</v>
      </c>
      <c r="C8" s="84">
        <v>3.2</v>
      </c>
      <c r="D8" s="84">
        <v>2.2000000000000002</v>
      </c>
      <c r="E8" s="84">
        <v>2.75</v>
      </c>
      <c r="F8" s="84">
        <v>2.5</v>
      </c>
      <c r="G8" s="84">
        <v>2.75</v>
      </c>
      <c r="H8" s="84">
        <v>3</v>
      </c>
    </row>
    <row r="9" spans="1:25" x14ac:dyDescent="0.25">
      <c r="A9" s="85" t="s">
        <v>155</v>
      </c>
      <c r="B9" s="84">
        <v>7.6</v>
      </c>
      <c r="C9" s="84">
        <v>4.5999999999999996</v>
      </c>
      <c r="D9" s="84">
        <v>8</v>
      </c>
      <c r="E9" s="84">
        <v>5</v>
      </c>
      <c r="F9" s="84">
        <v>6.75</v>
      </c>
      <c r="G9" s="84">
        <v>3.75</v>
      </c>
      <c r="H9" s="84">
        <v>3.25</v>
      </c>
    </row>
    <row r="10" spans="1:25" x14ac:dyDescent="0.25">
      <c r="A10" s="85" t="s">
        <v>156</v>
      </c>
      <c r="B10" s="84">
        <v>16.8</v>
      </c>
      <c r="C10" s="84">
        <v>12.8</v>
      </c>
      <c r="D10" s="84">
        <v>12.2</v>
      </c>
      <c r="E10" s="84">
        <v>12.25</v>
      </c>
      <c r="F10" s="84">
        <v>11.75</v>
      </c>
      <c r="G10" s="84">
        <v>7</v>
      </c>
      <c r="H10" s="84">
        <v>7</v>
      </c>
    </row>
    <row r="11" spans="1:25" x14ac:dyDescent="0.25">
      <c r="A11" s="85" t="s">
        <v>157</v>
      </c>
      <c r="B11" s="84">
        <v>18</v>
      </c>
      <c r="C11" s="84">
        <v>16</v>
      </c>
      <c r="D11" s="84">
        <v>16</v>
      </c>
      <c r="E11" s="84">
        <v>14.25</v>
      </c>
      <c r="F11" s="84">
        <v>19.5</v>
      </c>
      <c r="G11" s="84">
        <v>13</v>
      </c>
      <c r="H11" s="84">
        <v>5.25</v>
      </c>
    </row>
    <row r="12" spans="1:25" x14ac:dyDescent="0.25">
      <c r="A12" s="85" t="s">
        <v>158</v>
      </c>
      <c r="B12" s="84">
        <v>20.8</v>
      </c>
      <c r="C12" s="84">
        <v>21.4</v>
      </c>
      <c r="D12" s="84">
        <v>18.8</v>
      </c>
      <c r="E12" s="84">
        <v>21.5</v>
      </c>
      <c r="F12" s="84">
        <v>15.5</v>
      </c>
      <c r="G12" s="84">
        <v>9.5</v>
      </c>
      <c r="H12" s="84">
        <v>7.5</v>
      </c>
    </row>
    <row r="13" spans="1:25" x14ac:dyDescent="0.25">
      <c r="A13" s="85" t="s">
        <v>159</v>
      </c>
      <c r="B13" s="84">
        <v>23.8</v>
      </c>
      <c r="C13" s="84">
        <v>18.2</v>
      </c>
      <c r="D13" s="84">
        <v>17.2</v>
      </c>
      <c r="E13" s="84">
        <v>21.5</v>
      </c>
      <c r="F13" s="84">
        <v>20</v>
      </c>
      <c r="G13" s="84">
        <v>10.25</v>
      </c>
      <c r="H13" s="84">
        <v>12.25</v>
      </c>
    </row>
    <row r="14" spans="1:25" x14ac:dyDescent="0.25">
      <c r="A14" s="85" t="s">
        <v>160</v>
      </c>
      <c r="B14" s="84">
        <v>20.2</v>
      </c>
      <c r="C14" s="84">
        <v>19.600000000000001</v>
      </c>
      <c r="D14" s="84">
        <v>22.6</v>
      </c>
      <c r="E14" s="84">
        <v>16</v>
      </c>
      <c r="F14" s="84">
        <v>19.25</v>
      </c>
      <c r="G14" s="84">
        <v>15.25</v>
      </c>
      <c r="H14" s="84">
        <v>12.25</v>
      </c>
    </row>
    <row r="15" spans="1:25" x14ac:dyDescent="0.25">
      <c r="A15" s="85" t="s">
        <v>161</v>
      </c>
      <c r="B15" s="84">
        <v>24.6</v>
      </c>
      <c r="C15" s="84">
        <v>13.8</v>
      </c>
      <c r="D15" s="84">
        <v>14.2</v>
      </c>
      <c r="E15" s="84">
        <v>18.75</v>
      </c>
      <c r="F15" s="84">
        <v>17.75</v>
      </c>
      <c r="G15" s="84">
        <v>13</v>
      </c>
      <c r="H15" s="84">
        <v>13</v>
      </c>
    </row>
    <row r="16" spans="1:25" x14ac:dyDescent="0.25">
      <c r="A16" s="85" t="s">
        <v>162</v>
      </c>
      <c r="B16" s="84">
        <v>20.2</v>
      </c>
      <c r="C16" s="84">
        <v>17.399999999999999</v>
      </c>
      <c r="D16" s="84">
        <v>16.600000000000001</v>
      </c>
      <c r="E16" s="84">
        <v>15.25</v>
      </c>
      <c r="F16" s="84">
        <v>15.25</v>
      </c>
      <c r="G16" s="84">
        <v>7.5</v>
      </c>
      <c r="H16" s="84">
        <v>10.5</v>
      </c>
    </row>
    <row r="17" spans="1:8" x14ac:dyDescent="0.25">
      <c r="A17" s="85" t="s">
        <v>163</v>
      </c>
      <c r="B17" s="84">
        <v>24.4</v>
      </c>
      <c r="C17" s="84">
        <v>20.8</v>
      </c>
      <c r="D17" s="84">
        <v>20.2</v>
      </c>
      <c r="E17" s="84">
        <v>15</v>
      </c>
      <c r="F17" s="84">
        <v>20.25</v>
      </c>
      <c r="G17" s="84">
        <v>8.5</v>
      </c>
      <c r="H17" s="84">
        <v>10.25</v>
      </c>
    </row>
    <row r="18" spans="1:8" x14ac:dyDescent="0.25">
      <c r="A18" s="85" t="s">
        <v>164</v>
      </c>
      <c r="B18" s="84">
        <v>22.8</v>
      </c>
      <c r="C18" s="84">
        <v>17.8</v>
      </c>
      <c r="D18" s="84">
        <v>18.2</v>
      </c>
      <c r="E18" s="84">
        <v>18</v>
      </c>
      <c r="F18" s="84">
        <v>14</v>
      </c>
      <c r="G18" s="84">
        <v>9.5</v>
      </c>
      <c r="H18" s="84">
        <v>13.25</v>
      </c>
    </row>
    <row r="19" spans="1:8" x14ac:dyDescent="0.25">
      <c r="A19" s="85" t="s">
        <v>165</v>
      </c>
      <c r="B19" s="84">
        <v>13.8</v>
      </c>
      <c r="C19" s="84">
        <v>12.6</v>
      </c>
      <c r="D19" s="84">
        <v>14.2</v>
      </c>
      <c r="E19" s="84">
        <v>17.25</v>
      </c>
      <c r="F19" s="84">
        <v>14.75</v>
      </c>
      <c r="G19" s="84">
        <v>9.25</v>
      </c>
      <c r="H19" s="84">
        <v>13.5</v>
      </c>
    </row>
    <row r="20" spans="1:8" x14ac:dyDescent="0.25">
      <c r="A20" s="85" t="s">
        <v>166</v>
      </c>
      <c r="B20" s="84">
        <v>17.600000000000001</v>
      </c>
      <c r="C20" s="84">
        <v>12</v>
      </c>
      <c r="D20" s="84">
        <v>19.600000000000001</v>
      </c>
      <c r="E20" s="84">
        <v>15.75</v>
      </c>
      <c r="F20" s="84">
        <v>14.25</v>
      </c>
      <c r="G20" s="84">
        <v>9</v>
      </c>
      <c r="H20" s="84">
        <v>12</v>
      </c>
    </row>
    <row r="21" spans="1:8" x14ac:dyDescent="0.25">
      <c r="A21" s="85" t="s">
        <v>167</v>
      </c>
      <c r="B21" s="84">
        <v>16.600000000000001</v>
      </c>
      <c r="C21" s="84">
        <v>14</v>
      </c>
      <c r="D21" s="84">
        <v>11.6</v>
      </c>
      <c r="E21" s="84">
        <v>15.75</v>
      </c>
      <c r="F21" s="84">
        <v>12</v>
      </c>
      <c r="G21" s="84">
        <v>9.75</v>
      </c>
      <c r="H21" s="84">
        <v>13</v>
      </c>
    </row>
    <row r="22" spans="1:8" x14ac:dyDescent="0.25">
      <c r="A22" s="85" t="s">
        <v>168</v>
      </c>
      <c r="B22" s="84">
        <v>17.2</v>
      </c>
      <c r="C22" s="84">
        <v>13.6</v>
      </c>
      <c r="D22" s="84">
        <v>15.4</v>
      </c>
      <c r="E22" s="84">
        <v>16.25</v>
      </c>
      <c r="F22" s="84">
        <v>12.75</v>
      </c>
      <c r="G22" s="84">
        <v>11.25</v>
      </c>
      <c r="H22" s="84">
        <v>11.5</v>
      </c>
    </row>
    <row r="23" spans="1:8" x14ac:dyDescent="0.25">
      <c r="A23" s="85" t="s">
        <v>169</v>
      </c>
      <c r="B23" s="84">
        <v>17.2</v>
      </c>
      <c r="C23" s="84">
        <v>9.8000000000000007</v>
      </c>
      <c r="D23" s="84">
        <v>14.8</v>
      </c>
      <c r="E23" s="84">
        <v>16.75</v>
      </c>
      <c r="F23" s="84">
        <v>13.5</v>
      </c>
      <c r="G23" s="84">
        <v>10.5</v>
      </c>
      <c r="H23" s="84">
        <v>10.5</v>
      </c>
    </row>
    <row r="24" spans="1:8" x14ac:dyDescent="0.25">
      <c r="A24" s="85" t="s">
        <v>170</v>
      </c>
      <c r="B24" s="84">
        <v>16.2</v>
      </c>
      <c r="C24" s="84">
        <v>13.2</v>
      </c>
      <c r="D24" s="84">
        <v>14</v>
      </c>
      <c r="E24" s="84">
        <v>10</v>
      </c>
      <c r="F24" s="84">
        <v>11.75</v>
      </c>
      <c r="G24" s="84">
        <v>9.5</v>
      </c>
      <c r="H24" s="84">
        <v>10</v>
      </c>
    </row>
    <row r="25" spans="1:8" x14ac:dyDescent="0.25">
      <c r="A25" s="85" t="s">
        <v>171</v>
      </c>
      <c r="B25" s="84">
        <v>11.2</v>
      </c>
      <c r="C25" s="84">
        <v>9.8000000000000007</v>
      </c>
      <c r="D25" s="84">
        <v>10.199999999999999</v>
      </c>
      <c r="E25" s="84">
        <v>14.5</v>
      </c>
      <c r="F25" s="84">
        <v>9.5</v>
      </c>
      <c r="G25" s="84">
        <v>7.5</v>
      </c>
      <c r="H25" s="84">
        <v>11.25</v>
      </c>
    </row>
    <row r="26" spans="1:8" x14ac:dyDescent="0.25">
      <c r="A26" s="85" t="s">
        <v>172</v>
      </c>
      <c r="B26" s="84">
        <v>10.8</v>
      </c>
      <c r="C26" s="84">
        <v>7.2</v>
      </c>
      <c r="D26" s="84">
        <v>8.6</v>
      </c>
      <c r="E26" s="84">
        <v>8</v>
      </c>
      <c r="F26" s="84">
        <v>8.25</v>
      </c>
      <c r="G26" s="84">
        <v>8.75</v>
      </c>
      <c r="H26" s="84">
        <v>8.25</v>
      </c>
    </row>
    <row r="27" spans="1:8" x14ac:dyDescent="0.25">
      <c r="A27" s="85" t="s">
        <v>173</v>
      </c>
      <c r="B27" s="84">
        <v>5.4</v>
      </c>
      <c r="C27" s="84">
        <v>7</v>
      </c>
      <c r="D27" s="84">
        <v>6.6</v>
      </c>
      <c r="E27" s="84">
        <v>7.75</v>
      </c>
      <c r="F27" s="84">
        <v>9.75</v>
      </c>
      <c r="G27" s="84">
        <v>5.75</v>
      </c>
      <c r="H27" s="84">
        <v>4.75</v>
      </c>
    </row>
    <row r="28" spans="1:8" x14ac:dyDescent="0.25">
      <c r="A28" s="85" t="s">
        <v>5</v>
      </c>
      <c r="B28" s="86">
        <v>339.2</v>
      </c>
      <c r="C28" s="86">
        <v>276.8</v>
      </c>
      <c r="D28" s="86">
        <v>292.8</v>
      </c>
      <c r="E28" s="86">
        <v>298.25</v>
      </c>
      <c r="F28" s="86">
        <v>284.5</v>
      </c>
      <c r="G28" s="86">
        <v>198</v>
      </c>
      <c r="H28" s="86">
        <v>204.25</v>
      </c>
    </row>
    <row r="32" spans="1:8" ht="21" x14ac:dyDescent="0.25">
      <c r="A32" s="228" t="s">
        <v>175</v>
      </c>
      <c r="B32" s="228"/>
      <c r="C32" s="228"/>
      <c r="D32" s="228"/>
      <c r="E32" s="228"/>
      <c r="F32" s="228"/>
      <c r="G32" s="228"/>
      <c r="H32" s="228"/>
    </row>
    <row r="33" spans="1:8" x14ac:dyDescent="0.25">
      <c r="A33" s="85" t="s">
        <v>142</v>
      </c>
      <c r="B33" s="85" t="s">
        <v>143</v>
      </c>
      <c r="C33" s="85" t="s">
        <v>144</v>
      </c>
      <c r="D33" s="85" t="s">
        <v>145</v>
      </c>
      <c r="E33" s="85" t="s">
        <v>146</v>
      </c>
      <c r="F33" s="85" t="s">
        <v>147</v>
      </c>
      <c r="G33" s="85" t="s">
        <v>148</v>
      </c>
      <c r="H33" s="85" t="s">
        <v>149</v>
      </c>
    </row>
    <row r="34" spans="1:8" x14ac:dyDescent="0.25">
      <c r="A34" s="85" t="s">
        <v>150</v>
      </c>
      <c r="B34" s="84">
        <v>5.5</v>
      </c>
      <c r="C34" s="84">
        <v>8.25</v>
      </c>
      <c r="D34" s="84">
        <v>4.25</v>
      </c>
      <c r="E34" s="84">
        <v>7.8</v>
      </c>
      <c r="F34" s="84">
        <v>9</v>
      </c>
      <c r="G34" s="84">
        <v>7.6</v>
      </c>
      <c r="H34" s="84">
        <v>6</v>
      </c>
    </row>
    <row r="35" spans="1:8" x14ac:dyDescent="0.25">
      <c r="A35" s="85" t="s">
        <v>151</v>
      </c>
      <c r="B35" s="84">
        <v>2.25</v>
      </c>
      <c r="C35" s="84">
        <v>4.25</v>
      </c>
      <c r="D35" s="84">
        <v>2.75</v>
      </c>
      <c r="E35" s="84">
        <v>5</v>
      </c>
      <c r="F35" s="84">
        <v>5</v>
      </c>
      <c r="G35" s="84">
        <v>4</v>
      </c>
      <c r="H35" s="84">
        <v>3</v>
      </c>
    </row>
    <row r="36" spans="1:8" x14ac:dyDescent="0.25">
      <c r="A36" s="85" t="s">
        <v>152</v>
      </c>
      <c r="B36" s="84">
        <v>3</v>
      </c>
      <c r="C36" s="84">
        <v>2</v>
      </c>
      <c r="D36" s="84">
        <v>2.5</v>
      </c>
      <c r="E36" s="84">
        <v>3.8</v>
      </c>
      <c r="F36" s="84">
        <v>3.6</v>
      </c>
      <c r="G36" s="84">
        <v>5.2</v>
      </c>
      <c r="H36" s="84">
        <v>4</v>
      </c>
    </row>
    <row r="37" spans="1:8" x14ac:dyDescent="0.25">
      <c r="A37" s="85" t="s">
        <v>153</v>
      </c>
      <c r="B37" s="84">
        <v>4.75</v>
      </c>
      <c r="C37" s="84">
        <v>6.5</v>
      </c>
      <c r="D37" s="84">
        <v>3.5</v>
      </c>
      <c r="E37" s="84">
        <v>2</v>
      </c>
      <c r="F37" s="84">
        <v>2</v>
      </c>
      <c r="G37" s="84">
        <v>3.4</v>
      </c>
      <c r="H37" s="84">
        <v>2.5</v>
      </c>
    </row>
    <row r="38" spans="1:8" x14ac:dyDescent="0.25">
      <c r="A38" s="85" t="s">
        <v>154</v>
      </c>
      <c r="B38" s="84">
        <v>4</v>
      </c>
      <c r="C38" s="84">
        <v>2.75</v>
      </c>
      <c r="D38" s="84">
        <v>4</v>
      </c>
      <c r="E38" s="84">
        <v>4.4000000000000004</v>
      </c>
      <c r="F38" s="84">
        <v>3</v>
      </c>
      <c r="G38" s="84">
        <v>3</v>
      </c>
      <c r="H38" s="84">
        <v>2.75</v>
      </c>
    </row>
    <row r="39" spans="1:8" x14ac:dyDescent="0.25">
      <c r="A39" s="85" t="s">
        <v>155</v>
      </c>
      <c r="B39" s="84">
        <v>7.5</v>
      </c>
      <c r="C39" s="84">
        <v>8.5</v>
      </c>
      <c r="D39" s="84">
        <v>9.25</v>
      </c>
      <c r="E39" s="84">
        <v>12</v>
      </c>
      <c r="F39" s="84">
        <v>12</v>
      </c>
      <c r="G39" s="84">
        <v>8</v>
      </c>
      <c r="H39" s="84">
        <v>3.25</v>
      </c>
    </row>
    <row r="40" spans="1:8" x14ac:dyDescent="0.25">
      <c r="A40" s="85" t="s">
        <v>156</v>
      </c>
      <c r="B40" s="84">
        <v>20</v>
      </c>
      <c r="C40" s="84">
        <v>15</v>
      </c>
      <c r="D40" s="84">
        <v>11.75</v>
      </c>
      <c r="E40" s="84">
        <v>16.600000000000001</v>
      </c>
      <c r="F40" s="84">
        <v>14.2</v>
      </c>
      <c r="G40" s="84">
        <v>7.8</v>
      </c>
      <c r="H40" s="84">
        <v>4.75</v>
      </c>
    </row>
    <row r="41" spans="1:8" x14ac:dyDescent="0.25">
      <c r="A41" s="85" t="s">
        <v>157</v>
      </c>
      <c r="B41" s="84">
        <v>23</v>
      </c>
      <c r="C41" s="84">
        <v>18.5</v>
      </c>
      <c r="D41" s="84">
        <v>28</v>
      </c>
      <c r="E41" s="84">
        <v>23.2</v>
      </c>
      <c r="F41" s="84">
        <v>22.4</v>
      </c>
      <c r="G41" s="84">
        <v>13</v>
      </c>
      <c r="H41" s="84">
        <v>8.25</v>
      </c>
    </row>
    <row r="42" spans="1:8" x14ac:dyDescent="0.25">
      <c r="A42" s="85" t="s">
        <v>158</v>
      </c>
      <c r="B42" s="84">
        <v>31.5</v>
      </c>
      <c r="C42" s="84">
        <v>27.25</v>
      </c>
      <c r="D42" s="84">
        <v>25.5</v>
      </c>
      <c r="E42" s="84">
        <v>24.4</v>
      </c>
      <c r="F42" s="84">
        <v>23.8</v>
      </c>
      <c r="G42" s="84">
        <v>15.2</v>
      </c>
      <c r="H42" s="84">
        <v>8</v>
      </c>
    </row>
    <row r="43" spans="1:8" x14ac:dyDescent="0.25">
      <c r="A43" s="85" t="s">
        <v>159</v>
      </c>
      <c r="B43" s="84">
        <v>31.25</v>
      </c>
      <c r="C43" s="84">
        <v>24.5</v>
      </c>
      <c r="D43" s="84">
        <v>29.5</v>
      </c>
      <c r="E43" s="84">
        <v>24.6</v>
      </c>
      <c r="F43" s="84">
        <v>20.2</v>
      </c>
      <c r="G43" s="84">
        <v>19</v>
      </c>
      <c r="H43" s="84">
        <v>13.5</v>
      </c>
    </row>
    <row r="44" spans="1:8" x14ac:dyDescent="0.25">
      <c r="A44" s="85" t="s">
        <v>160</v>
      </c>
      <c r="B44" s="84">
        <v>24.25</v>
      </c>
      <c r="C44" s="84">
        <v>25.25</v>
      </c>
      <c r="D44" s="84">
        <v>22.75</v>
      </c>
      <c r="E44" s="84">
        <v>22</v>
      </c>
      <c r="F44" s="84">
        <v>21.2</v>
      </c>
      <c r="G44" s="84">
        <v>20.8</v>
      </c>
      <c r="H44" s="84">
        <v>14</v>
      </c>
    </row>
    <row r="45" spans="1:8" x14ac:dyDescent="0.25">
      <c r="A45" s="85" t="s">
        <v>161</v>
      </c>
      <c r="B45" s="84">
        <v>22.25</v>
      </c>
      <c r="C45" s="84">
        <v>20.75</v>
      </c>
      <c r="D45" s="84">
        <v>21.75</v>
      </c>
      <c r="E45" s="84">
        <v>18.600000000000001</v>
      </c>
      <c r="F45" s="84">
        <v>17.399999999999999</v>
      </c>
      <c r="G45" s="84">
        <v>17.2</v>
      </c>
      <c r="H45" s="84">
        <v>11.75</v>
      </c>
    </row>
    <row r="46" spans="1:8" x14ac:dyDescent="0.25">
      <c r="A46" s="85" t="s">
        <v>162</v>
      </c>
      <c r="B46" s="84">
        <v>27</v>
      </c>
      <c r="C46" s="84">
        <v>18.5</v>
      </c>
      <c r="D46" s="84">
        <v>15.75</v>
      </c>
      <c r="E46" s="84">
        <v>18</v>
      </c>
      <c r="F46" s="84">
        <v>17.399999999999999</v>
      </c>
      <c r="G46" s="84">
        <v>13.4</v>
      </c>
      <c r="H46" s="84">
        <v>9.75</v>
      </c>
    </row>
    <row r="47" spans="1:8" x14ac:dyDescent="0.25">
      <c r="A47" s="85" t="s">
        <v>163</v>
      </c>
      <c r="B47" s="84">
        <v>32.75</v>
      </c>
      <c r="C47" s="84">
        <v>28.25</v>
      </c>
      <c r="D47" s="84">
        <v>26.75</v>
      </c>
      <c r="E47" s="84">
        <v>23.6</v>
      </c>
      <c r="F47" s="84">
        <v>23.2</v>
      </c>
      <c r="G47" s="84">
        <v>16.399999999999999</v>
      </c>
      <c r="H47" s="84">
        <v>10</v>
      </c>
    </row>
    <row r="48" spans="1:8" x14ac:dyDescent="0.25">
      <c r="A48" s="85" t="s">
        <v>164</v>
      </c>
      <c r="B48" s="84">
        <v>26.5</v>
      </c>
      <c r="C48" s="84">
        <v>22.5</v>
      </c>
      <c r="D48" s="84">
        <v>22</v>
      </c>
      <c r="E48" s="84">
        <v>18.600000000000001</v>
      </c>
      <c r="F48" s="84">
        <v>23.4</v>
      </c>
      <c r="G48" s="84">
        <v>14.8</v>
      </c>
      <c r="H48" s="84">
        <v>14</v>
      </c>
    </row>
    <row r="49" spans="1:8" x14ac:dyDescent="0.25">
      <c r="A49" s="85" t="s">
        <v>165</v>
      </c>
      <c r="B49" s="84">
        <v>25.75</v>
      </c>
      <c r="C49" s="84">
        <v>22.75</v>
      </c>
      <c r="D49" s="84">
        <v>17.5</v>
      </c>
      <c r="E49" s="84">
        <v>17.2</v>
      </c>
      <c r="F49" s="84">
        <v>15.8</v>
      </c>
      <c r="G49" s="84">
        <v>15.6</v>
      </c>
      <c r="H49" s="84">
        <v>15.25</v>
      </c>
    </row>
    <row r="50" spans="1:8" x14ac:dyDescent="0.25">
      <c r="A50" s="85" t="s">
        <v>166</v>
      </c>
      <c r="B50" s="84">
        <v>15.75</v>
      </c>
      <c r="C50" s="84">
        <v>17.5</v>
      </c>
      <c r="D50" s="84">
        <v>15.25</v>
      </c>
      <c r="E50" s="84">
        <v>18.600000000000001</v>
      </c>
      <c r="F50" s="84">
        <v>14.4</v>
      </c>
      <c r="G50" s="84">
        <v>13.4</v>
      </c>
      <c r="H50" s="84">
        <v>14.25</v>
      </c>
    </row>
    <row r="51" spans="1:8" x14ac:dyDescent="0.25">
      <c r="A51" s="85" t="s">
        <v>167</v>
      </c>
      <c r="B51" s="84">
        <v>24.5</v>
      </c>
      <c r="C51" s="84">
        <v>17.25</v>
      </c>
      <c r="D51" s="84">
        <v>15.75</v>
      </c>
      <c r="E51" s="84">
        <v>17.2</v>
      </c>
      <c r="F51" s="84">
        <v>15.4</v>
      </c>
      <c r="G51" s="84">
        <v>11.6</v>
      </c>
      <c r="H51" s="84">
        <v>13.25</v>
      </c>
    </row>
    <row r="52" spans="1:8" x14ac:dyDescent="0.25">
      <c r="A52" s="85" t="s">
        <v>168</v>
      </c>
      <c r="B52" s="84">
        <v>21</v>
      </c>
      <c r="C52" s="84">
        <v>18</v>
      </c>
      <c r="D52" s="84">
        <v>19</v>
      </c>
      <c r="E52" s="84">
        <v>22</v>
      </c>
      <c r="F52" s="84">
        <v>15</v>
      </c>
      <c r="G52" s="84">
        <v>9.8000000000000007</v>
      </c>
      <c r="H52" s="84">
        <v>16.25</v>
      </c>
    </row>
    <row r="53" spans="1:8" x14ac:dyDescent="0.25">
      <c r="A53" s="85" t="s">
        <v>169</v>
      </c>
      <c r="B53" s="84">
        <v>24.25</v>
      </c>
      <c r="C53" s="84">
        <v>19.75</v>
      </c>
      <c r="D53" s="84">
        <v>18.25</v>
      </c>
      <c r="E53" s="84">
        <v>15.8</v>
      </c>
      <c r="F53" s="84">
        <v>17.2</v>
      </c>
      <c r="G53" s="84">
        <v>13.6</v>
      </c>
      <c r="H53" s="84">
        <v>13.75</v>
      </c>
    </row>
    <row r="54" spans="1:8" x14ac:dyDescent="0.25">
      <c r="A54" s="85" t="s">
        <v>170</v>
      </c>
      <c r="B54" s="84">
        <v>17</v>
      </c>
      <c r="C54" s="84">
        <v>18.75</v>
      </c>
      <c r="D54" s="84">
        <v>18</v>
      </c>
      <c r="E54" s="84">
        <v>16.600000000000001</v>
      </c>
      <c r="F54" s="84">
        <v>12.4</v>
      </c>
      <c r="G54" s="84">
        <v>12.6</v>
      </c>
      <c r="H54" s="84">
        <v>13</v>
      </c>
    </row>
    <row r="55" spans="1:8" x14ac:dyDescent="0.25">
      <c r="A55" s="85" t="s">
        <v>171</v>
      </c>
      <c r="B55" s="84">
        <v>15.75</v>
      </c>
      <c r="C55" s="84">
        <v>14</v>
      </c>
      <c r="D55" s="84">
        <v>16.25</v>
      </c>
      <c r="E55" s="84">
        <v>12.8</v>
      </c>
      <c r="F55" s="84">
        <v>13.2</v>
      </c>
      <c r="G55" s="84">
        <v>10</v>
      </c>
      <c r="H55" s="84">
        <v>12.25</v>
      </c>
    </row>
    <row r="56" spans="1:8" x14ac:dyDescent="0.25">
      <c r="A56" s="85" t="s">
        <v>172</v>
      </c>
      <c r="B56" s="84">
        <v>13</v>
      </c>
      <c r="C56" s="84">
        <v>9.5</v>
      </c>
      <c r="D56" s="84">
        <v>11</v>
      </c>
      <c r="E56" s="84">
        <v>13.4</v>
      </c>
      <c r="F56" s="84">
        <v>9.8000000000000007</v>
      </c>
      <c r="G56" s="84">
        <v>8.6</v>
      </c>
      <c r="H56" s="84">
        <v>12.75</v>
      </c>
    </row>
    <row r="57" spans="1:8" x14ac:dyDescent="0.25">
      <c r="A57" s="85" t="s">
        <v>173</v>
      </c>
      <c r="B57" s="84">
        <v>10.25</v>
      </c>
      <c r="C57" s="84">
        <v>9.25</v>
      </c>
      <c r="D57" s="84">
        <v>11.25</v>
      </c>
      <c r="E57" s="84">
        <v>7.6</v>
      </c>
      <c r="F57" s="84">
        <v>8.4</v>
      </c>
      <c r="G57" s="84">
        <v>8.6</v>
      </c>
      <c r="H57" s="84">
        <v>8.5</v>
      </c>
    </row>
    <row r="58" spans="1:8" x14ac:dyDescent="0.25">
      <c r="A58" s="85" t="s">
        <v>5</v>
      </c>
      <c r="B58" s="86">
        <v>432.75</v>
      </c>
      <c r="C58" s="86">
        <v>379.5</v>
      </c>
      <c r="D58" s="86">
        <v>372.25</v>
      </c>
      <c r="E58" s="86">
        <v>365.8</v>
      </c>
      <c r="F58" s="86">
        <v>339.4</v>
      </c>
      <c r="G58" s="86">
        <v>272.60000000000002</v>
      </c>
      <c r="H58" s="86">
        <v>234.75</v>
      </c>
    </row>
    <row r="62" spans="1:8" ht="21" x14ac:dyDescent="0.25">
      <c r="A62" s="228" t="s">
        <v>176</v>
      </c>
      <c r="B62" s="228"/>
      <c r="C62" s="228"/>
      <c r="D62" s="228"/>
      <c r="E62" s="228"/>
      <c r="F62" s="228"/>
      <c r="G62" s="228"/>
      <c r="H62" s="228"/>
    </row>
    <row r="63" spans="1:8" x14ac:dyDescent="0.25">
      <c r="A63" s="85" t="s">
        <v>142</v>
      </c>
      <c r="B63" s="85" t="s">
        <v>143</v>
      </c>
      <c r="C63" s="85" t="s">
        <v>144</v>
      </c>
      <c r="D63" s="85" t="s">
        <v>145</v>
      </c>
      <c r="E63" s="85" t="s">
        <v>146</v>
      </c>
      <c r="F63" s="85" t="s">
        <v>147</v>
      </c>
      <c r="G63" s="85" t="s">
        <v>148</v>
      </c>
      <c r="H63" s="85" t="s">
        <v>149</v>
      </c>
    </row>
    <row r="64" spans="1:8" x14ac:dyDescent="0.25">
      <c r="A64" s="85" t="s">
        <v>150</v>
      </c>
      <c r="B64" s="84">
        <v>7.4</v>
      </c>
      <c r="C64" s="84">
        <v>8.25</v>
      </c>
      <c r="D64" s="84">
        <v>8</v>
      </c>
      <c r="E64" s="84">
        <v>7.75</v>
      </c>
      <c r="F64" s="84">
        <v>5</v>
      </c>
      <c r="G64" s="84">
        <v>6.5</v>
      </c>
      <c r="H64" s="84">
        <v>4.5999999999999996</v>
      </c>
    </row>
    <row r="65" spans="1:8" x14ac:dyDescent="0.25">
      <c r="A65" s="85" t="s">
        <v>151</v>
      </c>
      <c r="B65" s="84">
        <v>4.2</v>
      </c>
      <c r="C65" s="84">
        <v>5.5</v>
      </c>
      <c r="D65" s="84">
        <v>4.25</v>
      </c>
      <c r="E65" s="84">
        <v>7</v>
      </c>
      <c r="F65" s="84">
        <v>7.75</v>
      </c>
      <c r="G65" s="84">
        <v>5</v>
      </c>
      <c r="H65" s="84">
        <v>3.8</v>
      </c>
    </row>
    <row r="66" spans="1:8" x14ac:dyDescent="0.25">
      <c r="A66" s="85" t="s">
        <v>152</v>
      </c>
      <c r="B66" s="84">
        <v>3.6</v>
      </c>
      <c r="C66" s="84">
        <v>3.5</v>
      </c>
      <c r="D66" s="84">
        <v>4.75</v>
      </c>
      <c r="E66" s="84">
        <v>3.25</v>
      </c>
      <c r="F66" s="84">
        <v>5</v>
      </c>
      <c r="G66" s="84">
        <v>3.25</v>
      </c>
      <c r="H66" s="84">
        <v>4.2</v>
      </c>
    </row>
    <row r="67" spans="1:8" x14ac:dyDescent="0.25">
      <c r="A67" s="85" t="s">
        <v>153</v>
      </c>
      <c r="B67" s="84">
        <v>2.8</v>
      </c>
      <c r="C67" s="84">
        <v>5.75</v>
      </c>
      <c r="D67" s="84">
        <v>3.5</v>
      </c>
      <c r="E67" s="84">
        <v>4.25</v>
      </c>
      <c r="F67" s="84">
        <v>4.25</v>
      </c>
      <c r="G67" s="84">
        <v>6.25</v>
      </c>
      <c r="H67" s="84">
        <v>3</v>
      </c>
    </row>
    <row r="68" spans="1:8" x14ac:dyDescent="0.25">
      <c r="A68" s="85" t="s">
        <v>154</v>
      </c>
      <c r="B68" s="84">
        <v>4.4000000000000004</v>
      </c>
      <c r="C68" s="84">
        <v>5.75</v>
      </c>
      <c r="D68" s="84">
        <v>3.75</v>
      </c>
      <c r="E68" s="84">
        <v>6.25</v>
      </c>
      <c r="F68" s="84">
        <v>4</v>
      </c>
      <c r="G68" s="84">
        <v>4.25</v>
      </c>
      <c r="H68" s="84">
        <v>3</v>
      </c>
    </row>
    <row r="69" spans="1:8" x14ac:dyDescent="0.25">
      <c r="A69" s="85" t="s">
        <v>155</v>
      </c>
      <c r="B69" s="84">
        <v>9.6</v>
      </c>
      <c r="C69" s="84">
        <v>12.75</v>
      </c>
      <c r="D69" s="84">
        <v>11.75</v>
      </c>
      <c r="E69" s="84">
        <v>9.75</v>
      </c>
      <c r="F69" s="84">
        <v>14</v>
      </c>
      <c r="G69" s="84">
        <v>6.75</v>
      </c>
      <c r="H69" s="84">
        <v>3.6</v>
      </c>
    </row>
    <row r="70" spans="1:8" x14ac:dyDescent="0.25">
      <c r="A70" s="85" t="s">
        <v>156</v>
      </c>
      <c r="B70" s="84">
        <v>19.8</v>
      </c>
      <c r="C70" s="84">
        <v>19.75</v>
      </c>
      <c r="D70" s="84">
        <v>17.5</v>
      </c>
      <c r="E70" s="84">
        <v>18.25</v>
      </c>
      <c r="F70" s="84">
        <v>21</v>
      </c>
      <c r="G70" s="84">
        <v>9.25</v>
      </c>
      <c r="H70" s="84">
        <v>5.2</v>
      </c>
    </row>
    <row r="71" spans="1:8" x14ac:dyDescent="0.25">
      <c r="A71" s="85" t="s">
        <v>157</v>
      </c>
      <c r="B71" s="84">
        <v>32.200000000000003</v>
      </c>
      <c r="C71" s="84">
        <v>30.75</v>
      </c>
      <c r="D71" s="84">
        <v>26.25</v>
      </c>
      <c r="E71" s="84">
        <v>26.75</v>
      </c>
      <c r="F71" s="84">
        <v>21.75</v>
      </c>
      <c r="G71" s="84">
        <v>12</v>
      </c>
      <c r="H71" s="84">
        <v>10.199999999999999</v>
      </c>
    </row>
    <row r="72" spans="1:8" x14ac:dyDescent="0.25">
      <c r="A72" s="85" t="s">
        <v>158</v>
      </c>
      <c r="B72" s="84">
        <v>39.200000000000003</v>
      </c>
      <c r="C72" s="84">
        <v>35</v>
      </c>
      <c r="D72" s="84">
        <v>29</v>
      </c>
      <c r="E72" s="84">
        <v>38.75</v>
      </c>
      <c r="F72" s="84">
        <v>24</v>
      </c>
      <c r="G72" s="84">
        <v>16.25</v>
      </c>
      <c r="H72" s="84">
        <v>12.4</v>
      </c>
    </row>
    <row r="73" spans="1:8" x14ac:dyDescent="0.25">
      <c r="A73" s="85" t="s">
        <v>159</v>
      </c>
      <c r="B73" s="84">
        <v>38</v>
      </c>
      <c r="C73" s="84">
        <v>26.25</v>
      </c>
      <c r="D73" s="84">
        <v>26.75</v>
      </c>
      <c r="E73" s="84">
        <v>26.75</v>
      </c>
      <c r="F73" s="84">
        <v>18.25</v>
      </c>
      <c r="G73" s="84">
        <v>20.75</v>
      </c>
      <c r="H73" s="84">
        <v>15.8</v>
      </c>
    </row>
    <row r="74" spans="1:8" x14ac:dyDescent="0.25">
      <c r="A74" s="85" t="s">
        <v>160</v>
      </c>
      <c r="B74" s="84">
        <v>30.6</v>
      </c>
      <c r="C74" s="84">
        <v>27.5</v>
      </c>
      <c r="D74" s="84">
        <v>23.5</v>
      </c>
      <c r="E74" s="84">
        <v>21.5</v>
      </c>
      <c r="F74" s="84">
        <v>21.25</v>
      </c>
      <c r="G74" s="84">
        <v>19.5</v>
      </c>
      <c r="H74" s="84">
        <v>15</v>
      </c>
    </row>
    <row r="75" spans="1:8" x14ac:dyDescent="0.25">
      <c r="A75" s="85" t="s">
        <v>161</v>
      </c>
      <c r="B75" s="84">
        <v>29</v>
      </c>
      <c r="C75" s="84">
        <v>22.75</v>
      </c>
      <c r="D75" s="84">
        <v>17.75</v>
      </c>
      <c r="E75" s="84">
        <v>17.25</v>
      </c>
      <c r="F75" s="84">
        <v>17.75</v>
      </c>
      <c r="G75" s="84">
        <v>19.75</v>
      </c>
      <c r="H75" s="84">
        <v>21.4</v>
      </c>
    </row>
    <row r="76" spans="1:8" x14ac:dyDescent="0.25">
      <c r="A76" s="85" t="s">
        <v>162</v>
      </c>
      <c r="B76" s="84">
        <v>25.8</v>
      </c>
      <c r="C76" s="84">
        <v>20.75</v>
      </c>
      <c r="D76" s="84">
        <v>18.5</v>
      </c>
      <c r="E76" s="84">
        <v>19.5</v>
      </c>
      <c r="F76" s="84">
        <v>22.25</v>
      </c>
      <c r="G76" s="84">
        <v>17.25</v>
      </c>
      <c r="H76" s="84">
        <v>13</v>
      </c>
    </row>
    <row r="77" spans="1:8" x14ac:dyDescent="0.25">
      <c r="A77" s="85" t="s">
        <v>163</v>
      </c>
      <c r="B77" s="84">
        <v>35</v>
      </c>
      <c r="C77" s="84">
        <v>28.25</v>
      </c>
      <c r="D77" s="84">
        <v>28</v>
      </c>
      <c r="E77" s="84">
        <v>27.5</v>
      </c>
      <c r="F77" s="84">
        <v>24.25</v>
      </c>
      <c r="G77" s="84">
        <v>18</v>
      </c>
      <c r="H77" s="84">
        <v>17.399999999999999</v>
      </c>
    </row>
    <row r="78" spans="1:8" x14ac:dyDescent="0.25">
      <c r="A78" s="85" t="s">
        <v>164</v>
      </c>
      <c r="B78" s="84">
        <v>28.6</v>
      </c>
      <c r="C78" s="84">
        <v>26</v>
      </c>
      <c r="D78" s="84">
        <v>25.75</v>
      </c>
      <c r="E78" s="84">
        <v>24</v>
      </c>
      <c r="F78" s="84">
        <v>24.75</v>
      </c>
      <c r="G78" s="84">
        <v>17.75</v>
      </c>
      <c r="H78" s="84">
        <v>14.6</v>
      </c>
    </row>
    <row r="79" spans="1:8" x14ac:dyDescent="0.25">
      <c r="A79" s="85" t="s">
        <v>165</v>
      </c>
      <c r="B79" s="84">
        <v>22.4</v>
      </c>
      <c r="C79" s="84">
        <v>25.75</v>
      </c>
      <c r="D79" s="84">
        <v>19</v>
      </c>
      <c r="E79" s="84">
        <v>16.25</v>
      </c>
      <c r="F79" s="84">
        <v>14.5</v>
      </c>
      <c r="G79" s="84">
        <v>13.75</v>
      </c>
      <c r="H79" s="84">
        <v>12.2</v>
      </c>
    </row>
    <row r="80" spans="1:8" x14ac:dyDescent="0.25">
      <c r="A80" s="85" t="s">
        <v>166</v>
      </c>
      <c r="B80" s="84">
        <v>22</v>
      </c>
      <c r="C80" s="84">
        <v>14.5</v>
      </c>
      <c r="D80" s="84">
        <v>20.75</v>
      </c>
      <c r="E80" s="84">
        <v>16.75</v>
      </c>
      <c r="F80" s="84">
        <v>17</v>
      </c>
      <c r="G80" s="84">
        <v>15.25</v>
      </c>
      <c r="H80" s="84">
        <v>10.4</v>
      </c>
    </row>
    <row r="81" spans="1:8" x14ac:dyDescent="0.25">
      <c r="A81" s="85" t="s">
        <v>167</v>
      </c>
      <c r="B81" s="84">
        <v>20</v>
      </c>
      <c r="C81" s="84">
        <v>15.25</v>
      </c>
      <c r="D81" s="84">
        <v>19.75</v>
      </c>
      <c r="E81" s="84">
        <v>18.75</v>
      </c>
      <c r="F81" s="84">
        <v>15</v>
      </c>
      <c r="G81" s="84">
        <v>17.5</v>
      </c>
      <c r="H81" s="84">
        <v>14</v>
      </c>
    </row>
    <row r="82" spans="1:8" x14ac:dyDescent="0.25">
      <c r="A82" s="85" t="s">
        <v>168</v>
      </c>
      <c r="B82" s="84">
        <v>23</v>
      </c>
      <c r="C82" s="84">
        <v>23.25</v>
      </c>
      <c r="D82" s="84">
        <v>22.5</v>
      </c>
      <c r="E82" s="84">
        <v>17.5</v>
      </c>
      <c r="F82" s="84">
        <v>13.25</v>
      </c>
      <c r="G82" s="84">
        <v>13.25</v>
      </c>
      <c r="H82" s="84">
        <v>18.600000000000001</v>
      </c>
    </row>
    <row r="83" spans="1:8" x14ac:dyDescent="0.25">
      <c r="A83" s="85" t="s">
        <v>169</v>
      </c>
      <c r="B83" s="84">
        <v>27.2</v>
      </c>
      <c r="C83" s="84">
        <v>24</v>
      </c>
      <c r="D83" s="84">
        <v>23</v>
      </c>
      <c r="E83" s="84">
        <v>27.25</v>
      </c>
      <c r="F83" s="84">
        <v>15.5</v>
      </c>
      <c r="G83" s="84">
        <v>20.25</v>
      </c>
      <c r="H83" s="84">
        <v>16.8</v>
      </c>
    </row>
    <row r="84" spans="1:8" x14ac:dyDescent="0.25">
      <c r="A84" s="85" t="s">
        <v>170</v>
      </c>
      <c r="B84" s="84">
        <v>23</v>
      </c>
      <c r="C84" s="84">
        <v>17.75</v>
      </c>
      <c r="D84" s="84">
        <v>16.5</v>
      </c>
      <c r="E84" s="84">
        <v>20.75</v>
      </c>
      <c r="F84" s="84">
        <v>18.25</v>
      </c>
      <c r="G84" s="84">
        <v>12.75</v>
      </c>
      <c r="H84" s="84">
        <v>14.6</v>
      </c>
    </row>
    <row r="85" spans="1:8" x14ac:dyDescent="0.25">
      <c r="A85" s="85" t="s">
        <v>171</v>
      </c>
      <c r="B85" s="84">
        <v>13.6</v>
      </c>
      <c r="C85" s="84">
        <v>21.75</v>
      </c>
      <c r="D85" s="84">
        <v>17.75</v>
      </c>
      <c r="E85" s="84">
        <v>17.75</v>
      </c>
      <c r="F85" s="84">
        <v>13.25</v>
      </c>
      <c r="G85" s="84">
        <v>11.25</v>
      </c>
      <c r="H85" s="84">
        <v>14.2</v>
      </c>
    </row>
    <row r="86" spans="1:8" x14ac:dyDescent="0.25">
      <c r="A86" s="85" t="s">
        <v>172</v>
      </c>
      <c r="B86" s="84">
        <v>15</v>
      </c>
      <c r="C86" s="84">
        <v>12.25</v>
      </c>
      <c r="D86" s="84">
        <v>9</v>
      </c>
      <c r="E86" s="84">
        <v>10.75</v>
      </c>
      <c r="F86" s="84">
        <v>11.75</v>
      </c>
      <c r="G86" s="84">
        <v>10</v>
      </c>
      <c r="H86" s="84">
        <v>10.8</v>
      </c>
    </row>
    <row r="87" spans="1:8" x14ac:dyDescent="0.25">
      <c r="A87" s="85" t="s">
        <v>173</v>
      </c>
      <c r="B87" s="84">
        <v>9.4</v>
      </c>
      <c r="C87" s="84">
        <v>10.25</v>
      </c>
      <c r="D87" s="84">
        <v>8.75</v>
      </c>
      <c r="E87" s="84">
        <v>10</v>
      </c>
      <c r="F87" s="84">
        <v>9</v>
      </c>
      <c r="G87" s="84">
        <v>9.75</v>
      </c>
      <c r="H87" s="84">
        <v>8</v>
      </c>
    </row>
    <row r="88" spans="1:8" x14ac:dyDescent="0.25">
      <c r="A88" s="85" t="s">
        <v>5</v>
      </c>
      <c r="B88" s="86">
        <v>485.8</v>
      </c>
      <c r="C88" s="86">
        <v>443.25</v>
      </c>
      <c r="D88" s="86">
        <v>406</v>
      </c>
      <c r="E88" s="86">
        <v>414.25</v>
      </c>
      <c r="F88" s="86">
        <v>362.75</v>
      </c>
      <c r="G88" s="86">
        <v>306.25</v>
      </c>
      <c r="H88" s="86">
        <v>266.8</v>
      </c>
    </row>
    <row r="92" spans="1:8" ht="21" x14ac:dyDescent="0.25">
      <c r="A92" s="228" t="s">
        <v>177</v>
      </c>
      <c r="B92" s="228"/>
      <c r="C92" s="228"/>
      <c r="D92" s="228"/>
      <c r="E92" s="228"/>
      <c r="F92" s="228"/>
      <c r="G92" s="228"/>
      <c r="H92" s="228"/>
    </row>
    <row r="93" spans="1:8" x14ac:dyDescent="0.25">
      <c r="A93" s="85" t="s">
        <v>142</v>
      </c>
      <c r="B93" s="85" t="s">
        <v>143</v>
      </c>
      <c r="C93" s="85" t="s">
        <v>144</v>
      </c>
      <c r="D93" s="85" t="s">
        <v>145</v>
      </c>
      <c r="E93" s="85" t="s">
        <v>146</v>
      </c>
      <c r="F93" s="85" t="s">
        <v>147</v>
      </c>
      <c r="G93" s="85" t="s">
        <v>148</v>
      </c>
      <c r="H93" s="85" t="s">
        <v>149</v>
      </c>
    </row>
    <row r="94" spans="1:8" x14ac:dyDescent="0.25">
      <c r="A94" s="85" t="s">
        <v>150</v>
      </c>
      <c r="B94" s="84">
        <v>5.25</v>
      </c>
      <c r="C94" s="84">
        <v>7</v>
      </c>
      <c r="D94" s="84">
        <v>8.6</v>
      </c>
      <c r="E94" s="84">
        <v>6.6</v>
      </c>
      <c r="F94" s="84">
        <v>6</v>
      </c>
      <c r="G94" s="84">
        <v>6</v>
      </c>
      <c r="H94" s="84">
        <v>9.5</v>
      </c>
    </row>
    <row r="95" spans="1:8" x14ac:dyDescent="0.25">
      <c r="A95" s="85" t="s">
        <v>151</v>
      </c>
      <c r="B95" s="84">
        <v>2.5</v>
      </c>
      <c r="C95" s="84">
        <v>2.8</v>
      </c>
      <c r="D95" s="84">
        <v>4</v>
      </c>
      <c r="E95" s="84">
        <v>5.4</v>
      </c>
      <c r="F95" s="84">
        <v>3</v>
      </c>
      <c r="G95" s="84">
        <v>5.5</v>
      </c>
      <c r="H95" s="84">
        <v>4.75</v>
      </c>
    </row>
    <row r="96" spans="1:8" x14ac:dyDescent="0.25">
      <c r="A96" s="85" t="s">
        <v>152</v>
      </c>
      <c r="B96" s="84">
        <v>3.75</v>
      </c>
      <c r="C96" s="84">
        <v>3.8</v>
      </c>
      <c r="D96" s="84">
        <v>4.2</v>
      </c>
      <c r="E96" s="84">
        <v>3.8</v>
      </c>
      <c r="F96" s="84">
        <v>4.75</v>
      </c>
      <c r="G96" s="84">
        <v>3.25</v>
      </c>
      <c r="H96" s="84">
        <v>2.5</v>
      </c>
    </row>
    <row r="97" spans="1:8" x14ac:dyDescent="0.25">
      <c r="A97" s="85" t="s">
        <v>153</v>
      </c>
      <c r="B97" s="84">
        <v>2.25</v>
      </c>
      <c r="C97" s="84">
        <v>3.2</v>
      </c>
      <c r="D97" s="84">
        <v>4</v>
      </c>
      <c r="E97" s="84">
        <v>2</v>
      </c>
      <c r="F97" s="84">
        <v>4</v>
      </c>
      <c r="G97" s="84">
        <v>2.25</v>
      </c>
      <c r="H97" s="84">
        <v>3</v>
      </c>
    </row>
    <row r="98" spans="1:8" x14ac:dyDescent="0.25">
      <c r="A98" s="85" t="s">
        <v>154</v>
      </c>
      <c r="B98" s="84">
        <v>3.75</v>
      </c>
      <c r="C98" s="84">
        <v>4.2</v>
      </c>
      <c r="D98" s="84">
        <v>3.4</v>
      </c>
      <c r="E98" s="84">
        <v>2.6</v>
      </c>
      <c r="F98" s="84">
        <v>2.5</v>
      </c>
      <c r="G98" s="84">
        <v>4.25</v>
      </c>
      <c r="H98" s="84">
        <v>3</v>
      </c>
    </row>
    <row r="99" spans="1:8" x14ac:dyDescent="0.25">
      <c r="A99" s="85" t="s">
        <v>155</v>
      </c>
      <c r="B99" s="84">
        <v>7.75</v>
      </c>
      <c r="C99" s="84">
        <v>12.4</v>
      </c>
      <c r="D99" s="84">
        <v>7.8</v>
      </c>
      <c r="E99" s="84">
        <v>8.8000000000000007</v>
      </c>
      <c r="F99" s="84">
        <v>12.25</v>
      </c>
      <c r="G99" s="84">
        <v>5</v>
      </c>
      <c r="H99" s="84">
        <v>4</v>
      </c>
    </row>
    <row r="100" spans="1:8" x14ac:dyDescent="0.25">
      <c r="A100" s="85" t="s">
        <v>156</v>
      </c>
      <c r="B100" s="84">
        <v>22</v>
      </c>
      <c r="C100" s="84">
        <v>22.6</v>
      </c>
      <c r="D100" s="84">
        <v>14.6</v>
      </c>
      <c r="E100" s="84">
        <v>16.399999999999999</v>
      </c>
      <c r="F100" s="84">
        <v>17.75</v>
      </c>
      <c r="G100" s="84">
        <v>7.75</v>
      </c>
      <c r="H100" s="84">
        <v>5.75</v>
      </c>
    </row>
    <row r="101" spans="1:8" x14ac:dyDescent="0.25">
      <c r="A101" s="85" t="s">
        <v>157</v>
      </c>
      <c r="B101" s="84">
        <v>32.25</v>
      </c>
      <c r="C101" s="84">
        <v>25.8</v>
      </c>
      <c r="D101" s="84">
        <v>21</v>
      </c>
      <c r="E101" s="84">
        <v>24.4</v>
      </c>
      <c r="F101" s="84">
        <v>23</v>
      </c>
      <c r="G101" s="84">
        <v>8.75</v>
      </c>
      <c r="H101" s="84">
        <v>9</v>
      </c>
    </row>
    <row r="102" spans="1:8" x14ac:dyDescent="0.25">
      <c r="A102" s="85" t="s">
        <v>158</v>
      </c>
      <c r="B102" s="84">
        <v>31.5</v>
      </c>
      <c r="C102" s="84">
        <v>27.6</v>
      </c>
      <c r="D102" s="84">
        <v>30</v>
      </c>
      <c r="E102" s="84">
        <v>24.6</v>
      </c>
      <c r="F102" s="84">
        <v>24</v>
      </c>
      <c r="G102" s="84">
        <v>15.25</v>
      </c>
      <c r="H102" s="84">
        <v>9.75</v>
      </c>
    </row>
    <row r="103" spans="1:8" x14ac:dyDescent="0.25">
      <c r="A103" s="85" t="s">
        <v>159</v>
      </c>
      <c r="B103" s="84">
        <v>29.75</v>
      </c>
      <c r="C103" s="84">
        <v>19.399999999999999</v>
      </c>
      <c r="D103" s="84">
        <v>21.4</v>
      </c>
      <c r="E103" s="84">
        <v>27.4</v>
      </c>
      <c r="F103" s="84">
        <v>23.75</v>
      </c>
      <c r="G103" s="84">
        <v>14.5</v>
      </c>
      <c r="H103" s="84">
        <v>14</v>
      </c>
    </row>
    <row r="104" spans="1:8" x14ac:dyDescent="0.25">
      <c r="A104" s="85" t="s">
        <v>160</v>
      </c>
      <c r="B104" s="84">
        <v>30.25</v>
      </c>
      <c r="C104" s="84">
        <v>22.6</v>
      </c>
      <c r="D104" s="84">
        <v>26.2</v>
      </c>
      <c r="E104" s="84">
        <v>29</v>
      </c>
      <c r="F104" s="84">
        <v>21.5</v>
      </c>
      <c r="G104" s="84">
        <v>18.75</v>
      </c>
      <c r="H104" s="84">
        <v>17</v>
      </c>
    </row>
    <row r="105" spans="1:8" x14ac:dyDescent="0.25">
      <c r="A105" s="85" t="s">
        <v>161</v>
      </c>
      <c r="B105" s="84">
        <v>24.25</v>
      </c>
      <c r="C105" s="84">
        <v>20.399999999999999</v>
      </c>
      <c r="D105" s="84">
        <v>19</v>
      </c>
      <c r="E105" s="84">
        <v>19</v>
      </c>
      <c r="F105" s="84">
        <v>17.5</v>
      </c>
      <c r="G105" s="84">
        <v>16.5</v>
      </c>
      <c r="H105" s="84">
        <v>19.75</v>
      </c>
    </row>
    <row r="106" spans="1:8" x14ac:dyDescent="0.25">
      <c r="A106" s="85" t="s">
        <v>162</v>
      </c>
      <c r="B106" s="84">
        <v>23</v>
      </c>
      <c r="C106" s="84">
        <v>24</v>
      </c>
      <c r="D106" s="84">
        <v>16.399999999999999</v>
      </c>
      <c r="E106" s="84">
        <v>19.2</v>
      </c>
      <c r="F106" s="84">
        <v>15.75</v>
      </c>
      <c r="G106" s="84">
        <v>17.25</v>
      </c>
      <c r="H106" s="84">
        <v>14.25</v>
      </c>
    </row>
    <row r="107" spans="1:8" x14ac:dyDescent="0.25">
      <c r="A107" s="85" t="s">
        <v>163</v>
      </c>
      <c r="B107" s="84">
        <v>28.25</v>
      </c>
      <c r="C107" s="84">
        <v>27.8</v>
      </c>
      <c r="D107" s="84">
        <v>25.8</v>
      </c>
      <c r="E107" s="84">
        <v>30.8</v>
      </c>
      <c r="F107" s="84">
        <v>28</v>
      </c>
      <c r="G107" s="84">
        <v>14.75</v>
      </c>
      <c r="H107" s="84">
        <v>16.25</v>
      </c>
    </row>
    <row r="108" spans="1:8" x14ac:dyDescent="0.25">
      <c r="A108" s="85" t="s">
        <v>164</v>
      </c>
      <c r="B108" s="84">
        <v>28.75</v>
      </c>
      <c r="C108" s="84">
        <v>23</v>
      </c>
      <c r="D108" s="84">
        <v>19.2</v>
      </c>
      <c r="E108" s="84">
        <v>19.399999999999999</v>
      </c>
      <c r="F108" s="84">
        <v>18</v>
      </c>
      <c r="G108" s="84">
        <v>14</v>
      </c>
      <c r="H108" s="84">
        <v>13.25</v>
      </c>
    </row>
    <row r="109" spans="1:8" x14ac:dyDescent="0.25">
      <c r="A109" s="85" t="s">
        <v>165</v>
      </c>
      <c r="B109" s="84">
        <v>27.25</v>
      </c>
      <c r="C109" s="84">
        <v>20.6</v>
      </c>
      <c r="D109" s="84">
        <v>20.399999999999999</v>
      </c>
      <c r="E109" s="84">
        <v>17.8</v>
      </c>
      <c r="F109" s="84">
        <v>15.5</v>
      </c>
      <c r="G109" s="84">
        <v>13.75</v>
      </c>
      <c r="H109" s="84">
        <v>13</v>
      </c>
    </row>
    <row r="110" spans="1:8" x14ac:dyDescent="0.25">
      <c r="A110" s="85" t="s">
        <v>166</v>
      </c>
      <c r="B110" s="84">
        <v>16.5</v>
      </c>
      <c r="C110" s="84">
        <v>16.600000000000001</v>
      </c>
      <c r="D110" s="84">
        <v>22.6</v>
      </c>
      <c r="E110" s="84">
        <v>17.399999999999999</v>
      </c>
      <c r="F110" s="84">
        <v>16.75</v>
      </c>
      <c r="G110" s="84">
        <v>14</v>
      </c>
      <c r="H110" s="84">
        <v>11.75</v>
      </c>
    </row>
    <row r="111" spans="1:8" x14ac:dyDescent="0.25">
      <c r="A111" s="85" t="s">
        <v>167</v>
      </c>
      <c r="B111" s="84">
        <v>20.75</v>
      </c>
      <c r="C111" s="84">
        <v>17.600000000000001</v>
      </c>
      <c r="D111" s="84">
        <v>14.8</v>
      </c>
      <c r="E111" s="84">
        <v>13.8</v>
      </c>
      <c r="F111" s="84">
        <v>14.5</v>
      </c>
      <c r="G111" s="84">
        <v>10.5</v>
      </c>
      <c r="H111" s="84">
        <v>14</v>
      </c>
    </row>
    <row r="112" spans="1:8" x14ac:dyDescent="0.25">
      <c r="A112" s="85" t="s">
        <v>168</v>
      </c>
      <c r="B112" s="84">
        <v>24</v>
      </c>
      <c r="C112" s="84">
        <v>22.2</v>
      </c>
      <c r="D112" s="84">
        <v>18.2</v>
      </c>
      <c r="E112" s="84">
        <v>18.2</v>
      </c>
      <c r="F112" s="84">
        <v>15.75</v>
      </c>
      <c r="G112" s="84">
        <v>13.5</v>
      </c>
      <c r="H112" s="84">
        <v>12.5</v>
      </c>
    </row>
    <row r="113" spans="1:8" x14ac:dyDescent="0.25">
      <c r="A113" s="85" t="s">
        <v>169</v>
      </c>
      <c r="B113" s="84">
        <v>24.75</v>
      </c>
      <c r="C113" s="84">
        <v>28.2</v>
      </c>
      <c r="D113" s="84">
        <v>21.2</v>
      </c>
      <c r="E113" s="84">
        <v>22.4</v>
      </c>
      <c r="F113" s="84">
        <v>14.25</v>
      </c>
      <c r="G113" s="84">
        <v>14.75</v>
      </c>
      <c r="H113" s="84">
        <v>18.25</v>
      </c>
    </row>
    <row r="114" spans="1:8" x14ac:dyDescent="0.25">
      <c r="A114" s="85" t="s">
        <v>170</v>
      </c>
      <c r="B114" s="84">
        <v>24</v>
      </c>
      <c r="C114" s="84">
        <v>22</v>
      </c>
      <c r="D114" s="84">
        <v>16.399999999999999</v>
      </c>
      <c r="E114" s="84">
        <v>17</v>
      </c>
      <c r="F114" s="84">
        <v>13.75</v>
      </c>
      <c r="G114" s="84">
        <v>13.5</v>
      </c>
      <c r="H114" s="84">
        <v>12.5</v>
      </c>
    </row>
    <row r="115" spans="1:8" x14ac:dyDescent="0.25">
      <c r="A115" s="85" t="s">
        <v>171</v>
      </c>
      <c r="B115" s="84">
        <v>19</v>
      </c>
      <c r="C115" s="84">
        <v>13.4</v>
      </c>
      <c r="D115" s="84">
        <v>12.8</v>
      </c>
      <c r="E115" s="84">
        <v>12.4</v>
      </c>
      <c r="F115" s="84">
        <v>12.25</v>
      </c>
      <c r="G115" s="84">
        <v>12.5</v>
      </c>
      <c r="H115" s="84">
        <v>12.5</v>
      </c>
    </row>
    <row r="116" spans="1:8" x14ac:dyDescent="0.25">
      <c r="A116" s="85" t="s">
        <v>172</v>
      </c>
      <c r="B116" s="84">
        <v>15.25</v>
      </c>
      <c r="C116" s="84">
        <v>13</v>
      </c>
      <c r="D116" s="84">
        <v>12.2</v>
      </c>
      <c r="E116" s="84">
        <v>10.6</v>
      </c>
      <c r="F116" s="84">
        <v>9.5</v>
      </c>
      <c r="G116" s="84">
        <v>8.5</v>
      </c>
      <c r="H116" s="84">
        <v>11.5</v>
      </c>
    </row>
    <row r="117" spans="1:8" x14ac:dyDescent="0.25">
      <c r="A117" s="85" t="s">
        <v>173</v>
      </c>
      <c r="B117" s="84">
        <v>8.5</v>
      </c>
      <c r="C117" s="84">
        <v>10.199999999999999</v>
      </c>
      <c r="D117" s="84">
        <v>6.8</v>
      </c>
      <c r="E117" s="84">
        <v>11</v>
      </c>
      <c r="F117" s="84">
        <v>8.5</v>
      </c>
      <c r="G117" s="84">
        <v>9</v>
      </c>
      <c r="H117" s="84">
        <v>6.75</v>
      </c>
    </row>
    <row r="118" spans="1:8" x14ac:dyDescent="0.25">
      <c r="A118" s="85" t="s">
        <v>5</v>
      </c>
      <c r="B118" s="86">
        <v>455.25</v>
      </c>
      <c r="C118" s="86">
        <v>410.4</v>
      </c>
      <c r="D118" s="86">
        <v>371</v>
      </c>
      <c r="E118" s="86">
        <v>380</v>
      </c>
      <c r="F118" s="86">
        <v>342.5</v>
      </c>
      <c r="G118" s="86">
        <v>263.75</v>
      </c>
      <c r="H118" s="86">
        <v>258.5</v>
      </c>
    </row>
    <row r="122" spans="1:8" ht="21" x14ac:dyDescent="0.25">
      <c r="A122" s="228" t="s">
        <v>178</v>
      </c>
      <c r="B122" s="228"/>
      <c r="C122" s="228"/>
      <c r="D122" s="228"/>
      <c r="E122" s="228"/>
      <c r="F122" s="228"/>
      <c r="G122" s="228"/>
      <c r="H122" s="228"/>
    </row>
    <row r="123" spans="1:8" x14ac:dyDescent="0.25">
      <c r="A123" s="85" t="s">
        <v>142</v>
      </c>
      <c r="B123" s="85" t="s">
        <v>143</v>
      </c>
      <c r="C123" s="85" t="s">
        <v>144</v>
      </c>
      <c r="D123" s="85" t="s">
        <v>145</v>
      </c>
      <c r="E123" s="85" t="s">
        <v>146</v>
      </c>
      <c r="F123" s="85" t="s">
        <v>147</v>
      </c>
      <c r="G123" s="85" t="s">
        <v>148</v>
      </c>
      <c r="H123" s="85" t="s">
        <v>149</v>
      </c>
    </row>
    <row r="124" spans="1:8" x14ac:dyDescent="0.25">
      <c r="A124" s="85" t="s">
        <v>150</v>
      </c>
      <c r="B124" s="84">
        <v>5.75</v>
      </c>
      <c r="C124" s="84">
        <v>8.5</v>
      </c>
      <c r="D124" s="84">
        <v>5.75</v>
      </c>
      <c r="E124" s="84">
        <v>8</v>
      </c>
      <c r="F124" s="84">
        <v>6.8</v>
      </c>
      <c r="G124" s="84">
        <v>6.4</v>
      </c>
      <c r="H124" s="84">
        <v>5</v>
      </c>
    </row>
    <row r="125" spans="1:8" x14ac:dyDescent="0.25">
      <c r="A125" s="85" t="s">
        <v>151</v>
      </c>
      <c r="B125" s="84">
        <v>4.75</v>
      </c>
      <c r="C125" s="84">
        <v>4.5</v>
      </c>
      <c r="D125" s="84">
        <v>5</v>
      </c>
      <c r="E125" s="84">
        <v>3.75</v>
      </c>
      <c r="F125" s="84">
        <v>5.8</v>
      </c>
      <c r="G125" s="84">
        <v>5.2</v>
      </c>
      <c r="H125" s="84">
        <v>3.25</v>
      </c>
    </row>
    <row r="126" spans="1:8" x14ac:dyDescent="0.25">
      <c r="A126" s="85" t="s">
        <v>152</v>
      </c>
      <c r="B126" s="84">
        <v>2.75</v>
      </c>
      <c r="C126" s="84">
        <v>2.5</v>
      </c>
      <c r="D126" s="84">
        <v>3.25</v>
      </c>
      <c r="E126" s="84">
        <v>2.75</v>
      </c>
      <c r="F126" s="84">
        <v>3.2</v>
      </c>
      <c r="G126" s="84">
        <v>3.2</v>
      </c>
      <c r="H126" s="84">
        <v>4.5</v>
      </c>
    </row>
    <row r="127" spans="1:8" x14ac:dyDescent="0.25">
      <c r="A127" s="85" t="s">
        <v>153</v>
      </c>
      <c r="B127" s="84">
        <v>3</v>
      </c>
      <c r="C127" s="84">
        <v>3</v>
      </c>
      <c r="D127" s="84">
        <v>2</v>
      </c>
      <c r="E127" s="84">
        <v>2.75</v>
      </c>
      <c r="F127" s="84">
        <v>2.4</v>
      </c>
      <c r="G127" s="84">
        <v>4.4000000000000004</v>
      </c>
      <c r="H127" s="84">
        <v>3.75</v>
      </c>
    </row>
    <row r="128" spans="1:8" x14ac:dyDescent="0.25">
      <c r="A128" s="85" t="s">
        <v>154</v>
      </c>
      <c r="B128" s="84">
        <v>3.5</v>
      </c>
      <c r="C128" s="84">
        <v>5</v>
      </c>
      <c r="D128" s="84">
        <v>4</v>
      </c>
      <c r="E128" s="84">
        <v>3.5</v>
      </c>
      <c r="F128" s="84">
        <v>3.8</v>
      </c>
      <c r="G128" s="84">
        <v>1.8</v>
      </c>
      <c r="H128" s="84">
        <v>3.25</v>
      </c>
    </row>
    <row r="129" spans="1:8" x14ac:dyDescent="0.25">
      <c r="A129" s="85" t="s">
        <v>155</v>
      </c>
      <c r="B129" s="84">
        <v>9.5</v>
      </c>
      <c r="C129" s="84">
        <v>8.5</v>
      </c>
      <c r="D129" s="84">
        <v>8</v>
      </c>
      <c r="E129" s="84">
        <v>9.5</v>
      </c>
      <c r="F129" s="84">
        <v>8.1999999999999993</v>
      </c>
      <c r="G129" s="84">
        <v>3.8</v>
      </c>
      <c r="H129" s="84">
        <v>4.25</v>
      </c>
    </row>
    <row r="130" spans="1:8" x14ac:dyDescent="0.25">
      <c r="A130" s="85" t="s">
        <v>156</v>
      </c>
      <c r="B130" s="84">
        <v>19.5</v>
      </c>
      <c r="C130" s="84">
        <v>21</v>
      </c>
      <c r="D130" s="84">
        <v>14.5</v>
      </c>
      <c r="E130" s="84">
        <v>14</v>
      </c>
      <c r="F130" s="84">
        <v>17.2</v>
      </c>
      <c r="G130" s="84">
        <v>9.8000000000000007</v>
      </c>
      <c r="H130" s="84">
        <v>6</v>
      </c>
    </row>
    <row r="131" spans="1:8" x14ac:dyDescent="0.25">
      <c r="A131" s="85" t="s">
        <v>157</v>
      </c>
      <c r="B131" s="84">
        <v>21.25</v>
      </c>
      <c r="C131" s="84">
        <v>23.5</v>
      </c>
      <c r="D131" s="84">
        <v>18.75</v>
      </c>
      <c r="E131" s="84">
        <v>16.5</v>
      </c>
      <c r="F131" s="84">
        <v>19.2</v>
      </c>
      <c r="G131" s="84">
        <v>13</v>
      </c>
      <c r="H131" s="84">
        <v>9.75</v>
      </c>
    </row>
    <row r="132" spans="1:8" x14ac:dyDescent="0.25">
      <c r="A132" s="85" t="s">
        <v>158</v>
      </c>
      <c r="B132" s="84">
        <v>33.5</v>
      </c>
      <c r="C132" s="84">
        <v>29.25</v>
      </c>
      <c r="D132" s="84">
        <v>22</v>
      </c>
      <c r="E132" s="84">
        <v>24.25</v>
      </c>
      <c r="F132" s="84">
        <v>24.8</v>
      </c>
      <c r="G132" s="84">
        <v>12</v>
      </c>
      <c r="H132" s="84">
        <v>10.25</v>
      </c>
    </row>
    <row r="133" spans="1:8" x14ac:dyDescent="0.25">
      <c r="A133" s="85" t="s">
        <v>159</v>
      </c>
      <c r="B133" s="84">
        <v>26.5</v>
      </c>
      <c r="C133" s="84">
        <v>24.25</v>
      </c>
      <c r="D133" s="84">
        <v>21.5</v>
      </c>
      <c r="E133" s="84">
        <v>24</v>
      </c>
      <c r="F133" s="84">
        <v>18.8</v>
      </c>
      <c r="G133" s="84">
        <v>14.4</v>
      </c>
      <c r="H133" s="84">
        <v>15.75</v>
      </c>
    </row>
    <row r="134" spans="1:8" x14ac:dyDescent="0.25">
      <c r="A134" s="85" t="s">
        <v>160</v>
      </c>
      <c r="B134" s="84">
        <v>25</v>
      </c>
      <c r="C134" s="84">
        <v>22.25</v>
      </c>
      <c r="D134" s="84">
        <v>18</v>
      </c>
      <c r="E134" s="84">
        <v>19.25</v>
      </c>
      <c r="F134" s="84">
        <v>18.600000000000001</v>
      </c>
      <c r="G134" s="84">
        <v>14.8</v>
      </c>
      <c r="H134" s="84">
        <v>16.75</v>
      </c>
    </row>
    <row r="135" spans="1:8" x14ac:dyDescent="0.25">
      <c r="A135" s="85" t="s">
        <v>161</v>
      </c>
      <c r="B135" s="84">
        <v>23</v>
      </c>
      <c r="C135" s="84">
        <v>19</v>
      </c>
      <c r="D135" s="84">
        <v>18.25</v>
      </c>
      <c r="E135" s="84">
        <v>16</v>
      </c>
      <c r="F135" s="84">
        <v>19</v>
      </c>
      <c r="G135" s="84">
        <v>17</v>
      </c>
      <c r="H135" s="84">
        <v>15.5</v>
      </c>
    </row>
    <row r="136" spans="1:8" x14ac:dyDescent="0.25">
      <c r="A136" s="85" t="s">
        <v>162</v>
      </c>
      <c r="B136" s="84">
        <v>26.5</v>
      </c>
      <c r="C136" s="84">
        <v>19.5</v>
      </c>
      <c r="D136" s="84">
        <v>17.25</v>
      </c>
      <c r="E136" s="84">
        <v>17.25</v>
      </c>
      <c r="F136" s="84">
        <v>15</v>
      </c>
      <c r="G136" s="84">
        <v>16.600000000000001</v>
      </c>
      <c r="H136" s="84">
        <v>13</v>
      </c>
    </row>
    <row r="137" spans="1:8" x14ac:dyDescent="0.25">
      <c r="A137" s="85" t="s">
        <v>163</v>
      </c>
      <c r="B137" s="84">
        <v>30.75</v>
      </c>
      <c r="C137" s="84">
        <v>25.25</v>
      </c>
      <c r="D137" s="84">
        <v>26.5</v>
      </c>
      <c r="E137" s="84">
        <v>20.5</v>
      </c>
      <c r="F137" s="84">
        <v>18.600000000000001</v>
      </c>
      <c r="G137" s="84">
        <v>14.6</v>
      </c>
      <c r="H137" s="84">
        <v>11.75</v>
      </c>
    </row>
    <row r="138" spans="1:8" x14ac:dyDescent="0.25">
      <c r="A138" s="85" t="s">
        <v>164</v>
      </c>
      <c r="B138" s="84">
        <v>19.75</v>
      </c>
      <c r="C138" s="84">
        <v>22.75</v>
      </c>
      <c r="D138" s="84">
        <v>21.75</v>
      </c>
      <c r="E138" s="84">
        <v>21.25</v>
      </c>
      <c r="F138" s="84">
        <v>19.2</v>
      </c>
      <c r="G138" s="84">
        <v>15.6</v>
      </c>
      <c r="H138" s="84">
        <v>12.25</v>
      </c>
    </row>
    <row r="139" spans="1:8" x14ac:dyDescent="0.25">
      <c r="A139" s="85" t="s">
        <v>165</v>
      </c>
      <c r="B139" s="84">
        <v>20.25</v>
      </c>
      <c r="C139" s="84">
        <v>17.75</v>
      </c>
      <c r="D139" s="84">
        <v>18</v>
      </c>
      <c r="E139" s="84">
        <v>15.5</v>
      </c>
      <c r="F139" s="84">
        <v>15</v>
      </c>
      <c r="G139" s="84">
        <v>16.8</v>
      </c>
      <c r="H139" s="84">
        <v>14.75</v>
      </c>
    </row>
    <row r="140" spans="1:8" x14ac:dyDescent="0.25">
      <c r="A140" s="85" t="s">
        <v>166</v>
      </c>
      <c r="B140" s="84">
        <v>22.25</v>
      </c>
      <c r="C140" s="84">
        <v>15.25</v>
      </c>
      <c r="D140" s="84">
        <v>14.25</v>
      </c>
      <c r="E140" s="84">
        <v>14.75</v>
      </c>
      <c r="F140" s="84">
        <v>13.2</v>
      </c>
      <c r="G140" s="84">
        <v>12.8</v>
      </c>
      <c r="H140" s="84">
        <v>13.5</v>
      </c>
    </row>
    <row r="141" spans="1:8" x14ac:dyDescent="0.25">
      <c r="A141" s="85" t="s">
        <v>167</v>
      </c>
      <c r="B141" s="84">
        <v>19.5</v>
      </c>
      <c r="C141" s="84">
        <v>16.75</v>
      </c>
      <c r="D141" s="84">
        <v>15.5</v>
      </c>
      <c r="E141" s="84">
        <v>14.25</v>
      </c>
      <c r="F141" s="84">
        <v>13.8</v>
      </c>
      <c r="G141" s="84">
        <v>15.4</v>
      </c>
      <c r="H141" s="84">
        <v>11.75</v>
      </c>
    </row>
    <row r="142" spans="1:8" x14ac:dyDescent="0.25">
      <c r="A142" s="85" t="s">
        <v>168</v>
      </c>
      <c r="B142" s="84">
        <v>17.75</v>
      </c>
      <c r="C142" s="84">
        <v>23</v>
      </c>
      <c r="D142" s="84">
        <v>21.5</v>
      </c>
      <c r="E142" s="84">
        <v>17</v>
      </c>
      <c r="F142" s="84">
        <v>15.2</v>
      </c>
      <c r="G142" s="84">
        <v>10.8</v>
      </c>
      <c r="H142" s="84">
        <v>14.25</v>
      </c>
    </row>
    <row r="143" spans="1:8" x14ac:dyDescent="0.25">
      <c r="A143" s="85" t="s">
        <v>169</v>
      </c>
      <c r="B143" s="84">
        <v>26.75</v>
      </c>
      <c r="C143" s="84">
        <v>21</v>
      </c>
      <c r="D143" s="84">
        <v>18</v>
      </c>
      <c r="E143" s="84">
        <v>17.5</v>
      </c>
      <c r="F143" s="84">
        <v>19.8</v>
      </c>
      <c r="G143" s="84">
        <v>14.4</v>
      </c>
      <c r="H143" s="84">
        <v>11</v>
      </c>
    </row>
    <row r="144" spans="1:8" x14ac:dyDescent="0.25">
      <c r="A144" s="85" t="s">
        <v>170</v>
      </c>
      <c r="B144" s="84">
        <v>20.5</v>
      </c>
      <c r="C144" s="84">
        <v>21.25</v>
      </c>
      <c r="D144" s="84">
        <v>17</v>
      </c>
      <c r="E144" s="84">
        <v>15.75</v>
      </c>
      <c r="F144" s="84">
        <v>13.2</v>
      </c>
      <c r="G144" s="84">
        <v>14.6</v>
      </c>
      <c r="H144" s="84">
        <v>9</v>
      </c>
    </row>
    <row r="145" spans="1:8" x14ac:dyDescent="0.25">
      <c r="A145" s="85" t="s">
        <v>171</v>
      </c>
      <c r="B145" s="84">
        <v>19</v>
      </c>
      <c r="C145" s="84">
        <v>12</v>
      </c>
      <c r="D145" s="84">
        <v>14.75</v>
      </c>
      <c r="E145" s="84">
        <v>11.75</v>
      </c>
      <c r="F145" s="84">
        <v>9.6</v>
      </c>
      <c r="G145" s="84">
        <v>9.1999999999999993</v>
      </c>
      <c r="H145" s="84">
        <v>15.75</v>
      </c>
    </row>
    <row r="146" spans="1:8" x14ac:dyDescent="0.25">
      <c r="A146" s="85" t="s">
        <v>172</v>
      </c>
      <c r="B146" s="84">
        <v>13.75</v>
      </c>
      <c r="C146" s="84">
        <v>14.5</v>
      </c>
      <c r="D146" s="84">
        <v>10.25</v>
      </c>
      <c r="E146" s="84">
        <v>11</v>
      </c>
      <c r="F146" s="84">
        <v>10.8</v>
      </c>
      <c r="G146" s="84">
        <v>10.6</v>
      </c>
      <c r="H146" s="84">
        <v>13.5</v>
      </c>
    </row>
    <row r="147" spans="1:8" x14ac:dyDescent="0.25">
      <c r="A147" s="85" t="s">
        <v>173</v>
      </c>
      <c r="B147" s="84">
        <v>8.75</v>
      </c>
      <c r="C147" s="84">
        <v>8.75</v>
      </c>
      <c r="D147" s="84">
        <v>12</v>
      </c>
      <c r="E147" s="84">
        <v>9</v>
      </c>
      <c r="F147" s="84">
        <v>8.4</v>
      </c>
      <c r="G147" s="84">
        <v>9.4</v>
      </c>
      <c r="H147" s="84">
        <v>9.75</v>
      </c>
    </row>
    <row r="148" spans="1:8" x14ac:dyDescent="0.25">
      <c r="A148" s="85" t="s">
        <v>5</v>
      </c>
      <c r="B148" s="86">
        <v>423.5</v>
      </c>
      <c r="C148" s="86">
        <v>389</v>
      </c>
      <c r="D148" s="86">
        <v>347.75</v>
      </c>
      <c r="E148" s="86">
        <v>329.75</v>
      </c>
      <c r="F148" s="86">
        <v>319.60000000000002</v>
      </c>
      <c r="G148" s="86">
        <v>266.60000000000002</v>
      </c>
      <c r="H148" s="86">
        <v>248.25</v>
      </c>
    </row>
    <row r="152" spans="1:8" ht="21" x14ac:dyDescent="0.25">
      <c r="A152" s="228" t="s">
        <v>179</v>
      </c>
      <c r="B152" s="228"/>
      <c r="C152" s="228"/>
      <c r="D152" s="228"/>
      <c r="E152" s="228"/>
      <c r="F152" s="228"/>
      <c r="G152" s="228"/>
      <c r="H152" s="228"/>
    </row>
    <row r="153" spans="1:8" x14ac:dyDescent="0.25">
      <c r="A153" s="85" t="s">
        <v>142</v>
      </c>
      <c r="B153" s="85" t="s">
        <v>143</v>
      </c>
      <c r="C153" s="85" t="s">
        <v>144</v>
      </c>
      <c r="D153" s="85" t="s">
        <v>145</v>
      </c>
      <c r="E153" s="85" t="s">
        <v>146</v>
      </c>
      <c r="F153" s="85" t="s">
        <v>147</v>
      </c>
      <c r="G153" s="85" t="s">
        <v>148</v>
      </c>
      <c r="H153" s="85" t="s">
        <v>149</v>
      </c>
    </row>
    <row r="154" spans="1:8" x14ac:dyDescent="0.25">
      <c r="A154" s="85" t="s">
        <v>150</v>
      </c>
      <c r="B154" s="84">
        <v>4</v>
      </c>
      <c r="C154" s="84">
        <v>8</v>
      </c>
      <c r="D154" s="84">
        <v>8.25</v>
      </c>
      <c r="E154" s="84">
        <v>5.25</v>
      </c>
      <c r="F154" s="84">
        <v>6.75</v>
      </c>
      <c r="G154" s="84">
        <v>8.25</v>
      </c>
      <c r="H154" s="84">
        <v>5.6</v>
      </c>
    </row>
    <row r="155" spans="1:8" x14ac:dyDescent="0.25">
      <c r="A155" s="85" t="s">
        <v>151</v>
      </c>
      <c r="B155" s="84">
        <v>3.8</v>
      </c>
      <c r="C155" s="84">
        <v>3</v>
      </c>
      <c r="D155" s="84">
        <v>5.75</v>
      </c>
      <c r="E155" s="84">
        <v>4.5</v>
      </c>
      <c r="F155" s="84">
        <v>5.75</v>
      </c>
      <c r="G155" s="84">
        <v>4.25</v>
      </c>
      <c r="H155" s="84">
        <v>3.4</v>
      </c>
    </row>
    <row r="156" spans="1:8" x14ac:dyDescent="0.25">
      <c r="A156" s="85" t="s">
        <v>152</v>
      </c>
      <c r="B156" s="84">
        <v>4</v>
      </c>
      <c r="C156" s="84">
        <v>3.6</v>
      </c>
      <c r="D156" s="84">
        <v>4.75</v>
      </c>
      <c r="E156" s="84">
        <v>4.5</v>
      </c>
      <c r="F156" s="84">
        <v>3</v>
      </c>
      <c r="G156" s="84">
        <v>3.75</v>
      </c>
      <c r="H156" s="84">
        <v>2.6</v>
      </c>
    </row>
    <row r="157" spans="1:8" x14ac:dyDescent="0.25">
      <c r="A157" s="85" t="s">
        <v>153</v>
      </c>
      <c r="B157" s="84">
        <v>2.2000000000000002</v>
      </c>
      <c r="C157" s="84">
        <v>3</v>
      </c>
      <c r="D157" s="84">
        <v>4</v>
      </c>
      <c r="E157" s="84">
        <v>1.75</v>
      </c>
      <c r="F157" s="84">
        <v>4</v>
      </c>
      <c r="G157" s="84">
        <v>3.5</v>
      </c>
      <c r="H157" s="84">
        <v>1.6</v>
      </c>
    </row>
    <row r="158" spans="1:8" x14ac:dyDescent="0.25">
      <c r="A158" s="85" t="s">
        <v>154</v>
      </c>
      <c r="B158" s="84">
        <v>4.5999999999999996</v>
      </c>
      <c r="C158" s="84">
        <v>3.4</v>
      </c>
      <c r="D158" s="84">
        <v>3.25</v>
      </c>
      <c r="E158" s="84">
        <v>1.25</v>
      </c>
      <c r="F158" s="84">
        <v>3.5</v>
      </c>
      <c r="G158" s="84">
        <v>4.5</v>
      </c>
      <c r="H158" s="84">
        <v>3.8</v>
      </c>
    </row>
    <row r="159" spans="1:8" x14ac:dyDescent="0.25">
      <c r="A159" s="85" t="s">
        <v>155</v>
      </c>
      <c r="B159" s="84">
        <v>8.8000000000000007</v>
      </c>
      <c r="C159" s="84">
        <v>7.2</v>
      </c>
      <c r="D159" s="84">
        <v>6.5</v>
      </c>
      <c r="E159" s="84">
        <v>3.25</v>
      </c>
      <c r="F159" s="84">
        <v>8.75</v>
      </c>
      <c r="G159" s="84">
        <v>8.25</v>
      </c>
      <c r="H159" s="84">
        <v>3.8</v>
      </c>
    </row>
    <row r="160" spans="1:8" x14ac:dyDescent="0.25">
      <c r="A160" s="85" t="s">
        <v>156</v>
      </c>
      <c r="B160" s="84">
        <v>16.399999999999999</v>
      </c>
      <c r="C160" s="84">
        <v>13.6</v>
      </c>
      <c r="D160" s="84">
        <v>13.5</v>
      </c>
      <c r="E160" s="84">
        <v>16</v>
      </c>
      <c r="F160" s="84">
        <v>19.75</v>
      </c>
      <c r="G160" s="84">
        <v>9.5</v>
      </c>
      <c r="H160" s="84">
        <v>5.2</v>
      </c>
    </row>
    <row r="161" spans="1:8" x14ac:dyDescent="0.25">
      <c r="A161" s="85" t="s">
        <v>157</v>
      </c>
      <c r="B161" s="84">
        <v>17</v>
      </c>
      <c r="C161" s="84">
        <v>18.600000000000001</v>
      </c>
      <c r="D161" s="84">
        <v>14.75</v>
      </c>
      <c r="E161" s="84">
        <v>18.75</v>
      </c>
      <c r="F161" s="84">
        <v>20.5</v>
      </c>
      <c r="G161" s="84">
        <v>12.25</v>
      </c>
      <c r="H161" s="84">
        <v>8.6</v>
      </c>
    </row>
    <row r="162" spans="1:8" x14ac:dyDescent="0.25">
      <c r="A162" s="85" t="s">
        <v>158</v>
      </c>
      <c r="B162" s="84">
        <v>22.2</v>
      </c>
      <c r="C162" s="84">
        <v>22.8</v>
      </c>
      <c r="D162" s="84">
        <v>21</v>
      </c>
      <c r="E162" s="84">
        <v>23.25</v>
      </c>
      <c r="F162" s="84">
        <v>19.25</v>
      </c>
      <c r="G162" s="84">
        <v>18.75</v>
      </c>
      <c r="H162" s="84">
        <v>8.1999999999999993</v>
      </c>
    </row>
    <row r="163" spans="1:8" x14ac:dyDescent="0.25">
      <c r="A163" s="85" t="s">
        <v>159</v>
      </c>
      <c r="B163" s="84">
        <v>28.8</v>
      </c>
      <c r="C163" s="84">
        <v>19.2</v>
      </c>
      <c r="D163" s="84">
        <v>18.5</v>
      </c>
      <c r="E163" s="84">
        <v>19.75</v>
      </c>
      <c r="F163" s="84">
        <v>21.25</v>
      </c>
      <c r="G163" s="84">
        <v>22.25</v>
      </c>
      <c r="H163" s="84">
        <v>13</v>
      </c>
    </row>
    <row r="164" spans="1:8" x14ac:dyDescent="0.25">
      <c r="A164" s="85" t="s">
        <v>160</v>
      </c>
      <c r="B164" s="84">
        <v>22.8</v>
      </c>
      <c r="C164" s="84">
        <v>22</v>
      </c>
      <c r="D164" s="84">
        <v>19.5</v>
      </c>
      <c r="E164" s="84">
        <v>24.5</v>
      </c>
      <c r="F164" s="84">
        <v>16.5</v>
      </c>
      <c r="G164" s="84">
        <v>15</v>
      </c>
      <c r="H164" s="84">
        <v>18.600000000000001</v>
      </c>
    </row>
    <row r="165" spans="1:8" x14ac:dyDescent="0.25">
      <c r="A165" s="85" t="s">
        <v>161</v>
      </c>
      <c r="B165" s="84">
        <v>25</v>
      </c>
      <c r="C165" s="84">
        <v>19.399999999999999</v>
      </c>
      <c r="D165" s="84">
        <v>18.5</v>
      </c>
      <c r="E165" s="84">
        <v>21.75</v>
      </c>
      <c r="F165" s="84">
        <v>21.5</v>
      </c>
      <c r="G165" s="84">
        <v>16</v>
      </c>
      <c r="H165" s="84">
        <v>12</v>
      </c>
    </row>
    <row r="166" spans="1:8" x14ac:dyDescent="0.25">
      <c r="A166" s="85" t="s">
        <v>162</v>
      </c>
      <c r="B166" s="84">
        <v>16.600000000000001</v>
      </c>
      <c r="C166" s="84">
        <v>15.8</v>
      </c>
      <c r="D166" s="84">
        <v>17.25</v>
      </c>
      <c r="E166" s="84">
        <v>21.5</v>
      </c>
      <c r="F166" s="84">
        <v>15.75</v>
      </c>
      <c r="G166" s="84">
        <v>12</v>
      </c>
      <c r="H166" s="84">
        <v>13.8</v>
      </c>
    </row>
    <row r="167" spans="1:8" x14ac:dyDescent="0.25">
      <c r="A167" s="85" t="s">
        <v>163</v>
      </c>
      <c r="B167" s="84">
        <v>24.2</v>
      </c>
      <c r="C167" s="84">
        <v>20.399999999999999</v>
      </c>
      <c r="D167" s="84">
        <v>15.75</v>
      </c>
      <c r="E167" s="84">
        <v>23.5</v>
      </c>
      <c r="F167" s="84">
        <v>21.75</v>
      </c>
      <c r="G167" s="84">
        <v>13.25</v>
      </c>
      <c r="H167" s="84">
        <v>11.8</v>
      </c>
    </row>
    <row r="168" spans="1:8" x14ac:dyDescent="0.25">
      <c r="A168" s="85" t="s">
        <v>164</v>
      </c>
      <c r="B168" s="84">
        <v>19.2</v>
      </c>
      <c r="C168" s="84">
        <v>16</v>
      </c>
      <c r="D168" s="84">
        <v>15.25</v>
      </c>
      <c r="E168" s="84">
        <v>16.5</v>
      </c>
      <c r="F168" s="84">
        <v>15.75</v>
      </c>
      <c r="G168" s="84">
        <v>17.5</v>
      </c>
      <c r="H168" s="84">
        <v>13.8</v>
      </c>
    </row>
    <row r="169" spans="1:8" x14ac:dyDescent="0.25">
      <c r="A169" s="85" t="s">
        <v>165</v>
      </c>
      <c r="B169" s="84">
        <v>18.2</v>
      </c>
      <c r="C169" s="84">
        <v>16.600000000000001</v>
      </c>
      <c r="D169" s="84">
        <v>16.75</v>
      </c>
      <c r="E169" s="84">
        <v>16.25</v>
      </c>
      <c r="F169" s="84">
        <v>18</v>
      </c>
      <c r="G169" s="84">
        <v>11.5</v>
      </c>
      <c r="H169" s="84">
        <v>13.2</v>
      </c>
    </row>
    <row r="170" spans="1:8" x14ac:dyDescent="0.25">
      <c r="A170" s="85" t="s">
        <v>166</v>
      </c>
      <c r="B170" s="84">
        <v>20</v>
      </c>
      <c r="C170" s="84">
        <v>12.2</v>
      </c>
      <c r="D170" s="84">
        <v>13.5</v>
      </c>
      <c r="E170" s="84">
        <v>14</v>
      </c>
      <c r="F170" s="84">
        <v>11.75</v>
      </c>
      <c r="G170" s="84">
        <v>12.25</v>
      </c>
      <c r="H170" s="84">
        <v>13.6</v>
      </c>
    </row>
    <row r="171" spans="1:8" x14ac:dyDescent="0.25">
      <c r="A171" s="85" t="s">
        <v>167</v>
      </c>
      <c r="B171" s="84">
        <v>17.2</v>
      </c>
      <c r="C171" s="84">
        <v>14.4</v>
      </c>
      <c r="D171" s="84">
        <v>15.25</v>
      </c>
      <c r="E171" s="84">
        <v>19</v>
      </c>
      <c r="F171" s="84">
        <v>15.75</v>
      </c>
      <c r="G171" s="84">
        <v>12.5</v>
      </c>
      <c r="H171" s="84">
        <v>10.199999999999999</v>
      </c>
    </row>
    <row r="172" spans="1:8" x14ac:dyDescent="0.25">
      <c r="A172" s="85" t="s">
        <v>168</v>
      </c>
      <c r="B172" s="84">
        <v>19.2</v>
      </c>
      <c r="C172" s="84">
        <v>14.2</v>
      </c>
      <c r="D172" s="84">
        <v>15.5</v>
      </c>
      <c r="E172" s="84">
        <v>16</v>
      </c>
      <c r="F172" s="84">
        <v>17.25</v>
      </c>
      <c r="G172" s="84">
        <v>15.25</v>
      </c>
      <c r="H172" s="84">
        <v>12.6</v>
      </c>
    </row>
    <row r="173" spans="1:8" x14ac:dyDescent="0.25">
      <c r="A173" s="85" t="s">
        <v>169</v>
      </c>
      <c r="B173" s="84">
        <v>18.2</v>
      </c>
      <c r="C173" s="84">
        <v>17.2</v>
      </c>
      <c r="D173" s="84">
        <v>20.25</v>
      </c>
      <c r="E173" s="84">
        <v>18.5</v>
      </c>
      <c r="F173" s="84">
        <v>15</v>
      </c>
      <c r="G173" s="84">
        <v>13.25</v>
      </c>
      <c r="H173" s="84">
        <v>14.2</v>
      </c>
    </row>
    <row r="174" spans="1:8" x14ac:dyDescent="0.25">
      <c r="A174" s="85" t="s">
        <v>170</v>
      </c>
      <c r="B174" s="84">
        <v>21.6</v>
      </c>
      <c r="C174" s="84">
        <v>10.8</v>
      </c>
      <c r="D174" s="84">
        <v>19</v>
      </c>
      <c r="E174" s="84">
        <v>20.5</v>
      </c>
      <c r="F174" s="84">
        <v>17.75</v>
      </c>
      <c r="G174" s="84">
        <v>13</v>
      </c>
      <c r="H174" s="84">
        <v>12.4</v>
      </c>
    </row>
    <row r="175" spans="1:8" x14ac:dyDescent="0.25">
      <c r="A175" s="85" t="s">
        <v>171</v>
      </c>
      <c r="B175" s="84">
        <v>12.4</v>
      </c>
      <c r="C175" s="84">
        <v>11.6</v>
      </c>
      <c r="D175" s="84">
        <v>13.75</v>
      </c>
      <c r="E175" s="84">
        <v>13.25</v>
      </c>
      <c r="F175" s="84">
        <v>14.5</v>
      </c>
      <c r="G175" s="84">
        <v>12</v>
      </c>
      <c r="H175" s="84">
        <v>12.2</v>
      </c>
    </row>
    <row r="176" spans="1:8" x14ac:dyDescent="0.25">
      <c r="A176" s="85" t="s">
        <v>172</v>
      </c>
      <c r="B176" s="84">
        <v>10.8</v>
      </c>
      <c r="C176" s="84">
        <v>8.4</v>
      </c>
      <c r="D176" s="84">
        <v>9.5</v>
      </c>
      <c r="E176" s="84">
        <v>14.75</v>
      </c>
      <c r="F176" s="84">
        <v>11.25</v>
      </c>
      <c r="G176" s="84">
        <v>12.25</v>
      </c>
      <c r="H176" s="84">
        <v>11.2</v>
      </c>
    </row>
    <row r="177" spans="1:8" x14ac:dyDescent="0.25">
      <c r="A177" s="85" t="s">
        <v>173</v>
      </c>
      <c r="B177" s="84">
        <v>9.1999999999999993</v>
      </c>
      <c r="C177" s="84">
        <v>6.8</v>
      </c>
      <c r="D177" s="84">
        <v>8.5</v>
      </c>
      <c r="E177" s="84">
        <v>10.25</v>
      </c>
      <c r="F177" s="84">
        <v>8.25</v>
      </c>
      <c r="G177" s="84">
        <v>7.75</v>
      </c>
      <c r="H177" s="84">
        <v>11.4</v>
      </c>
    </row>
    <row r="178" spans="1:8" x14ac:dyDescent="0.25">
      <c r="A178" s="85" t="s">
        <v>5</v>
      </c>
      <c r="B178" s="86">
        <v>366.4</v>
      </c>
      <c r="C178" s="86">
        <v>308.2</v>
      </c>
      <c r="D178" s="86">
        <v>318.5</v>
      </c>
      <c r="E178" s="86">
        <v>348.5</v>
      </c>
      <c r="F178" s="86">
        <v>333.25</v>
      </c>
      <c r="G178" s="86">
        <v>278.75</v>
      </c>
      <c r="H178" s="86">
        <v>236.8</v>
      </c>
    </row>
    <row r="182" spans="1:8" ht="21" x14ac:dyDescent="0.25">
      <c r="A182" s="228" t="s">
        <v>180</v>
      </c>
      <c r="B182" s="228"/>
      <c r="C182" s="228"/>
      <c r="D182" s="228"/>
      <c r="E182" s="228"/>
      <c r="F182" s="228"/>
      <c r="G182" s="228"/>
      <c r="H182" s="228"/>
    </row>
    <row r="183" spans="1:8" x14ac:dyDescent="0.25">
      <c r="A183" s="85" t="s">
        <v>142</v>
      </c>
      <c r="B183" s="85" t="s">
        <v>143</v>
      </c>
      <c r="C183" s="85" t="s">
        <v>144</v>
      </c>
      <c r="D183" s="85" t="s">
        <v>145</v>
      </c>
      <c r="E183" s="85" t="s">
        <v>146</v>
      </c>
      <c r="F183" s="85" t="s">
        <v>147</v>
      </c>
      <c r="G183" s="85" t="s">
        <v>148</v>
      </c>
      <c r="H183" s="85" t="s">
        <v>149</v>
      </c>
    </row>
    <row r="184" spans="1:8" x14ac:dyDescent="0.25">
      <c r="A184" s="85" t="s">
        <v>150</v>
      </c>
      <c r="B184" s="84">
        <f>SUM(B4,B34,B64,B94,B124,B154)/6</f>
        <v>5.3166666666666664</v>
      </c>
      <c r="C184" s="84">
        <f t="shared" ref="C184:H184" si="0">SUM(C4,C34,C64,C94,C124,C154)/6</f>
        <v>7.7</v>
      </c>
      <c r="D184" s="84">
        <f t="shared" si="0"/>
        <v>6.708333333333333</v>
      </c>
      <c r="E184" s="84">
        <f t="shared" si="0"/>
        <v>6.8583333333333334</v>
      </c>
      <c r="F184" s="84">
        <f t="shared" si="0"/>
        <v>6.6333333333333329</v>
      </c>
      <c r="G184" s="84">
        <f t="shared" si="0"/>
        <v>6.666666666666667</v>
      </c>
      <c r="H184" s="84">
        <f t="shared" si="0"/>
        <v>5.7833333333333341</v>
      </c>
    </row>
    <row r="185" spans="1:8" x14ac:dyDescent="0.25">
      <c r="A185" s="85" t="s">
        <v>151</v>
      </c>
      <c r="B185" s="84">
        <f t="shared" ref="B185:H185" si="1">SUM(B5,B35,B65,B95,B125,B155)/6</f>
        <v>3.2833333333333332</v>
      </c>
      <c r="C185" s="84">
        <f t="shared" si="1"/>
        <v>3.7083333333333335</v>
      </c>
      <c r="D185" s="84">
        <f t="shared" si="1"/>
        <v>3.9916666666666667</v>
      </c>
      <c r="E185" s="84">
        <f t="shared" si="1"/>
        <v>4.9416666666666664</v>
      </c>
      <c r="F185" s="84">
        <f t="shared" si="1"/>
        <v>5.0916666666666668</v>
      </c>
      <c r="G185" s="84">
        <f t="shared" si="1"/>
        <v>4.7</v>
      </c>
      <c r="H185" s="84">
        <f t="shared" si="1"/>
        <v>3.6999999999999997</v>
      </c>
    </row>
    <row r="186" spans="1:8" x14ac:dyDescent="0.25">
      <c r="A186" s="85" t="s">
        <v>152</v>
      </c>
      <c r="B186" s="84">
        <f t="shared" ref="B186:H186" si="2">SUM(B6,B36,B66,B96,B126,B156)/6</f>
        <v>3.2166666666666668</v>
      </c>
      <c r="C186" s="84">
        <f t="shared" si="2"/>
        <v>2.8333333333333335</v>
      </c>
      <c r="D186" s="84">
        <f t="shared" si="2"/>
        <v>3.5416666666666665</v>
      </c>
      <c r="E186" s="84">
        <f t="shared" si="2"/>
        <v>3.5583333333333336</v>
      </c>
      <c r="F186" s="84">
        <f t="shared" si="2"/>
        <v>3.8416666666666668</v>
      </c>
      <c r="G186" s="84">
        <f t="shared" si="2"/>
        <v>3.6916666666666664</v>
      </c>
      <c r="H186" s="84">
        <f t="shared" si="2"/>
        <v>3.3416666666666668</v>
      </c>
    </row>
    <row r="187" spans="1:8" x14ac:dyDescent="0.25">
      <c r="A187" s="85" t="s">
        <v>153</v>
      </c>
      <c r="B187" s="84">
        <f t="shared" ref="B187:H187" si="3">SUM(B7,B37,B67,B97,B127,B157)/6</f>
        <v>2.9666666666666668</v>
      </c>
      <c r="C187" s="84">
        <f t="shared" si="3"/>
        <v>3.9083333333333332</v>
      </c>
      <c r="D187" s="84">
        <f t="shared" si="3"/>
        <v>3.1999999999999997</v>
      </c>
      <c r="E187" s="84">
        <f t="shared" si="3"/>
        <v>2.625</v>
      </c>
      <c r="F187" s="84">
        <f t="shared" si="3"/>
        <v>3.1916666666666664</v>
      </c>
      <c r="G187" s="84">
        <f t="shared" si="3"/>
        <v>3.9250000000000003</v>
      </c>
      <c r="H187" s="84">
        <f t="shared" si="3"/>
        <v>2.6</v>
      </c>
    </row>
    <row r="188" spans="1:8" x14ac:dyDescent="0.25">
      <c r="A188" s="85" t="s">
        <v>154</v>
      </c>
      <c r="B188" s="84">
        <f t="shared" ref="B188:H188" si="4">SUM(B8,B38,B68,B98,B128,B158)/6</f>
        <v>3.8416666666666663</v>
      </c>
      <c r="C188" s="84">
        <f t="shared" si="4"/>
        <v>4.05</v>
      </c>
      <c r="D188" s="84">
        <f t="shared" si="4"/>
        <v>3.4333333333333336</v>
      </c>
      <c r="E188" s="84">
        <f t="shared" si="4"/>
        <v>3.4583333333333335</v>
      </c>
      <c r="F188" s="84">
        <f t="shared" si="4"/>
        <v>3.2166666666666668</v>
      </c>
      <c r="G188" s="84">
        <f t="shared" si="4"/>
        <v>3.4250000000000003</v>
      </c>
      <c r="H188" s="84">
        <f t="shared" si="4"/>
        <v>3.1333333333333333</v>
      </c>
    </row>
    <row r="189" spans="1:8" x14ac:dyDescent="0.25">
      <c r="A189" s="85" t="s">
        <v>155</v>
      </c>
      <c r="B189" s="84">
        <f t="shared" ref="B189:H189" si="5">SUM(B9,B39,B69,B99,B129,B159)/6</f>
        <v>8.4583333333333339</v>
      </c>
      <c r="C189" s="84">
        <f t="shared" si="5"/>
        <v>8.9916666666666671</v>
      </c>
      <c r="D189" s="84">
        <f t="shared" si="5"/>
        <v>8.5499999999999989</v>
      </c>
      <c r="E189" s="84">
        <f t="shared" si="5"/>
        <v>8.0499999999999989</v>
      </c>
      <c r="F189" s="84">
        <f t="shared" si="5"/>
        <v>10.325000000000001</v>
      </c>
      <c r="G189" s="84">
        <f t="shared" si="5"/>
        <v>5.9249999999999998</v>
      </c>
      <c r="H189" s="84">
        <f t="shared" si="5"/>
        <v>3.6916666666666669</v>
      </c>
    </row>
    <row r="190" spans="1:8" x14ac:dyDescent="0.25">
      <c r="A190" s="85" t="s">
        <v>156</v>
      </c>
      <c r="B190" s="84">
        <f t="shared" ref="B190:H190" si="6">SUM(B10,B40,B70,B100,B130,B160)/6</f>
        <v>19.083333333333332</v>
      </c>
      <c r="C190" s="84">
        <f t="shared" si="6"/>
        <v>17.458333333333332</v>
      </c>
      <c r="D190" s="84">
        <f t="shared" si="6"/>
        <v>14.008333333333335</v>
      </c>
      <c r="E190" s="84">
        <f t="shared" si="6"/>
        <v>15.583333333333334</v>
      </c>
      <c r="F190" s="84">
        <f t="shared" si="6"/>
        <v>16.941666666666666</v>
      </c>
      <c r="G190" s="84">
        <f t="shared" si="6"/>
        <v>8.5166666666666675</v>
      </c>
      <c r="H190" s="84">
        <f t="shared" si="6"/>
        <v>5.6499999999999995</v>
      </c>
    </row>
    <row r="191" spans="1:8" x14ac:dyDescent="0.25">
      <c r="A191" s="85" t="s">
        <v>157</v>
      </c>
      <c r="B191" s="84">
        <f t="shared" ref="B191:H191" si="7">SUM(B11,B41,B71,B101,B131,B161)/6</f>
        <v>23.95</v>
      </c>
      <c r="C191" s="84">
        <f t="shared" si="7"/>
        <v>22.191666666666666</v>
      </c>
      <c r="D191" s="84">
        <f t="shared" si="7"/>
        <v>20.791666666666668</v>
      </c>
      <c r="E191" s="84">
        <f t="shared" si="7"/>
        <v>20.641666666666666</v>
      </c>
      <c r="F191" s="84">
        <f t="shared" si="7"/>
        <v>21.058333333333334</v>
      </c>
      <c r="G191" s="84">
        <f t="shared" si="7"/>
        <v>12</v>
      </c>
      <c r="H191" s="84">
        <f t="shared" si="7"/>
        <v>8.5083333333333346</v>
      </c>
    </row>
    <row r="192" spans="1:8" x14ac:dyDescent="0.25">
      <c r="A192" s="85" t="s">
        <v>158</v>
      </c>
      <c r="B192" s="84">
        <f t="shared" ref="B192:H192" si="8">SUM(B12,B42,B72,B102,B132,B162)/6</f>
        <v>29.783333333333331</v>
      </c>
      <c r="C192" s="84">
        <f t="shared" si="8"/>
        <v>27.216666666666669</v>
      </c>
      <c r="D192" s="84">
        <f t="shared" si="8"/>
        <v>24.383333333333336</v>
      </c>
      <c r="E192" s="84">
        <f t="shared" si="8"/>
        <v>26.125</v>
      </c>
      <c r="F192" s="84">
        <f t="shared" si="8"/>
        <v>21.891666666666666</v>
      </c>
      <c r="G192" s="84">
        <f t="shared" si="8"/>
        <v>14.491666666666667</v>
      </c>
      <c r="H192" s="84">
        <f t="shared" si="8"/>
        <v>9.35</v>
      </c>
    </row>
    <row r="193" spans="1:8" x14ac:dyDescent="0.25">
      <c r="A193" s="85" t="s">
        <v>159</v>
      </c>
      <c r="B193" s="84">
        <f t="shared" ref="B193:H193" si="9">SUM(B13,B43,B73,B103,B133,B163)/6</f>
        <v>29.683333333333337</v>
      </c>
      <c r="C193" s="84">
        <f t="shared" si="9"/>
        <v>21.966666666666665</v>
      </c>
      <c r="D193" s="84">
        <f t="shared" si="9"/>
        <v>22.474999999999998</v>
      </c>
      <c r="E193" s="84">
        <f t="shared" si="9"/>
        <v>24</v>
      </c>
      <c r="F193" s="84">
        <f t="shared" si="9"/>
        <v>20.375</v>
      </c>
      <c r="G193" s="84">
        <f t="shared" si="9"/>
        <v>16.858333333333334</v>
      </c>
      <c r="H193" s="84">
        <f t="shared" si="9"/>
        <v>14.049999999999999</v>
      </c>
    </row>
    <row r="194" spans="1:8" x14ac:dyDescent="0.25">
      <c r="A194" s="85" t="s">
        <v>160</v>
      </c>
      <c r="B194" s="84">
        <f t="shared" ref="B194:H194" si="10">SUM(B14,B44,B74,B104,B134,B164)/6</f>
        <v>25.516666666666669</v>
      </c>
      <c r="C194" s="84">
        <f t="shared" si="10"/>
        <v>23.2</v>
      </c>
      <c r="D194" s="84">
        <f t="shared" si="10"/>
        <v>22.091666666666669</v>
      </c>
      <c r="E194" s="84">
        <f t="shared" si="10"/>
        <v>22.041666666666668</v>
      </c>
      <c r="F194" s="84">
        <f t="shared" si="10"/>
        <v>19.716666666666669</v>
      </c>
      <c r="G194" s="84">
        <f t="shared" si="10"/>
        <v>17.349999999999998</v>
      </c>
      <c r="H194" s="84">
        <f t="shared" si="10"/>
        <v>15.6</v>
      </c>
    </row>
    <row r="195" spans="1:8" x14ac:dyDescent="0.25">
      <c r="A195" s="85" t="s">
        <v>161</v>
      </c>
      <c r="B195" s="84">
        <f t="shared" ref="B195:H195" si="11">SUM(B15,B45,B75,B105,B135,B165)/6</f>
        <v>24.683333333333334</v>
      </c>
      <c r="C195" s="84">
        <f t="shared" si="11"/>
        <v>19.349999999999998</v>
      </c>
      <c r="D195" s="84">
        <f t="shared" si="11"/>
        <v>18.241666666666667</v>
      </c>
      <c r="E195" s="84">
        <f t="shared" si="11"/>
        <v>18.558333333333334</v>
      </c>
      <c r="F195" s="84">
        <f t="shared" si="11"/>
        <v>18.483333333333334</v>
      </c>
      <c r="G195" s="84">
        <f t="shared" si="11"/>
        <v>16.574999999999999</v>
      </c>
      <c r="H195" s="84">
        <f t="shared" si="11"/>
        <v>15.566666666666668</v>
      </c>
    </row>
    <row r="196" spans="1:8" x14ac:dyDescent="0.25">
      <c r="A196" s="85" t="s">
        <v>162</v>
      </c>
      <c r="B196" s="84">
        <f t="shared" ref="B196:H196" si="12">SUM(B16,B46,B76,B106,B136,B166)/6</f>
        <v>23.183333333333334</v>
      </c>
      <c r="C196" s="84">
        <f t="shared" si="12"/>
        <v>19.324999999999999</v>
      </c>
      <c r="D196" s="84">
        <f t="shared" si="12"/>
        <v>16.958333333333332</v>
      </c>
      <c r="E196" s="84">
        <f t="shared" si="12"/>
        <v>18.45</v>
      </c>
      <c r="F196" s="84">
        <f t="shared" si="12"/>
        <v>16.900000000000002</v>
      </c>
      <c r="G196" s="84">
        <f t="shared" si="12"/>
        <v>14</v>
      </c>
      <c r="H196" s="84">
        <f t="shared" si="12"/>
        <v>12.383333333333333</v>
      </c>
    </row>
    <row r="197" spans="1:8" x14ac:dyDescent="0.25">
      <c r="A197" s="85" t="s">
        <v>163</v>
      </c>
      <c r="B197" s="84">
        <f t="shared" ref="B197:H197" si="13">SUM(B17,B47,B77,B107,B137,B167)/6</f>
        <v>29.224999999999998</v>
      </c>
      <c r="C197" s="84">
        <f t="shared" si="13"/>
        <v>25.125</v>
      </c>
      <c r="D197" s="84">
        <f t="shared" si="13"/>
        <v>23.833333333333332</v>
      </c>
      <c r="E197" s="84">
        <f t="shared" si="13"/>
        <v>23.483333333333331</v>
      </c>
      <c r="F197" s="84">
        <f t="shared" si="13"/>
        <v>22.675000000000001</v>
      </c>
      <c r="G197" s="84">
        <f t="shared" si="13"/>
        <v>14.25</v>
      </c>
      <c r="H197" s="84">
        <f t="shared" si="13"/>
        <v>12.908333333333333</v>
      </c>
    </row>
    <row r="198" spans="1:8" x14ac:dyDescent="0.25">
      <c r="A198" s="85" t="s">
        <v>164</v>
      </c>
      <c r="B198" s="84">
        <f t="shared" ref="B198:H198" si="14">SUM(B18,B48,B78,B108,B138,B168)/6</f>
        <v>24.266666666666666</v>
      </c>
      <c r="C198" s="84">
        <f t="shared" si="14"/>
        <v>21.341666666666669</v>
      </c>
      <c r="D198" s="84">
        <f t="shared" si="14"/>
        <v>20.358333333333334</v>
      </c>
      <c r="E198" s="84">
        <f t="shared" si="14"/>
        <v>19.625</v>
      </c>
      <c r="F198" s="84">
        <f t="shared" si="14"/>
        <v>19.183333333333334</v>
      </c>
      <c r="G198" s="84">
        <f t="shared" si="14"/>
        <v>14.858333333333333</v>
      </c>
      <c r="H198" s="84">
        <f t="shared" si="14"/>
        <v>13.524999999999999</v>
      </c>
    </row>
    <row r="199" spans="1:8" x14ac:dyDescent="0.25">
      <c r="A199" s="85" t="s">
        <v>165</v>
      </c>
      <c r="B199" s="84">
        <f t="shared" ref="B199:H199" si="15">SUM(B19,B49,B79,B109,B139,B169)/6</f>
        <v>21.274999999999999</v>
      </c>
      <c r="C199" s="84">
        <f t="shared" si="15"/>
        <v>19.341666666666669</v>
      </c>
      <c r="D199" s="84">
        <f t="shared" si="15"/>
        <v>17.641666666666666</v>
      </c>
      <c r="E199" s="84">
        <f t="shared" si="15"/>
        <v>16.708333333333332</v>
      </c>
      <c r="F199" s="84">
        <f t="shared" si="15"/>
        <v>15.591666666666667</v>
      </c>
      <c r="G199" s="84">
        <f t="shared" si="15"/>
        <v>13.441666666666668</v>
      </c>
      <c r="H199" s="84">
        <f t="shared" si="15"/>
        <v>13.65</v>
      </c>
    </row>
    <row r="200" spans="1:8" x14ac:dyDescent="0.25">
      <c r="A200" s="85" t="s">
        <v>166</v>
      </c>
      <c r="B200" s="84">
        <f t="shared" ref="B200:H200" si="16">SUM(B20,B50,B80,B110,B140,B170)/6</f>
        <v>19.016666666666666</v>
      </c>
      <c r="C200" s="84">
        <f t="shared" si="16"/>
        <v>14.674999999999999</v>
      </c>
      <c r="D200" s="84">
        <f t="shared" si="16"/>
        <v>17.658333333333335</v>
      </c>
      <c r="E200" s="84">
        <f t="shared" si="16"/>
        <v>16.208333333333332</v>
      </c>
      <c r="F200" s="84">
        <f t="shared" si="16"/>
        <v>14.558333333333332</v>
      </c>
      <c r="G200" s="84">
        <f t="shared" si="16"/>
        <v>12.783333333333333</v>
      </c>
      <c r="H200" s="84">
        <f t="shared" si="16"/>
        <v>12.583333333333334</v>
      </c>
    </row>
    <row r="201" spans="1:8" x14ac:dyDescent="0.25">
      <c r="A201" s="85" t="s">
        <v>167</v>
      </c>
      <c r="B201" s="84">
        <f t="shared" ref="B201:H201" si="17">SUM(B21,B51,B81,B111,B141,B171)/6</f>
        <v>19.758333333333333</v>
      </c>
      <c r="C201" s="84">
        <f t="shared" si="17"/>
        <v>15.875</v>
      </c>
      <c r="D201" s="84">
        <f t="shared" si="17"/>
        <v>15.441666666666668</v>
      </c>
      <c r="E201" s="84">
        <f t="shared" si="17"/>
        <v>16.458333333333332</v>
      </c>
      <c r="F201" s="84">
        <f t="shared" si="17"/>
        <v>14.408333333333333</v>
      </c>
      <c r="G201" s="84">
        <f t="shared" si="17"/>
        <v>12.875</v>
      </c>
      <c r="H201" s="84">
        <f t="shared" si="17"/>
        <v>12.700000000000001</v>
      </c>
    </row>
    <row r="202" spans="1:8" x14ac:dyDescent="0.25">
      <c r="A202" s="85" t="s">
        <v>168</v>
      </c>
      <c r="B202" s="84">
        <f t="shared" ref="B202:H202" si="18">SUM(B22,B52,B82,B112,B142,B172)/6</f>
        <v>20.358333333333334</v>
      </c>
      <c r="C202" s="84">
        <f t="shared" si="18"/>
        <v>19.041666666666668</v>
      </c>
      <c r="D202" s="84">
        <f t="shared" si="18"/>
        <v>18.683333333333334</v>
      </c>
      <c r="E202" s="84">
        <f t="shared" si="18"/>
        <v>17.824999999999999</v>
      </c>
      <c r="F202" s="84">
        <f t="shared" si="18"/>
        <v>14.866666666666667</v>
      </c>
      <c r="G202" s="84">
        <f t="shared" si="18"/>
        <v>12.308333333333332</v>
      </c>
      <c r="H202" s="84">
        <f t="shared" si="18"/>
        <v>14.283333333333331</v>
      </c>
    </row>
    <row r="203" spans="1:8" x14ac:dyDescent="0.25">
      <c r="A203" s="85" t="s">
        <v>169</v>
      </c>
      <c r="B203" s="84">
        <f t="shared" ref="B203:H203" si="19">SUM(B23,B53,B83,B113,B143,B173)/6</f>
        <v>23.058333333333334</v>
      </c>
      <c r="C203" s="84">
        <f t="shared" si="19"/>
        <v>19.991666666666667</v>
      </c>
      <c r="D203" s="84">
        <f t="shared" si="19"/>
        <v>19.25</v>
      </c>
      <c r="E203" s="84">
        <f t="shared" si="19"/>
        <v>19.7</v>
      </c>
      <c r="F203" s="84">
        <f t="shared" si="19"/>
        <v>15.875</v>
      </c>
      <c r="G203" s="84">
        <f t="shared" si="19"/>
        <v>14.458333333333334</v>
      </c>
      <c r="H203" s="84">
        <f t="shared" si="19"/>
        <v>14.083333333333334</v>
      </c>
    </row>
    <row r="204" spans="1:8" x14ac:dyDescent="0.25">
      <c r="A204" s="85" t="s">
        <v>170</v>
      </c>
      <c r="B204" s="84">
        <f t="shared" ref="B204:H204" si="20">SUM(B24,B54,B84,B114,B144,B174)/6</f>
        <v>20.383333333333336</v>
      </c>
      <c r="C204" s="84">
        <f t="shared" si="20"/>
        <v>17.291666666666668</v>
      </c>
      <c r="D204" s="84">
        <f t="shared" si="20"/>
        <v>16.816666666666666</v>
      </c>
      <c r="E204" s="84">
        <f t="shared" si="20"/>
        <v>16.766666666666666</v>
      </c>
      <c r="F204" s="84">
        <f t="shared" si="20"/>
        <v>14.516666666666666</v>
      </c>
      <c r="G204" s="84">
        <f t="shared" si="20"/>
        <v>12.658333333333333</v>
      </c>
      <c r="H204" s="84">
        <f t="shared" si="20"/>
        <v>11.916666666666666</v>
      </c>
    </row>
    <row r="205" spans="1:8" x14ac:dyDescent="0.25">
      <c r="A205" s="85" t="s">
        <v>171</v>
      </c>
      <c r="B205" s="84">
        <f t="shared" ref="B205:H205" si="21">SUM(B25,B55,B85,B115,B145,B175)/6</f>
        <v>15.158333333333333</v>
      </c>
      <c r="C205" s="84">
        <f t="shared" si="21"/>
        <v>13.758333333333331</v>
      </c>
      <c r="D205" s="84">
        <f t="shared" si="21"/>
        <v>14.25</v>
      </c>
      <c r="E205" s="84">
        <f t="shared" si="21"/>
        <v>13.741666666666665</v>
      </c>
      <c r="F205" s="84">
        <f t="shared" si="21"/>
        <v>12.050000000000002</v>
      </c>
      <c r="G205" s="84">
        <f t="shared" si="21"/>
        <v>10.408333333333333</v>
      </c>
      <c r="H205" s="84">
        <f t="shared" si="21"/>
        <v>13.025</v>
      </c>
    </row>
    <row r="206" spans="1:8" x14ac:dyDescent="0.25">
      <c r="A206" s="85" t="s">
        <v>172</v>
      </c>
      <c r="B206" s="84">
        <f t="shared" ref="B206:H206" si="22">SUM(B26,B56,B86,B116,B146,B176)/6</f>
        <v>13.1</v>
      </c>
      <c r="C206" s="84">
        <f t="shared" si="22"/>
        <v>10.808333333333335</v>
      </c>
      <c r="D206" s="84">
        <f t="shared" si="22"/>
        <v>10.091666666666667</v>
      </c>
      <c r="E206" s="84">
        <f t="shared" si="22"/>
        <v>11.416666666666666</v>
      </c>
      <c r="F206" s="84">
        <f t="shared" si="22"/>
        <v>10.225</v>
      </c>
      <c r="G206" s="84">
        <f t="shared" si="22"/>
        <v>9.7833333333333332</v>
      </c>
      <c r="H206" s="84">
        <f t="shared" si="22"/>
        <v>11.333333333333334</v>
      </c>
    </row>
    <row r="207" spans="1:8" x14ac:dyDescent="0.25">
      <c r="A207" s="85" t="s">
        <v>173</v>
      </c>
      <c r="B207" s="84">
        <f t="shared" ref="B207:H207" si="23">SUM(B27,B57,B87,B117,B147,B177)/6</f>
        <v>8.5833333333333339</v>
      </c>
      <c r="C207" s="84">
        <f t="shared" si="23"/>
        <v>8.7083333333333339</v>
      </c>
      <c r="D207" s="84">
        <f t="shared" si="23"/>
        <v>8.9833333333333325</v>
      </c>
      <c r="E207" s="84">
        <f t="shared" si="23"/>
        <v>9.2666666666666675</v>
      </c>
      <c r="F207" s="84">
        <f t="shared" si="23"/>
        <v>8.7166666666666668</v>
      </c>
      <c r="G207" s="84">
        <f t="shared" si="23"/>
        <v>8.375</v>
      </c>
      <c r="H207" s="84">
        <f t="shared" si="23"/>
        <v>8.1916666666666664</v>
      </c>
    </row>
    <row r="208" spans="1:8" x14ac:dyDescent="0.25">
      <c r="A208" s="85" t="s">
        <v>5</v>
      </c>
      <c r="B208" s="86">
        <f>AVERAGE(B28,B58,B88,B118,B148,B178)</f>
        <v>417.15000000000003</v>
      </c>
      <c r="C208" s="86">
        <f t="shared" ref="C208:H208" si="24">AVERAGE(C28,C58,C88,C118,C148,C178)</f>
        <v>367.85833333333329</v>
      </c>
      <c r="D208" s="86">
        <f t="shared" si="24"/>
        <v>351.38333333333338</v>
      </c>
      <c r="E208" s="86">
        <f t="shared" si="24"/>
        <v>356.0916666666667</v>
      </c>
      <c r="F208" s="86">
        <f t="shared" si="24"/>
        <v>330.33333333333331</v>
      </c>
      <c r="G208" s="86">
        <f t="shared" si="24"/>
        <v>264.32499999999999</v>
      </c>
      <c r="H208" s="86">
        <f t="shared" si="24"/>
        <v>241.55833333333331</v>
      </c>
    </row>
  </sheetData>
  <mergeCells count="8">
    <mergeCell ref="A1:H1"/>
    <mergeCell ref="A152:H152"/>
    <mergeCell ref="A182:H182"/>
    <mergeCell ref="A2:H2"/>
    <mergeCell ref="A32:H32"/>
    <mergeCell ref="A62:H62"/>
    <mergeCell ref="A92:H92"/>
    <mergeCell ref="A122:H122"/>
  </mergeCells>
  <conditionalFormatting sqref="B4:H2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H5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4:H8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4:H1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4:H14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4:H1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4:H20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96"/>
  <sheetViews>
    <sheetView showGridLines="0" zoomScaleNormal="100" workbookViewId="0">
      <selection activeCell="B276" sqref="B276"/>
    </sheetView>
  </sheetViews>
  <sheetFormatPr defaultRowHeight="15" x14ac:dyDescent="0.25"/>
  <cols>
    <col min="1" max="1" width="17.28515625" customWidth="1"/>
    <col min="2" max="8" width="22.7109375" customWidth="1"/>
  </cols>
  <sheetData>
    <row r="1" spans="1:10" ht="61.9" customHeight="1" x14ac:dyDescent="0.25">
      <c r="A1" s="205" t="s">
        <v>200</v>
      </c>
      <c r="B1" s="205"/>
      <c r="C1" s="205"/>
      <c r="D1" s="205"/>
      <c r="E1" s="205"/>
      <c r="F1" s="205"/>
      <c r="G1" s="205"/>
      <c r="H1" s="205"/>
      <c r="I1" s="44"/>
      <c r="J1" s="44"/>
    </row>
    <row r="2" spans="1:10" ht="21" hidden="1" x14ac:dyDescent="0.25">
      <c r="A2" s="228" t="s">
        <v>205</v>
      </c>
      <c r="B2" s="228"/>
      <c r="C2" s="228"/>
      <c r="D2" s="228"/>
      <c r="E2" s="228"/>
      <c r="F2" s="228"/>
      <c r="G2" s="228"/>
      <c r="H2" s="228"/>
      <c r="I2" s="44"/>
      <c r="J2" s="44"/>
    </row>
    <row r="3" spans="1:10" hidden="1" x14ac:dyDescent="0.25">
      <c r="A3" s="85" t="s">
        <v>142</v>
      </c>
      <c r="B3" s="85" t="s">
        <v>143</v>
      </c>
      <c r="C3" s="85" t="s">
        <v>144</v>
      </c>
      <c r="D3" s="85" t="s">
        <v>145</v>
      </c>
      <c r="E3" s="85" t="s">
        <v>146</v>
      </c>
      <c r="F3" s="85" t="s">
        <v>147</v>
      </c>
      <c r="G3" s="85" t="s">
        <v>148</v>
      </c>
      <c r="H3" s="85" t="s">
        <v>149</v>
      </c>
    </row>
    <row r="4" spans="1:10" hidden="1" x14ac:dyDescent="0.25">
      <c r="A4" s="85" t="s">
        <v>150</v>
      </c>
      <c r="B4" s="3">
        <v>9.5</v>
      </c>
      <c r="C4" s="3">
        <v>8.25</v>
      </c>
      <c r="D4" s="3">
        <v>5.4</v>
      </c>
      <c r="E4" s="3">
        <v>4.4000000000000004</v>
      </c>
      <c r="F4" s="3">
        <v>8.6</v>
      </c>
      <c r="G4" s="3">
        <v>8.75</v>
      </c>
      <c r="H4" s="3">
        <v>6.5</v>
      </c>
    </row>
    <row r="5" spans="1:10" hidden="1" x14ac:dyDescent="0.25">
      <c r="A5" s="85" t="s">
        <v>151</v>
      </c>
      <c r="B5" s="3">
        <v>4.25</v>
      </c>
      <c r="C5" s="3">
        <v>4.75</v>
      </c>
      <c r="D5" s="3">
        <v>6</v>
      </c>
      <c r="E5" s="3">
        <v>4.8</v>
      </c>
      <c r="F5" s="3">
        <v>5</v>
      </c>
      <c r="G5" s="3">
        <v>3.25</v>
      </c>
      <c r="H5" s="3">
        <v>5.5</v>
      </c>
    </row>
    <row r="6" spans="1:10" hidden="1" x14ac:dyDescent="0.25">
      <c r="A6" s="85" t="s">
        <v>152</v>
      </c>
      <c r="B6" s="3">
        <v>2</v>
      </c>
      <c r="C6" s="3">
        <v>3</v>
      </c>
      <c r="D6" s="3">
        <v>4.2</v>
      </c>
      <c r="E6" s="3">
        <v>4</v>
      </c>
      <c r="F6" s="3">
        <v>2.4</v>
      </c>
      <c r="G6" s="3">
        <v>5.25</v>
      </c>
      <c r="H6" s="3">
        <v>4</v>
      </c>
    </row>
    <row r="7" spans="1:10" hidden="1" x14ac:dyDescent="0.25">
      <c r="A7" s="85" t="s">
        <v>153</v>
      </c>
      <c r="B7" s="3">
        <v>0.5</v>
      </c>
      <c r="C7" s="3">
        <v>1.75</v>
      </c>
      <c r="D7" s="3">
        <v>4</v>
      </c>
      <c r="E7" s="3">
        <v>4.2</v>
      </c>
      <c r="F7" s="3">
        <v>1.6</v>
      </c>
      <c r="G7" s="3">
        <v>2.5</v>
      </c>
      <c r="H7" s="3">
        <v>1.75</v>
      </c>
    </row>
    <row r="8" spans="1:10" hidden="1" x14ac:dyDescent="0.25">
      <c r="A8" s="85" t="s">
        <v>154</v>
      </c>
      <c r="B8" s="3">
        <v>2.75</v>
      </c>
      <c r="C8" s="3">
        <v>4.75</v>
      </c>
      <c r="D8" s="3">
        <v>4.2</v>
      </c>
      <c r="E8" s="3">
        <v>3</v>
      </c>
      <c r="F8" s="3">
        <v>3.4</v>
      </c>
      <c r="G8" s="3">
        <v>3.25</v>
      </c>
      <c r="H8" s="3">
        <v>3.25</v>
      </c>
    </row>
    <row r="9" spans="1:10" hidden="1" x14ac:dyDescent="0.25">
      <c r="A9" s="85" t="s">
        <v>155</v>
      </c>
      <c r="B9" s="3">
        <v>5</v>
      </c>
      <c r="C9" s="3">
        <v>9</v>
      </c>
      <c r="D9" s="3">
        <v>3.6</v>
      </c>
      <c r="E9" s="3">
        <v>6.6</v>
      </c>
      <c r="F9" s="3">
        <v>7.2</v>
      </c>
      <c r="G9" s="3">
        <v>8</v>
      </c>
      <c r="H9" s="3">
        <v>4.5</v>
      </c>
    </row>
    <row r="10" spans="1:10" hidden="1" x14ac:dyDescent="0.25">
      <c r="A10" s="85" t="s">
        <v>156</v>
      </c>
      <c r="B10" s="3">
        <v>16</v>
      </c>
      <c r="C10" s="3">
        <v>15.5</v>
      </c>
      <c r="D10" s="3">
        <v>14.8</v>
      </c>
      <c r="E10" s="3">
        <v>14.4</v>
      </c>
      <c r="F10" s="3">
        <v>15.4</v>
      </c>
      <c r="G10" s="3">
        <v>10.25</v>
      </c>
      <c r="H10" s="3">
        <v>8.5</v>
      </c>
    </row>
    <row r="11" spans="1:10" hidden="1" x14ac:dyDescent="0.25">
      <c r="A11" s="85" t="s">
        <v>157</v>
      </c>
      <c r="B11" s="3">
        <v>24</v>
      </c>
      <c r="C11" s="3">
        <v>22.25</v>
      </c>
      <c r="D11" s="3">
        <v>20.2</v>
      </c>
      <c r="E11" s="3">
        <v>23.8</v>
      </c>
      <c r="F11" s="3">
        <v>17.2</v>
      </c>
      <c r="G11" s="3">
        <v>13.5</v>
      </c>
      <c r="H11" s="3">
        <v>10.5</v>
      </c>
    </row>
    <row r="12" spans="1:10" hidden="1" x14ac:dyDescent="0.25">
      <c r="A12" s="85" t="s">
        <v>158</v>
      </c>
      <c r="B12" s="3">
        <v>30.5</v>
      </c>
      <c r="C12" s="3">
        <v>28</v>
      </c>
      <c r="D12" s="3">
        <v>19</v>
      </c>
      <c r="E12" s="3">
        <v>22.2</v>
      </c>
      <c r="F12" s="3">
        <v>24</v>
      </c>
      <c r="G12" s="3">
        <v>15.25</v>
      </c>
      <c r="H12" s="3">
        <v>10</v>
      </c>
    </row>
    <row r="13" spans="1:10" hidden="1" x14ac:dyDescent="0.25">
      <c r="A13" s="85" t="s">
        <v>159</v>
      </c>
      <c r="B13" s="3">
        <v>29</v>
      </c>
      <c r="C13" s="3">
        <v>27.5</v>
      </c>
      <c r="D13" s="3">
        <v>20.8</v>
      </c>
      <c r="E13" s="3">
        <v>22.8</v>
      </c>
      <c r="F13" s="3">
        <v>19.8</v>
      </c>
      <c r="G13" s="3">
        <v>18.5</v>
      </c>
      <c r="H13" s="3">
        <v>13.75</v>
      </c>
    </row>
    <row r="14" spans="1:10" hidden="1" x14ac:dyDescent="0.25">
      <c r="A14" s="85" t="s">
        <v>160</v>
      </c>
      <c r="B14" s="3">
        <v>31.5</v>
      </c>
      <c r="C14" s="3">
        <v>23</v>
      </c>
      <c r="D14" s="3">
        <v>20.399999999999999</v>
      </c>
      <c r="E14" s="3">
        <v>22.4</v>
      </c>
      <c r="F14" s="3">
        <v>23.2</v>
      </c>
      <c r="G14" s="3">
        <v>22</v>
      </c>
      <c r="H14" s="3">
        <v>16.75</v>
      </c>
    </row>
    <row r="15" spans="1:10" hidden="1" x14ac:dyDescent="0.25">
      <c r="A15" s="85" t="s">
        <v>161</v>
      </c>
      <c r="B15" s="3">
        <v>25</v>
      </c>
      <c r="C15" s="3">
        <v>25.5</v>
      </c>
      <c r="D15" s="3">
        <v>19.600000000000001</v>
      </c>
      <c r="E15" s="3">
        <v>26</v>
      </c>
      <c r="F15" s="3">
        <v>25.6</v>
      </c>
      <c r="G15" s="3">
        <v>20</v>
      </c>
      <c r="H15" s="3">
        <v>12.75</v>
      </c>
    </row>
    <row r="16" spans="1:10" hidden="1" x14ac:dyDescent="0.25">
      <c r="A16" s="85" t="s">
        <v>162</v>
      </c>
      <c r="B16" s="3">
        <v>25.5</v>
      </c>
      <c r="C16" s="3">
        <v>15.25</v>
      </c>
      <c r="D16" s="3">
        <v>18.399999999999999</v>
      </c>
      <c r="E16" s="3">
        <v>20.2</v>
      </c>
      <c r="F16" s="3">
        <v>19.2</v>
      </c>
      <c r="G16" s="3">
        <v>22</v>
      </c>
      <c r="H16" s="3">
        <v>14</v>
      </c>
    </row>
    <row r="17" spans="1:8" hidden="1" x14ac:dyDescent="0.25">
      <c r="A17" s="85" t="s">
        <v>163</v>
      </c>
      <c r="B17" s="3">
        <v>27.75</v>
      </c>
      <c r="C17" s="3">
        <v>21.75</v>
      </c>
      <c r="D17" s="3">
        <v>21.4</v>
      </c>
      <c r="E17" s="3">
        <v>20.2</v>
      </c>
      <c r="F17" s="3">
        <v>18.399999999999999</v>
      </c>
      <c r="G17" s="3">
        <v>16</v>
      </c>
      <c r="H17" s="3">
        <v>12.75</v>
      </c>
    </row>
    <row r="18" spans="1:8" hidden="1" x14ac:dyDescent="0.25">
      <c r="A18" s="85" t="s">
        <v>164</v>
      </c>
      <c r="B18" s="3">
        <v>20.75</v>
      </c>
      <c r="C18" s="3">
        <v>19.75</v>
      </c>
      <c r="D18" s="3">
        <v>15.4</v>
      </c>
      <c r="E18" s="3">
        <v>23</v>
      </c>
      <c r="F18" s="3">
        <v>19.600000000000001</v>
      </c>
      <c r="G18" s="3">
        <v>13.75</v>
      </c>
      <c r="H18" s="3">
        <v>16.5</v>
      </c>
    </row>
    <row r="19" spans="1:8" hidden="1" x14ac:dyDescent="0.25">
      <c r="A19" s="85" t="s">
        <v>165</v>
      </c>
      <c r="B19" s="3">
        <v>24.5</v>
      </c>
      <c r="C19" s="3">
        <v>19.25</v>
      </c>
      <c r="D19" s="3">
        <v>15.2</v>
      </c>
      <c r="E19" s="3">
        <v>19.2</v>
      </c>
      <c r="F19" s="3">
        <v>16</v>
      </c>
      <c r="G19" s="3">
        <v>11.25</v>
      </c>
      <c r="H19" s="3">
        <v>14.5</v>
      </c>
    </row>
    <row r="20" spans="1:8" hidden="1" x14ac:dyDescent="0.25">
      <c r="A20" s="85" t="s">
        <v>166</v>
      </c>
      <c r="B20" s="3">
        <v>17.25</v>
      </c>
      <c r="C20" s="3">
        <v>16.75</v>
      </c>
      <c r="D20" s="3">
        <v>12</v>
      </c>
      <c r="E20" s="3">
        <v>21.8</v>
      </c>
      <c r="F20" s="3">
        <v>19.399999999999999</v>
      </c>
      <c r="G20" s="3">
        <v>12.5</v>
      </c>
      <c r="H20" s="3">
        <v>13.25</v>
      </c>
    </row>
    <row r="21" spans="1:8" hidden="1" x14ac:dyDescent="0.25">
      <c r="A21" s="85" t="s">
        <v>167</v>
      </c>
      <c r="B21" s="3">
        <v>14.5</v>
      </c>
      <c r="C21" s="3">
        <v>16.5</v>
      </c>
      <c r="D21" s="3">
        <v>15</v>
      </c>
      <c r="E21" s="3">
        <v>14.4</v>
      </c>
      <c r="F21" s="3">
        <v>13.8</v>
      </c>
      <c r="G21" s="3">
        <v>14.25</v>
      </c>
      <c r="H21" s="3">
        <v>13.75</v>
      </c>
    </row>
    <row r="22" spans="1:8" hidden="1" x14ac:dyDescent="0.25">
      <c r="A22" s="85" t="s">
        <v>168</v>
      </c>
      <c r="B22" s="3">
        <v>19</v>
      </c>
      <c r="C22" s="3">
        <v>12.75</v>
      </c>
      <c r="D22" s="3">
        <v>14.2</v>
      </c>
      <c r="E22" s="3">
        <v>18.399999999999999</v>
      </c>
      <c r="F22" s="3">
        <v>15.2</v>
      </c>
      <c r="G22" s="3">
        <v>10.75</v>
      </c>
      <c r="H22" s="3">
        <v>15.25</v>
      </c>
    </row>
    <row r="23" spans="1:8" hidden="1" x14ac:dyDescent="0.25">
      <c r="A23" s="85" t="s">
        <v>169</v>
      </c>
      <c r="B23" s="3">
        <v>26</v>
      </c>
      <c r="C23" s="3">
        <v>18.25</v>
      </c>
      <c r="D23" s="3">
        <v>16.8</v>
      </c>
      <c r="E23" s="3">
        <v>13.4</v>
      </c>
      <c r="F23" s="3">
        <v>17.8</v>
      </c>
      <c r="G23" s="3">
        <v>14.25</v>
      </c>
      <c r="H23" s="3">
        <v>14.25</v>
      </c>
    </row>
    <row r="24" spans="1:8" hidden="1" x14ac:dyDescent="0.25">
      <c r="A24" s="85" t="s">
        <v>170</v>
      </c>
      <c r="B24" s="3">
        <v>17</v>
      </c>
      <c r="C24" s="3">
        <v>17.75</v>
      </c>
      <c r="D24" s="3">
        <v>19.8</v>
      </c>
      <c r="E24" s="3">
        <v>19.600000000000001</v>
      </c>
      <c r="F24" s="3">
        <v>19.399999999999999</v>
      </c>
      <c r="G24" s="3">
        <v>14.75</v>
      </c>
      <c r="H24" s="3">
        <v>12.25</v>
      </c>
    </row>
    <row r="25" spans="1:8" hidden="1" x14ac:dyDescent="0.25">
      <c r="A25" s="85" t="s">
        <v>171</v>
      </c>
      <c r="B25" s="3">
        <v>14.25</v>
      </c>
      <c r="C25" s="3">
        <v>16.25</v>
      </c>
      <c r="D25" s="3">
        <v>17.600000000000001</v>
      </c>
      <c r="E25" s="3">
        <v>15.6</v>
      </c>
      <c r="F25" s="3">
        <v>13</v>
      </c>
      <c r="G25" s="3">
        <v>13.25</v>
      </c>
      <c r="H25" s="3">
        <v>15.75</v>
      </c>
    </row>
    <row r="26" spans="1:8" hidden="1" x14ac:dyDescent="0.25">
      <c r="A26" s="85" t="s">
        <v>172</v>
      </c>
      <c r="B26" s="3">
        <v>16.75</v>
      </c>
      <c r="C26" s="3">
        <v>18</v>
      </c>
      <c r="D26" s="3">
        <v>12.4</v>
      </c>
      <c r="E26" s="3">
        <v>12.4</v>
      </c>
      <c r="F26" s="3">
        <v>10.8</v>
      </c>
      <c r="G26" s="3">
        <v>16.75</v>
      </c>
      <c r="H26" s="3">
        <v>9.75</v>
      </c>
    </row>
    <row r="27" spans="1:8" hidden="1" x14ac:dyDescent="0.25">
      <c r="A27" s="85" t="s">
        <v>173</v>
      </c>
      <c r="B27" s="3">
        <v>10.75</v>
      </c>
      <c r="C27" s="3">
        <v>9.25</v>
      </c>
      <c r="D27" s="3">
        <v>11</v>
      </c>
      <c r="E27" s="3">
        <v>10.8</v>
      </c>
      <c r="F27" s="3">
        <v>9.4</v>
      </c>
      <c r="G27" s="3">
        <v>11.5</v>
      </c>
      <c r="H27" s="3">
        <v>8.75</v>
      </c>
    </row>
    <row r="28" spans="1:8" hidden="1" x14ac:dyDescent="0.25">
      <c r="A28" s="85" t="s">
        <v>5</v>
      </c>
      <c r="B28" s="86">
        <v>414</v>
      </c>
      <c r="C28" s="86">
        <v>374.75</v>
      </c>
      <c r="D28" s="86">
        <v>331.4</v>
      </c>
      <c r="E28" s="86">
        <v>367.6</v>
      </c>
      <c r="F28" s="86">
        <v>345.4</v>
      </c>
      <c r="G28" s="86">
        <v>301.5</v>
      </c>
      <c r="H28" s="86">
        <v>258.5</v>
      </c>
    </row>
    <row r="29" spans="1:8" hidden="1" x14ac:dyDescent="0.25"/>
    <row r="30" spans="1:8" hidden="1" x14ac:dyDescent="0.25"/>
    <row r="31" spans="1:8" hidden="1" x14ac:dyDescent="0.25"/>
    <row r="32" spans="1:8" ht="21" hidden="1" x14ac:dyDescent="0.25">
      <c r="A32" s="228" t="s">
        <v>181</v>
      </c>
      <c r="B32" s="228"/>
      <c r="C32" s="228"/>
      <c r="D32" s="228"/>
      <c r="E32" s="228"/>
      <c r="F32" s="228"/>
      <c r="G32" s="228"/>
      <c r="H32" s="228"/>
    </row>
    <row r="33" spans="1:8" hidden="1" x14ac:dyDescent="0.25">
      <c r="A33" s="85" t="s">
        <v>142</v>
      </c>
      <c r="B33" s="85" t="s">
        <v>143</v>
      </c>
      <c r="C33" s="85" t="s">
        <v>144</v>
      </c>
      <c r="D33" s="85" t="s">
        <v>145</v>
      </c>
      <c r="E33" s="85" t="s">
        <v>146</v>
      </c>
      <c r="F33" s="85" t="s">
        <v>147</v>
      </c>
      <c r="G33" s="85" t="s">
        <v>148</v>
      </c>
      <c r="H33" s="85" t="s">
        <v>149</v>
      </c>
    </row>
    <row r="34" spans="1:8" hidden="1" x14ac:dyDescent="0.25">
      <c r="A34" s="85" t="s">
        <v>150</v>
      </c>
      <c r="B34" s="84">
        <v>5.75</v>
      </c>
      <c r="C34" s="84">
        <v>8.5</v>
      </c>
      <c r="D34" s="84">
        <v>5.75</v>
      </c>
      <c r="E34" s="84">
        <v>8</v>
      </c>
      <c r="F34" s="84">
        <v>6.8</v>
      </c>
      <c r="G34" s="84">
        <v>6.4</v>
      </c>
      <c r="H34" s="84">
        <v>5</v>
      </c>
    </row>
    <row r="35" spans="1:8" hidden="1" x14ac:dyDescent="0.25">
      <c r="A35" s="85" t="s">
        <v>151</v>
      </c>
      <c r="B35" s="84">
        <v>4.75</v>
      </c>
      <c r="C35" s="84">
        <v>4.5</v>
      </c>
      <c r="D35" s="84">
        <v>5</v>
      </c>
      <c r="E35" s="84">
        <v>3.75</v>
      </c>
      <c r="F35" s="84">
        <v>5.8</v>
      </c>
      <c r="G35" s="84">
        <v>5.2</v>
      </c>
      <c r="H35" s="84">
        <v>3.25</v>
      </c>
    </row>
    <row r="36" spans="1:8" hidden="1" x14ac:dyDescent="0.25">
      <c r="A36" s="85" t="s">
        <v>152</v>
      </c>
      <c r="B36" s="84">
        <v>2.75</v>
      </c>
      <c r="C36" s="84">
        <v>2.5</v>
      </c>
      <c r="D36" s="84">
        <v>3.25</v>
      </c>
      <c r="E36" s="84">
        <v>2.75</v>
      </c>
      <c r="F36" s="84">
        <v>3.2</v>
      </c>
      <c r="G36" s="84">
        <v>3.2</v>
      </c>
      <c r="H36" s="84">
        <v>4.5</v>
      </c>
    </row>
    <row r="37" spans="1:8" hidden="1" x14ac:dyDescent="0.25">
      <c r="A37" s="85" t="s">
        <v>153</v>
      </c>
      <c r="B37" s="84">
        <v>3</v>
      </c>
      <c r="C37" s="84">
        <v>3</v>
      </c>
      <c r="D37" s="84">
        <v>2</v>
      </c>
      <c r="E37" s="84">
        <v>2.75</v>
      </c>
      <c r="F37" s="84">
        <v>2.4</v>
      </c>
      <c r="G37" s="84">
        <v>4.4000000000000004</v>
      </c>
      <c r="H37" s="84">
        <v>3.75</v>
      </c>
    </row>
    <row r="38" spans="1:8" hidden="1" x14ac:dyDescent="0.25">
      <c r="A38" s="85" t="s">
        <v>154</v>
      </c>
      <c r="B38" s="84">
        <v>3.5</v>
      </c>
      <c r="C38" s="84">
        <v>5</v>
      </c>
      <c r="D38" s="84">
        <v>4</v>
      </c>
      <c r="E38" s="84">
        <v>3.5</v>
      </c>
      <c r="F38" s="84">
        <v>3.8</v>
      </c>
      <c r="G38" s="84">
        <v>1.8</v>
      </c>
      <c r="H38" s="84">
        <v>3.25</v>
      </c>
    </row>
    <row r="39" spans="1:8" hidden="1" x14ac:dyDescent="0.25">
      <c r="A39" s="85" t="s">
        <v>155</v>
      </c>
      <c r="B39" s="84">
        <v>9.5</v>
      </c>
      <c r="C39" s="84">
        <v>8.5</v>
      </c>
      <c r="D39" s="84">
        <v>8</v>
      </c>
      <c r="E39" s="84">
        <v>9.5</v>
      </c>
      <c r="F39" s="84">
        <v>8.1999999999999993</v>
      </c>
      <c r="G39" s="84">
        <v>3.8</v>
      </c>
      <c r="H39" s="84">
        <v>4.25</v>
      </c>
    </row>
    <row r="40" spans="1:8" hidden="1" x14ac:dyDescent="0.25">
      <c r="A40" s="85" t="s">
        <v>156</v>
      </c>
      <c r="B40" s="84">
        <v>19.5</v>
      </c>
      <c r="C40" s="84">
        <v>21</v>
      </c>
      <c r="D40" s="84">
        <v>14.5</v>
      </c>
      <c r="E40" s="84">
        <v>14</v>
      </c>
      <c r="F40" s="84">
        <v>17.2</v>
      </c>
      <c r="G40" s="84">
        <v>9.8000000000000007</v>
      </c>
      <c r="H40" s="84">
        <v>6</v>
      </c>
    </row>
    <row r="41" spans="1:8" hidden="1" x14ac:dyDescent="0.25">
      <c r="A41" s="85" t="s">
        <v>157</v>
      </c>
      <c r="B41" s="84">
        <v>21.25</v>
      </c>
      <c r="C41" s="84">
        <v>23.5</v>
      </c>
      <c r="D41" s="84">
        <v>18.75</v>
      </c>
      <c r="E41" s="84">
        <v>16.5</v>
      </c>
      <c r="F41" s="84">
        <v>19.2</v>
      </c>
      <c r="G41" s="84">
        <v>13</v>
      </c>
      <c r="H41" s="84">
        <v>9.75</v>
      </c>
    </row>
    <row r="42" spans="1:8" hidden="1" x14ac:dyDescent="0.25">
      <c r="A42" s="85" t="s">
        <v>158</v>
      </c>
      <c r="B42" s="84">
        <v>33.5</v>
      </c>
      <c r="C42" s="84">
        <v>29.25</v>
      </c>
      <c r="D42" s="84">
        <v>22</v>
      </c>
      <c r="E42" s="84">
        <v>24.25</v>
      </c>
      <c r="F42" s="84">
        <v>24.8</v>
      </c>
      <c r="G42" s="84">
        <v>12</v>
      </c>
      <c r="H42" s="84">
        <v>10.25</v>
      </c>
    </row>
    <row r="43" spans="1:8" hidden="1" x14ac:dyDescent="0.25">
      <c r="A43" s="85" t="s">
        <v>159</v>
      </c>
      <c r="B43" s="84">
        <v>26.5</v>
      </c>
      <c r="C43" s="84">
        <v>24.25</v>
      </c>
      <c r="D43" s="84">
        <v>21.5</v>
      </c>
      <c r="E43" s="84">
        <v>24</v>
      </c>
      <c r="F43" s="84">
        <v>18.8</v>
      </c>
      <c r="G43" s="84">
        <v>14.4</v>
      </c>
      <c r="H43" s="84">
        <v>15.75</v>
      </c>
    </row>
    <row r="44" spans="1:8" hidden="1" x14ac:dyDescent="0.25">
      <c r="A44" s="85" t="s">
        <v>160</v>
      </c>
      <c r="B44" s="84">
        <v>25</v>
      </c>
      <c r="C44" s="84">
        <v>22.25</v>
      </c>
      <c r="D44" s="84">
        <v>18</v>
      </c>
      <c r="E44" s="84">
        <v>19.25</v>
      </c>
      <c r="F44" s="84">
        <v>18.600000000000001</v>
      </c>
      <c r="G44" s="84">
        <v>14.8</v>
      </c>
      <c r="H44" s="84">
        <v>16.75</v>
      </c>
    </row>
    <row r="45" spans="1:8" hidden="1" x14ac:dyDescent="0.25">
      <c r="A45" s="85" t="s">
        <v>161</v>
      </c>
      <c r="B45" s="84">
        <v>23</v>
      </c>
      <c r="C45" s="84">
        <v>19</v>
      </c>
      <c r="D45" s="84">
        <v>18.25</v>
      </c>
      <c r="E45" s="84">
        <v>16</v>
      </c>
      <c r="F45" s="84">
        <v>19</v>
      </c>
      <c r="G45" s="84">
        <v>17</v>
      </c>
      <c r="H45" s="84">
        <v>15.5</v>
      </c>
    </row>
    <row r="46" spans="1:8" hidden="1" x14ac:dyDescent="0.25">
      <c r="A46" s="85" t="s">
        <v>162</v>
      </c>
      <c r="B46" s="84">
        <v>26.5</v>
      </c>
      <c r="C46" s="84">
        <v>19.5</v>
      </c>
      <c r="D46" s="84">
        <v>17.25</v>
      </c>
      <c r="E46" s="84">
        <v>17.25</v>
      </c>
      <c r="F46" s="84">
        <v>15</v>
      </c>
      <c r="G46" s="84">
        <v>16.600000000000001</v>
      </c>
      <c r="H46" s="84">
        <v>13</v>
      </c>
    </row>
    <row r="47" spans="1:8" hidden="1" x14ac:dyDescent="0.25">
      <c r="A47" s="85" t="s">
        <v>163</v>
      </c>
      <c r="B47" s="84">
        <v>30.75</v>
      </c>
      <c r="C47" s="84">
        <v>25.25</v>
      </c>
      <c r="D47" s="84">
        <v>26.5</v>
      </c>
      <c r="E47" s="84">
        <v>20.5</v>
      </c>
      <c r="F47" s="84">
        <v>18.600000000000001</v>
      </c>
      <c r="G47" s="84">
        <v>14.6</v>
      </c>
      <c r="H47" s="84">
        <v>11.75</v>
      </c>
    </row>
    <row r="48" spans="1:8" hidden="1" x14ac:dyDescent="0.25">
      <c r="A48" s="85" t="s">
        <v>164</v>
      </c>
      <c r="B48" s="84">
        <v>19.75</v>
      </c>
      <c r="C48" s="84">
        <v>22.75</v>
      </c>
      <c r="D48" s="84">
        <v>21.75</v>
      </c>
      <c r="E48" s="84">
        <v>21.25</v>
      </c>
      <c r="F48" s="84">
        <v>19.2</v>
      </c>
      <c r="G48" s="84">
        <v>15.6</v>
      </c>
      <c r="H48" s="84">
        <v>12.25</v>
      </c>
    </row>
    <row r="49" spans="1:8" hidden="1" x14ac:dyDescent="0.25">
      <c r="A49" s="85" t="s">
        <v>165</v>
      </c>
      <c r="B49" s="84">
        <v>20.25</v>
      </c>
      <c r="C49" s="84">
        <v>17.75</v>
      </c>
      <c r="D49" s="84">
        <v>18</v>
      </c>
      <c r="E49" s="84">
        <v>15.5</v>
      </c>
      <c r="F49" s="84">
        <v>15</v>
      </c>
      <c r="G49" s="84">
        <v>16.8</v>
      </c>
      <c r="H49" s="84">
        <v>14.75</v>
      </c>
    </row>
    <row r="50" spans="1:8" hidden="1" x14ac:dyDescent="0.25">
      <c r="A50" s="85" t="s">
        <v>166</v>
      </c>
      <c r="B50" s="84">
        <v>22.25</v>
      </c>
      <c r="C50" s="84">
        <v>15.25</v>
      </c>
      <c r="D50" s="84">
        <v>14.25</v>
      </c>
      <c r="E50" s="84">
        <v>14.75</v>
      </c>
      <c r="F50" s="84">
        <v>13.2</v>
      </c>
      <c r="G50" s="84">
        <v>12.8</v>
      </c>
      <c r="H50" s="84">
        <v>13.5</v>
      </c>
    </row>
    <row r="51" spans="1:8" hidden="1" x14ac:dyDescent="0.25">
      <c r="A51" s="85" t="s">
        <v>167</v>
      </c>
      <c r="B51" s="84">
        <v>19.5</v>
      </c>
      <c r="C51" s="84">
        <v>16.75</v>
      </c>
      <c r="D51" s="84">
        <v>15.5</v>
      </c>
      <c r="E51" s="84">
        <v>14.25</v>
      </c>
      <c r="F51" s="84">
        <v>13.8</v>
      </c>
      <c r="G51" s="84">
        <v>15.4</v>
      </c>
      <c r="H51" s="84">
        <v>11.75</v>
      </c>
    </row>
    <row r="52" spans="1:8" hidden="1" x14ac:dyDescent="0.25">
      <c r="A52" s="85" t="s">
        <v>168</v>
      </c>
      <c r="B52" s="84">
        <v>17.75</v>
      </c>
      <c r="C52" s="84">
        <v>23</v>
      </c>
      <c r="D52" s="84">
        <v>21.5</v>
      </c>
      <c r="E52" s="84">
        <v>17</v>
      </c>
      <c r="F52" s="84">
        <v>15.2</v>
      </c>
      <c r="G52" s="84">
        <v>10.8</v>
      </c>
      <c r="H52" s="84">
        <v>14.25</v>
      </c>
    </row>
    <row r="53" spans="1:8" hidden="1" x14ac:dyDescent="0.25">
      <c r="A53" s="85" t="s">
        <v>169</v>
      </c>
      <c r="B53" s="84">
        <v>26.75</v>
      </c>
      <c r="C53" s="84">
        <v>21</v>
      </c>
      <c r="D53" s="84">
        <v>18</v>
      </c>
      <c r="E53" s="84">
        <v>17.5</v>
      </c>
      <c r="F53" s="84">
        <v>19.8</v>
      </c>
      <c r="G53" s="84">
        <v>14.4</v>
      </c>
      <c r="H53" s="84">
        <v>11</v>
      </c>
    </row>
    <row r="54" spans="1:8" hidden="1" x14ac:dyDescent="0.25">
      <c r="A54" s="85" t="s">
        <v>170</v>
      </c>
      <c r="B54" s="84">
        <v>20.5</v>
      </c>
      <c r="C54" s="84">
        <v>21.25</v>
      </c>
      <c r="D54" s="84">
        <v>17</v>
      </c>
      <c r="E54" s="84">
        <v>15.75</v>
      </c>
      <c r="F54" s="84">
        <v>13.2</v>
      </c>
      <c r="G54" s="84">
        <v>14.6</v>
      </c>
      <c r="H54" s="84">
        <v>9</v>
      </c>
    </row>
    <row r="55" spans="1:8" hidden="1" x14ac:dyDescent="0.25">
      <c r="A55" s="85" t="s">
        <v>171</v>
      </c>
      <c r="B55" s="84">
        <v>19</v>
      </c>
      <c r="C55" s="84">
        <v>12</v>
      </c>
      <c r="D55" s="84">
        <v>14.75</v>
      </c>
      <c r="E55" s="84">
        <v>11.75</v>
      </c>
      <c r="F55" s="84">
        <v>9.6</v>
      </c>
      <c r="G55" s="84">
        <v>9.1999999999999993</v>
      </c>
      <c r="H55" s="84">
        <v>15.75</v>
      </c>
    </row>
    <row r="56" spans="1:8" hidden="1" x14ac:dyDescent="0.25">
      <c r="A56" s="85" t="s">
        <v>172</v>
      </c>
      <c r="B56" s="84">
        <v>13.75</v>
      </c>
      <c r="C56" s="84">
        <v>14.5</v>
      </c>
      <c r="D56" s="84">
        <v>10.25</v>
      </c>
      <c r="E56" s="84">
        <v>11</v>
      </c>
      <c r="F56" s="84">
        <v>10.8</v>
      </c>
      <c r="G56" s="84">
        <v>10.6</v>
      </c>
      <c r="H56" s="84">
        <v>13.5</v>
      </c>
    </row>
    <row r="57" spans="1:8" hidden="1" x14ac:dyDescent="0.25">
      <c r="A57" s="85" t="s">
        <v>173</v>
      </c>
      <c r="B57" s="84">
        <v>8.75</v>
      </c>
      <c r="C57" s="84">
        <v>8.75</v>
      </c>
      <c r="D57" s="84">
        <v>12</v>
      </c>
      <c r="E57" s="84">
        <v>9</v>
      </c>
      <c r="F57" s="84">
        <v>8.4</v>
      </c>
      <c r="G57" s="84">
        <v>9.4</v>
      </c>
      <c r="H57" s="84">
        <v>9.75</v>
      </c>
    </row>
    <row r="58" spans="1:8" hidden="1" x14ac:dyDescent="0.25">
      <c r="A58" s="85" t="s">
        <v>5</v>
      </c>
      <c r="B58" s="86">
        <v>432.75</v>
      </c>
      <c r="C58" s="86">
        <v>379.5</v>
      </c>
      <c r="D58" s="86">
        <v>372.25</v>
      </c>
      <c r="E58" s="86">
        <v>365.8</v>
      </c>
      <c r="F58" s="86">
        <v>339.4</v>
      </c>
      <c r="G58" s="86">
        <v>272.60000000000002</v>
      </c>
      <c r="H58" s="86">
        <v>234.75</v>
      </c>
    </row>
    <row r="59" spans="1:8" hidden="1" x14ac:dyDescent="0.25"/>
    <row r="60" spans="1:8" hidden="1" x14ac:dyDescent="0.25"/>
    <row r="61" spans="1:8" hidden="1" x14ac:dyDescent="0.25"/>
    <row r="62" spans="1:8" ht="21" hidden="1" x14ac:dyDescent="0.25">
      <c r="A62" s="228" t="s">
        <v>182</v>
      </c>
      <c r="B62" s="228"/>
      <c r="C62" s="228"/>
      <c r="D62" s="228"/>
      <c r="E62" s="228"/>
      <c r="F62" s="228"/>
      <c r="G62" s="228"/>
      <c r="H62" s="228"/>
    </row>
    <row r="63" spans="1:8" hidden="1" x14ac:dyDescent="0.25">
      <c r="A63" s="85" t="s">
        <v>142</v>
      </c>
      <c r="B63" s="85" t="s">
        <v>143</v>
      </c>
      <c r="C63" s="85" t="s">
        <v>144</v>
      </c>
      <c r="D63" s="85" t="s">
        <v>145</v>
      </c>
      <c r="E63" s="85" t="s">
        <v>146</v>
      </c>
      <c r="F63" s="85" t="s">
        <v>147</v>
      </c>
      <c r="G63" s="85" t="s">
        <v>148</v>
      </c>
      <c r="H63" s="85" t="s">
        <v>149</v>
      </c>
    </row>
    <row r="64" spans="1:8" hidden="1" x14ac:dyDescent="0.25">
      <c r="A64" s="85" t="s">
        <v>150</v>
      </c>
      <c r="B64" s="84">
        <v>7.2</v>
      </c>
      <c r="C64" s="84">
        <v>7.75</v>
      </c>
      <c r="D64" s="84">
        <v>5.25</v>
      </c>
      <c r="E64" s="84">
        <v>8.5</v>
      </c>
      <c r="F64" s="84">
        <v>5</v>
      </c>
      <c r="G64" s="84">
        <v>6.6</v>
      </c>
      <c r="H64" s="84">
        <v>7.2</v>
      </c>
    </row>
    <row r="65" spans="1:8" hidden="1" x14ac:dyDescent="0.25">
      <c r="A65" s="85" t="s">
        <v>151</v>
      </c>
      <c r="B65" s="84">
        <v>4.8</v>
      </c>
      <c r="C65" s="84">
        <v>6</v>
      </c>
      <c r="D65" s="84">
        <v>3.75</v>
      </c>
      <c r="E65" s="84">
        <v>5.5</v>
      </c>
      <c r="F65" s="84">
        <v>2.5</v>
      </c>
      <c r="G65" s="84">
        <v>5.4</v>
      </c>
      <c r="H65" s="84">
        <v>4.8</v>
      </c>
    </row>
    <row r="66" spans="1:8" hidden="1" x14ac:dyDescent="0.25">
      <c r="A66" s="85" t="s">
        <v>152</v>
      </c>
      <c r="B66" s="84">
        <v>2.2000000000000002</v>
      </c>
      <c r="C66" s="84">
        <v>4</v>
      </c>
      <c r="D66" s="84">
        <v>4</v>
      </c>
      <c r="E66" s="84">
        <v>2.5</v>
      </c>
      <c r="F66" s="84">
        <v>1.5</v>
      </c>
      <c r="G66" s="84">
        <v>2.6</v>
      </c>
      <c r="H66" s="84">
        <v>2.2000000000000002</v>
      </c>
    </row>
    <row r="67" spans="1:8" hidden="1" x14ac:dyDescent="0.25">
      <c r="A67" s="85" t="s">
        <v>153</v>
      </c>
      <c r="B67" s="84">
        <v>2.8</v>
      </c>
      <c r="C67" s="84">
        <v>2.75</v>
      </c>
      <c r="D67" s="84">
        <v>2.5</v>
      </c>
      <c r="E67" s="84">
        <v>2</v>
      </c>
      <c r="F67" s="84">
        <v>3</v>
      </c>
      <c r="G67" s="84">
        <v>3.6</v>
      </c>
      <c r="H67" s="84">
        <v>3.6</v>
      </c>
    </row>
    <row r="68" spans="1:8" hidden="1" x14ac:dyDescent="0.25">
      <c r="A68" s="85" t="s">
        <v>154</v>
      </c>
      <c r="B68" s="84">
        <v>5.2</v>
      </c>
      <c r="C68" s="84">
        <v>4.25</v>
      </c>
      <c r="D68" s="84">
        <v>3.75</v>
      </c>
      <c r="E68" s="84">
        <v>2.5</v>
      </c>
      <c r="F68" s="84">
        <v>3.25</v>
      </c>
      <c r="G68" s="84">
        <v>3.2</v>
      </c>
      <c r="H68" s="84">
        <v>4.2</v>
      </c>
    </row>
    <row r="69" spans="1:8" hidden="1" x14ac:dyDescent="0.25">
      <c r="A69" s="85" t="s">
        <v>155</v>
      </c>
      <c r="B69" s="84">
        <v>8.6</v>
      </c>
      <c r="C69" s="84">
        <v>6.5</v>
      </c>
      <c r="D69" s="84">
        <v>8</v>
      </c>
      <c r="E69" s="84">
        <v>9.25</v>
      </c>
      <c r="F69" s="84">
        <v>7.25</v>
      </c>
      <c r="G69" s="84">
        <v>9.1999999999999993</v>
      </c>
      <c r="H69" s="84">
        <v>4.8</v>
      </c>
    </row>
    <row r="70" spans="1:8" hidden="1" x14ac:dyDescent="0.25">
      <c r="A70" s="85" t="s">
        <v>156</v>
      </c>
      <c r="B70" s="84">
        <v>20.8</v>
      </c>
      <c r="C70" s="84">
        <v>17</v>
      </c>
      <c r="D70" s="84">
        <v>20.5</v>
      </c>
      <c r="E70" s="84">
        <v>15</v>
      </c>
      <c r="F70" s="84">
        <v>14</v>
      </c>
      <c r="G70" s="84">
        <v>11.6</v>
      </c>
      <c r="H70" s="84">
        <v>5</v>
      </c>
    </row>
    <row r="71" spans="1:8" hidden="1" x14ac:dyDescent="0.25">
      <c r="A71" s="85" t="s">
        <v>157</v>
      </c>
      <c r="B71" s="84">
        <v>26.8</v>
      </c>
      <c r="C71" s="84">
        <v>27.75</v>
      </c>
      <c r="D71" s="84">
        <v>27.5</v>
      </c>
      <c r="E71" s="84">
        <v>24.75</v>
      </c>
      <c r="F71" s="84">
        <v>22.25</v>
      </c>
      <c r="G71" s="84">
        <v>15.4</v>
      </c>
      <c r="H71" s="84">
        <v>8.6</v>
      </c>
    </row>
    <row r="72" spans="1:8" hidden="1" x14ac:dyDescent="0.25">
      <c r="A72" s="85" t="s">
        <v>158</v>
      </c>
      <c r="B72" s="84">
        <v>35.799999999999997</v>
      </c>
      <c r="C72" s="84">
        <v>29</v>
      </c>
      <c r="D72" s="84">
        <v>27.75</v>
      </c>
      <c r="E72" s="84">
        <v>30.5</v>
      </c>
      <c r="F72" s="84">
        <v>27.25</v>
      </c>
      <c r="G72" s="84">
        <v>18.2</v>
      </c>
      <c r="H72" s="84">
        <v>9.1999999999999993</v>
      </c>
    </row>
    <row r="73" spans="1:8" hidden="1" x14ac:dyDescent="0.25">
      <c r="A73" s="85" t="s">
        <v>159</v>
      </c>
      <c r="B73" s="84">
        <v>28.8</v>
      </c>
      <c r="C73" s="84">
        <v>26.75</v>
      </c>
      <c r="D73" s="84">
        <v>25</v>
      </c>
      <c r="E73" s="84">
        <v>29.25</v>
      </c>
      <c r="F73" s="84">
        <v>22.25</v>
      </c>
      <c r="G73" s="84">
        <v>18.8</v>
      </c>
      <c r="H73" s="84">
        <v>16</v>
      </c>
    </row>
    <row r="74" spans="1:8" hidden="1" x14ac:dyDescent="0.25">
      <c r="A74" s="85" t="s">
        <v>160</v>
      </c>
      <c r="B74" s="84">
        <v>30</v>
      </c>
      <c r="C74" s="84">
        <v>29</v>
      </c>
      <c r="D74" s="84">
        <v>24.5</v>
      </c>
      <c r="E74" s="84">
        <v>21.25</v>
      </c>
      <c r="F74" s="84">
        <v>27.25</v>
      </c>
      <c r="G74" s="84">
        <v>19.8</v>
      </c>
      <c r="H74" s="84">
        <v>19.399999999999999</v>
      </c>
    </row>
    <row r="75" spans="1:8" hidden="1" x14ac:dyDescent="0.25">
      <c r="A75" s="85" t="s">
        <v>161</v>
      </c>
      <c r="B75" s="84">
        <v>28.2</v>
      </c>
      <c r="C75" s="84">
        <v>19.25</v>
      </c>
      <c r="D75" s="84">
        <v>19.25</v>
      </c>
      <c r="E75" s="84">
        <v>19.75</v>
      </c>
      <c r="F75" s="84">
        <v>21</v>
      </c>
      <c r="G75" s="84">
        <v>17.399999999999999</v>
      </c>
      <c r="H75" s="84">
        <v>18</v>
      </c>
    </row>
    <row r="76" spans="1:8" hidden="1" x14ac:dyDescent="0.25">
      <c r="A76" s="85" t="s">
        <v>162</v>
      </c>
      <c r="B76" s="84">
        <v>25.2</v>
      </c>
      <c r="C76" s="84">
        <v>25</v>
      </c>
      <c r="D76" s="84">
        <v>24.25</v>
      </c>
      <c r="E76" s="84">
        <v>21</v>
      </c>
      <c r="F76" s="84">
        <v>17.75</v>
      </c>
      <c r="G76" s="84">
        <v>10.8</v>
      </c>
      <c r="H76" s="84">
        <v>14.6</v>
      </c>
    </row>
    <row r="77" spans="1:8" hidden="1" x14ac:dyDescent="0.25">
      <c r="A77" s="85" t="s">
        <v>163</v>
      </c>
      <c r="B77" s="84">
        <v>36.799999999999997</v>
      </c>
      <c r="C77" s="84">
        <v>25.5</v>
      </c>
      <c r="D77" s="84">
        <v>26</v>
      </c>
      <c r="E77" s="84">
        <v>29</v>
      </c>
      <c r="F77" s="84">
        <v>27</v>
      </c>
      <c r="G77" s="84">
        <v>17.2</v>
      </c>
      <c r="H77" s="84">
        <v>13.6</v>
      </c>
    </row>
    <row r="78" spans="1:8" hidden="1" x14ac:dyDescent="0.25">
      <c r="A78" s="85" t="s">
        <v>164</v>
      </c>
      <c r="B78" s="84">
        <v>28.4</v>
      </c>
      <c r="C78" s="84">
        <v>24.5</v>
      </c>
      <c r="D78" s="84">
        <v>23.75</v>
      </c>
      <c r="E78" s="84">
        <v>20.5</v>
      </c>
      <c r="F78" s="84">
        <v>23.75</v>
      </c>
      <c r="G78" s="84">
        <v>13.2</v>
      </c>
      <c r="H78" s="84">
        <v>12.2</v>
      </c>
    </row>
    <row r="79" spans="1:8" hidden="1" x14ac:dyDescent="0.25">
      <c r="A79" s="85" t="s">
        <v>165</v>
      </c>
      <c r="B79" s="84">
        <v>20.8</v>
      </c>
      <c r="C79" s="84">
        <v>22.75</v>
      </c>
      <c r="D79" s="84">
        <v>17.5</v>
      </c>
      <c r="E79" s="84">
        <v>18.75</v>
      </c>
      <c r="F79" s="84">
        <v>21.5</v>
      </c>
      <c r="G79" s="84">
        <v>14.6</v>
      </c>
      <c r="H79" s="84">
        <v>15</v>
      </c>
    </row>
    <row r="80" spans="1:8" hidden="1" x14ac:dyDescent="0.25">
      <c r="A80" s="85" t="s">
        <v>166</v>
      </c>
      <c r="B80" s="84">
        <v>22.6</v>
      </c>
      <c r="C80" s="84">
        <v>15.5</v>
      </c>
      <c r="D80" s="84">
        <v>16.5</v>
      </c>
      <c r="E80" s="84">
        <v>14.25</v>
      </c>
      <c r="F80" s="84">
        <v>13</v>
      </c>
      <c r="G80" s="84">
        <v>14.2</v>
      </c>
      <c r="H80" s="84">
        <v>10.8</v>
      </c>
    </row>
    <row r="81" spans="1:8" hidden="1" x14ac:dyDescent="0.25">
      <c r="A81" s="85" t="s">
        <v>167</v>
      </c>
      <c r="B81" s="84">
        <v>17.8</v>
      </c>
      <c r="C81" s="84">
        <v>17.25</v>
      </c>
      <c r="D81" s="84">
        <v>17.75</v>
      </c>
      <c r="E81" s="84">
        <v>16</v>
      </c>
      <c r="F81" s="84">
        <v>18</v>
      </c>
      <c r="G81" s="84">
        <v>15.2</v>
      </c>
      <c r="H81" s="84">
        <v>13.6</v>
      </c>
    </row>
    <row r="82" spans="1:8" hidden="1" x14ac:dyDescent="0.25">
      <c r="A82" s="85" t="s">
        <v>168</v>
      </c>
      <c r="B82" s="84">
        <v>23.8</v>
      </c>
      <c r="C82" s="84">
        <v>22.75</v>
      </c>
      <c r="D82" s="84">
        <v>22</v>
      </c>
      <c r="E82" s="84">
        <v>18.25</v>
      </c>
      <c r="F82" s="84">
        <v>17</v>
      </c>
      <c r="G82" s="84">
        <v>18.2</v>
      </c>
      <c r="H82" s="84">
        <v>18.399999999999999</v>
      </c>
    </row>
    <row r="83" spans="1:8" hidden="1" x14ac:dyDescent="0.25">
      <c r="A83" s="85" t="s">
        <v>169</v>
      </c>
      <c r="B83" s="84">
        <v>27.2</v>
      </c>
      <c r="C83" s="84">
        <v>24.75</v>
      </c>
      <c r="D83" s="84">
        <v>21</v>
      </c>
      <c r="E83" s="84">
        <v>23.5</v>
      </c>
      <c r="F83" s="84">
        <v>16</v>
      </c>
      <c r="G83" s="84">
        <v>15.8</v>
      </c>
      <c r="H83" s="84">
        <v>16.2</v>
      </c>
    </row>
    <row r="84" spans="1:8" hidden="1" x14ac:dyDescent="0.25">
      <c r="A84" s="85" t="s">
        <v>170</v>
      </c>
      <c r="B84" s="84">
        <v>21.2</v>
      </c>
      <c r="C84" s="84">
        <v>18</v>
      </c>
      <c r="D84" s="84">
        <v>19</v>
      </c>
      <c r="E84" s="84">
        <v>20.75</v>
      </c>
      <c r="F84" s="84">
        <v>12.5</v>
      </c>
      <c r="G84" s="84">
        <v>13</v>
      </c>
      <c r="H84" s="84">
        <v>13.2</v>
      </c>
    </row>
    <row r="85" spans="1:8" hidden="1" x14ac:dyDescent="0.25">
      <c r="A85" s="85" t="s">
        <v>171</v>
      </c>
      <c r="B85" s="84">
        <v>17</v>
      </c>
      <c r="C85" s="84">
        <v>7.5</v>
      </c>
      <c r="D85" s="84">
        <v>10.75</v>
      </c>
      <c r="E85" s="84">
        <v>14.25</v>
      </c>
      <c r="F85" s="84">
        <v>17.5</v>
      </c>
      <c r="G85" s="84">
        <v>11.8</v>
      </c>
      <c r="H85" s="84">
        <v>12.4</v>
      </c>
    </row>
    <row r="86" spans="1:8" hidden="1" x14ac:dyDescent="0.25">
      <c r="A86" s="85" t="s">
        <v>172</v>
      </c>
      <c r="B86" s="84">
        <v>18.2</v>
      </c>
      <c r="C86" s="84">
        <v>12.5</v>
      </c>
      <c r="D86" s="84">
        <v>12.25</v>
      </c>
      <c r="E86" s="84">
        <v>13.5</v>
      </c>
      <c r="F86" s="84">
        <v>16</v>
      </c>
      <c r="G86" s="84">
        <v>12.2</v>
      </c>
      <c r="H86" s="84">
        <v>11.6</v>
      </c>
    </row>
    <row r="87" spans="1:8" hidden="1" x14ac:dyDescent="0.25">
      <c r="A87" s="85" t="s">
        <v>173</v>
      </c>
      <c r="B87" s="84">
        <v>13</v>
      </c>
      <c r="C87" s="84">
        <v>10</v>
      </c>
      <c r="D87" s="84">
        <v>10.5</v>
      </c>
      <c r="E87" s="84">
        <v>10.25</v>
      </c>
      <c r="F87" s="84">
        <v>9.25</v>
      </c>
      <c r="G87" s="84">
        <v>10.199999999999999</v>
      </c>
      <c r="H87" s="84">
        <v>13.2</v>
      </c>
    </row>
    <row r="88" spans="1:8" hidden="1" x14ac:dyDescent="0.25">
      <c r="A88" s="85" t="s">
        <v>5</v>
      </c>
      <c r="B88" s="86">
        <v>473.2</v>
      </c>
      <c r="C88" s="86">
        <v>406</v>
      </c>
      <c r="D88" s="86">
        <v>393</v>
      </c>
      <c r="E88" s="86">
        <v>390.75</v>
      </c>
      <c r="F88" s="86">
        <v>365.75</v>
      </c>
      <c r="G88" s="86">
        <v>298.2</v>
      </c>
      <c r="H88" s="86">
        <v>267.8</v>
      </c>
    </row>
    <row r="89" spans="1:8" hidden="1" x14ac:dyDescent="0.25"/>
    <row r="90" spans="1:8" hidden="1" x14ac:dyDescent="0.25"/>
    <row r="91" spans="1:8" hidden="1" x14ac:dyDescent="0.25"/>
    <row r="92" spans="1:8" ht="21" hidden="1" x14ac:dyDescent="0.25">
      <c r="A92" s="228" t="s">
        <v>183</v>
      </c>
      <c r="B92" s="228"/>
      <c r="C92" s="228"/>
      <c r="D92" s="228"/>
      <c r="E92" s="228"/>
      <c r="F92" s="228"/>
      <c r="G92" s="228"/>
      <c r="H92" s="228"/>
    </row>
    <row r="93" spans="1:8" hidden="1" x14ac:dyDescent="0.25">
      <c r="A93" s="85" t="s">
        <v>142</v>
      </c>
      <c r="B93" s="85" t="s">
        <v>143</v>
      </c>
      <c r="C93" s="85" t="s">
        <v>144</v>
      </c>
      <c r="D93" s="85" t="s">
        <v>145</v>
      </c>
      <c r="E93" s="85" t="s">
        <v>146</v>
      </c>
      <c r="F93" s="85" t="s">
        <v>147</v>
      </c>
      <c r="G93" s="85" t="s">
        <v>148</v>
      </c>
      <c r="H93" s="85" t="s">
        <v>149</v>
      </c>
    </row>
    <row r="94" spans="1:8" hidden="1" x14ac:dyDescent="0.25">
      <c r="A94" s="85" t="s">
        <v>150</v>
      </c>
      <c r="B94" s="84">
        <v>8.5</v>
      </c>
      <c r="C94" s="84">
        <v>6.4</v>
      </c>
      <c r="D94" s="84">
        <v>5.6</v>
      </c>
      <c r="E94" s="84">
        <v>7.5</v>
      </c>
      <c r="F94" s="84">
        <v>7.5</v>
      </c>
      <c r="G94" s="84">
        <v>7.25</v>
      </c>
      <c r="H94" s="84">
        <v>7.5</v>
      </c>
    </row>
    <row r="95" spans="1:8" hidden="1" x14ac:dyDescent="0.25">
      <c r="A95" s="85" t="s">
        <v>151</v>
      </c>
      <c r="B95" s="84">
        <v>4.5</v>
      </c>
      <c r="C95" s="84">
        <v>4</v>
      </c>
      <c r="D95" s="84">
        <v>3.4</v>
      </c>
      <c r="E95" s="84">
        <v>4</v>
      </c>
      <c r="F95" s="84">
        <v>5</v>
      </c>
      <c r="G95" s="84">
        <v>2.75</v>
      </c>
      <c r="H95" s="84">
        <v>5.75</v>
      </c>
    </row>
    <row r="96" spans="1:8" hidden="1" x14ac:dyDescent="0.25">
      <c r="A96" s="85" t="s">
        <v>152</v>
      </c>
      <c r="B96" s="84">
        <v>4</v>
      </c>
      <c r="C96" s="84">
        <v>2.8</v>
      </c>
      <c r="D96" s="84">
        <v>5.6</v>
      </c>
      <c r="E96" s="84">
        <v>4.25</v>
      </c>
      <c r="F96" s="84">
        <v>4.25</v>
      </c>
      <c r="G96" s="84">
        <v>4</v>
      </c>
      <c r="H96" s="84">
        <v>3.75</v>
      </c>
    </row>
    <row r="97" spans="1:8" hidden="1" x14ac:dyDescent="0.25">
      <c r="A97" s="85" t="s">
        <v>153</v>
      </c>
      <c r="B97" s="84">
        <v>3.5</v>
      </c>
      <c r="C97" s="84">
        <v>3</v>
      </c>
      <c r="D97" s="84">
        <v>5.6</v>
      </c>
      <c r="E97" s="84">
        <v>3.5</v>
      </c>
      <c r="F97" s="84">
        <v>3.25</v>
      </c>
      <c r="G97" s="84">
        <v>3</v>
      </c>
      <c r="H97" s="84">
        <v>2.25</v>
      </c>
    </row>
    <row r="98" spans="1:8" hidden="1" x14ac:dyDescent="0.25">
      <c r="A98" s="85" t="s">
        <v>154</v>
      </c>
      <c r="B98" s="84">
        <v>3.75</v>
      </c>
      <c r="C98" s="84">
        <v>4.8</v>
      </c>
      <c r="D98" s="84">
        <v>5.6</v>
      </c>
      <c r="E98" s="84">
        <v>4</v>
      </c>
      <c r="F98" s="84">
        <v>6.5</v>
      </c>
      <c r="G98" s="84">
        <v>2.5</v>
      </c>
      <c r="H98" s="84">
        <v>3</v>
      </c>
    </row>
    <row r="99" spans="1:8" hidden="1" x14ac:dyDescent="0.25">
      <c r="A99" s="85" t="s">
        <v>155</v>
      </c>
      <c r="B99" s="84">
        <v>8</v>
      </c>
      <c r="C99" s="84">
        <v>8.1999999999999993</v>
      </c>
      <c r="D99" s="84">
        <v>8</v>
      </c>
      <c r="E99" s="84">
        <v>11.25</v>
      </c>
      <c r="F99" s="84">
        <v>9.5</v>
      </c>
      <c r="G99" s="84">
        <v>7.75</v>
      </c>
      <c r="H99" s="84">
        <v>3.75</v>
      </c>
    </row>
    <row r="100" spans="1:8" hidden="1" x14ac:dyDescent="0.25">
      <c r="A100" s="85" t="s">
        <v>156</v>
      </c>
      <c r="B100" s="84">
        <v>16.25</v>
      </c>
      <c r="C100" s="84">
        <v>15.6</v>
      </c>
      <c r="D100" s="84">
        <v>16.8</v>
      </c>
      <c r="E100" s="84">
        <v>15.75</v>
      </c>
      <c r="F100" s="84">
        <v>12.25</v>
      </c>
      <c r="G100" s="84">
        <v>9.75</v>
      </c>
      <c r="H100" s="84">
        <v>4</v>
      </c>
    </row>
    <row r="101" spans="1:8" hidden="1" x14ac:dyDescent="0.25">
      <c r="A101" s="85" t="s">
        <v>157</v>
      </c>
      <c r="B101" s="84">
        <v>24.75</v>
      </c>
      <c r="C101" s="84">
        <v>25.2</v>
      </c>
      <c r="D101" s="84">
        <v>23.6</v>
      </c>
      <c r="E101" s="84">
        <v>28.5</v>
      </c>
      <c r="F101" s="84">
        <v>22.5</v>
      </c>
      <c r="G101" s="84">
        <v>16.25</v>
      </c>
      <c r="H101" s="84">
        <v>7.5</v>
      </c>
    </row>
    <row r="102" spans="1:8" hidden="1" x14ac:dyDescent="0.25">
      <c r="A102" s="85" t="s">
        <v>158</v>
      </c>
      <c r="B102" s="84">
        <v>36</v>
      </c>
      <c r="C102" s="84">
        <v>33.4</v>
      </c>
      <c r="D102" s="84">
        <v>24.2</v>
      </c>
      <c r="E102" s="84">
        <v>30.5</v>
      </c>
      <c r="F102" s="84">
        <v>26.75</v>
      </c>
      <c r="G102" s="84">
        <v>15</v>
      </c>
      <c r="H102" s="84">
        <v>11</v>
      </c>
    </row>
    <row r="103" spans="1:8" hidden="1" x14ac:dyDescent="0.25">
      <c r="A103" s="85" t="s">
        <v>159</v>
      </c>
      <c r="B103" s="84">
        <v>32</v>
      </c>
      <c r="C103" s="84">
        <v>24</v>
      </c>
      <c r="D103" s="84">
        <v>23</v>
      </c>
      <c r="E103" s="84">
        <v>26.75</v>
      </c>
      <c r="F103" s="84">
        <v>25</v>
      </c>
      <c r="G103" s="84">
        <v>16.5</v>
      </c>
      <c r="H103" s="84">
        <v>14.75</v>
      </c>
    </row>
    <row r="104" spans="1:8" hidden="1" x14ac:dyDescent="0.25">
      <c r="A104" s="85" t="s">
        <v>160</v>
      </c>
      <c r="B104" s="84">
        <v>37.75</v>
      </c>
      <c r="C104" s="84">
        <v>24.8</v>
      </c>
      <c r="D104" s="84">
        <v>24.4</v>
      </c>
      <c r="E104" s="84">
        <v>22.75</v>
      </c>
      <c r="F104" s="84">
        <v>21.75</v>
      </c>
      <c r="G104" s="84">
        <v>20.75</v>
      </c>
      <c r="H104" s="84">
        <v>17</v>
      </c>
    </row>
    <row r="105" spans="1:8" hidden="1" x14ac:dyDescent="0.25">
      <c r="A105" s="85" t="s">
        <v>161</v>
      </c>
      <c r="B105" s="84">
        <v>26.75</v>
      </c>
      <c r="C105" s="84">
        <v>24.2</v>
      </c>
      <c r="D105" s="84">
        <v>20.8</v>
      </c>
      <c r="E105" s="84">
        <v>20.5</v>
      </c>
      <c r="F105" s="84">
        <v>19</v>
      </c>
      <c r="G105" s="84">
        <v>22</v>
      </c>
      <c r="H105" s="84">
        <v>14.5</v>
      </c>
    </row>
    <row r="106" spans="1:8" hidden="1" x14ac:dyDescent="0.25">
      <c r="A106" s="85" t="s">
        <v>162</v>
      </c>
      <c r="B106" s="84">
        <v>22.5</v>
      </c>
      <c r="C106" s="84">
        <v>20</v>
      </c>
      <c r="D106" s="84">
        <v>20.2</v>
      </c>
      <c r="E106" s="84">
        <v>21.75</v>
      </c>
      <c r="F106" s="84">
        <v>20.75</v>
      </c>
      <c r="G106" s="84">
        <v>17.25</v>
      </c>
      <c r="H106" s="84">
        <v>12.25</v>
      </c>
    </row>
    <row r="107" spans="1:8" hidden="1" x14ac:dyDescent="0.25">
      <c r="A107" s="85" t="s">
        <v>163</v>
      </c>
      <c r="B107" s="84">
        <v>33</v>
      </c>
      <c r="C107" s="84">
        <v>29.8</v>
      </c>
      <c r="D107" s="84">
        <v>26.4</v>
      </c>
      <c r="E107" s="84">
        <v>25.25</v>
      </c>
      <c r="F107" s="84">
        <v>20.75</v>
      </c>
      <c r="G107" s="84">
        <v>14.75</v>
      </c>
      <c r="H107" s="84">
        <v>11</v>
      </c>
    </row>
    <row r="108" spans="1:8" hidden="1" x14ac:dyDescent="0.25">
      <c r="A108" s="85" t="s">
        <v>164</v>
      </c>
      <c r="B108" s="84">
        <v>25</v>
      </c>
      <c r="C108" s="84">
        <v>30</v>
      </c>
      <c r="D108" s="84">
        <v>25.4</v>
      </c>
      <c r="E108" s="84">
        <v>19</v>
      </c>
      <c r="F108" s="84">
        <v>21.5</v>
      </c>
      <c r="G108" s="84">
        <v>13.75</v>
      </c>
      <c r="H108" s="84">
        <v>16.5</v>
      </c>
    </row>
    <row r="109" spans="1:8" hidden="1" x14ac:dyDescent="0.25">
      <c r="A109" s="85" t="s">
        <v>165</v>
      </c>
      <c r="B109" s="84">
        <v>20.5</v>
      </c>
      <c r="C109" s="84">
        <v>21.6</v>
      </c>
      <c r="D109" s="84">
        <v>20.2</v>
      </c>
      <c r="E109" s="84">
        <v>16.5</v>
      </c>
      <c r="F109" s="84">
        <v>16</v>
      </c>
      <c r="G109" s="84">
        <v>11</v>
      </c>
      <c r="H109" s="84">
        <v>16.75</v>
      </c>
    </row>
    <row r="110" spans="1:8" hidden="1" x14ac:dyDescent="0.25">
      <c r="A110" s="85" t="s">
        <v>166</v>
      </c>
      <c r="B110" s="84">
        <v>20.25</v>
      </c>
      <c r="C110" s="84">
        <v>15.6</v>
      </c>
      <c r="D110" s="84">
        <v>16.2</v>
      </c>
      <c r="E110" s="84">
        <v>17.5</v>
      </c>
      <c r="F110" s="84">
        <v>15</v>
      </c>
      <c r="G110" s="84">
        <v>17.5</v>
      </c>
      <c r="H110" s="84">
        <v>14</v>
      </c>
    </row>
    <row r="111" spans="1:8" hidden="1" x14ac:dyDescent="0.25">
      <c r="A111" s="85" t="s">
        <v>167</v>
      </c>
      <c r="B111" s="84">
        <v>21</v>
      </c>
      <c r="C111" s="84">
        <v>12.4</v>
      </c>
      <c r="D111" s="84">
        <v>19.600000000000001</v>
      </c>
      <c r="E111" s="84">
        <v>19</v>
      </c>
      <c r="F111" s="84">
        <v>14</v>
      </c>
      <c r="G111" s="84">
        <v>14</v>
      </c>
      <c r="H111" s="84">
        <v>12.5</v>
      </c>
    </row>
    <row r="112" spans="1:8" hidden="1" x14ac:dyDescent="0.25">
      <c r="A112" s="85" t="s">
        <v>168</v>
      </c>
      <c r="B112" s="84">
        <v>21.5</v>
      </c>
      <c r="C112" s="84">
        <v>21.4</v>
      </c>
      <c r="D112" s="84">
        <v>20.6</v>
      </c>
      <c r="E112" s="84">
        <v>20.75</v>
      </c>
      <c r="F112" s="84">
        <v>20.75</v>
      </c>
      <c r="G112" s="84">
        <v>14.5</v>
      </c>
      <c r="H112" s="84">
        <v>16.75</v>
      </c>
    </row>
    <row r="113" spans="1:8" hidden="1" x14ac:dyDescent="0.25">
      <c r="A113" s="85" t="s">
        <v>169</v>
      </c>
      <c r="B113" s="84">
        <v>21.5</v>
      </c>
      <c r="C113" s="84">
        <v>22.6</v>
      </c>
      <c r="D113" s="84">
        <v>22.4</v>
      </c>
      <c r="E113" s="84">
        <v>21</v>
      </c>
      <c r="F113" s="84">
        <v>17.5</v>
      </c>
      <c r="G113" s="84">
        <v>11.75</v>
      </c>
      <c r="H113" s="84">
        <v>15.5</v>
      </c>
    </row>
    <row r="114" spans="1:8" hidden="1" x14ac:dyDescent="0.25">
      <c r="A114" s="85" t="s">
        <v>170</v>
      </c>
      <c r="B114" s="84">
        <v>19.75</v>
      </c>
      <c r="C114" s="84">
        <v>20</v>
      </c>
      <c r="D114" s="84">
        <v>22.4</v>
      </c>
      <c r="E114" s="84">
        <v>15.5</v>
      </c>
      <c r="F114" s="84">
        <v>15.5</v>
      </c>
      <c r="G114" s="84">
        <v>13.75</v>
      </c>
      <c r="H114" s="84">
        <v>12.5</v>
      </c>
    </row>
    <row r="115" spans="1:8" hidden="1" x14ac:dyDescent="0.25">
      <c r="A115" s="85" t="s">
        <v>171</v>
      </c>
      <c r="B115" s="84">
        <v>15.5</v>
      </c>
      <c r="C115" s="84">
        <v>17.399999999999999</v>
      </c>
      <c r="D115" s="84">
        <v>17.2</v>
      </c>
      <c r="E115" s="84">
        <v>17.25</v>
      </c>
      <c r="F115" s="84">
        <v>14.75</v>
      </c>
      <c r="G115" s="84">
        <v>12.25</v>
      </c>
      <c r="H115" s="84">
        <v>16.75</v>
      </c>
    </row>
    <row r="116" spans="1:8" hidden="1" x14ac:dyDescent="0.25">
      <c r="A116" s="85" t="s">
        <v>172</v>
      </c>
      <c r="B116" s="84">
        <v>9.5</v>
      </c>
      <c r="C116" s="84">
        <v>12.6</v>
      </c>
      <c r="D116" s="84">
        <v>13.6</v>
      </c>
      <c r="E116" s="84">
        <v>15.75</v>
      </c>
      <c r="F116" s="84">
        <v>12.5</v>
      </c>
      <c r="G116" s="84">
        <v>12.75</v>
      </c>
      <c r="H116" s="84">
        <v>17</v>
      </c>
    </row>
    <row r="117" spans="1:8" hidden="1" x14ac:dyDescent="0.25">
      <c r="A117" s="85" t="s">
        <v>173</v>
      </c>
      <c r="B117" s="84">
        <v>6.75</v>
      </c>
      <c r="C117" s="84">
        <v>8.6</v>
      </c>
      <c r="D117" s="84">
        <v>10.8</v>
      </c>
      <c r="E117" s="84">
        <v>10.5</v>
      </c>
      <c r="F117" s="84">
        <v>9.75</v>
      </c>
      <c r="G117" s="84">
        <v>9</v>
      </c>
      <c r="H117" s="84">
        <v>12.25</v>
      </c>
    </row>
    <row r="118" spans="1:8" hidden="1" x14ac:dyDescent="0.25">
      <c r="A118" s="85" t="s">
        <v>5</v>
      </c>
      <c r="B118" s="86">
        <v>442.5</v>
      </c>
      <c r="C118" s="86">
        <v>408.4</v>
      </c>
      <c r="D118" s="86">
        <v>401.6</v>
      </c>
      <c r="E118" s="86">
        <v>399</v>
      </c>
      <c r="F118" s="86">
        <v>362</v>
      </c>
      <c r="G118" s="86">
        <v>289.75</v>
      </c>
      <c r="H118" s="86">
        <v>268.5</v>
      </c>
    </row>
    <row r="119" spans="1:8" hidden="1" x14ac:dyDescent="0.25"/>
    <row r="120" spans="1:8" hidden="1" x14ac:dyDescent="0.25"/>
    <row r="121" spans="1:8" hidden="1" x14ac:dyDescent="0.25"/>
    <row r="122" spans="1:8" ht="21" hidden="1" x14ac:dyDescent="0.25">
      <c r="A122" s="228" t="s">
        <v>184</v>
      </c>
      <c r="B122" s="228"/>
      <c r="C122" s="228"/>
      <c r="D122" s="228"/>
      <c r="E122" s="228"/>
      <c r="F122" s="228"/>
      <c r="G122" s="228"/>
      <c r="H122" s="228"/>
    </row>
    <row r="123" spans="1:8" hidden="1" x14ac:dyDescent="0.25">
      <c r="A123" s="85" t="s">
        <v>142</v>
      </c>
      <c r="B123" s="85" t="s">
        <v>143</v>
      </c>
      <c r="C123" s="85" t="s">
        <v>144</v>
      </c>
      <c r="D123" s="85" t="s">
        <v>145</v>
      </c>
      <c r="E123" s="85" t="s">
        <v>146</v>
      </c>
      <c r="F123" s="85" t="s">
        <v>147</v>
      </c>
      <c r="G123" s="85" t="s">
        <v>148</v>
      </c>
      <c r="H123" s="85" t="s">
        <v>149</v>
      </c>
    </row>
    <row r="124" spans="1:8" hidden="1" x14ac:dyDescent="0.25">
      <c r="A124" s="85" t="s">
        <v>150</v>
      </c>
      <c r="B124" s="84">
        <v>6</v>
      </c>
      <c r="C124" s="84">
        <v>11.25</v>
      </c>
      <c r="D124" s="84">
        <v>7</v>
      </c>
      <c r="E124" s="84">
        <v>7.2</v>
      </c>
      <c r="F124" s="84">
        <v>7.2</v>
      </c>
      <c r="G124" s="84">
        <v>9.1999999999999993</v>
      </c>
      <c r="H124" s="84">
        <v>9.5</v>
      </c>
    </row>
    <row r="125" spans="1:8" hidden="1" x14ac:dyDescent="0.25">
      <c r="A125" s="85" t="s">
        <v>151</v>
      </c>
      <c r="B125" s="84">
        <v>4.75</v>
      </c>
      <c r="C125" s="84">
        <v>4.75</v>
      </c>
      <c r="D125" s="84">
        <v>5.25</v>
      </c>
      <c r="E125" s="84">
        <v>5.4</v>
      </c>
      <c r="F125" s="84">
        <v>6.6</v>
      </c>
      <c r="G125" s="84">
        <v>6</v>
      </c>
      <c r="H125" s="84">
        <v>7.75</v>
      </c>
    </row>
    <row r="126" spans="1:8" hidden="1" x14ac:dyDescent="0.25">
      <c r="A126" s="85" t="s">
        <v>152</v>
      </c>
      <c r="B126" s="84">
        <v>4.25</v>
      </c>
      <c r="C126" s="84">
        <v>5</v>
      </c>
      <c r="D126" s="84">
        <v>3.75</v>
      </c>
      <c r="E126" s="84">
        <v>4.4000000000000004</v>
      </c>
      <c r="F126" s="84">
        <v>4.4000000000000004</v>
      </c>
      <c r="G126" s="84">
        <v>3.4</v>
      </c>
      <c r="H126" s="84">
        <v>4.75</v>
      </c>
    </row>
    <row r="127" spans="1:8" hidden="1" x14ac:dyDescent="0.25">
      <c r="A127" s="85" t="s">
        <v>153</v>
      </c>
      <c r="B127" s="84">
        <v>3.5</v>
      </c>
      <c r="C127" s="84">
        <v>3.25</v>
      </c>
      <c r="D127" s="84">
        <v>4.75</v>
      </c>
      <c r="E127" s="84">
        <v>4.5999999999999996</v>
      </c>
      <c r="F127" s="84">
        <v>1.8</v>
      </c>
      <c r="G127" s="84">
        <v>3.8</v>
      </c>
      <c r="H127" s="84">
        <v>4.5</v>
      </c>
    </row>
    <row r="128" spans="1:8" hidden="1" x14ac:dyDescent="0.25">
      <c r="A128" s="85" t="s">
        <v>154</v>
      </c>
      <c r="B128" s="84">
        <v>3.75</v>
      </c>
      <c r="C128" s="84">
        <v>7.5</v>
      </c>
      <c r="D128" s="84">
        <v>5.75</v>
      </c>
      <c r="E128" s="84">
        <v>4.4000000000000004</v>
      </c>
      <c r="F128" s="84">
        <v>7</v>
      </c>
      <c r="G128" s="84">
        <v>3.8</v>
      </c>
      <c r="H128" s="84">
        <v>4.25</v>
      </c>
    </row>
    <row r="129" spans="1:8" hidden="1" x14ac:dyDescent="0.25">
      <c r="A129" s="85" t="s">
        <v>155</v>
      </c>
      <c r="B129" s="84">
        <v>11.75</v>
      </c>
      <c r="C129" s="84">
        <v>12.25</v>
      </c>
      <c r="D129" s="84">
        <v>11.5</v>
      </c>
      <c r="E129" s="84">
        <v>8.6</v>
      </c>
      <c r="F129" s="84">
        <v>9</v>
      </c>
      <c r="G129" s="84">
        <v>7.6</v>
      </c>
      <c r="H129" s="84">
        <v>5.25</v>
      </c>
    </row>
    <row r="130" spans="1:8" hidden="1" x14ac:dyDescent="0.25">
      <c r="A130" s="85" t="s">
        <v>156</v>
      </c>
      <c r="B130" s="84">
        <v>22.5</v>
      </c>
      <c r="C130" s="84">
        <v>21.5</v>
      </c>
      <c r="D130" s="84">
        <v>27.25</v>
      </c>
      <c r="E130" s="84">
        <v>14.6</v>
      </c>
      <c r="F130" s="84">
        <v>17.399999999999999</v>
      </c>
      <c r="G130" s="84">
        <v>13.4</v>
      </c>
      <c r="H130" s="84">
        <v>8</v>
      </c>
    </row>
    <row r="131" spans="1:8" hidden="1" x14ac:dyDescent="0.25">
      <c r="A131" s="85" t="s">
        <v>157</v>
      </c>
      <c r="B131" s="84">
        <v>36.25</v>
      </c>
      <c r="C131" s="84">
        <v>31</v>
      </c>
      <c r="D131" s="84">
        <v>29.75</v>
      </c>
      <c r="E131" s="84">
        <v>23.4</v>
      </c>
      <c r="F131" s="84">
        <v>29.8</v>
      </c>
      <c r="G131" s="84">
        <v>14.6</v>
      </c>
      <c r="H131" s="84">
        <v>14</v>
      </c>
    </row>
    <row r="132" spans="1:8" hidden="1" x14ac:dyDescent="0.25">
      <c r="A132" s="85" t="s">
        <v>158</v>
      </c>
      <c r="B132" s="84">
        <v>42</v>
      </c>
      <c r="C132" s="84">
        <v>44</v>
      </c>
      <c r="D132" s="84">
        <v>40.5</v>
      </c>
      <c r="E132" s="84">
        <v>30.6</v>
      </c>
      <c r="F132" s="84">
        <v>27.4</v>
      </c>
      <c r="G132" s="84">
        <v>21.2</v>
      </c>
      <c r="H132" s="84">
        <v>14.25</v>
      </c>
    </row>
    <row r="133" spans="1:8" hidden="1" x14ac:dyDescent="0.25">
      <c r="A133" s="85" t="s">
        <v>159</v>
      </c>
      <c r="B133" s="84">
        <v>45</v>
      </c>
      <c r="C133" s="84">
        <v>32.75</v>
      </c>
      <c r="D133" s="84">
        <v>26.5</v>
      </c>
      <c r="E133" s="84">
        <v>24.2</v>
      </c>
      <c r="F133" s="84">
        <v>28</v>
      </c>
      <c r="G133" s="84">
        <v>20</v>
      </c>
      <c r="H133" s="84">
        <v>15.5</v>
      </c>
    </row>
    <row r="134" spans="1:8" hidden="1" x14ac:dyDescent="0.25">
      <c r="A134" s="85" t="s">
        <v>160</v>
      </c>
      <c r="B134" s="84">
        <v>36.5</v>
      </c>
      <c r="C134" s="84">
        <v>35</v>
      </c>
      <c r="D134" s="84">
        <v>26.5</v>
      </c>
      <c r="E134" s="84">
        <v>29</v>
      </c>
      <c r="F134" s="84">
        <v>24.8</v>
      </c>
      <c r="G134" s="84">
        <v>19</v>
      </c>
      <c r="H134" s="84">
        <v>20.75</v>
      </c>
    </row>
    <row r="135" spans="1:8" hidden="1" x14ac:dyDescent="0.25">
      <c r="A135" s="85" t="s">
        <v>161</v>
      </c>
      <c r="B135" s="84">
        <v>35.5</v>
      </c>
      <c r="C135" s="84">
        <v>26.5</v>
      </c>
      <c r="D135" s="84">
        <v>26</v>
      </c>
      <c r="E135" s="84">
        <v>23.8</v>
      </c>
      <c r="F135" s="84">
        <v>22.2</v>
      </c>
      <c r="G135" s="84">
        <v>20.6</v>
      </c>
      <c r="H135" s="84">
        <v>17</v>
      </c>
    </row>
    <row r="136" spans="1:8" hidden="1" x14ac:dyDescent="0.25">
      <c r="A136" s="85" t="s">
        <v>162</v>
      </c>
      <c r="B136" s="84">
        <v>32.75</v>
      </c>
      <c r="C136" s="84">
        <v>22.75</v>
      </c>
      <c r="D136" s="84">
        <v>26.25</v>
      </c>
      <c r="E136" s="84">
        <v>21</v>
      </c>
      <c r="F136" s="84">
        <v>21.4</v>
      </c>
      <c r="G136" s="84">
        <v>20</v>
      </c>
      <c r="H136" s="84">
        <v>15.5</v>
      </c>
    </row>
    <row r="137" spans="1:8" hidden="1" x14ac:dyDescent="0.25">
      <c r="A137" s="85" t="s">
        <v>163</v>
      </c>
      <c r="B137" s="84">
        <v>39</v>
      </c>
      <c r="C137" s="84">
        <v>31.25</v>
      </c>
      <c r="D137" s="84">
        <v>31.75</v>
      </c>
      <c r="E137" s="84">
        <v>26.4</v>
      </c>
      <c r="F137" s="84">
        <v>29.8</v>
      </c>
      <c r="G137" s="84">
        <v>16.600000000000001</v>
      </c>
      <c r="H137" s="84">
        <v>19</v>
      </c>
    </row>
    <row r="138" spans="1:8" hidden="1" x14ac:dyDescent="0.25">
      <c r="A138" s="85" t="s">
        <v>164</v>
      </c>
      <c r="B138" s="84">
        <v>29.75</v>
      </c>
      <c r="C138" s="84">
        <v>30.75</v>
      </c>
      <c r="D138" s="84">
        <v>26.5</v>
      </c>
      <c r="E138" s="84">
        <v>25.4</v>
      </c>
      <c r="F138" s="84">
        <v>21.8</v>
      </c>
      <c r="G138" s="84">
        <v>18.399999999999999</v>
      </c>
      <c r="H138" s="84">
        <v>17.75</v>
      </c>
    </row>
    <row r="139" spans="1:8" hidden="1" x14ac:dyDescent="0.25">
      <c r="A139" s="85" t="s">
        <v>165</v>
      </c>
      <c r="B139" s="84">
        <v>25.5</v>
      </c>
      <c r="C139" s="84">
        <v>24</v>
      </c>
      <c r="D139" s="84">
        <v>23</v>
      </c>
      <c r="E139" s="84">
        <v>22.6</v>
      </c>
      <c r="F139" s="84">
        <v>21.4</v>
      </c>
      <c r="G139" s="84">
        <v>16.8</v>
      </c>
      <c r="H139" s="84">
        <v>16.25</v>
      </c>
    </row>
    <row r="140" spans="1:8" hidden="1" x14ac:dyDescent="0.25">
      <c r="A140" s="85" t="s">
        <v>166</v>
      </c>
      <c r="B140" s="84">
        <v>27</v>
      </c>
      <c r="C140" s="84">
        <v>26.25</v>
      </c>
      <c r="D140" s="84">
        <v>21.5</v>
      </c>
      <c r="E140" s="84">
        <v>23.8</v>
      </c>
      <c r="F140" s="84">
        <v>16.600000000000001</v>
      </c>
      <c r="G140" s="84">
        <v>17.600000000000001</v>
      </c>
      <c r="H140" s="84">
        <v>18.5</v>
      </c>
    </row>
    <row r="141" spans="1:8" hidden="1" x14ac:dyDescent="0.25">
      <c r="A141" s="85" t="s">
        <v>167</v>
      </c>
      <c r="B141" s="84">
        <v>23.75</v>
      </c>
      <c r="C141" s="84">
        <v>18.75</v>
      </c>
      <c r="D141" s="84">
        <v>19.5</v>
      </c>
      <c r="E141" s="84">
        <v>16.2</v>
      </c>
      <c r="F141" s="84">
        <v>21.6</v>
      </c>
      <c r="G141" s="84">
        <v>19.2</v>
      </c>
      <c r="H141" s="84">
        <v>15.25</v>
      </c>
    </row>
    <row r="142" spans="1:8" hidden="1" x14ac:dyDescent="0.25">
      <c r="A142" s="85" t="s">
        <v>168</v>
      </c>
      <c r="B142" s="84">
        <v>32.75</v>
      </c>
      <c r="C142" s="84">
        <v>23.75</v>
      </c>
      <c r="D142" s="84">
        <v>24.75</v>
      </c>
      <c r="E142" s="84">
        <v>22.4</v>
      </c>
      <c r="F142" s="84">
        <v>18</v>
      </c>
      <c r="G142" s="84">
        <v>19</v>
      </c>
      <c r="H142" s="84">
        <v>17.25</v>
      </c>
    </row>
    <row r="143" spans="1:8" hidden="1" x14ac:dyDescent="0.25">
      <c r="A143" s="85" t="s">
        <v>169</v>
      </c>
      <c r="B143" s="84">
        <v>28.25</v>
      </c>
      <c r="C143" s="84">
        <v>25.75</v>
      </c>
      <c r="D143" s="84">
        <v>26.75</v>
      </c>
      <c r="E143" s="84">
        <v>22</v>
      </c>
      <c r="F143" s="84">
        <v>18</v>
      </c>
      <c r="G143" s="84">
        <v>14.2</v>
      </c>
      <c r="H143" s="84">
        <v>16.5</v>
      </c>
    </row>
    <row r="144" spans="1:8" hidden="1" x14ac:dyDescent="0.25">
      <c r="A144" s="85" t="s">
        <v>170</v>
      </c>
      <c r="B144" s="84">
        <v>22.25</v>
      </c>
      <c r="C144" s="84">
        <v>23</v>
      </c>
      <c r="D144" s="84">
        <v>18</v>
      </c>
      <c r="E144" s="84">
        <v>20</v>
      </c>
      <c r="F144" s="84">
        <v>13</v>
      </c>
      <c r="G144" s="84">
        <v>14.8</v>
      </c>
      <c r="H144" s="84">
        <v>17</v>
      </c>
    </row>
    <row r="145" spans="1:8" hidden="1" x14ac:dyDescent="0.25">
      <c r="A145" s="85" t="s">
        <v>171</v>
      </c>
      <c r="B145" s="84">
        <v>18</v>
      </c>
      <c r="C145" s="84">
        <v>17.5</v>
      </c>
      <c r="D145" s="84">
        <v>11.25</v>
      </c>
      <c r="E145" s="84">
        <v>13.2</v>
      </c>
      <c r="F145" s="84">
        <v>11.2</v>
      </c>
      <c r="G145" s="84">
        <v>11</v>
      </c>
      <c r="H145" s="84">
        <v>18.25</v>
      </c>
    </row>
    <row r="146" spans="1:8" hidden="1" x14ac:dyDescent="0.25">
      <c r="A146" s="85" t="s">
        <v>172</v>
      </c>
      <c r="B146" s="84">
        <v>12.75</v>
      </c>
      <c r="C146" s="84">
        <v>14.75</v>
      </c>
      <c r="D146" s="84">
        <v>15.5</v>
      </c>
      <c r="E146" s="84">
        <v>14.4</v>
      </c>
      <c r="F146" s="84">
        <v>14.6</v>
      </c>
      <c r="G146" s="84">
        <v>11.6</v>
      </c>
      <c r="H146" s="84">
        <v>15.5</v>
      </c>
    </row>
    <row r="147" spans="1:8" hidden="1" x14ac:dyDescent="0.25">
      <c r="A147" s="85" t="s">
        <v>173</v>
      </c>
      <c r="B147" s="84">
        <v>14.5</v>
      </c>
      <c r="C147" s="84">
        <v>13</v>
      </c>
      <c r="D147" s="84">
        <v>10.75</v>
      </c>
      <c r="E147" s="84">
        <v>10.4</v>
      </c>
      <c r="F147" s="84">
        <v>9.4</v>
      </c>
      <c r="G147" s="84">
        <v>10.199999999999999</v>
      </c>
      <c r="H147" s="84">
        <v>9.75</v>
      </c>
    </row>
    <row r="148" spans="1:8" hidden="1" x14ac:dyDescent="0.25">
      <c r="A148" s="85" t="s">
        <v>5</v>
      </c>
      <c r="B148" s="86">
        <v>558</v>
      </c>
      <c r="C148" s="86">
        <v>506.25</v>
      </c>
      <c r="D148" s="86">
        <v>470</v>
      </c>
      <c r="E148" s="86">
        <v>418</v>
      </c>
      <c r="F148" s="86">
        <v>402.4</v>
      </c>
      <c r="G148" s="86">
        <v>332</v>
      </c>
      <c r="H148" s="86">
        <v>322</v>
      </c>
    </row>
    <row r="149" spans="1:8" hidden="1" x14ac:dyDescent="0.25"/>
    <row r="150" spans="1:8" hidden="1" x14ac:dyDescent="0.25"/>
    <row r="151" spans="1:8" hidden="1" x14ac:dyDescent="0.25"/>
    <row r="152" spans="1:8" ht="21" hidden="1" x14ac:dyDescent="0.25">
      <c r="A152" s="228" t="s">
        <v>185</v>
      </c>
      <c r="B152" s="228"/>
      <c r="C152" s="228"/>
      <c r="D152" s="228"/>
      <c r="E152" s="228"/>
      <c r="F152" s="228"/>
      <c r="G152" s="228"/>
      <c r="H152" s="228"/>
    </row>
    <row r="153" spans="1:8" hidden="1" x14ac:dyDescent="0.25">
      <c r="A153" s="85" t="s">
        <v>142</v>
      </c>
      <c r="B153" s="85" t="s">
        <v>143</v>
      </c>
      <c r="C153" s="85" t="s">
        <v>144</v>
      </c>
      <c r="D153" s="85" t="s">
        <v>145</v>
      </c>
      <c r="E153" s="85" t="s">
        <v>146</v>
      </c>
      <c r="F153" s="85" t="s">
        <v>147</v>
      </c>
      <c r="G153" s="85" t="s">
        <v>148</v>
      </c>
      <c r="H153" s="85" t="s">
        <v>149</v>
      </c>
    </row>
    <row r="154" spans="1:8" hidden="1" x14ac:dyDescent="0.25">
      <c r="A154" s="85" t="s">
        <v>150</v>
      </c>
      <c r="B154" s="84"/>
      <c r="C154" s="84"/>
      <c r="D154" s="84"/>
      <c r="E154" s="84"/>
      <c r="F154" s="84"/>
      <c r="G154" s="84"/>
      <c r="H154" s="84"/>
    </row>
    <row r="155" spans="1:8" hidden="1" x14ac:dyDescent="0.25">
      <c r="A155" s="85" t="s">
        <v>151</v>
      </c>
      <c r="B155" s="84"/>
      <c r="C155" s="84"/>
      <c r="D155" s="84"/>
      <c r="E155" s="84"/>
      <c r="F155" s="84"/>
      <c r="G155" s="84"/>
      <c r="H155" s="84"/>
    </row>
    <row r="156" spans="1:8" hidden="1" x14ac:dyDescent="0.25">
      <c r="A156" s="85" t="s">
        <v>152</v>
      </c>
      <c r="B156" s="84"/>
      <c r="C156" s="84"/>
      <c r="D156" s="84"/>
      <c r="E156" s="84"/>
      <c r="F156" s="84"/>
      <c r="G156" s="84"/>
      <c r="H156" s="84"/>
    </row>
    <row r="157" spans="1:8" hidden="1" x14ac:dyDescent="0.25">
      <c r="A157" s="85" t="s">
        <v>153</v>
      </c>
      <c r="B157" s="84"/>
      <c r="C157" s="84"/>
      <c r="D157" s="84"/>
      <c r="E157" s="84"/>
      <c r="F157" s="84"/>
      <c r="G157" s="84"/>
      <c r="H157" s="84"/>
    </row>
    <row r="158" spans="1:8" hidden="1" x14ac:dyDescent="0.25">
      <c r="A158" s="85" t="s">
        <v>154</v>
      </c>
      <c r="B158" s="84"/>
      <c r="C158" s="84"/>
      <c r="D158" s="84"/>
      <c r="E158" s="84"/>
      <c r="F158" s="84"/>
      <c r="G158" s="84"/>
      <c r="H158" s="84"/>
    </row>
    <row r="159" spans="1:8" hidden="1" x14ac:dyDescent="0.25">
      <c r="A159" s="85" t="s">
        <v>155</v>
      </c>
      <c r="B159" s="84"/>
      <c r="C159" s="84"/>
      <c r="D159" s="84"/>
      <c r="E159" s="84"/>
      <c r="F159" s="84"/>
      <c r="G159" s="84"/>
      <c r="H159" s="84"/>
    </row>
    <row r="160" spans="1:8" hidden="1" x14ac:dyDescent="0.25">
      <c r="A160" s="85" t="s">
        <v>156</v>
      </c>
      <c r="B160" s="84"/>
      <c r="C160" s="84"/>
      <c r="D160" s="84"/>
      <c r="E160" s="84"/>
      <c r="F160" s="84"/>
      <c r="G160" s="84"/>
      <c r="H160" s="84"/>
    </row>
    <row r="161" spans="1:8" hidden="1" x14ac:dyDescent="0.25">
      <c r="A161" s="85" t="s">
        <v>157</v>
      </c>
      <c r="B161" s="84"/>
      <c r="C161" s="84"/>
      <c r="D161" s="84"/>
      <c r="E161" s="84"/>
      <c r="F161" s="84"/>
      <c r="G161" s="84"/>
      <c r="H161" s="84"/>
    </row>
    <row r="162" spans="1:8" hidden="1" x14ac:dyDescent="0.25">
      <c r="A162" s="85" t="s">
        <v>158</v>
      </c>
      <c r="B162" s="84"/>
      <c r="C162" s="84"/>
      <c r="D162" s="84"/>
      <c r="E162" s="84"/>
      <c r="F162" s="84"/>
      <c r="G162" s="84"/>
      <c r="H162" s="84"/>
    </row>
    <row r="163" spans="1:8" hidden="1" x14ac:dyDescent="0.25">
      <c r="A163" s="85" t="s">
        <v>159</v>
      </c>
      <c r="B163" s="84"/>
      <c r="C163" s="84"/>
      <c r="D163" s="84"/>
      <c r="E163" s="84"/>
      <c r="F163" s="84"/>
      <c r="G163" s="84"/>
      <c r="H163" s="84"/>
    </row>
    <row r="164" spans="1:8" hidden="1" x14ac:dyDescent="0.25">
      <c r="A164" s="85" t="s">
        <v>160</v>
      </c>
      <c r="B164" s="84"/>
      <c r="C164" s="84"/>
      <c r="D164" s="84"/>
      <c r="E164" s="84"/>
      <c r="F164" s="84"/>
      <c r="G164" s="84"/>
      <c r="H164" s="84"/>
    </row>
    <row r="165" spans="1:8" hidden="1" x14ac:dyDescent="0.25">
      <c r="A165" s="85" t="s">
        <v>161</v>
      </c>
      <c r="B165" s="84"/>
      <c r="C165" s="84"/>
      <c r="D165" s="84"/>
      <c r="E165" s="84"/>
      <c r="F165" s="84"/>
      <c r="G165" s="84"/>
      <c r="H165" s="84"/>
    </row>
    <row r="166" spans="1:8" hidden="1" x14ac:dyDescent="0.25">
      <c r="A166" s="85" t="s">
        <v>162</v>
      </c>
      <c r="B166" s="84"/>
      <c r="C166" s="84"/>
      <c r="D166" s="84"/>
      <c r="E166" s="84"/>
      <c r="F166" s="84"/>
      <c r="G166" s="84"/>
      <c r="H166" s="84"/>
    </row>
    <row r="167" spans="1:8" hidden="1" x14ac:dyDescent="0.25">
      <c r="A167" s="85" t="s">
        <v>163</v>
      </c>
      <c r="B167" s="84"/>
      <c r="C167" s="84"/>
      <c r="D167" s="84"/>
      <c r="E167" s="84"/>
      <c r="F167" s="84"/>
      <c r="G167" s="84"/>
      <c r="H167" s="84"/>
    </row>
    <row r="168" spans="1:8" hidden="1" x14ac:dyDescent="0.25">
      <c r="A168" s="85" t="s">
        <v>164</v>
      </c>
      <c r="B168" s="84"/>
      <c r="C168" s="84"/>
      <c r="D168" s="84"/>
      <c r="E168" s="84"/>
      <c r="F168" s="84"/>
      <c r="G168" s="84"/>
      <c r="H168" s="84"/>
    </row>
    <row r="169" spans="1:8" hidden="1" x14ac:dyDescent="0.25">
      <c r="A169" s="85" t="s">
        <v>165</v>
      </c>
      <c r="B169" s="84"/>
      <c r="C169" s="84"/>
      <c r="D169" s="84"/>
      <c r="E169" s="84"/>
      <c r="F169" s="84"/>
      <c r="G169" s="84"/>
      <c r="H169" s="84"/>
    </row>
    <row r="170" spans="1:8" hidden="1" x14ac:dyDescent="0.25">
      <c r="A170" s="85" t="s">
        <v>166</v>
      </c>
      <c r="B170" s="84"/>
      <c r="C170" s="84"/>
      <c r="D170" s="84"/>
      <c r="E170" s="84"/>
      <c r="F170" s="84"/>
      <c r="G170" s="84"/>
      <c r="H170" s="84"/>
    </row>
    <row r="171" spans="1:8" hidden="1" x14ac:dyDescent="0.25">
      <c r="A171" s="85" t="s">
        <v>167</v>
      </c>
      <c r="B171" s="84"/>
      <c r="C171" s="84"/>
      <c r="D171" s="84"/>
      <c r="E171" s="84"/>
      <c r="F171" s="84"/>
      <c r="G171" s="84"/>
      <c r="H171" s="84"/>
    </row>
    <row r="172" spans="1:8" hidden="1" x14ac:dyDescent="0.25">
      <c r="A172" s="85" t="s">
        <v>168</v>
      </c>
      <c r="B172" s="84"/>
      <c r="C172" s="84"/>
      <c r="D172" s="84"/>
      <c r="E172" s="84"/>
      <c r="F172" s="84"/>
      <c r="G172" s="84"/>
      <c r="H172" s="84"/>
    </row>
    <row r="173" spans="1:8" hidden="1" x14ac:dyDescent="0.25">
      <c r="A173" s="85" t="s">
        <v>169</v>
      </c>
      <c r="B173" s="84"/>
      <c r="C173" s="84"/>
      <c r="D173" s="84"/>
      <c r="E173" s="84"/>
      <c r="F173" s="84"/>
      <c r="G173" s="84"/>
      <c r="H173" s="84"/>
    </row>
    <row r="174" spans="1:8" hidden="1" x14ac:dyDescent="0.25">
      <c r="A174" s="85" t="s">
        <v>170</v>
      </c>
      <c r="B174" s="84"/>
      <c r="C174" s="84"/>
      <c r="D174" s="84"/>
      <c r="E174" s="84"/>
      <c r="F174" s="84"/>
      <c r="G174" s="84"/>
      <c r="H174" s="84"/>
    </row>
    <row r="175" spans="1:8" hidden="1" x14ac:dyDescent="0.25">
      <c r="A175" s="85" t="s">
        <v>171</v>
      </c>
      <c r="B175" s="84"/>
      <c r="C175" s="84"/>
      <c r="D175" s="84"/>
      <c r="E175" s="84"/>
      <c r="F175" s="84"/>
      <c r="G175" s="84"/>
      <c r="H175" s="84"/>
    </row>
    <row r="176" spans="1:8" hidden="1" x14ac:dyDescent="0.25">
      <c r="A176" s="85" t="s">
        <v>172</v>
      </c>
      <c r="B176" s="84"/>
      <c r="C176" s="84"/>
      <c r="D176" s="84"/>
      <c r="E176" s="84"/>
      <c r="F176" s="84"/>
      <c r="G176" s="84"/>
      <c r="H176" s="84"/>
    </row>
    <row r="177" spans="1:8" hidden="1" x14ac:dyDescent="0.25">
      <c r="A177" s="85" t="s">
        <v>173</v>
      </c>
      <c r="B177" s="84"/>
      <c r="C177" s="84"/>
      <c r="D177" s="84"/>
      <c r="E177" s="84"/>
      <c r="F177" s="84"/>
      <c r="G177" s="84"/>
      <c r="H177" s="84"/>
    </row>
    <row r="178" spans="1:8" hidden="1" x14ac:dyDescent="0.25">
      <c r="A178" s="85" t="s">
        <v>5</v>
      </c>
      <c r="B178" s="86">
        <v>366.4</v>
      </c>
      <c r="C178" s="86">
        <v>308.2</v>
      </c>
      <c r="D178" s="86">
        <v>318.5</v>
      </c>
      <c r="E178" s="86">
        <v>348.5</v>
      </c>
      <c r="F178" s="86">
        <v>333.25</v>
      </c>
      <c r="G178" s="86">
        <v>278.75</v>
      </c>
      <c r="H178" s="86">
        <v>236.8</v>
      </c>
    </row>
    <row r="179" spans="1:8" hidden="1" x14ac:dyDescent="0.25"/>
    <row r="180" spans="1:8" hidden="1" x14ac:dyDescent="0.25"/>
    <row r="181" spans="1:8" hidden="1" x14ac:dyDescent="0.25"/>
    <row r="182" spans="1:8" ht="21" hidden="1" x14ac:dyDescent="0.25">
      <c r="A182" s="228" t="s">
        <v>186</v>
      </c>
      <c r="B182" s="228"/>
      <c r="C182" s="228"/>
      <c r="D182" s="228"/>
      <c r="E182" s="228"/>
      <c r="F182" s="228"/>
      <c r="G182" s="228"/>
      <c r="H182" s="228"/>
    </row>
    <row r="183" spans="1:8" hidden="1" x14ac:dyDescent="0.25">
      <c r="A183" s="85" t="s">
        <v>142</v>
      </c>
      <c r="B183" s="85" t="s">
        <v>143</v>
      </c>
      <c r="C183" s="85" t="s">
        <v>144</v>
      </c>
      <c r="D183" s="85" t="s">
        <v>145</v>
      </c>
      <c r="E183" s="85" t="s">
        <v>146</v>
      </c>
      <c r="F183" s="85" t="s">
        <v>147</v>
      </c>
      <c r="G183" s="85" t="s">
        <v>148</v>
      </c>
      <c r="H183" s="85" t="s">
        <v>149</v>
      </c>
    </row>
    <row r="184" spans="1:8" hidden="1" x14ac:dyDescent="0.25">
      <c r="A184" s="85" t="s">
        <v>150</v>
      </c>
      <c r="B184" s="84">
        <f>SUM(B4,B34,B64,B94,B124,B154)/6</f>
        <v>6.1583333333333341</v>
      </c>
      <c r="C184" s="84">
        <f t="shared" ref="C184:H184" si="0">SUM(C4,C34,C64,C94,C124,C154)/6</f>
        <v>7.0249999999999995</v>
      </c>
      <c r="D184" s="84">
        <f t="shared" si="0"/>
        <v>4.833333333333333</v>
      </c>
      <c r="E184" s="84">
        <f t="shared" si="0"/>
        <v>5.9333333333333336</v>
      </c>
      <c r="F184" s="84">
        <f t="shared" si="0"/>
        <v>5.8500000000000005</v>
      </c>
      <c r="G184" s="84">
        <f t="shared" si="0"/>
        <v>6.3666666666666671</v>
      </c>
      <c r="H184" s="84">
        <f t="shared" si="0"/>
        <v>5.95</v>
      </c>
    </row>
    <row r="185" spans="1:8" hidden="1" x14ac:dyDescent="0.25">
      <c r="A185" s="85" t="s">
        <v>151</v>
      </c>
      <c r="B185" s="84">
        <f t="shared" ref="B185:H200" si="1">SUM(B5,B35,B65,B95,B125,B155)/6</f>
        <v>3.8416666666666668</v>
      </c>
      <c r="C185" s="84">
        <f t="shared" si="1"/>
        <v>4</v>
      </c>
      <c r="D185" s="84">
        <f t="shared" si="1"/>
        <v>3.9</v>
      </c>
      <c r="E185" s="84">
        <f t="shared" si="1"/>
        <v>3.9083333333333337</v>
      </c>
      <c r="F185" s="84">
        <f t="shared" si="1"/>
        <v>4.1499999999999995</v>
      </c>
      <c r="G185" s="84">
        <f t="shared" si="1"/>
        <v>3.7666666666666671</v>
      </c>
      <c r="H185" s="84">
        <f t="shared" si="1"/>
        <v>4.5083333333333337</v>
      </c>
    </row>
    <row r="186" spans="1:8" hidden="1" x14ac:dyDescent="0.25">
      <c r="A186" s="85" t="s">
        <v>152</v>
      </c>
      <c r="B186" s="84">
        <f t="shared" si="1"/>
        <v>2.5333333333333332</v>
      </c>
      <c r="C186" s="84">
        <f t="shared" si="1"/>
        <v>2.8833333333333333</v>
      </c>
      <c r="D186" s="84">
        <f t="shared" si="1"/>
        <v>3.4666666666666663</v>
      </c>
      <c r="E186" s="84">
        <f t="shared" si="1"/>
        <v>2.9833333333333329</v>
      </c>
      <c r="F186" s="84">
        <f t="shared" si="1"/>
        <v>2.625</v>
      </c>
      <c r="G186" s="84">
        <f t="shared" si="1"/>
        <v>3.0749999999999997</v>
      </c>
      <c r="H186" s="84">
        <f t="shared" si="1"/>
        <v>3.1999999999999997</v>
      </c>
    </row>
    <row r="187" spans="1:8" hidden="1" x14ac:dyDescent="0.25">
      <c r="A187" s="85" t="s">
        <v>153</v>
      </c>
      <c r="B187" s="84">
        <f t="shared" si="1"/>
        <v>2.2166666666666668</v>
      </c>
      <c r="C187" s="84">
        <f t="shared" si="1"/>
        <v>2.2916666666666665</v>
      </c>
      <c r="D187" s="84">
        <f t="shared" si="1"/>
        <v>3.1416666666666671</v>
      </c>
      <c r="E187" s="84">
        <f t="shared" si="1"/>
        <v>2.8416666666666663</v>
      </c>
      <c r="F187" s="84">
        <f t="shared" si="1"/>
        <v>2.0083333333333333</v>
      </c>
      <c r="G187" s="84">
        <f t="shared" si="1"/>
        <v>2.8833333333333333</v>
      </c>
      <c r="H187" s="84">
        <f t="shared" si="1"/>
        <v>2.6416666666666666</v>
      </c>
    </row>
    <row r="188" spans="1:8" hidden="1" x14ac:dyDescent="0.25">
      <c r="A188" s="85" t="s">
        <v>154</v>
      </c>
      <c r="B188" s="84">
        <f t="shared" si="1"/>
        <v>3.1583333333333332</v>
      </c>
      <c r="C188" s="84">
        <f t="shared" si="1"/>
        <v>4.3833333333333337</v>
      </c>
      <c r="D188" s="84">
        <f t="shared" si="1"/>
        <v>3.8833333333333329</v>
      </c>
      <c r="E188" s="84">
        <f t="shared" si="1"/>
        <v>2.9</v>
      </c>
      <c r="F188" s="84">
        <f t="shared" si="1"/>
        <v>3.9916666666666667</v>
      </c>
      <c r="G188" s="84">
        <f t="shared" si="1"/>
        <v>2.4250000000000003</v>
      </c>
      <c r="H188" s="84">
        <f t="shared" si="1"/>
        <v>2.9916666666666667</v>
      </c>
    </row>
    <row r="189" spans="1:8" hidden="1" x14ac:dyDescent="0.25">
      <c r="A189" s="85" t="s">
        <v>155</v>
      </c>
      <c r="B189" s="84">
        <f t="shared" si="1"/>
        <v>7.1416666666666666</v>
      </c>
      <c r="C189" s="84">
        <f t="shared" si="1"/>
        <v>7.4083333333333341</v>
      </c>
      <c r="D189" s="84">
        <f t="shared" si="1"/>
        <v>6.5166666666666666</v>
      </c>
      <c r="E189" s="84">
        <f t="shared" si="1"/>
        <v>7.5333333333333341</v>
      </c>
      <c r="F189" s="84">
        <f t="shared" si="1"/>
        <v>6.8583333333333334</v>
      </c>
      <c r="G189" s="84">
        <f t="shared" si="1"/>
        <v>6.0583333333333336</v>
      </c>
      <c r="H189" s="84">
        <f t="shared" si="1"/>
        <v>3.7583333333333333</v>
      </c>
    </row>
    <row r="190" spans="1:8" hidden="1" x14ac:dyDescent="0.25">
      <c r="A190" s="85" t="s">
        <v>156</v>
      </c>
      <c r="B190" s="84">
        <f t="shared" si="1"/>
        <v>15.841666666666667</v>
      </c>
      <c r="C190" s="84">
        <f t="shared" si="1"/>
        <v>15.1</v>
      </c>
      <c r="D190" s="84">
        <f t="shared" si="1"/>
        <v>15.641666666666666</v>
      </c>
      <c r="E190" s="84">
        <f t="shared" si="1"/>
        <v>12.291666666666666</v>
      </c>
      <c r="F190" s="84">
        <f t="shared" si="1"/>
        <v>12.708333333333334</v>
      </c>
      <c r="G190" s="84">
        <f t="shared" si="1"/>
        <v>9.1333333333333329</v>
      </c>
      <c r="H190" s="84">
        <f t="shared" si="1"/>
        <v>5.25</v>
      </c>
    </row>
    <row r="191" spans="1:8" hidden="1" x14ac:dyDescent="0.25">
      <c r="A191" s="85" t="s">
        <v>157</v>
      </c>
      <c r="B191" s="84">
        <f t="shared" si="1"/>
        <v>22.175000000000001</v>
      </c>
      <c r="C191" s="84">
        <f t="shared" si="1"/>
        <v>21.616666666666664</v>
      </c>
      <c r="D191" s="84">
        <f t="shared" si="1"/>
        <v>19.966666666666669</v>
      </c>
      <c r="E191" s="84">
        <f t="shared" si="1"/>
        <v>19.491666666666664</v>
      </c>
      <c r="F191" s="84">
        <f t="shared" si="1"/>
        <v>18.491666666666667</v>
      </c>
      <c r="G191" s="84">
        <f t="shared" si="1"/>
        <v>12.125</v>
      </c>
      <c r="H191" s="84">
        <f t="shared" si="1"/>
        <v>8.3916666666666675</v>
      </c>
    </row>
    <row r="192" spans="1:8" hidden="1" x14ac:dyDescent="0.25">
      <c r="A192" s="85" t="s">
        <v>158</v>
      </c>
      <c r="B192" s="84">
        <f t="shared" si="1"/>
        <v>29.633333333333336</v>
      </c>
      <c r="C192" s="84">
        <f t="shared" si="1"/>
        <v>27.275000000000002</v>
      </c>
      <c r="D192" s="84">
        <f t="shared" si="1"/>
        <v>22.241666666666664</v>
      </c>
      <c r="E192" s="84">
        <f t="shared" si="1"/>
        <v>23.008333333333336</v>
      </c>
      <c r="F192" s="84">
        <f t="shared" si="1"/>
        <v>21.7</v>
      </c>
      <c r="G192" s="84">
        <f t="shared" si="1"/>
        <v>13.608333333333334</v>
      </c>
      <c r="H192" s="84">
        <f t="shared" si="1"/>
        <v>9.1166666666666671</v>
      </c>
    </row>
    <row r="193" spans="1:8" hidden="1" x14ac:dyDescent="0.25">
      <c r="A193" s="85" t="s">
        <v>159</v>
      </c>
      <c r="B193" s="84">
        <f t="shared" si="1"/>
        <v>26.883333333333336</v>
      </c>
      <c r="C193" s="84">
        <f t="shared" si="1"/>
        <v>22.541666666666668</v>
      </c>
      <c r="D193" s="84">
        <f t="shared" si="1"/>
        <v>19.466666666666665</v>
      </c>
      <c r="E193" s="84">
        <f t="shared" si="1"/>
        <v>21.166666666666668</v>
      </c>
      <c r="F193" s="84">
        <f t="shared" si="1"/>
        <v>18.974999999999998</v>
      </c>
      <c r="G193" s="84">
        <f t="shared" si="1"/>
        <v>14.700000000000001</v>
      </c>
      <c r="H193" s="84">
        <f t="shared" si="1"/>
        <v>12.625</v>
      </c>
    </row>
    <row r="194" spans="1:8" hidden="1" x14ac:dyDescent="0.25">
      <c r="A194" s="85" t="s">
        <v>160</v>
      </c>
      <c r="B194" s="84">
        <f t="shared" si="1"/>
        <v>26.791666666666668</v>
      </c>
      <c r="C194" s="84">
        <f t="shared" si="1"/>
        <v>22.341666666666669</v>
      </c>
      <c r="D194" s="84">
        <f t="shared" si="1"/>
        <v>18.966666666666665</v>
      </c>
      <c r="E194" s="84">
        <f t="shared" si="1"/>
        <v>19.108333333333334</v>
      </c>
      <c r="F194" s="84">
        <f t="shared" si="1"/>
        <v>19.266666666666666</v>
      </c>
      <c r="G194" s="84">
        <f t="shared" si="1"/>
        <v>16.058333333333334</v>
      </c>
      <c r="H194" s="84">
        <f t="shared" si="1"/>
        <v>15.108333333333334</v>
      </c>
    </row>
    <row r="195" spans="1:8" hidden="1" x14ac:dyDescent="0.25">
      <c r="A195" s="85" t="s">
        <v>161</v>
      </c>
      <c r="B195" s="84">
        <f t="shared" si="1"/>
        <v>23.074999999999999</v>
      </c>
      <c r="C195" s="84">
        <f t="shared" si="1"/>
        <v>19.074999999999999</v>
      </c>
      <c r="D195" s="84">
        <f t="shared" si="1"/>
        <v>17.316666666666666</v>
      </c>
      <c r="E195" s="84">
        <f t="shared" si="1"/>
        <v>17.675000000000001</v>
      </c>
      <c r="F195" s="84">
        <f t="shared" si="1"/>
        <v>17.8</v>
      </c>
      <c r="G195" s="84">
        <f t="shared" si="1"/>
        <v>16.166666666666668</v>
      </c>
      <c r="H195" s="84">
        <f t="shared" si="1"/>
        <v>12.958333333333334</v>
      </c>
    </row>
    <row r="196" spans="1:8" hidden="1" x14ac:dyDescent="0.25">
      <c r="A196" s="85" t="s">
        <v>162</v>
      </c>
      <c r="B196" s="84">
        <f t="shared" si="1"/>
        <v>22.074999999999999</v>
      </c>
      <c r="C196" s="84">
        <f t="shared" si="1"/>
        <v>17.083333333333332</v>
      </c>
      <c r="D196" s="84">
        <f t="shared" si="1"/>
        <v>17.724999999999998</v>
      </c>
      <c r="E196" s="84">
        <f t="shared" si="1"/>
        <v>16.866666666666667</v>
      </c>
      <c r="F196" s="84">
        <f t="shared" si="1"/>
        <v>15.683333333333332</v>
      </c>
      <c r="G196" s="84">
        <f t="shared" si="1"/>
        <v>14.441666666666668</v>
      </c>
      <c r="H196" s="84">
        <f t="shared" si="1"/>
        <v>11.558333333333332</v>
      </c>
    </row>
    <row r="197" spans="1:8" hidden="1" x14ac:dyDescent="0.25">
      <c r="A197" s="85" t="s">
        <v>163</v>
      </c>
      <c r="B197" s="84">
        <f t="shared" si="1"/>
        <v>27.883333333333336</v>
      </c>
      <c r="C197" s="84">
        <f t="shared" si="1"/>
        <v>22.258333333333336</v>
      </c>
      <c r="D197" s="84">
        <f t="shared" si="1"/>
        <v>22.008333333333336</v>
      </c>
      <c r="E197" s="84">
        <f t="shared" si="1"/>
        <v>20.224999999999998</v>
      </c>
      <c r="F197" s="84">
        <f t="shared" si="1"/>
        <v>19.091666666666665</v>
      </c>
      <c r="G197" s="84">
        <f t="shared" si="1"/>
        <v>13.191666666666668</v>
      </c>
      <c r="H197" s="84">
        <f t="shared" si="1"/>
        <v>11.35</v>
      </c>
    </row>
    <row r="198" spans="1:8" hidden="1" x14ac:dyDescent="0.25">
      <c r="A198" s="85" t="s">
        <v>164</v>
      </c>
      <c r="B198" s="84">
        <f t="shared" si="1"/>
        <v>20.608333333333334</v>
      </c>
      <c r="C198" s="84">
        <f t="shared" si="1"/>
        <v>21.291666666666668</v>
      </c>
      <c r="D198" s="84">
        <f t="shared" si="1"/>
        <v>18.8</v>
      </c>
      <c r="E198" s="84">
        <f t="shared" si="1"/>
        <v>18.191666666666666</v>
      </c>
      <c r="F198" s="84">
        <f t="shared" si="1"/>
        <v>17.641666666666666</v>
      </c>
      <c r="G198" s="84">
        <f t="shared" si="1"/>
        <v>12.449999999999998</v>
      </c>
      <c r="H198" s="84">
        <f t="shared" si="1"/>
        <v>12.533333333333333</v>
      </c>
    </row>
    <row r="199" spans="1:8" hidden="1" x14ac:dyDescent="0.25">
      <c r="A199" s="85" t="s">
        <v>165</v>
      </c>
      <c r="B199" s="84">
        <f t="shared" si="1"/>
        <v>18.591666666666665</v>
      </c>
      <c r="C199" s="84">
        <f t="shared" si="1"/>
        <v>17.558333333333334</v>
      </c>
      <c r="D199" s="84">
        <f t="shared" si="1"/>
        <v>15.65</v>
      </c>
      <c r="E199" s="84">
        <f t="shared" si="1"/>
        <v>15.425000000000002</v>
      </c>
      <c r="F199" s="84">
        <f t="shared" si="1"/>
        <v>14.983333333333334</v>
      </c>
      <c r="G199" s="84">
        <f t="shared" si="1"/>
        <v>11.741666666666667</v>
      </c>
      <c r="H199" s="84">
        <f t="shared" si="1"/>
        <v>12.875</v>
      </c>
    </row>
    <row r="200" spans="1:8" hidden="1" x14ac:dyDescent="0.25">
      <c r="A200" s="85" t="s">
        <v>166</v>
      </c>
      <c r="B200" s="84">
        <f t="shared" si="1"/>
        <v>18.224999999999998</v>
      </c>
      <c r="C200" s="84">
        <f t="shared" si="1"/>
        <v>14.891666666666666</v>
      </c>
      <c r="D200" s="84">
        <f t="shared" si="1"/>
        <v>13.408333333333333</v>
      </c>
      <c r="E200" s="84">
        <f t="shared" si="1"/>
        <v>15.35</v>
      </c>
      <c r="F200" s="84">
        <f t="shared" si="1"/>
        <v>12.866666666666665</v>
      </c>
      <c r="G200" s="84">
        <f t="shared" si="1"/>
        <v>12.433333333333332</v>
      </c>
      <c r="H200" s="84">
        <f t="shared" si="1"/>
        <v>11.674999999999999</v>
      </c>
    </row>
    <row r="201" spans="1:8" hidden="1" x14ac:dyDescent="0.25">
      <c r="A201" s="85" t="s">
        <v>167</v>
      </c>
      <c r="B201" s="84">
        <f t="shared" ref="B201:H207" si="2">SUM(B21,B51,B81,B111,B141,B171)/6</f>
        <v>16.091666666666665</v>
      </c>
      <c r="C201" s="84">
        <f t="shared" si="2"/>
        <v>13.608333333333334</v>
      </c>
      <c r="D201" s="84">
        <f t="shared" si="2"/>
        <v>14.558333333333332</v>
      </c>
      <c r="E201" s="84">
        <f t="shared" si="2"/>
        <v>13.308333333333332</v>
      </c>
      <c r="F201" s="84">
        <f t="shared" si="2"/>
        <v>13.533333333333333</v>
      </c>
      <c r="G201" s="84">
        <f t="shared" si="2"/>
        <v>13.008333333333333</v>
      </c>
      <c r="H201" s="84">
        <f t="shared" si="2"/>
        <v>11.141666666666666</v>
      </c>
    </row>
    <row r="202" spans="1:8" hidden="1" x14ac:dyDescent="0.25">
      <c r="A202" s="85" t="s">
        <v>168</v>
      </c>
      <c r="B202" s="84">
        <f t="shared" si="2"/>
        <v>19.133333333333333</v>
      </c>
      <c r="C202" s="84">
        <f t="shared" si="2"/>
        <v>17.275000000000002</v>
      </c>
      <c r="D202" s="84">
        <f t="shared" si="2"/>
        <v>17.175000000000001</v>
      </c>
      <c r="E202" s="84">
        <f t="shared" si="2"/>
        <v>16.133333333333336</v>
      </c>
      <c r="F202" s="84">
        <f t="shared" si="2"/>
        <v>14.358333333333334</v>
      </c>
      <c r="G202" s="84">
        <f t="shared" si="2"/>
        <v>12.208333333333334</v>
      </c>
      <c r="H202" s="84">
        <f t="shared" si="2"/>
        <v>13.65</v>
      </c>
    </row>
    <row r="203" spans="1:8" hidden="1" x14ac:dyDescent="0.25">
      <c r="A203" s="85" t="s">
        <v>169</v>
      </c>
      <c r="B203" s="84">
        <f t="shared" si="2"/>
        <v>21.616666666666664</v>
      </c>
      <c r="C203" s="84">
        <f t="shared" si="2"/>
        <v>18.724999999999998</v>
      </c>
      <c r="D203" s="84">
        <f t="shared" si="2"/>
        <v>17.491666666666664</v>
      </c>
      <c r="E203" s="84">
        <f t="shared" si="2"/>
        <v>16.233333333333334</v>
      </c>
      <c r="F203" s="84">
        <f t="shared" si="2"/>
        <v>14.85</v>
      </c>
      <c r="G203" s="84">
        <f t="shared" si="2"/>
        <v>11.733333333333334</v>
      </c>
      <c r="H203" s="84">
        <f t="shared" si="2"/>
        <v>12.241666666666667</v>
      </c>
    </row>
    <row r="204" spans="1:8" hidden="1" x14ac:dyDescent="0.25">
      <c r="A204" s="85" t="s">
        <v>170</v>
      </c>
      <c r="B204" s="84">
        <f t="shared" si="2"/>
        <v>16.783333333333335</v>
      </c>
      <c r="C204" s="84">
        <f t="shared" si="2"/>
        <v>16.666666666666668</v>
      </c>
      <c r="D204" s="84">
        <f t="shared" si="2"/>
        <v>16.033333333333331</v>
      </c>
      <c r="E204" s="84">
        <f t="shared" si="2"/>
        <v>15.266666666666666</v>
      </c>
      <c r="F204" s="84">
        <f t="shared" si="2"/>
        <v>12.266666666666666</v>
      </c>
      <c r="G204" s="84">
        <f t="shared" si="2"/>
        <v>11.816666666666668</v>
      </c>
      <c r="H204" s="84">
        <f t="shared" si="2"/>
        <v>10.658333333333333</v>
      </c>
    </row>
    <row r="205" spans="1:8" hidden="1" x14ac:dyDescent="0.25">
      <c r="A205" s="85" t="s">
        <v>171</v>
      </c>
      <c r="B205" s="84">
        <f t="shared" si="2"/>
        <v>13.958333333333334</v>
      </c>
      <c r="C205" s="84">
        <f t="shared" si="2"/>
        <v>11.775</v>
      </c>
      <c r="D205" s="84">
        <f t="shared" si="2"/>
        <v>11.924999999999999</v>
      </c>
      <c r="E205" s="84">
        <f t="shared" si="2"/>
        <v>12.008333333333333</v>
      </c>
      <c r="F205" s="84">
        <f t="shared" si="2"/>
        <v>11.008333333333333</v>
      </c>
      <c r="G205" s="84">
        <f t="shared" si="2"/>
        <v>9.5833333333333339</v>
      </c>
      <c r="H205" s="84">
        <f t="shared" si="2"/>
        <v>13.15</v>
      </c>
    </row>
    <row r="206" spans="1:8" hidden="1" x14ac:dyDescent="0.25">
      <c r="A206" s="85" t="s">
        <v>172</v>
      </c>
      <c r="B206" s="84">
        <f t="shared" si="2"/>
        <v>11.825000000000001</v>
      </c>
      <c r="C206" s="84">
        <f t="shared" si="2"/>
        <v>12.058333333333332</v>
      </c>
      <c r="D206" s="84">
        <f t="shared" si="2"/>
        <v>10.666666666666666</v>
      </c>
      <c r="E206" s="84">
        <f t="shared" si="2"/>
        <v>11.174999999999999</v>
      </c>
      <c r="F206" s="84">
        <f t="shared" si="2"/>
        <v>10.783333333333333</v>
      </c>
      <c r="G206" s="84">
        <f t="shared" si="2"/>
        <v>10.65</v>
      </c>
      <c r="H206" s="84">
        <f t="shared" si="2"/>
        <v>11.225</v>
      </c>
    </row>
    <row r="207" spans="1:8" hidden="1" x14ac:dyDescent="0.25">
      <c r="A207" s="85" t="s">
        <v>173</v>
      </c>
      <c r="B207" s="84">
        <f t="shared" si="2"/>
        <v>8.9583333333333339</v>
      </c>
      <c r="C207" s="84">
        <f t="shared" si="2"/>
        <v>8.2666666666666675</v>
      </c>
      <c r="D207" s="84">
        <f t="shared" si="2"/>
        <v>9.1749999999999989</v>
      </c>
      <c r="E207" s="84">
        <f t="shared" si="2"/>
        <v>8.4916666666666654</v>
      </c>
      <c r="F207" s="84">
        <f t="shared" si="2"/>
        <v>7.6999999999999993</v>
      </c>
      <c r="G207" s="84">
        <f t="shared" si="2"/>
        <v>8.3833333333333329</v>
      </c>
      <c r="H207" s="84">
        <f t="shared" si="2"/>
        <v>8.9500000000000011</v>
      </c>
    </row>
    <row r="208" spans="1:8" hidden="1" x14ac:dyDescent="0.25">
      <c r="A208" s="85" t="s">
        <v>5</v>
      </c>
      <c r="B208" s="86">
        <f>AVERAGE(B28,B58,B88,B118,B148,B178)</f>
        <v>447.80833333333334</v>
      </c>
      <c r="C208" s="86">
        <f t="shared" ref="C208:H208" si="3">AVERAGE(C28,C58,C88,C118,C148,C178)</f>
        <v>397.18333333333334</v>
      </c>
      <c r="D208" s="86">
        <f t="shared" si="3"/>
        <v>381.125</v>
      </c>
      <c r="E208" s="86">
        <f t="shared" si="3"/>
        <v>381.60833333333335</v>
      </c>
      <c r="F208" s="86">
        <f t="shared" si="3"/>
        <v>358.0333333333333</v>
      </c>
      <c r="G208" s="86">
        <f t="shared" si="3"/>
        <v>295.46666666666664</v>
      </c>
      <c r="H208" s="86">
        <f t="shared" si="3"/>
        <v>264.72499999999997</v>
      </c>
    </row>
    <row r="209" spans="1:8" hidden="1" x14ac:dyDescent="0.25"/>
    <row r="210" spans="1:8" hidden="1" x14ac:dyDescent="0.25"/>
    <row r="211" spans="1:8" ht="21" hidden="1" x14ac:dyDescent="0.25">
      <c r="A211" s="228" t="s">
        <v>185</v>
      </c>
      <c r="B211" s="228"/>
      <c r="C211" s="228"/>
      <c r="D211" s="228"/>
      <c r="E211" s="228"/>
      <c r="F211" s="228"/>
      <c r="G211" s="228"/>
      <c r="H211" s="228"/>
    </row>
    <row r="212" spans="1:8" hidden="1" x14ac:dyDescent="0.25">
      <c r="A212" s="85" t="s">
        <v>142</v>
      </c>
      <c r="B212" s="85" t="s">
        <v>143</v>
      </c>
      <c r="C212" s="85" t="s">
        <v>144</v>
      </c>
      <c r="D212" s="85" t="s">
        <v>145</v>
      </c>
      <c r="E212" s="85" t="s">
        <v>146</v>
      </c>
      <c r="F212" s="85" t="s">
        <v>147</v>
      </c>
      <c r="G212" s="85" t="s">
        <v>148</v>
      </c>
      <c r="H212" s="85" t="s">
        <v>149</v>
      </c>
    </row>
    <row r="213" spans="1:8" hidden="1" x14ac:dyDescent="0.25">
      <c r="A213" s="85" t="s">
        <v>150</v>
      </c>
      <c r="B213" s="84">
        <v>6.8</v>
      </c>
      <c r="C213" s="84">
        <v>7.5</v>
      </c>
      <c r="D213" s="84">
        <v>5.25</v>
      </c>
      <c r="E213" s="84">
        <v>5.5</v>
      </c>
      <c r="F213" s="84">
        <v>6.25</v>
      </c>
      <c r="G213" s="84">
        <v>7.25</v>
      </c>
      <c r="H213" s="84">
        <v>8.4</v>
      </c>
    </row>
    <row r="214" spans="1:8" hidden="1" x14ac:dyDescent="0.25">
      <c r="A214" s="85" t="s">
        <v>151</v>
      </c>
      <c r="B214" s="84">
        <v>3.8</v>
      </c>
      <c r="C214" s="84">
        <v>5.5</v>
      </c>
      <c r="D214" s="84">
        <v>6.5</v>
      </c>
      <c r="E214" s="84">
        <v>3</v>
      </c>
      <c r="F214" s="84">
        <v>4.75</v>
      </c>
      <c r="G214" s="84">
        <v>6.75</v>
      </c>
      <c r="H214" s="84">
        <v>4.8</v>
      </c>
    </row>
    <row r="215" spans="1:8" hidden="1" x14ac:dyDescent="0.25">
      <c r="A215" s="85" t="s">
        <v>152</v>
      </c>
      <c r="B215" s="84">
        <v>4.5999999999999996</v>
      </c>
      <c r="C215" s="84">
        <v>3.75</v>
      </c>
      <c r="D215" s="84">
        <v>2.25</v>
      </c>
      <c r="E215" s="84">
        <v>4</v>
      </c>
      <c r="F215" s="84">
        <v>3</v>
      </c>
      <c r="G215" s="84">
        <v>5.25</v>
      </c>
      <c r="H215" s="84">
        <v>3</v>
      </c>
    </row>
    <row r="216" spans="1:8" hidden="1" x14ac:dyDescent="0.25">
      <c r="A216" s="85" t="s">
        <v>153</v>
      </c>
      <c r="B216" s="84">
        <v>4</v>
      </c>
      <c r="C216" s="84">
        <v>3.25</v>
      </c>
      <c r="D216" s="84">
        <v>5.25</v>
      </c>
      <c r="E216" s="84">
        <v>3.25</v>
      </c>
      <c r="F216" s="84">
        <v>3.5</v>
      </c>
      <c r="G216" s="84">
        <v>2.75</v>
      </c>
      <c r="H216" s="84">
        <v>3.6</v>
      </c>
    </row>
    <row r="217" spans="1:8" hidden="1" x14ac:dyDescent="0.25">
      <c r="A217" s="85" t="s">
        <v>154</v>
      </c>
      <c r="B217" s="84">
        <v>4</v>
      </c>
      <c r="C217" s="84">
        <v>3</v>
      </c>
      <c r="D217" s="84">
        <v>4.75</v>
      </c>
      <c r="E217" s="84">
        <v>3.75</v>
      </c>
      <c r="F217" s="84">
        <v>4.75</v>
      </c>
      <c r="G217" s="84">
        <v>3.5</v>
      </c>
      <c r="H217" s="84">
        <v>3.4</v>
      </c>
    </row>
    <row r="218" spans="1:8" hidden="1" x14ac:dyDescent="0.25">
      <c r="A218" s="85" t="s">
        <v>155</v>
      </c>
      <c r="B218" s="84">
        <v>13.4</v>
      </c>
      <c r="C218" s="84">
        <v>7.25</v>
      </c>
      <c r="D218" s="84">
        <v>6.25</v>
      </c>
      <c r="E218" s="84">
        <v>7.5</v>
      </c>
      <c r="F218" s="84">
        <v>10</v>
      </c>
      <c r="G218" s="84">
        <v>7.75</v>
      </c>
      <c r="H218" s="84">
        <v>3.8</v>
      </c>
    </row>
    <row r="219" spans="1:8" hidden="1" x14ac:dyDescent="0.25">
      <c r="A219" s="85" t="s">
        <v>156</v>
      </c>
      <c r="B219" s="84">
        <v>18.600000000000001</v>
      </c>
      <c r="C219" s="84">
        <v>18.75</v>
      </c>
      <c r="D219" s="84">
        <v>14.75</v>
      </c>
      <c r="E219" s="84">
        <v>14.25</v>
      </c>
      <c r="F219" s="84">
        <v>14</v>
      </c>
      <c r="G219" s="84">
        <v>9.5</v>
      </c>
      <c r="H219" s="84">
        <v>6</v>
      </c>
    </row>
    <row r="220" spans="1:8" hidden="1" x14ac:dyDescent="0.25">
      <c r="A220" s="85" t="s">
        <v>157</v>
      </c>
      <c r="B220" s="84">
        <v>32.200000000000003</v>
      </c>
      <c r="C220" s="84">
        <v>27.75</v>
      </c>
      <c r="D220" s="84">
        <v>24.75</v>
      </c>
      <c r="E220" s="84">
        <v>18.75</v>
      </c>
      <c r="F220" s="84">
        <v>26.5</v>
      </c>
      <c r="G220" s="84">
        <v>12.25</v>
      </c>
      <c r="H220" s="84">
        <v>12</v>
      </c>
    </row>
    <row r="221" spans="1:8" hidden="1" x14ac:dyDescent="0.25">
      <c r="A221" s="85" t="s">
        <v>158</v>
      </c>
      <c r="B221" s="84">
        <v>33.200000000000003</v>
      </c>
      <c r="C221" s="84">
        <v>34.5</v>
      </c>
      <c r="D221" s="84">
        <v>33.5</v>
      </c>
      <c r="E221" s="84">
        <v>30.5</v>
      </c>
      <c r="F221" s="84">
        <v>30.5</v>
      </c>
      <c r="G221" s="84">
        <v>14.5</v>
      </c>
      <c r="H221" s="84">
        <v>10.199999999999999</v>
      </c>
    </row>
    <row r="222" spans="1:8" hidden="1" x14ac:dyDescent="0.25">
      <c r="A222" s="85" t="s">
        <v>159</v>
      </c>
      <c r="B222" s="84">
        <v>32.200000000000003</v>
      </c>
      <c r="C222" s="84">
        <v>29.75</v>
      </c>
      <c r="D222" s="84">
        <v>34.5</v>
      </c>
      <c r="E222" s="84">
        <v>26.75</v>
      </c>
      <c r="F222" s="84">
        <v>23.25</v>
      </c>
      <c r="G222" s="84">
        <v>20.75</v>
      </c>
      <c r="H222" s="84">
        <v>11.6</v>
      </c>
    </row>
    <row r="223" spans="1:8" hidden="1" x14ac:dyDescent="0.25">
      <c r="A223" s="85" t="s">
        <v>160</v>
      </c>
      <c r="B223" s="84">
        <v>33</v>
      </c>
      <c r="C223" s="84">
        <v>35</v>
      </c>
      <c r="D223" s="84">
        <v>32.75</v>
      </c>
      <c r="E223" s="84">
        <v>25.5</v>
      </c>
      <c r="F223" s="84">
        <v>30</v>
      </c>
      <c r="G223" s="84">
        <v>20.25</v>
      </c>
      <c r="H223" s="84">
        <v>18.399999999999999</v>
      </c>
    </row>
    <row r="224" spans="1:8" hidden="1" x14ac:dyDescent="0.25">
      <c r="A224" s="85" t="s">
        <v>161</v>
      </c>
      <c r="B224" s="84">
        <v>27.8</v>
      </c>
      <c r="C224" s="84">
        <v>23</v>
      </c>
      <c r="D224" s="84">
        <v>25.75</v>
      </c>
      <c r="E224" s="84">
        <v>21</v>
      </c>
      <c r="F224" s="84">
        <v>22.25</v>
      </c>
      <c r="G224" s="84">
        <v>20.5</v>
      </c>
      <c r="H224" s="84">
        <v>19.8</v>
      </c>
    </row>
    <row r="225" spans="1:8" hidden="1" x14ac:dyDescent="0.25">
      <c r="A225" s="85" t="s">
        <v>162</v>
      </c>
      <c r="B225" s="84">
        <v>27.6</v>
      </c>
      <c r="C225" s="84">
        <v>20.5</v>
      </c>
      <c r="D225" s="84">
        <v>25.75</v>
      </c>
      <c r="E225" s="84">
        <v>17</v>
      </c>
      <c r="F225" s="84">
        <v>22.75</v>
      </c>
      <c r="G225" s="84">
        <v>24</v>
      </c>
      <c r="H225" s="84">
        <v>19.8</v>
      </c>
    </row>
    <row r="226" spans="1:8" hidden="1" x14ac:dyDescent="0.25">
      <c r="A226" s="85" t="s">
        <v>163</v>
      </c>
      <c r="B226" s="84">
        <v>38.799999999999997</v>
      </c>
      <c r="C226" s="84">
        <v>32.25</v>
      </c>
      <c r="D226" s="84">
        <v>30.25</v>
      </c>
      <c r="E226" s="84">
        <v>30.25</v>
      </c>
      <c r="F226" s="84">
        <v>28.25</v>
      </c>
      <c r="G226" s="84">
        <v>18.5</v>
      </c>
      <c r="H226" s="84">
        <v>22.6</v>
      </c>
    </row>
    <row r="227" spans="1:8" hidden="1" x14ac:dyDescent="0.25">
      <c r="A227" s="85" t="s">
        <v>164</v>
      </c>
      <c r="B227" s="84">
        <v>32.4</v>
      </c>
      <c r="C227" s="84">
        <v>32.5</v>
      </c>
      <c r="D227" s="84">
        <v>26.75</v>
      </c>
      <c r="E227" s="84">
        <v>23.25</v>
      </c>
      <c r="F227" s="84">
        <v>22.5</v>
      </c>
      <c r="G227" s="84">
        <v>16</v>
      </c>
      <c r="H227" s="84">
        <v>19.399999999999999</v>
      </c>
    </row>
    <row r="228" spans="1:8" hidden="1" x14ac:dyDescent="0.25">
      <c r="A228" s="85" t="s">
        <v>165</v>
      </c>
      <c r="B228" s="84">
        <v>21.2</v>
      </c>
      <c r="C228" s="84">
        <v>24.25</v>
      </c>
      <c r="D228" s="84">
        <v>19</v>
      </c>
      <c r="E228" s="84">
        <v>18</v>
      </c>
      <c r="F228" s="84">
        <v>19</v>
      </c>
      <c r="G228" s="84">
        <v>16</v>
      </c>
      <c r="H228" s="84">
        <v>18.399999999999999</v>
      </c>
    </row>
    <row r="229" spans="1:8" hidden="1" x14ac:dyDescent="0.25">
      <c r="A229" s="85" t="s">
        <v>166</v>
      </c>
      <c r="B229" s="84">
        <v>22.8</v>
      </c>
      <c r="C229" s="84">
        <v>23.75</v>
      </c>
      <c r="D229" s="84">
        <v>24.5</v>
      </c>
      <c r="E229" s="84">
        <v>19</v>
      </c>
      <c r="F229" s="84">
        <v>16.5</v>
      </c>
      <c r="G229" s="84">
        <v>17.25</v>
      </c>
      <c r="H229" s="84">
        <v>14.6</v>
      </c>
    </row>
    <row r="230" spans="1:8" hidden="1" x14ac:dyDescent="0.25">
      <c r="A230" s="85" t="s">
        <v>167</v>
      </c>
      <c r="B230" s="84">
        <v>20.8</v>
      </c>
      <c r="C230" s="84">
        <v>24.75</v>
      </c>
      <c r="D230" s="84">
        <v>21</v>
      </c>
      <c r="E230" s="84">
        <v>19.25</v>
      </c>
      <c r="F230" s="84">
        <v>14</v>
      </c>
      <c r="G230" s="84">
        <v>16.75</v>
      </c>
      <c r="H230" s="84">
        <v>18.399999999999999</v>
      </c>
    </row>
    <row r="231" spans="1:8" hidden="1" x14ac:dyDescent="0.25">
      <c r="A231" s="85" t="s">
        <v>168</v>
      </c>
      <c r="B231" s="84">
        <v>22.8</v>
      </c>
      <c r="C231" s="84">
        <v>28</v>
      </c>
      <c r="D231" s="84">
        <v>26.25</v>
      </c>
      <c r="E231" s="84">
        <v>17.75</v>
      </c>
      <c r="F231" s="84">
        <v>21.75</v>
      </c>
      <c r="G231" s="84">
        <v>16</v>
      </c>
      <c r="H231" s="84">
        <v>18</v>
      </c>
    </row>
    <row r="232" spans="1:8" hidden="1" x14ac:dyDescent="0.25">
      <c r="A232" s="85" t="s">
        <v>169</v>
      </c>
      <c r="B232" s="84">
        <v>25.8</v>
      </c>
      <c r="C232" s="84">
        <v>19</v>
      </c>
      <c r="D232" s="84">
        <v>25.25</v>
      </c>
      <c r="E232" s="84">
        <v>19</v>
      </c>
      <c r="F232" s="84">
        <v>24.5</v>
      </c>
      <c r="G232" s="84">
        <v>16.75</v>
      </c>
      <c r="H232" s="84">
        <v>19.2</v>
      </c>
    </row>
    <row r="233" spans="1:8" hidden="1" x14ac:dyDescent="0.25">
      <c r="A233" s="85" t="s">
        <v>170</v>
      </c>
      <c r="B233" s="84">
        <v>22.8</v>
      </c>
      <c r="C233" s="84">
        <v>28</v>
      </c>
      <c r="D233" s="84">
        <v>17.5</v>
      </c>
      <c r="E233" s="84">
        <v>14.25</v>
      </c>
      <c r="F233" s="84">
        <v>20.5</v>
      </c>
      <c r="G233" s="84">
        <v>16</v>
      </c>
      <c r="H233" s="84">
        <v>12.6</v>
      </c>
    </row>
    <row r="234" spans="1:8" hidden="1" x14ac:dyDescent="0.25">
      <c r="A234" s="85" t="s">
        <v>171</v>
      </c>
      <c r="B234" s="84">
        <v>15.4</v>
      </c>
      <c r="C234" s="84">
        <v>14.5</v>
      </c>
      <c r="D234" s="84">
        <v>15.75</v>
      </c>
      <c r="E234" s="84">
        <v>13.75</v>
      </c>
      <c r="F234" s="84">
        <v>13</v>
      </c>
      <c r="G234" s="84">
        <v>9.25</v>
      </c>
      <c r="H234" s="84">
        <v>13.6</v>
      </c>
    </row>
    <row r="235" spans="1:8" hidden="1" x14ac:dyDescent="0.25">
      <c r="A235" s="85" t="s">
        <v>172</v>
      </c>
      <c r="B235" s="84">
        <v>14</v>
      </c>
      <c r="C235" s="84">
        <v>11.75</v>
      </c>
      <c r="D235" s="84">
        <v>11</v>
      </c>
      <c r="E235" s="84">
        <v>13.25</v>
      </c>
      <c r="F235" s="84">
        <v>14</v>
      </c>
      <c r="G235" s="84">
        <v>11.5</v>
      </c>
      <c r="H235" s="84">
        <v>12.8</v>
      </c>
    </row>
    <row r="236" spans="1:8" hidden="1" x14ac:dyDescent="0.25">
      <c r="A236" s="85" t="s">
        <v>173</v>
      </c>
      <c r="B236" s="84">
        <v>10.4</v>
      </c>
      <c r="C236" s="84">
        <v>9.75</v>
      </c>
      <c r="D236" s="84">
        <v>8.75</v>
      </c>
      <c r="E236" s="84">
        <v>12.25</v>
      </c>
      <c r="F236" s="84">
        <v>9.75</v>
      </c>
      <c r="G236" s="84">
        <v>10.5</v>
      </c>
      <c r="H236" s="84">
        <v>11</v>
      </c>
    </row>
    <row r="237" spans="1:8" hidden="1" x14ac:dyDescent="0.25">
      <c r="A237" s="85" t="s">
        <v>5</v>
      </c>
      <c r="B237" s="86">
        <v>488.4</v>
      </c>
      <c r="C237" s="86">
        <v>468</v>
      </c>
      <c r="D237" s="86">
        <v>448</v>
      </c>
      <c r="E237" s="86">
        <v>380.75</v>
      </c>
      <c r="F237" s="86">
        <v>405.25</v>
      </c>
      <c r="G237" s="86">
        <v>319.5</v>
      </c>
      <c r="H237" s="86">
        <v>305.39999999999998</v>
      </c>
    </row>
    <row r="238" spans="1:8" hidden="1" x14ac:dyDescent="0.25"/>
    <row r="239" spans="1:8" hidden="1" x14ac:dyDescent="0.25"/>
    <row r="240" spans="1:8" hidden="1" x14ac:dyDescent="0.25"/>
    <row r="241" spans="1:8" ht="21" hidden="1" x14ac:dyDescent="0.25">
      <c r="A241" s="228" t="s">
        <v>304</v>
      </c>
      <c r="B241" s="228"/>
      <c r="C241" s="228"/>
      <c r="D241" s="228"/>
      <c r="E241" s="228"/>
      <c r="F241" s="228"/>
      <c r="G241" s="228"/>
      <c r="H241" s="228"/>
    </row>
    <row r="242" spans="1:8" hidden="1" x14ac:dyDescent="0.25">
      <c r="A242" s="85" t="s">
        <v>142</v>
      </c>
      <c r="B242" s="85" t="s">
        <v>143</v>
      </c>
      <c r="C242" s="85" t="s">
        <v>144</v>
      </c>
      <c r="D242" s="85" t="s">
        <v>145</v>
      </c>
      <c r="E242" s="85" t="s">
        <v>146</v>
      </c>
      <c r="F242" s="85" t="s">
        <v>147</v>
      </c>
      <c r="G242" s="85" t="s">
        <v>148</v>
      </c>
      <c r="H242" s="85" t="s">
        <v>149</v>
      </c>
    </row>
    <row r="243" spans="1:8" hidden="1" x14ac:dyDescent="0.25">
      <c r="A243" s="85" t="s">
        <v>150</v>
      </c>
      <c r="B243" s="84">
        <v>5.75</v>
      </c>
      <c r="C243" s="84">
        <v>5.2</v>
      </c>
      <c r="D243" s="84">
        <v>5</v>
      </c>
      <c r="E243" s="84">
        <v>6.4</v>
      </c>
      <c r="F243" s="84">
        <v>5</v>
      </c>
      <c r="G243" s="84">
        <v>7</v>
      </c>
      <c r="H243" s="84">
        <v>7.5</v>
      </c>
    </row>
    <row r="244" spans="1:8" hidden="1" x14ac:dyDescent="0.25">
      <c r="A244" s="85" t="s">
        <v>151</v>
      </c>
      <c r="B244" s="84">
        <v>2.75</v>
      </c>
      <c r="C244" s="84">
        <v>2.8</v>
      </c>
      <c r="D244" s="84">
        <v>3.8</v>
      </c>
      <c r="E244" s="84">
        <v>4.4000000000000004</v>
      </c>
      <c r="F244" s="84">
        <v>6.25</v>
      </c>
      <c r="G244" s="84">
        <v>4.25</v>
      </c>
      <c r="H244" s="84">
        <v>6</v>
      </c>
    </row>
    <row r="245" spans="1:8" hidden="1" x14ac:dyDescent="0.25">
      <c r="A245" s="85" t="s">
        <v>152</v>
      </c>
      <c r="B245" s="84">
        <v>3.25</v>
      </c>
      <c r="C245" s="84">
        <v>2</v>
      </c>
      <c r="D245" s="84">
        <v>3.6</v>
      </c>
      <c r="E245" s="84">
        <v>2.8</v>
      </c>
      <c r="F245" s="84">
        <v>4.25</v>
      </c>
      <c r="G245" s="84">
        <v>3</v>
      </c>
      <c r="H245" s="84">
        <v>3</v>
      </c>
    </row>
    <row r="246" spans="1:8" hidden="1" x14ac:dyDescent="0.25">
      <c r="A246" s="85" t="s">
        <v>153</v>
      </c>
      <c r="B246" s="84">
        <v>1.25</v>
      </c>
      <c r="C246" s="84">
        <v>1.8</v>
      </c>
      <c r="D246" s="84">
        <v>2.6</v>
      </c>
      <c r="E246" s="84">
        <v>3.2</v>
      </c>
      <c r="F246" s="84">
        <v>3.75</v>
      </c>
      <c r="G246" s="84">
        <v>3.25</v>
      </c>
      <c r="H246" s="84">
        <v>4.25</v>
      </c>
    </row>
    <row r="247" spans="1:8" hidden="1" x14ac:dyDescent="0.25">
      <c r="A247" s="85" t="s">
        <v>154</v>
      </c>
      <c r="B247" s="84">
        <v>2.25</v>
      </c>
      <c r="C247" s="84">
        <v>1.4</v>
      </c>
      <c r="D247" s="84">
        <v>2.4</v>
      </c>
      <c r="E247" s="84">
        <v>2.4</v>
      </c>
      <c r="F247" s="84">
        <v>3</v>
      </c>
      <c r="G247" s="84">
        <v>5.75</v>
      </c>
      <c r="H247" s="84">
        <v>3.5</v>
      </c>
    </row>
    <row r="248" spans="1:8" hidden="1" x14ac:dyDescent="0.25">
      <c r="A248" s="85" t="s">
        <v>155</v>
      </c>
      <c r="B248" s="84">
        <v>5</v>
      </c>
      <c r="C248" s="84">
        <v>10</v>
      </c>
      <c r="D248" s="84">
        <v>7.6</v>
      </c>
      <c r="E248" s="84">
        <v>8.8000000000000007</v>
      </c>
      <c r="F248" s="84">
        <v>11</v>
      </c>
      <c r="G248" s="84">
        <v>9.25</v>
      </c>
      <c r="H248" s="84">
        <v>4</v>
      </c>
    </row>
    <row r="249" spans="1:8" hidden="1" x14ac:dyDescent="0.25">
      <c r="A249" s="85" t="s">
        <v>156</v>
      </c>
      <c r="B249" s="84">
        <v>16</v>
      </c>
      <c r="C249" s="84">
        <v>16.8</v>
      </c>
      <c r="D249" s="84">
        <v>14.4</v>
      </c>
      <c r="E249" s="84">
        <v>9.8000000000000007</v>
      </c>
      <c r="F249" s="84">
        <v>16.25</v>
      </c>
      <c r="G249" s="84">
        <v>11</v>
      </c>
      <c r="H249" s="84">
        <v>6</v>
      </c>
    </row>
    <row r="250" spans="1:8" hidden="1" x14ac:dyDescent="0.25">
      <c r="A250" s="85" t="s">
        <v>157</v>
      </c>
      <c r="B250" s="84">
        <v>28.75</v>
      </c>
      <c r="C250" s="84">
        <v>20.6</v>
      </c>
      <c r="D250" s="84">
        <v>22.2</v>
      </c>
      <c r="E250" s="84">
        <v>18.8</v>
      </c>
      <c r="F250" s="84">
        <v>24.5</v>
      </c>
      <c r="G250" s="84">
        <v>9</v>
      </c>
      <c r="H250" s="84">
        <v>7.25</v>
      </c>
    </row>
    <row r="251" spans="1:8" hidden="1" x14ac:dyDescent="0.25">
      <c r="A251" s="85" t="s">
        <v>158</v>
      </c>
      <c r="B251" s="84">
        <v>30.25</v>
      </c>
      <c r="C251" s="84">
        <v>26.2</v>
      </c>
      <c r="D251" s="84">
        <v>26</v>
      </c>
      <c r="E251" s="84">
        <v>24.8</v>
      </c>
      <c r="F251" s="84">
        <v>22.25</v>
      </c>
      <c r="G251" s="84">
        <v>16.25</v>
      </c>
      <c r="H251" s="84">
        <v>13</v>
      </c>
    </row>
    <row r="252" spans="1:8" hidden="1" x14ac:dyDescent="0.25">
      <c r="A252" s="85" t="s">
        <v>159</v>
      </c>
      <c r="B252" s="84">
        <v>36.75</v>
      </c>
      <c r="C252" s="84">
        <v>24</v>
      </c>
      <c r="D252" s="84">
        <v>31.2</v>
      </c>
      <c r="E252" s="84">
        <v>22.6</v>
      </c>
      <c r="F252" s="84">
        <v>22.25</v>
      </c>
      <c r="G252" s="84">
        <v>20.25</v>
      </c>
      <c r="H252" s="84">
        <v>15.25</v>
      </c>
    </row>
    <row r="253" spans="1:8" hidden="1" x14ac:dyDescent="0.25">
      <c r="A253" s="85" t="s">
        <v>160</v>
      </c>
      <c r="B253" s="84">
        <v>34.5</v>
      </c>
      <c r="C253" s="84">
        <v>29.4</v>
      </c>
      <c r="D253" s="84">
        <v>28.4</v>
      </c>
      <c r="E253" s="84">
        <v>25.6</v>
      </c>
      <c r="F253" s="84">
        <v>21</v>
      </c>
      <c r="G253" s="84">
        <v>21.25</v>
      </c>
      <c r="H253" s="84">
        <v>15.75</v>
      </c>
    </row>
    <row r="254" spans="1:8" hidden="1" x14ac:dyDescent="0.25">
      <c r="A254" s="85" t="s">
        <v>161</v>
      </c>
      <c r="B254" s="84">
        <v>30.5</v>
      </c>
      <c r="C254" s="84">
        <v>24</v>
      </c>
      <c r="D254" s="84">
        <v>23.8</v>
      </c>
      <c r="E254" s="84">
        <v>19</v>
      </c>
      <c r="F254" s="84">
        <v>20.25</v>
      </c>
      <c r="G254" s="84">
        <v>20.25</v>
      </c>
      <c r="H254" s="84">
        <v>15.75</v>
      </c>
    </row>
    <row r="255" spans="1:8" hidden="1" x14ac:dyDescent="0.25">
      <c r="A255" s="85" t="s">
        <v>162</v>
      </c>
      <c r="B255" s="84">
        <v>26.25</v>
      </c>
      <c r="C255" s="84">
        <v>25.2</v>
      </c>
      <c r="D255" s="84">
        <v>22.4</v>
      </c>
      <c r="E255" s="84">
        <v>23.2</v>
      </c>
      <c r="F255" s="84">
        <v>18.25</v>
      </c>
      <c r="G255" s="84">
        <v>19.75</v>
      </c>
      <c r="H255" s="84">
        <v>16.5</v>
      </c>
    </row>
    <row r="256" spans="1:8" hidden="1" x14ac:dyDescent="0.25">
      <c r="A256" s="85" t="s">
        <v>163</v>
      </c>
      <c r="B256" s="84">
        <v>37.5</v>
      </c>
      <c r="C256" s="84">
        <v>30.6</v>
      </c>
      <c r="D256" s="84">
        <v>26.2</v>
      </c>
      <c r="E256" s="84">
        <v>28.4</v>
      </c>
      <c r="F256" s="84">
        <v>26.25</v>
      </c>
      <c r="G256" s="84">
        <v>17.5</v>
      </c>
      <c r="H256" s="84">
        <v>19</v>
      </c>
    </row>
    <row r="257" spans="1:8" hidden="1" x14ac:dyDescent="0.25">
      <c r="A257" s="85" t="s">
        <v>164</v>
      </c>
      <c r="B257" s="84">
        <v>26.75</v>
      </c>
      <c r="C257" s="84">
        <v>24.8</v>
      </c>
      <c r="D257" s="84">
        <v>26.8</v>
      </c>
      <c r="E257" s="84">
        <v>23.8</v>
      </c>
      <c r="F257" s="84">
        <v>23.25</v>
      </c>
      <c r="G257" s="84">
        <v>20.5</v>
      </c>
      <c r="H257" s="84">
        <v>15.5</v>
      </c>
    </row>
    <row r="258" spans="1:8" hidden="1" x14ac:dyDescent="0.25">
      <c r="A258" s="85" t="s">
        <v>165</v>
      </c>
      <c r="B258" s="84">
        <v>27.5</v>
      </c>
      <c r="C258" s="84">
        <v>23.2</v>
      </c>
      <c r="D258" s="84">
        <v>19.399999999999999</v>
      </c>
      <c r="E258" s="84">
        <v>19.399999999999999</v>
      </c>
      <c r="F258" s="84">
        <v>14.75</v>
      </c>
      <c r="G258" s="84">
        <v>18.5</v>
      </c>
      <c r="H258" s="84">
        <v>14</v>
      </c>
    </row>
    <row r="259" spans="1:8" hidden="1" x14ac:dyDescent="0.25">
      <c r="A259" s="85" t="s">
        <v>166</v>
      </c>
      <c r="B259" s="84">
        <v>21.5</v>
      </c>
      <c r="C259" s="84">
        <v>18.399999999999999</v>
      </c>
      <c r="D259" s="84">
        <v>18.2</v>
      </c>
      <c r="E259" s="84">
        <v>18</v>
      </c>
      <c r="F259" s="84">
        <v>17</v>
      </c>
      <c r="G259" s="84">
        <v>15.5</v>
      </c>
      <c r="H259" s="84">
        <v>17</v>
      </c>
    </row>
    <row r="260" spans="1:8" hidden="1" x14ac:dyDescent="0.25">
      <c r="A260" s="85" t="s">
        <v>167</v>
      </c>
      <c r="B260" s="84">
        <v>18.75</v>
      </c>
      <c r="C260" s="84">
        <v>18</v>
      </c>
      <c r="D260" s="84">
        <v>16.8</v>
      </c>
      <c r="E260" s="84">
        <v>17.399999999999999</v>
      </c>
      <c r="F260" s="84">
        <v>14.5</v>
      </c>
      <c r="G260" s="84">
        <v>15.25</v>
      </c>
      <c r="H260" s="84">
        <v>19.25</v>
      </c>
    </row>
    <row r="261" spans="1:8" hidden="1" x14ac:dyDescent="0.25">
      <c r="A261" s="85" t="s">
        <v>168</v>
      </c>
      <c r="B261" s="84">
        <v>24.25</v>
      </c>
      <c r="C261" s="84">
        <v>18.600000000000001</v>
      </c>
      <c r="D261" s="84">
        <v>20.2</v>
      </c>
      <c r="E261" s="84">
        <v>20.399999999999999</v>
      </c>
      <c r="F261" s="84">
        <v>17.75</v>
      </c>
      <c r="G261" s="84">
        <v>15.25</v>
      </c>
      <c r="H261" s="84">
        <v>14.5</v>
      </c>
    </row>
    <row r="262" spans="1:8" hidden="1" x14ac:dyDescent="0.25">
      <c r="A262" s="85" t="s">
        <v>169</v>
      </c>
      <c r="B262" s="84">
        <v>23.25</v>
      </c>
      <c r="C262" s="84">
        <v>17.600000000000001</v>
      </c>
      <c r="D262" s="84">
        <v>22.8</v>
      </c>
      <c r="E262" s="84">
        <v>20.399999999999999</v>
      </c>
      <c r="F262" s="84">
        <v>16</v>
      </c>
      <c r="G262" s="84">
        <v>13.75</v>
      </c>
      <c r="H262" s="84">
        <v>14.25</v>
      </c>
    </row>
    <row r="263" spans="1:8" hidden="1" x14ac:dyDescent="0.25">
      <c r="A263" s="85" t="s">
        <v>170</v>
      </c>
      <c r="B263" s="84">
        <v>17.5</v>
      </c>
      <c r="C263" s="84">
        <v>22.6</v>
      </c>
      <c r="D263" s="84">
        <v>18.600000000000001</v>
      </c>
      <c r="E263" s="84">
        <v>17.2</v>
      </c>
      <c r="F263" s="84">
        <v>18</v>
      </c>
      <c r="G263" s="84">
        <v>11.5</v>
      </c>
      <c r="H263" s="84">
        <v>13.5</v>
      </c>
    </row>
    <row r="264" spans="1:8" hidden="1" x14ac:dyDescent="0.25">
      <c r="A264" s="85" t="s">
        <v>171</v>
      </c>
      <c r="B264" s="84">
        <v>17.25</v>
      </c>
      <c r="C264" s="84">
        <v>14.4</v>
      </c>
      <c r="D264" s="84">
        <v>9.6</v>
      </c>
      <c r="E264" s="84">
        <v>11.2</v>
      </c>
      <c r="F264" s="84">
        <v>13.25</v>
      </c>
      <c r="G264" s="84">
        <v>13.5</v>
      </c>
      <c r="H264" s="84">
        <v>15</v>
      </c>
    </row>
    <row r="265" spans="1:8" hidden="1" x14ac:dyDescent="0.25">
      <c r="A265" s="85" t="s">
        <v>172</v>
      </c>
      <c r="B265" s="84">
        <v>14.75</v>
      </c>
      <c r="C265" s="84">
        <v>10.8</v>
      </c>
      <c r="D265" s="84">
        <v>14.2</v>
      </c>
      <c r="E265" s="84">
        <v>13.2</v>
      </c>
      <c r="F265" s="84">
        <v>8.75</v>
      </c>
      <c r="G265" s="84">
        <v>14.25</v>
      </c>
      <c r="H265" s="84">
        <v>11</v>
      </c>
    </row>
    <row r="266" spans="1:8" hidden="1" x14ac:dyDescent="0.25">
      <c r="A266" s="85" t="s">
        <v>173</v>
      </c>
      <c r="B266" s="84">
        <v>9</v>
      </c>
      <c r="C266" s="84">
        <v>8.6</v>
      </c>
      <c r="D266" s="84">
        <v>7.8</v>
      </c>
      <c r="E266" s="84">
        <v>10.6</v>
      </c>
      <c r="F266" s="84">
        <v>9</v>
      </c>
      <c r="G266" s="84">
        <v>8.5</v>
      </c>
      <c r="H266" s="84">
        <v>8.25</v>
      </c>
    </row>
    <row r="267" spans="1:8" hidden="1" x14ac:dyDescent="0.25">
      <c r="A267" s="85" t="s">
        <v>5</v>
      </c>
      <c r="B267" s="86">
        <v>461.25</v>
      </c>
      <c r="C267" s="86">
        <v>397</v>
      </c>
      <c r="D267" s="86">
        <v>394</v>
      </c>
      <c r="E267" s="86">
        <v>371.8</v>
      </c>
      <c r="F267" s="86">
        <v>356.5</v>
      </c>
      <c r="G267" s="86">
        <v>314.25</v>
      </c>
      <c r="H267" s="86">
        <v>279</v>
      </c>
    </row>
    <row r="268" spans="1:8" hidden="1" x14ac:dyDescent="0.25"/>
    <row r="269" spans="1:8" hidden="1" x14ac:dyDescent="0.25"/>
    <row r="270" spans="1:8" ht="21" x14ac:dyDescent="0.25">
      <c r="A270" s="228" t="s">
        <v>324</v>
      </c>
      <c r="B270" s="228"/>
      <c r="C270" s="228"/>
      <c r="D270" s="228"/>
      <c r="E270" s="228"/>
      <c r="F270" s="228"/>
      <c r="G270" s="228"/>
      <c r="H270" s="228"/>
    </row>
    <row r="271" spans="1:8" x14ac:dyDescent="0.25">
      <c r="A271" s="85" t="s">
        <v>142</v>
      </c>
      <c r="B271" s="85" t="s">
        <v>143</v>
      </c>
      <c r="C271" s="85" t="s">
        <v>144</v>
      </c>
      <c r="D271" s="85" t="s">
        <v>145</v>
      </c>
      <c r="E271" s="85" t="s">
        <v>146</v>
      </c>
      <c r="F271" s="85" t="s">
        <v>147</v>
      </c>
      <c r="G271" s="85" t="s">
        <v>148</v>
      </c>
      <c r="H271" s="85" t="s">
        <v>149</v>
      </c>
    </row>
    <row r="272" spans="1:8" x14ac:dyDescent="0.25">
      <c r="A272" s="85" t="s">
        <v>150</v>
      </c>
      <c r="B272" s="84">
        <v>4</v>
      </c>
      <c r="C272" s="84">
        <v>8.25</v>
      </c>
      <c r="D272" s="84">
        <v>7.25</v>
      </c>
      <c r="E272" s="84">
        <v>9</v>
      </c>
      <c r="F272" s="84">
        <v>9.1999999999999993</v>
      </c>
      <c r="G272" s="84">
        <v>6.8</v>
      </c>
      <c r="H272" s="84">
        <v>7.6</v>
      </c>
    </row>
    <row r="273" spans="1:8" x14ac:dyDescent="0.25">
      <c r="A273" s="85" t="s">
        <v>151</v>
      </c>
      <c r="B273" s="84">
        <v>4.25</v>
      </c>
      <c r="C273" s="84">
        <v>4</v>
      </c>
      <c r="D273" s="84">
        <v>5</v>
      </c>
      <c r="E273" s="84">
        <v>4.25</v>
      </c>
      <c r="F273" s="84">
        <v>3.4</v>
      </c>
      <c r="G273" s="84">
        <v>2.8</v>
      </c>
      <c r="H273" s="84">
        <v>4.5999999999999996</v>
      </c>
    </row>
    <row r="274" spans="1:8" x14ac:dyDescent="0.25">
      <c r="A274" s="85" t="s">
        <v>152</v>
      </c>
      <c r="B274" s="84">
        <v>4.25</v>
      </c>
      <c r="C274" s="84">
        <v>3</v>
      </c>
      <c r="D274" s="84">
        <v>2.25</v>
      </c>
      <c r="E274" s="84">
        <v>5.25</v>
      </c>
      <c r="F274" s="84">
        <v>3.6</v>
      </c>
      <c r="G274" s="84">
        <v>4.5999999999999996</v>
      </c>
      <c r="H274" s="84">
        <v>2</v>
      </c>
    </row>
    <row r="275" spans="1:8" x14ac:dyDescent="0.25">
      <c r="A275" s="85" t="s">
        <v>153</v>
      </c>
      <c r="B275" s="84">
        <v>3.5</v>
      </c>
      <c r="C275" s="84">
        <v>1.75</v>
      </c>
      <c r="D275" s="84">
        <v>3.25</v>
      </c>
      <c r="E275" s="84">
        <v>2.75</v>
      </c>
      <c r="F275" s="84">
        <v>2</v>
      </c>
      <c r="G275" s="84">
        <v>3.8</v>
      </c>
      <c r="H275" s="84">
        <v>3.2</v>
      </c>
    </row>
    <row r="276" spans="1:8" x14ac:dyDescent="0.25">
      <c r="A276" s="85" t="s">
        <v>154</v>
      </c>
      <c r="B276" s="84">
        <v>3.5</v>
      </c>
      <c r="C276" s="84">
        <v>5.5</v>
      </c>
      <c r="D276" s="84">
        <v>2.75</v>
      </c>
      <c r="E276" s="84">
        <v>3.5</v>
      </c>
      <c r="F276" s="84">
        <v>4.5999999999999996</v>
      </c>
      <c r="G276" s="84">
        <v>4.8</v>
      </c>
      <c r="H276" s="84">
        <v>2.4</v>
      </c>
    </row>
    <row r="277" spans="1:8" x14ac:dyDescent="0.25">
      <c r="A277" s="85" t="s">
        <v>155</v>
      </c>
      <c r="B277" s="84">
        <v>10.75</v>
      </c>
      <c r="C277" s="84">
        <v>9</v>
      </c>
      <c r="D277" s="84">
        <v>7.25</v>
      </c>
      <c r="E277" s="84">
        <v>7.25</v>
      </c>
      <c r="F277" s="84">
        <v>9.1999999999999993</v>
      </c>
      <c r="G277" s="84">
        <v>7.2</v>
      </c>
      <c r="H277" s="84">
        <v>5.2</v>
      </c>
    </row>
    <row r="278" spans="1:8" x14ac:dyDescent="0.25">
      <c r="A278" s="85" t="s">
        <v>156</v>
      </c>
      <c r="B278" s="84">
        <v>16.75</v>
      </c>
      <c r="C278" s="84">
        <v>18.25</v>
      </c>
      <c r="D278" s="84">
        <v>13.25</v>
      </c>
      <c r="E278" s="84">
        <v>15.5</v>
      </c>
      <c r="F278" s="84">
        <v>16</v>
      </c>
      <c r="G278" s="84">
        <v>8</v>
      </c>
      <c r="H278" s="84">
        <v>5.2</v>
      </c>
    </row>
    <row r="279" spans="1:8" x14ac:dyDescent="0.25">
      <c r="A279" s="85" t="s">
        <v>157</v>
      </c>
      <c r="B279" s="84">
        <v>30</v>
      </c>
      <c r="C279" s="84">
        <v>30</v>
      </c>
      <c r="D279" s="84">
        <v>28.25</v>
      </c>
      <c r="E279" s="84">
        <v>25</v>
      </c>
      <c r="F279" s="84">
        <v>20.2</v>
      </c>
      <c r="G279" s="84">
        <v>13.2</v>
      </c>
      <c r="H279" s="84">
        <v>10.4</v>
      </c>
    </row>
    <row r="280" spans="1:8" x14ac:dyDescent="0.25">
      <c r="A280" s="85" t="s">
        <v>158</v>
      </c>
      <c r="B280" s="84">
        <v>44.5</v>
      </c>
      <c r="C280" s="84">
        <v>37</v>
      </c>
      <c r="D280" s="84">
        <v>26.25</v>
      </c>
      <c r="E280" s="84">
        <v>37.25</v>
      </c>
      <c r="F280" s="84">
        <v>31.8</v>
      </c>
      <c r="G280" s="84">
        <v>18.8</v>
      </c>
      <c r="H280" s="84">
        <v>16.2</v>
      </c>
    </row>
    <row r="281" spans="1:8" x14ac:dyDescent="0.25">
      <c r="A281" s="85" t="s">
        <v>159</v>
      </c>
      <c r="B281" s="84">
        <v>34</v>
      </c>
      <c r="C281" s="84">
        <v>32.25</v>
      </c>
      <c r="D281" s="84">
        <v>19.75</v>
      </c>
      <c r="E281" s="84">
        <v>28</v>
      </c>
      <c r="F281" s="84">
        <v>28</v>
      </c>
      <c r="G281" s="84">
        <v>19</v>
      </c>
      <c r="H281" s="84">
        <v>19.2</v>
      </c>
    </row>
    <row r="282" spans="1:8" x14ac:dyDescent="0.25">
      <c r="A282" s="85" t="s">
        <v>160</v>
      </c>
      <c r="B282" s="84">
        <v>41.75</v>
      </c>
      <c r="C282" s="84">
        <v>28</v>
      </c>
      <c r="D282" s="84">
        <v>33.5</v>
      </c>
      <c r="E282" s="84">
        <v>29.75</v>
      </c>
      <c r="F282" s="84">
        <v>26.8</v>
      </c>
      <c r="G282" s="84">
        <v>22.4</v>
      </c>
      <c r="H282" s="84">
        <v>20.2</v>
      </c>
    </row>
    <row r="283" spans="1:8" x14ac:dyDescent="0.25">
      <c r="A283" s="85" t="s">
        <v>161</v>
      </c>
      <c r="B283" s="84">
        <v>39.25</v>
      </c>
      <c r="C283" s="84">
        <v>25.25</v>
      </c>
      <c r="D283" s="84">
        <v>29</v>
      </c>
      <c r="E283" s="84">
        <v>26</v>
      </c>
      <c r="F283" s="84">
        <v>25.2</v>
      </c>
      <c r="G283" s="84">
        <v>21</v>
      </c>
      <c r="H283" s="84">
        <v>15.8</v>
      </c>
    </row>
    <row r="284" spans="1:8" x14ac:dyDescent="0.25">
      <c r="A284" s="85" t="s">
        <v>162</v>
      </c>
      <c r="B284" s="84">
        <v>30.25</v>
      </c>
      <c r="C284" s="84">
        <v>25.5</v>
      </c>
      <c r="D284" s="84">
        <v>23</v>
      </c>
      <c r="E284" s="84">
        <v>29.25</v>
      </c>
      <c r="F284" s="84">
        <v>22.4</v>
      </c>
      <c r="G284" s="84">
        <v>15.2</v>
      </c>
      <c r="H284" s="84">
        <v>17.399999999999999</v>
      </c>
    </row>
    <row r="285" spans="1:8" x14ac:dyDescent="0.25">
      <c r="A285" s="85" t="s">
        <v>163</v>
      </c>
      <c r="B285" s="84">
        <v>43.25</v>
      </c>
      <c r="C285" s="84">
        <v>33.25</v>
      </c>
      <c r="D285" s="84">
        <v>33.5</v>
      </c>
      <c r="E285" s="84">
        <v>35.5</v>
      </c>
      <c r="F285" s="84">
        <v>32.799999999999997</v>
      </c>
      <c r="G285" s="84">
        <v>18.8</v>
      </c>
      <c r="H285" s="84">
        <v>17.2</v>
      </c>
    </row>
    <row r="286" spans="1:8" x14ac:dyDescent="0.25">
      <c r="A286" s="85" t="s">
        <v>164</v>
      </c>
      <c r="B286" s="84">
        <v>36</v>
      </c>
      <c r="C286" s="84">
        <v>27</v>
      </c>
      <c r="D286" s="84">
        <v>31.5</v>
      </c>
      <c r="E286" s="84">
        <v>28.75</v>
      </c>
      <c r="F286" s="84">
        <v>21.6</v>
      </c>
      <c r="G286" s="84">
        <v>18</v>
      </c>
      <c r="H286" s="84">
        <v>17.2</v>
      </c>
    </row>
    <row r="287" spans="1:8" x14ac:dyDescent="0.25">
      <c r="A287" s="85" t="s">
        <v>165</v>
      </c>
      <c r="B287" s="84">
        <v>24.25</v>
      </c>
      <c r="C287" s="84">
        <v>16</v>
      </c>
      <c r="D287" s="84">
        <v>22.75</v>
      </c>
      <c r="E287" s="84">
        <v>21</v>
      </c>
      <c r="F287" s="84">
        <v>18.399999999999999</v>
      </c>
      <c r="G287" s="84">
        <v>19.399999999999999</v>
      </c>
      <c r="H287" s="84">
        <v>16.2</v>
      </c>
    </row>
    <row r="288" spans="1:8" x14ac:dyDescent="0.25">
      <c r="A288" s="85" t="s">
        <v>166</v>
      </c>
      <c r="B288" s="84">
        <v>23.25</v>
      </c>
      <c r="C288" s="84">
        <v>20.5</v>
      </c>
      <c r="D288" s="84">
        <v>22</v>
      </c>
      <c r="E288" s="84">
        <v>24.25</v>
      </c>
      <c r="F288" s="84">
        <v>19.2</v>
      </c>
      <c r="G288" s="84">
        <v>16.600000000000001</v>
      </c>
      <c r="H288" s="84">
        <v>17.2</v>
      </c>
    </row>
    <row r="289" spans="1:8" x14ac:dyDescent="0.25">
      <c r="A289" s="85" t="s">
        <v>167</v>
      </c>
      <c r="B289" s="84">
        <v>22</v>
      </c>
      <c r="C289" s="84">
        <v>20</v>
      </c>
      <c r="D289" s="84">
        <v>18.25</v>
      </c>
      <c r="E289" s="84">
        <v>20.75</v>
      </c>
      <c r="F289" s="84">
        <v>19.399999999999999</v>
      </c>
      <c r="G289" s="84">
        <v>17.2</v>
      </c>
      <c r="H289" s="84">
        <v>16.2</v>
      </c>
    </row>
    <row r="290" spans="1:8" x14ac:dyDescent="0.25">
      <c r="A290" s="85" t="s">
        <v>168</v>
      </c>
      <c r="B290" s="84">
        <v>29.5</v>
      </c>
      <c r="C290" s="84">
        <v>19</v>
      </c>
      <c r="D290" s="84">
        <v>23.25</v>
      </c>
      <c r="E290" s="84">
        <v>22</v>
      </c>
      <c r="F290" s="84">
        <v>19</v>
      </c>
      <c r="G290" s="84">
        <v>16.600000000000001</v>
      </c>
      <c r="H290" s="84">
        <v>17.2</v>
      </c>
    </row>
    <row r="291" spans="1:8" x14ac:dyDescent="0.25">
      <c r="A291" s="85" t="s">
        <v>169</v>
      </c>
      <c r="B291" s="84">
        <v>29.75</v>
      </c>
      <c r="C291" s="84">
        <v>30</v>
      </c>
      <c r="D291" s="84">
        <v>26.5</v>
      </c>
      <c r="E291" s="84">
        <v>22.5</v>
      </c>
      <c r="F291" s="84">
        <v>21.8</v>
      </c>
      <c r="G291" s="84">
        <v>12.6</v>
      </c>
      <c r="H291" s="84">
        <v>17.399999999999999</v>
      </c>
    </row>
    <row r="292" spans="1:8" x14ac:dyDescent="0.25">
      <c r="A292" s="85" t="s">
        <v>170</v>
      </c>
      <c r="B292" s="84">
        <v>22.75</v>
      </c>
      <c r="C292" s="84">
        <v>19.25</v>
      </c>
      <c r="D292" s="84">
        <v>20</v>
      </c>
      <c r="E292" s="84">
        <v>24.25</v>
      </c>
      <c r="F292" s="84">
        <v>16.399999999999999</v>
      </c>
      <c r="G292" s="84">
        <v>12.4</v>
      </c>
      <c r="H292" s="84">
        <v>18.399999999999999</v>
      </c>
    </row>
    <row r="293" spans="1:8" x14ac:dyDescent="0.25">
      <c r="A293" s="85" t="s">
        <v>171</v>
      </c>
      <c r="B293" s="84">
        <v>20.5</v>
      </c>
      <c r="C293" s="84">
        <v>17</v>
      </c>
      <c r="D293" s="84">
        <v>19.25</v>
      </c>
      <c r="E293" s="84">
        <v>19.75</v>
      </c>
      <c r="F293" s="84">
        <v>16.600000000000001</v>
      </c>
      <c r="G293" s="84">
        <v>12.8</v>
      </c>
      <c r="H293" s="84">
        <v>16.399999999999999</v>
      </c>
    </row>
    <row r="294" spans="1:8" x14ac:dyDescent="0.25">
      <c r="A294" s="85" t="s">
        <v>172</v>
      </c>
      <c r="B294" s="84">
        <v>17</v>
      </c>
      <c r="C294" s="84">
        <v>12.5</v>
      </c>
      <c r="D294" s="84">
        <v>13.75</v>
      </c>
      <c r="E294" s="84">
        <v>14</v>
      </c>
      <c r="F294" s="84">
        <v>14.6</v>
      </c>
      <c r="G294" s="84">
        <v>10.6</v>
      </c>
      <c r="H294" s="84">
        <v>12.4</v>
      </c>
    </row>
    <row r="295" spans="1:8" x14ac:dyDescent="0.25">
      <c r="A295" s="85" t="s">
        <v>173</v>
      </c>
      <c r="B295" s="84">
        <v>8.5</v>
      </c>
      <c r="C295" s="84">
        <v>11</v>
      </c>
      <c r="D295" s="84">
        <v>10.5</v>
      </c>
      <c r="E295" s="84">
        <v>9.5</v>
      </c>
      <c r="F295" s="84">
        <v>8</v>
      </c>
      <c r="G295" s="84">
        <v>8.8000000000000007</v>
      </c>
      <c r="H295" s="84">
        <v>8.8000000000000007</v>
      </c>
    </row>
    <row r="296" spans="1:8" x14ac:dyDescent="0.25">
      <c r="A296" s="85" t="s">
        <v>5</v>
      </c>
      <c r="B296" s="86">
        <f>SUM(B272:B295)</f>
        <v>543.5</v>
      </c>
      <c r="C296" s="86">
        <f t="shared" ref="C296:H296" si="4">SUM(C272:C295)</f>
        <v>453.25</v>
      </c>
      <c r="D296" s="86">
        <f t="shared" si="4"/>
        <v>442</v>
      </c>
      <c r="E296" s="86">
        <f t="shared" si="4"/>
        <v>465</v>
      </c>
      <c r="F296" s="86">
        <f t="shared" si="4"/>
        <v>410.2</v>
      </c>
      <c r="G296" s="86">
        <f t="shared" si="4"/>
        <v>311.40000000000003</v>
      </c>
      <c r="H296" s="86">
        <f t="shared" si="4"/>
        <v>303.99999999999989</v>
      </c>
    </row>
  </sheetData>
  <mergeCells count="11">
    <mergeCell ref="A270:H270"/>
    <mergeCell ref="A241:H241"/>
    <mergeCell ref="A211:H211"/>
    <mergeCell ref="A1:H1"/>
    <mergeCell ref="A182:H182"/>
    <mergeCell ref="A2:H2"/>
    <mergeCell ref="A32:H32"/>
    <mergeCell ref="A62:H62"/>
    <mergeCell ref="A92:H92"/>
    <mergeCell ref="A122:H122"/>
    <mergeCell ref="A152:H152"/>
  </mergeCells>
  <conditionalFormatting sqref="B4:H2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H5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4:H8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4:H11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4:H14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4:H17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4:H20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3:H23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3:H2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2:H29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INDICADORES UPAS</vt:lpstr>
      <vt:lpstr>DASHBORD UPAS</vt:lpstr>
      <vt:lpstr>Planilha1</vt:lpstr>
      <vt:lpstr>1.TRIMESTRE</vt:lpstr>
      <vt:lpstr>ATENDIMENTOS</vt:lpstr>
      <vt:lpstr>CONTROLE DIÁRIO DE ATENDIMENTOS</vt:lpstr>
      <vt:lpstr>INTERNAÇÕES</vt:lpstr>
      <vt:lpstr>SADT</vt:lpstr>
      <vt:lpstr>CME</vt:lpstr>
      <vt:lpstr>NVE</vt:lpstr>
      <vt:lpstr>NEP</vt:lpstr>
      <vt:lpstr>APOIO</vt:lpstr>
      <vt:lpstr>PRODUTIVIDADE</vt:lpstr>
      <vt:lpstr>PESQUISA DE SATISFAÇÃO</vt:lpstr>
      <vt:lpstr>MAPA DE CALOR 2024</vt:lpstr>
      <vt:lpstr>MAPA DE CALOR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Thaiza Lauane</cp:lastModifiedBy>
  <cp:lastPrinted>2025-09-11T19:24:36Z</cp:lastPrinted>
  <dcterms:created xsi:type="dcterms:W3CDTF">2024-10-25T19:43:53Z</dcterms:created>
  <dcterms:modified xsi:type="dcterms:W3CDTF">2026-03-02T11:56:09Z</dcterms:modified>
</cp:coreProperties>
</file>